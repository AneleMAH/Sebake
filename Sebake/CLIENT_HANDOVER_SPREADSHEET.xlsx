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1\Sebake\"/>
    </mc:Choice>
  </mc:AlternateContent>
  <xr:revisionPtr revIDLastSave="0" documentId="13_ncr:1_{9544EC54-B6DB-4859-BC7C-BD1A8E32D4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E17" i="1"/>
  <c r="G16" i="1"/>
  <c r="E16" i="1"/>
  <c r="G15" i="1"/>
  <c r="E15" i="1"/>
  <c r="G14" i="1"/>
  <c r="E14" i="1"/>
  <c r="E13" i="1"/>
  <c r="G13" i="1"/>
  <c r="E8" i="1"/>
  <c r="G8" i="1"/>
  <c r="E7" i="1"/>
  <c r="G5" i="1"/>
  <c r="G7" i="1"/>
  <c r="G3" i="1"/>
  <c r="G4" i="1"/>
  <c r="G2" i="1"/>
  <c r="E3" i="1"/>
  <c r="E4" i="1"/>
  <c r="E5" i="1"/>
  <c r="E2" i="1"/>
</calcChain>
</file>

<file path=xl/sharedStrings.xml><?xml version="1.0" encoding="utf-8"?>
<sst xmlns="http://schemas.openxmlformats.org/spreadsheetml/2006/main" count="127" uniqueCount="107">
  <si>
    <t>Client Name</t>
  </si>
  <si>
    <t>PO/Invoice Value</t>
  </si>
  <si>
    <t>Capital Injection</t>
  </si>
  <si>
    <t>Fee Percentage</t>
  </si>
  <si>
    <t xml:space="preserve">Fee </t>
  </si>
  <si>
    <t>DUE to MAH</t>
  </si>
  <si>
    <t>Stage</t>
  </si>
  <si>
    <t>Phone number</t>
  </si>
  <si>
    <t>Email</t>
  </si>
  <si>
    <t>comments</t>
  </si>
  <si>
    <t>Application fee</t>
  </si>
  <si>
    <t>WHERE EVER YOU GO</t>
  </si>
  <si>
    <t>Gauteng Department of Agriculture and Rural Development</t>
  </si>
  <si>
    <t>RM handling it, might be lost since the G20 is over</t>
  </si>
  <si>
    <t>Valuation</t>
  </si>
  <si>
    <t>Payable Days</t>
  </si>
  <si>
    <t>asavelambalizaza@gmail.com</t>
  </si>
  <si>
    <t>VINCE HOMES</t>
  </si>
  <si>
    <t>Type of deal</t>
  </si>
  <si>
    <t>Supply and delivery of bins</t>
  </si>
  <si>
    <t>Gauteng Department of Roads and Transport</t>
  </si>
  <si>
    <t>jmononela@gmail.com</t>
  </si>
  <si>
    <t>Client Company</t>
  </si>
  <si>
    <t>Jerry Mononela</t>
  </si>
  <si>
    <t>Asavela Zaza</t>
  </si>
  <si>
    <t>Road Maintanence</t>
  </si>
  <si>
    <t>TSEPORA PROVISIONS</t>
  </si>
  <si>
    <t>CSIR</t>
  </si>
  <si>
    <t>Deal Name // End User</t>
  </si>
  <si>
    <t>Payments</t>
  </si>
  <si>
    <t>ksolutions016@yahoo.com</t>
  </si>
  <si>
    <t>Waiting for Payments</t>
  </si>
  <si>
    <t>Supply and delivery of custom machine</t>
  </si>
  <si>
    <t>Tshepo Nkete</t>
  </si>
  <si>
    <t>PEJ ENGINEERING</t>
  </si>
  <si>
    <t>Multiple PO's from Transnet</t>
  </si>
  <si>
    <t>n/a</t>
  </si>
  <si>
    <t>Clinton Klaaasen (Consultant)</t>
  </si>
  <si>
    <t>Asked Clinton to ask for Supplier qoutations for the multiple PO's</t>
  </si>
  <si>
    <t>Supply and delivery</t>
  </si>
  <si>
    <t>NTOANE PROJECTS AND SERVICES</t>
  </si>
  <si>
    <t>Evelyn Oil and Energy</t>
  </si>
  <si>
    <t>Compliance</t>
  </si>
  <si>
    <t>Kagiso Ntoane</t>
  </si>
  <si>
    <t>Mr. Myataza currently handing the deal</t>
  </si>
  <si>
    <t xml:space="preserve">Mr. Myataza currently handling the deal </t>
  </si>
  <si>
    <t>Supply and delivery of Diesel</t>
  </si>
  <si>
    <t>50/50 Split</t>
  </si>
  <si>
    <t>NODIDA INVESTMENTS</t>
  </si>
  <si>
    <t>Eastern Cape department of Social Development</t>
  </si>
  <si>
    <t>Payments (Funded)</t>
  </si>
  <si>
    <t>Lwando Ruga</t>
  </si>
  <si>
    <t>andycoza@gmail.com</t>
  </si>
  <si>
    <t>Funded</t>
  </si>
  <si>
    <t>Providing promotional material</t>
  </si>
  <si>
    <t>MY GRANNY GENERAL TRADING</t>
  </si>
  <si>
    <t>North West Department of Health</t>
  </si>
  <si>
    <t>project4@mygranny.co.za</t>
  </si>
  <si>
    <t>Application</t>
  </si>
  <si>
    <t>Contract signing // Follow up again</t>
  </si>
  <si>
    <t>Themba Tshabalala</t>
  </si>
  <si>
    <t>MNAKA MININING</t>
  </si>
  <si>
    <t>Mining deal</t>
  </si>
  <si>
    <t>Mining</t>
  </si>
  <si>
    <t>Samuel Nkosi</t>
  </si>
  <si>
    <t>veli.nkosi@mnakamining.co.za</t>
  </si>
  <si>
    <t>Mandate stage // Mogale's deal</t>
  </si>
  <si>
    <t>Refurbishment</t>
  </si>
  <si>
    <t>MJINGWANE TRADING AND PROJECTS</t>
  </si>
  <si>
    <t>LF MINING</t>
  </si>
  <si>
    <t>Machine Acquisition</t>
  </si>
  <si>
    <t>1080 (3 years)</t>
  </si>
  <si>
    <t>Luqman Acquah</t>
  </si>
  <si>
    <t>luqman@lfmining.co.za</t>
  </si>
  <si>
    <t>Acquisition of drilling machine</t>
  </si>
  <si>
    <t>HEINZ MEATS</t>
  </si>
  <si>
    <t>Products Acquistion</t>
  </si>
  <si>
    <t>Business funding</t>
  </si>
  <si>
    <t>Not yet finalized</t>
  </si>
  <si>
    <t>richardndlovu04@gmail.com</t>
  </si>
  <si>
    <t>Richard Ndlovu</t>
  </si>
  <si>
    <t>Mr. Myataza needs to handle the deal</t>
  </si>
  <si>
    <t>Acquisition of products</t>
  </si>
  <si>
    <t>GTK INDUSTRIES</t>
  </si>
  <si>
    <t>David</t>
  </si>
  <si>
    <t>senatledavid@gmail.com</t>
  </si>
  <si>
    <t>Client hasn't signed contracts, need to follow up again</t>
  </si>
  <si>
    <t>Pavement deal</t>
  </si>
  <si>
    <t>DITUMELOANO TRADING</t>
  </si>
  <si>
    <t>My Granny General Trading</t>
  </si>
  <si>
    <t>Lesole Ramatsa</t>
  </si>
  <si>
    <t>ramatsalm@gmail.com</t>
  </si>
  <si>
    <t>Client hasn't signed contracts</t>
  </si>
  <si>
    <t>DEVAS STRATEGIC CONSULTING</t>
  </si>
  <si>
    <t>Department of Nquth Municipality</t>
  </si>
  <si>
    <t>David Pebane</t>
  </si>
  <si>
    <t>davidpebane@gmail.com</t>
  </si>
  <si>
    <t>Client needs to verify invoice and cc ofentse</t>
  </si>
  <si>
    <t>Sourcing funds for municipality</t>
  </si>
  <si>
    <t>BRIGHT TRADING AND PROJECTS</t>
  </si>
  <si>
    <t>Transnet</t>
  </si>
  <si>
    <t>Bright Thembane</t>
  </si>
  <si>
    <t>spbright18@gmail.com</t>
  </si>
  <si>
    <t>Client has to sort out mandate with their ABSA banker</t>
  </si>
  <si>
    <t>BOGOSI ENGINEERING</t>
  </si>
  <si>
    <t xml:space="preserve">Northam </t>
  </si>
  <si>
    <t>Client still negotiating so some fields can't be fill in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</si>
</sst>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&quot;R&quot;#,##0.00"/>
    <numFmt numFmtId="165" formatCode="[&lt;=9999999]###\-####;\(000\)\ 000\-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1" fillId="0" borderId="0" xfId="1"/>
    <xf numFmtId="165" fontId="0" fillId="3" borderId="0" xfId="0" applyNumberFormat="1" applyFill="1"/>
    <xf numFmtId="0" fontId="0" fillId="3" borderId="0" xfId="0" applyFill="1"/>
    <xf numFmtId="0" fontId="0" fillId="0" borderId="0" xfId="0" applyFill="1"/>
    <xf numFmtId="164" fontId="0" fillId="0" borderId="0" xfId="0" applyNumberFormat="1" applyFill="1"/>
    <xf numFmtId="10" fontId="0" fillId="0" borderId="0" xfId="0" applyNumberFormat="1" applyFill="1"/>
    <xf numFmtId="44" fontId="0" fillId="0" borderId="0" xfId="0" applyNumberFormat="1" applyFill="1"/>
    <xf numFmtId="165" fontId="0" fillId="0" borderId="0" xfId="0" applyNumberFormat="1" applyFill="1"/>
    <xf numFmtId="0" fontId="1" fillId="0" borderId="0" xfId="1" applyFill="1"/>
    <xf numFmtId="0" fontId="0" fillId="0" borderId="0" xfId="0" applyNumberFormat="1" applyFill="1"/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0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tsalm@gmail.com" TargetMode="External"/><Relationship Id="rId3" Type="http://schemas.openxmlformats.org/officeDocument/2006/relationships/hyperlink" Target="mailto:project4@mygranny.co.za" TargetMode="External"/><Relationship Id="rId7" Type="http://schemas.openxmlformats.org/officeDocument/2006/relationships/hyperlink" Target="mailto:senatledavid@gmail.com" TargetMode="External"/><Relationship Id="rId2" Type="http://schemas.openxmlformats.org/officeDocument/2006/relationships/hyperlink" Target="mailto:ksolutions016@yahoo.com" TargetMode="External"/><Relationship Id="rId1" Type="http://schemas.openxmlformats.org/officeDocument/2006/relationships/hyperlink" Target="mailto:asavelambalizaza@gmail.com" TargetMode="External"/><Relationship Id="rId6" Type="http://schemas.openxmlformats.org/officeDocument/2006/relationships/hyperlink" Target="mailto:richardndlovu04@gmail.com" TargetMode="External"/><Relationship Id="rId5" Type="http://schemas.openxmlformats.org/officeDocument/2006/relationships/hyperlink" Target="mailto:luqman@lfmining.co.za" TargetMode="External"/><Relationship Id="rId10" Type="http://schemas.openxmlformats.org/officeDocument/2006/relationships/hyperlink" Target="mailto:spbright18@gmail.com" TargetMode="External"/><Relationship Id="rId4" Type="http://schemas.openxmlformats.org/officeDocument/2006/relationships/hyperlink" Target="mailto:veli.nkosi@mnakamining.co.za" TargetMode="External"/><Relationship Id="rId9" Type="http://schemas.openxmlformats.org/officeDocument/2006/relationships/hyperlink" Target="mailto:davidpeb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showGridLines="0" tabSelected="1" topLeftCell="A6" workbookViewId="0">
      <selection activeCell="B22" sqref="B22"/>
    </sheetView>
  </sheetViews>
  <sheetFormatPr defaultRowHeight="15" x14ac:dyDescent="0.25"/>
  <cols>
    <col min="1" max="1" width="35" bestFit="1" customWidth="1"/>
    <col min="2" max="2" width="55" bestFit="1" customWidth="1"/>
    <col min="3" max="3" width="20" bestFit="1" customWidth="1"/>
    <col min="4" max="4" width="19" bestFit="1" customWidth="1"/>
    <col min="5" max="5" width="18.5703125" bestFit="1" customWidth="1"/>
    <col min="6" max="6" width="14.140625" bestFit="1" customWidth="1"/>
    <col min="7" max="7" width="14.85546875" bestFit="1" customWidth="1"/>
    <col min="8" max="8" width="15.85546875" bestFit="1" customWidth="1"/>
    <col min="9" max="9" width="45.85546875" bestFit="1" customWidth="1"/>
    <col min="10" max="10" width="45.85546875" customWidth="1"/>
    <col min="11" max="11" width="16" bestFit="1" customWidth="1"/>
    <col min="12" max="12" width="27.85546875" bestFit="1" customWidth="1"/>
    <col min="13" max="13" width="60.140625" bestFit="1" customWidth="1"/>
    <col min="14" max="14" width="45.85546875" customWidth="1"/>
    <col min="16" max="16" width="16.140625" bestFit="1" customWidth="1"/>
  </cols>
  <sheetData>
    <row r="1" spans="1:16" x14ac:dyDescent="0.25">
      <c r="A1" s="1" t="s">
        <v>22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</v>
      </c>
      <c r="I1" s="1" t="s">
        <v>6</v>
      </c>
      <c r="J1" s="1" t="s">
        <v>0</v>
      </c>
      <c r="K1" s="1" t="s">
        <v>7</v>
      </c>
      <c r="L1" s="1" t="s">
        <v>8</v>
      </c>
      <c r="M1" s="1" t="s">
        <v>9</v>
      </c>
      <c r="N1" s="1" t="s">
        <v>18</v>
      </c>
      <c r="P1" s="1" t="s">
        <v>10</v>
      </c>
    </row>
    <row r="2" spans="1:16" x14ac:dyDescent="0.25">
      <c r="A2" s="5" t="s">
        <v>11</v>
      </c>
      <c r="B2" s="5" t="s">
        <v>12</v>
      </c>
      <c r="C2" s="6">
        <v>896930</v>
      </c>
      <c r="D2" s="6">
        <v>200000</v>
      </c>
      <c r="E2" s="7">
        <f>F2/D2</f>
        <v>0.245</v>
      </c>
      <c r="F2" s="8">
        <v>49000</v>
      </c>
      <c r="G2" s="6">
        <f>D2+F2+$P$2</f>
        <v>251750</v>
      </c>
      <c r="H2" s="11">
        <v>30</v>
      </c>
      <c r="I2" s="5" t="s">
        <v>14</v>
      </c>
      <c r="J2" s="5" t="s">
        <v>24</v>
      </c>
      <c r="K2" s="9">
        <v>725546809</v>
      </c>
      <c r="L2" s="10" t="s">
        <v>16</v>
      </c>
      <c r="M2" s="5" t="s">
        <v>13</v>
      </c>
      <c r="N2" s="5" t="s">
        <v>19</v>
      </c>
      <c r="P2">
        <v>2750</v>
      </c>
    </row>
    <row r="3" spans="1:16" x14ac:dyDescent="0.25">
      <c r="A3" s="5" t="s">
        <v>17</v>
      </c>
      <c r="B3" s="5" t="s">
        <v>20</v>
      </c>
      <c r="C3" s="6">
        <v>60564570.159999996</v>
      </c>
      <c r="D3" s="6">
        <v>3500000</v>
      </c>
      <c r="E3" s="7">
        <f t="shared" ref="E3:E8" si="0">F3/D3</f>
        <v>0.4</v>
      </c>
      <c r="F3" s="6">
        <v>1400000</v>
      </c>
      <c r="G3" s="6">
        <f t="shared" ref="G3:G8" si="1">D3+F3+$P$2</f>
        <v>4902750</v>
      </c>
      <c r="H3" s="11">
        <v>120</v>
      </c>
      <c r="I3" s="5" t="s">
        <v>14</v>
      </c>
      <c r="J3" s="5" t="s">
        <v>23</v>
      </c>
      <c r="K3" s="9">
        <v>844405465</v>
      </c>
      <c r="L3" s="10" t="s">
        <v>21</v>
      </c>
      <c r="M3" s="5" t="s">
        <v>45</v>
      </c>
      <c r="N3" s="5" t="s">
        <v>25</v>
      </c>
    </row>
    <row r="4" spans="1:16" x14ac:dyDescent="0.25">
      <c r="A4" s="5" t="s">
        <v>26</v>
      </c>
      <c r="B4" s="5" t="s">
        <v>27</v>
      </c>
      <c r="C4" s="6">
        <v>57339</v>
      </c>
      <c r="D4" s="6">
        <v>43616.43</v>
      </c>
      <c r="E4" s="7">
        <f t="shared" si="0"/>
        <v>0.15500007680591923</v>
      </c>
      <c r="F4" s="8">
        <v>6760.55</v>
      </c>
      <c r="G4" s="6">
        <f t="shared" si="1"/>
        <v>53126.98</v>
      </c>
      <c r="H4" s="11">
        <v>30</v>
      </c>
      <c r="I4" s="5" t="s">
        <v>29</v>
      </c>
      <c r="J4" s="5" t="s">
        <v>33</v>
      </c>
      <c r="K4" s="9">
        <v>673219623</v>
      </c>
      <c r="L4" s="10" t="s">
        <v>30</v>
      </c>
      <c r="M4" s="5" t="s">
        <v>31</v>
      </c>
      <c r="N4" s="5" t="s">
        <v>32</v>
      </c>
    </row>
    <row r="5" spans="1:16" x14ac:dyDescent="0.25">
      <c r="A5" s="5" t="s">
        <v>34</v>
      </c>
      <c r="B5" s="9" t="s">
        <v>35</v>
      </c>
      <c r="C5" s="6">
        <v>722080</v>
      </c>
      <c r="D5" s="6">
        <v>100000</v>
      </c>
      <c r="E5" s="7">
        <f t="shared" si="0"/>
        <v>0.3</v>
      </c>
      <c r="F5" s="8">
        <v>30000</v>
      </c>
      <c r="G5" s="6">
        <f t="shared" si="1"/>
        <v>132750</v>
      </c>
      <c r="H5" s="11">
        <v>30</v>
      </c>
      <c r="I5" s="5" t="s">
        <v>14</v>
      </c>
      <c r="J5" s="5" t="s">
        <v>37</v>
      </c>
      <c r="K5" s="9">
        <v>813929698</v>
      </c>
      <c r="L5" s="5" t="s">
        <v>36</v>
      </c>
      <c r="M5" s="5" t="s">
        <v>38</v>
      </c>
      <c r="N5" s="5" t="s">
        <v>39</v>
      </c>
    </row>
    <row r="6" spans="1:16" x14ac:dyDescent="0.25">
      <c r="A6" s="5" t="s">
        <v>40</v>
      </c>
      <c r="B6" s="5" t="s">
        <v>41</v>
      </c>
      <c r="C6" s="6">
        <v>11270000</v>
      </c>
      <c r="D6" s="6">
        <v>11000000</v>
      </c>
      <c r="E6" s="4" t="s">
        <v>47</v>
      </c>
      <c r="F6" s="3"/>
      <c r="G6" s="12"/>
      <c r="H6" s="11">
        <v>30</v>
      </c>
      <c r="I6" s="5" t="s">
        <v>42</v>
      </c>
      <c r="J6" s="5" t="s">
        <v>43</v>
      </c>
      <c r="K6" s="9">
        <v>731398794</v>
      </c>
      <c r="L6" s="5" t="s">
        <v>36</v>
      </c>
      <c r="M6" s="5" t="s">
        <v>44</v>
      </c>
      <c r="N6" s="5" t="s">
        <v>46</v>
      </c>
    </row>
    <row r="7" spans="1:16" x14ac:dyDescent="0.25">
      <c r="A7" s="5" t="s">
        <v>48</v>
      </c>
      <c r="B7" s="5" t="s">
        <v>49</v>
      </c>
      <c r="C7" s="6">
        <v>182600</v>
      </c>
      <c r="D7" s="6">
        <v>112642.5</v>
      </c>
      <c r="E7" s="7">
        <f t="shared" si="0"/>
        <v>0.15000004438821937</v>
      </c>
      <c r="F7" s="8">
        <v>16896.38</v>
      </c>
      <c r="G7" s="6">
        <f t="shared" si="1"/>
        <v>132288.88</v>
      </c>
      <c r="H7" s="11">
        <v>30</v>
      </c>
      <c r="I7" s="5" t="s">
        <v>50</v>
      </c>
      <c r="J7" s="5" t="s">
        <v>51</v>
      </c>
      <c r="K7" s="9">
        <v>721969359</v>
      </c>
      <c r="L7" s="10" t="s">
        <v>52</v>
      </c>
      <c r="M7" s="5" t="s">
        <v>53</v>
      </c>
      <c r="N7" s="5" t="s">
        <v>54</v>
      </c>
    </row>
    <row r="8" spans="1:16" x14ac:dyDescent="0.25">
      <c r="A8" s="5" t="s">
        <v>55</v>
      </c>
      <c r="B8" s="9" t="s">
        <v>56</v>
      </c>
      <c r="C8" s="6">
        <v>57599787.799999997</v>
      </c>
      <c r="D8" s="6">
        <v>4000000</v>
      </c>
      <c r="E8" s="7">
        <f t="shared" si="0"/>
        <v>0.4</v>
      </c>
      <c r="F8" s="6">
        <v>1600000</v>
      </c>
      <c r="G8" s="6">
        <f t="shared" si="1"/>
        <v>5602750</v>
      </c>
      <c r="H8" s="11">
        <v>60</v>
      </c>
      <c r="I8" s="5" t="s">
        <v>58</v>
      </c>
      <c r="J8" s="5" t="s">
        <v>60</v>
      </c>
      <c r="K8" s="9">
        <v>793461241</v>
      </c>
      <c r="L8" s="10" t="s">
        <v>57</v>
      </c>
      <c r="M8" s="5" t="s">
        <v>59</v>
      </c>
      <c r="N8" s="5" t="s">
        <v>67</v>
      </c>
    </row>
    <row r="9" spans="1:16" x14ac:dyDescent="0.25">
      <c r="A9" s="5" t="s">
        <v>61</v>
      </c>
      <c r="B9" s="5" t="s">
        <v>62</v>
      </c>
      <c r="C9" t="s">
        <v>63</v>
      </c>
      <c r="D9" s="6">
        <v>5000000</v>
      </c>
      <c r="E9" s="4" t="s">
        <v>47</v>
      </c>
      <c r="F9" s="3"/>
      <c r="G9" s="12"/>
      <c r="H9" s="11">
        <v>60</v>
      </c>
      <c r="I9" s="5" t="s">
        <v>14</v>
      </c>
      <c r="J9" s="5" t="s">
        <v>64</v>
      </c>
      <c r="K9" s="9">
        <v>838864259</v>
      </c>
      <c r="L9" s="2" t="s">
        <v>65</v>
      </c>
      <c r="M9" s="5" t="s">
        <v>66</v>
      </c>
      <c r="N9" s="5" t="s">
        <v>62</v>
      </c>
    </row>
    <row r="10" spans="1:16" x14ac:dyDescent="0.25">
      <c r="A10" s="13" t="s">
        <v>68</v>
      </c>
      <c r="B10" s="13"/>
      <c r="C10" s="13"/>
      <c r="D10" s="13"/>
      <c r="E10" s="13"/>
      <c r="F10" s="14"/>
      <c r="G10" s="13"/>
      <c r="H10" s="13"/>
      <c r="I10" s="13"/>
      <c r="J10" s="13"/>
      <c r="K10" s="13"/>
      <c r="L10" s="13"/>
      <c r="M10" s="13"/>
      <c r="N10" s="13"/>
    </row>
    <row r="11" spans="1:16" x14ac:dyDescent="0.25">
      <c r="A11" s="5" t="s">
        <v>69</v>
      </c>
      <c r="B11" s="5" t="s">
        <v>70</v>
      </c>
      <c r="C11" t="s">
        <v>63</v>
      </c>
      <c r="D11" s="6">
        <v>17000000</v>
      </c>
      <c r="E11" s="4" t="s">
        <v>47</v>
      </c>
      <c r="F11" s="3"/>
      <c r="G11" s="12"/>
      <c r="H11" s="5" t="s">
        <v>71</v>
      </c>
      <c r="I11" s="5" t="s">
        <v>42</v>
      </c>
      <c r="J11" s="5" t="s">
        <v>72</v>
      </c>
      <c r="K11" s="9">
        <v>662224511</v>
      </c>
      <c r="L11" s="2" t="s">
        <v>73</v>
      </c>
      <c r="M11" s="5" t="s">
        <v>44</v>
      </c>
      <c r="N11" s="5" t="s">
        <v>74</v>
      </c>
    </row>
    <row r="12" spans="1:16" x14ac:dyDescent="0.25">
      <c r="A12" t="s">
        <v>75</v>
      </c>
      <c r="B12" s="5" t="s">
        <v>76</v>
      </c>
      <c r="C12" t="s">
        <v>77</v>
      </c>
      <c r="D12" t="s">
        <v>78</v>
      </c>
      <c r="E12" t="s">
        <v>78</v>
      </c>
      <c r="H12" t="s">
        <v>78</v>
      </c>
      <c r="I12" s="5" t="s">
        <v>14</v>
      </c>
      <c r="J12" t="s">
        <v>80</v>
      </c>
      <c r="K12" s="9">
        <v>766782343</v>
      </c>
      <c r="L12" s="2" t="s">
        <v>79</v>
      </c>
      <c r="M12" s="5" t="s">
        <v>81</v>
      </c>
      <c r="N12" s="5" t="s">
        <v>82</v>
      </c>
    </row>
    <row r="13" spans="1:16" x14ac:dyDescent="0.25">
      <c r="A13" t="s">
        <v>83</v>
      </c>
      <c r="B13" s="5" t="s">
        <v>56</v>
      </c>
      <c r="C13" s="6">
        <v>935400</v>
      </c>
      <c r="D13" s="6">
        <v>400000</v>
      </c>
      <c r="E13" s="7">
        <f t="shared" ref="E13:E17" si="2">F13/D13</f>
        <v>0.23499999999999999</v>
      </c>
      <c r="F13" s="6">
        <v>94000</v>
      </c>
      <c r="G13" s="6">
        <f t="shared" ref="G13:G17" si="3">D13+F13+$P$2</f>
        <v>496750</v>
      </c>
      <c r="H13" s="11">
        <v>30</v>
      </c>
      <c r="I13" s="5" t="s">
        <v>14</v>
      </c>
      <c r="J13" t="s">
        <v>84</v>
      </c>
      <c r="K13" s="9">
        <v>787523568</v>
      </c>
      <c r="L13" s="2" t="s">
        <v>85</v>
      </c>
      <c r="M13" s="5" t="s">
        <v>86</v>
      </c>
      <c r="N13" s="5" t="s">
        <v>87</v>
      </c>
    </row>
    <row r="14" spans="1:16" x14ac:dyDescent="0.25">
      <c r="A14" t="s">
        <v>88</v>
      </c>
      <c r="B14" s="5" t="s">
        <v>89</v>
      </c>
      <c r="C14" s="6">
        <v>4000000</v>
      </c>
      <c r="D14" s="6">
        <v>1000000</v>
      </c>
      <c r="E14" s="7">
        <f t="shared" si="2"/>
        <v>0.3</v>
      </c>
      <c r="F14" s="6">
        <v>300000</v>
      </c>
      <c r="G14" s="6">
        <f t="shared" si="3"/>
        <v>1302750</v>
      </c>
      <c r="H14" s="11">
        <v>60</v>
      </c>
      <c r="I14" s="5" t="s">
        <v>14</v>
      </c>
      <c r="J14" t="s">
        <v>90</v>
      </c>
      <c r="K14" s="9">
        <v>793963720</v>
      </c>
      <c r="L14" s="2" t="s">
        <v>91</v>
      </c>
      <c r="M14" s="5" t="s">
        <v>92</v>
      </c>
      <c r="N14" t="s">
        <v>67</v>
      </c>
    </row>
    <row r="15" spans="1:16" x14ac:dyDescent="0.25">
      <c r="A15" t="s">
        <v>93</v>
      </c>
      <c r="B15" s="5" t="s">
        <v>94</v>
      </c>
      <c r="C15" s="6">
        <v>1095000</v>
      </c>
      <c r="D15" s="6">
        <v>500000</v>
      </c>
      <c r="E15" s="7">
        <f t="shared" si="2"/>
        <v>0.28499999999999998</v>
      </c>
      <c r="F15" s="6">
        <v>142500</v>
      </c>
      <c r="G15" s="6">
        <f t="shared" si="3"/>
        <v>645250</v>
      </c>
      <c r="H15" s="11">
        <v>30</v>
      </c>
      <c r="I15" s="5" t="s">
        <v>14</v>
      </c>
      <c r="J15" t="s">
        <v>95</v>
      </c>
      <c r="K15" s="9">
        <v>820788221</v>
      </c>
      <c r="L15" s="2" t="s">
        <v>96</v>
      </c>
      <c r="M15" s="5" t="s">
        <v>97</v>
      </c>
      <c r="N15" s="5" t="s">
        <v>98</v>
      </c>
    </row>
    <row r="16" spans="1:16" x14ac:dyDescent="0.25">
      <c r="A16" t="s">
        <v>99</v>
      </c>
      <c r="B16" s="5" t="s">
        <v>100</v>
      </c>
      <c r="C16" s="6">
        <v>687500</v>
      </c>
      <c r="D16" s="6">
        <v>442750</v>
      </c>
      <c r="E16" s="7">
        <f t="shared" si="2"/>
        <v>0.185</v>
      </c>
      <c r="F16" s="6">
        <v>81908.75</v>
      </c>
      <c r="G16" s="6">
        <f t="shared" si="3"/>
        <v>527408.75</v>
      </c>
      <c r="H16" s="11">
        <v>60</v>
      </c>
      <c r="I16" s="5" t="s">
        <v>14</v>
      </c>
      <c r="J16" t="s">
        <v>101</v>
      </c>
      <c r="K16" s="9">
        <v>814189973</v>
      </c>
      <c r="L16" s="2" t="s">
        <v>102</v>
      </c>
      <c r="M16" s="5" t="s">
        <v>103</v>
      </c>
      <c r="N16" s="5" t="s">
        <v>39</v>
      </c>
    </row>
    <row r="17" spans="1:14" x14ac:dyDescent="0.25">
      <c r="A17" s="4" t="s">
        <v>104</v>
      </c>
      <c r="B17" s="4" t="s">
        <v>105</v>
      </c>
      <c r="C17" s="12">
        <v>4766831.72</v>
      </c>
      <c r="D17" s="4"/>
      <c r="E17" s="15" t="e">
        <f t="shared" si="2"/>
        <v>#DIV/0!</v>
      </c>
      <c r="F17" s="4"/>
      <c r="G17" s="12">
        <f t="shared" si="3"/>
        <v>2750</v>
      </c>
      <c r="H17" s="4"/>
      <c r="I17" s="4"/>
      <c r="J17" s="4"/>
      <c r="K17" s="4"/>
      <c r="L17" s="4"/>
      <c r="M17" s="4" t="s">
        <v>106</v>
      </c>
      <c r="N17" s="4"/>
    </row>
  </sheetData>
  <hyperlinks>
    <hyperlink ref="L2" r:id="rId1" xr:uid="{44FEAEE2-AF11-4889-85BF-D4757C6507CD}"/>
    <hyperlink ref="L4" r:id="rId2" xr:uid="{913F87A5-B0ED-4AE9-925E-E13F0142AD51}"/>
    <hyperlink ref="L8" r:id="rId3" xr:uid="{6D9F9387-262E-4D72-8522-08F5E06A148C}"/>
    <hyperlink ref="L9" r:id="rId4" xr:uid="{AFD0352E-2028-4767-93F6-B28942534293}"/>
    <hyperlink ref="L11" r:id="rId5" xr:uid="{B349BC9B-056A-4FD8-B6AB-E039B0606817}"/>
    <hyperlink ref="L12" r:id="rId6" xr:uid="{FE9DC53B-7AE1-49C0-80B0-AA88DF54BD46}"/>
    <hyperlink ref="L13" r:id="rId7" xr:uid="{A6447A25-61C9-422C-9355-EB43FC1474C4}"/>
    <hyperlink ref="L14" r:id="rId8" xr:uid="{57A79EBA-46DA-4010-BE4C-82DBEB8E1B5F}"/>
    <hyperlink ref="L15" r:id="rId9" xr:uid="{0742FB3F-A656-4C79-832F-F47AE935EB93}"/>
    <hyperlink ref="L16" r:id="rId10" xr:uid="{DA20855B-DFB8-4515-831A-B1451FD2F0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2025-11-26T14:11:20Z</dcterms:modified>
</cp:coreProperties>
</file>
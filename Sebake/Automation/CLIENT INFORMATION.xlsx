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si\Desktop\gitMILA1\Sebake\Automation\"/>
    </mc:Choice>
  </mc:AlternateContent>
  <xr:revisionPtr revIDLastSave="0" documentId="13_ncr:1_{C9365583-8C7E-43A1-BD5B-0EE599104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acts" sheetId="1" r:id="rId1"/>
    <sheet name="Fe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F9" i="2"/>
  <c r="D8" i="3"/>
  <c r="D10" i="3" s="1"/>
  <c r="D5" i="3"/>
  <c r="F6" i="2"/>
  <c r="I3" i="2" s="1"/>
  <c r="C8" i="2"/>
  <c r="K2" i="1"/>
  <c r="I2" i="1"/>
  <c r="H2" i="1"/>
  <c r="I9" i="2" l="1"/>
  <c r="I8" i="2"/>
  <c r="I7" i="2"/>
  <c r="I6" i="2"/>
  <c r="I5" i="2"/>
  <c r="I4" i="2"/>
  <c r="I10" i="2"/>
  <c r="I2" i="2"/>
  <c r="I12" i="2"/>
  <c r="I11" i="2"/>
  <c r="J2" i="1" l="1"/>
  <c r="F11" i="2" l="1"/>
  <c r="F15" i="2" s="1"/>
  <c r="G2" i="1" l="1"/>
  <c r="L2" i="1"/>
</calcChain>
</file>

<file path=xl/sharedStrings.xml><?xml version="1.0" encoding="utf-8"?>
<sst xmlns="http://schemas.openxmlformats.org/spreadsheetml/2006/main" count="36" uniqueCount="29">
  <si>
    <t>ID</t>
  </si>
  <si>
    <t>ClientName</t>
  </si>
  <si>
    <t>CompanyNumber</t>
  </si>
  <si>
    <t>AmountOwed</t>
  </si>
  <si>
    <t>PaymentDays</t>
  </si>
  <si>
    <t>CompanyName</t>
  </si>
  <si>
    <t>CompanyAddress</t>
  </si>
  <si>
    <t>ClientEmail</t>
  </si>
  <si>
    <t>tsimesebake@gmail.com</t>
  </si>
  <si>
    <t>Margin Range Start</t>
  </si>
  <si>
    <t>Margin Range End</t>
  </si>
  <si>
    <t>Percentage to be charged</t>
  </si>
  <si>
    <t>PO amount</t>
  </si>
  <si>
    <t>Supplier Q</t>
  </si>
  <si>
    <t>Margins</t>
  </si>
  <si>
    <t>Approved Capital Injection</t>
  </si>
  <si>
    <t>Project Management Fees</t>
  </si>
  <si>
    <t>Admin fee</t>
  </si>
  <si>
    <t>Total due to MAH</t>
  </si>
  <si>
    <t>Charge</t>
  </si>
  <si>
    <t>Payable Days</t>
  </si>
  <si>
    <t>ApprovedCapital</t>
  </si>
  <si>
    <t>PMFees</t>
  </si>
  <si>
    <t>AdminFee</t>
  </si>
  <si>
    <t>TotalMAH</t>
  </si>
  <si>
    <t>SIPHO MARTIN MTHIYANE</t>
  </si>
  <si>
    <t>BOGOSI ENGINEERING</t>
  </si>
  <si>
    <t>GO 38 GOSS MODIKWANE SECTION,
MODDERSPRUIT,
MODDERSPRUIT,
GAUTENG,
0274</t>
  </si>
  <si>
    <t>2018/195580/07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</si>
</sst>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 wrapText="1"/>
    </xf>
    <xf numFmtId="0" fontId="2" fillId="0" borderId="0" xfId="0" applyFont="1"/>
    <xf numFmtId="10" fontId="0" fillId="0" borderId="0" xfId="0" applyNumberFormat="1"/>
    <xf numFmtId="44" fontId="0" fillId="0" borderId="0" xfId="0" applyNumberFormat="1"/>
    <xf numFmtId="4" fontId="0" fillId="0" borderId="0" xfId="0" applyNumberFormat="1"/>
    <xf numFmtId="8" fontId="0" fillId="0" borderId="0" xfId="0" applyNumberFormat="1"/>
    <xf numFmtId="0" fontId="0" fillId="0" borderId="6" xfId="0" applyBorder="1"/>
    <xf numFmtId="8" fontId="2" fillId="0" borderId="3" xfId="0" applyNumberFormat="1" applyFont="1" applyBorder="1"/>
    <xf numFmtId="0" fontId="2" fillId="0" borderId="4" xfId="0" applyFont="1" applyBorder="1"/>
    <xf numFmtId="10" fontId="2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/>
    <xf numFmtId="0" fontId="0" fillId="0" borderId="0" xfId="0" applyAlignment="1">
      <alignment wrapText="1"/>
    </xf>
    <xf numFmtId="0" fontId="0" fillId="2" borderId="0" xfId="0" applyFill="1"/>
    <xf numFmtId="0" fontId="2" fillId="2" borderId="1" xfId="0" applyFont="1" applyFill="1" applyBorder="1"/>
    <xf numFmtId="2" fontId="0" fillId="2" borderId="0" xfId="0" applyNumberFormat="1" applyFill="1"/>
    <xf numFmtId="4" fontId="0" fillId="2" borderId="0" xfId="0" applyNumberFormat="1" applyFill="1"/>
    <xf numFmtId="8" fontId="0" fillId="2" borderId="0" xfId="0" applyNumberFormat="1" applyFill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9" fontId="0" fillId="0" borderId="0" xfId="0" applyNumberFormat="1"/>
  </cellXfs>
  <cellStyles count="2">
    <cellStyle name="Hyperlink" xfId="1" builtinId="8"/>
    <cellStyle name="Normal" xfId="0" builtinId="0"/>
  </cellStyles>
  <dxfs count="6"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numFmt numFmtId="2" formatCode="0.00"/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C5A01-E12C-4EF4-8C09-D600F6E5C6F5}" name="Table1" displayName="Table1" ref="A1:L2" totalsRowShown="0">
  <autoFilter ref="A1:L2" xr:uid="{63EC5A01-E12C-4EF4-8C09-D600F6E5C6F5}"/>
  <tableColumns count="12">
    <tableColumn id="1" xr3:uid="{475BE2BF-6278-4537-8AC5-439161A5D1ED}" name="ClientName"/>
    <tableColumn id="2" xr3:uid="{44A92CA4-9E7B-4DAA-AAD0-90AF299E4372}" name="ClientEmail" dataCellStyle="Hyperlink"/>
    <tableColumn id="3" xr3:uid="{86C440A4-E810-4A13-868F-EEB33A791813}" name="CompanyName"/>
    <tableColumn id="4" xr3:uid="{0ECA6A1F-D4B6-41DE-884A-DDA5329113C9}" name="CompanyAddress"/>
    <tableColumn id="5" xr3:uid="{64A5BB59-4079-438F-90B8-15E54FB891C6}" name="CompanyNumber"/>
    <tableColumn id="6" xr3:uid="{60920B13-801D-4341-96F9-30A66BE57BCE}" name="ID"/>
    <tableColumn id="7" xr3:uid="{3A7A6FB5-72AF-4B09-96D6-FB1A681C670A}" name="AmountOwed" dataDxfId="5">
      <calculatedColumnFormula>Fees!F11</calculatedColumnFormula>
    </tableColumn>
    <tableColumn id="8" xr3:uid="{F7BEA112-BC95-4022-8530-00A3D5932905}" name="PaymentDays" dataDxfId="4">
      <calculatedColumnFormula>Fees!F13</calculatedColumnFormula>
    </tableColumn>
    <tableColumn id="9" xr3:uid="{2E3FE21D-AB3E-4DD1-9DAB-463E893AD64A}" name="ApprovedCapital" dataDxfId="3">
      <calculatedColumnFormula>Fees!F8</calculatedColumnFormula>
    </tableColumn>
    <tableColumn id="10" xr3:uid="{9AF186F3-21DA-42AF-B993-7D9CFBF46145}" name="PMFees" dataDxfId="2">
      <calculatedColumnFormula>Fees!F9</calculatedColumnFormula>
    </tableColumn>
    <tableColumn id="11" xr3:uid="{03BFA10B-4CF1-404F-8526-122DE0D30ED4}" name="AdminFee" dataDxfId="1">
      <calculatedColumnFormula>Fees!F10</calculatedColumnFormula>
    </tableColumn>
    <tableColumn id="12" xr3:uid="{A93DED4D-957D-4DFC-98E4-DC207CD6D6C4}" name="TotalMAH" dataDxfId="0">
      <calculatedColumnFormula>Fees!F11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simeseba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showGridLines="0" tabSelected="1" workbookViewId="0">
      <selection activeCell="B9" sqref="B8:B9"/>
    </sheetView>
  </sheetViews>
  <sheetFormatPr defaultRowHeight="15" x14ac:dyDescent="0.25"/>
  <cols>
    <col min="1" max="1" width="56" bestFit="1" customWidth="1"/>
    <col min="2" max="2" width="18.7109375" bestFit="1" customWidth="1"/>
    <col min="3" max="3" width="37.28515625" bestFit="1" customWidth="1"/>
    <col min="4" max="4" width="31.7109375" bestFit="1" customWidth="1"/>
    <col min="5" max="5" width="18.7109375" customWidth="1"/>
    <col min="6" max="6" width="12" bestFit="1" customWidth="1"/>
    <col min="7" max="7" width="15.85546875" bestFit="1" customWidth="1"/>
    <col min="8" max="8" width="15.42578125" bestFit="1" customWidth="1"/>
    <col min="9" max="9" width="18.28515625" bestFit="1" customWidth="1"/>
    <col min="10" max="10" width="10.42578125" bestFit="1" customWidth="1"/>
    <col min="11" max="11" width="12.42578125" bestFit="1" customWidth="1"/>
    <col min="12" max="12" width="12.5703125" bestFit="1" customWidth="1"/>
  </cols>
  <sheetData>
    <row r="1" spans="1:12" x14ac:dyDescent="0.25">
      <c r="A1" t="s">
        <v>1</v>
      </c>
      <c r="B1" t="s">
        <v>7</v>
      </c>
      <c r="C1" t="s">
        <v>5</v>
      </c>
      <c r="D1" t="s">
        <v>6</v>
      </c>
      <c r="E1" t="s">
        <v>2</v>
      </c>
      <c r="F1" t="s">
        <v>0</v>
      </c>
      <c r="G1" s="18" t="s">
        <v>3</v>
      </c>
      <c r="H1" s="18" t="s">
        <v>4</v>
      </c>
      <c r="I1" s="18" t="s">
        <v>21</v>
      </c>
      <c r="J1" s="18" t="s">
        <v>22</v>
      </c>
      <c r="K1" s="18" t="s">
        <v>23</v>
      </c>
      <c r="L1" s="19" t="s">
        <v>24</v>
      </c>
    </row>
    <row r="2" spans="1:12" ht="90" x14ac:dyDescent="0.25">
      <c r="A2" t="s">
        <v>25</v>
      </c>
      <c r="B2" s="1" t="s">
        <v>8</v>
      </c>
      <c r="C2" s="17" t="s">
        <v>26</v>
      </c>
      <c r="D2" s="17" t="s">
        <v>27</v>
      </c>
      <c r="E2" t="s">
        <v>28</v>
      </c>
      <c r="F2">
        <v>8811035347089</v>
      </c>
      <c r="G2" s="20">
        <f>Fees!F11</f>
        <v>2065250</v>
      </c>
      <c r="H2" s="18">
        <f>Fees!F13</f>
        <v>30</v>
      </c>
      <c r="I2" s="21">
        <f>Fees!F8</f>
        <v>1650000</v>
      </c>
      <c r="J2" s="21">
        <f>Fees!F9</f>
        <v>412500</v>
      </c>
      <c r="K2" s="22">
        <f>Fees!F10</f>
        <v>2750</v>
      </c>
      <c r="L2" s="22">
        <f>Fees!F11</f>
        <v>2065250</v>
      </c>
    </row>
  </sheetData>
  <hyperlinks>
    <hyperlink ref="B2" r:id="rId1" xr:uid="{BE781456-150C-4A48-9059-EDA0A1C82D5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BE63-8346-418D-A06D-BD58AAB9D50E}">
  <dimension ref="A1:J17"/>
  <sheetViews>
    <sheetView showGridLines="0" topLeftCell="C1" workbookViewId="0">
      <selection activeCell="F10" sqref="F10"/>
    </sheetView>
  </sheetViews>
  <sheetFormatPr defaultRowHeight="15" x14ac:dyDescent="0.25"/>
  <cols>
    <col min="1" max="1" width="18" bestFit="1" customWidth="1"/>
    <col min="2" max="2" width="17" bestFit="1" customWidth="1"/>
    <col min="3" max="3" width="23.85546875" bestFit="1" customWidth="1"/>
    <col min="5" max="5" width="25" bestFit="1" customWidth="1"/>
    <col min="6" max="6" width="13.28515625" bestFit="1" customWidth="1"/>
  </cols>
  <sheetData>
    <row r="1" spans="1:10" x14ac:dyDescent="0.25">
      <c r="A1" s="2" t="s">
        <v>9</v>
      </c>
      <c r="B1" s="3" t="s">
        <v>10</v>
      </c>
      <c r="C1" s="4" t="s">
        <v>11</v>
      </c>
      <c r="D1" s="5"/>
      <c r="E1" s="6"/>
      <c r="F1" s="6"/>
      <c r="I1" s="23" t="s">
        <v>19</v>
      </c>
    </row>
    <row r="2" spans="1:10" x14ac:dyDescent="0.25">
      <c r="A2" s="7">
        <v>0</v>
      </c>
      <c r="B2" s="7">
        <v>0.19</v>
      </c>
      <c r="C2" s="7">
        <v>0.14000000000000001</v>
      </c>
      <c r="E2" s="8"/>
      <c r="F2" s="8"/>
      <c r="I2" s="24" t="str">
        <f>IF(AND($F$6&gt;=A2,$F$6&lt;=B2),C2,"")</f>
        <v/>
      </c>
    </row>
    <row r="3" spans="1:10" x14ac:dyDescent="0.25">
      <c r="A3" s="7">
        <v>0.2</v>
      </c>
      <c r="B3" s="7">
        <v>0.28999999999999998</v>
      </c>
      <c r="C3" s="7">
        <v>0.155</v>
      </c>
      <c r="I3" s="11" t="str">
        <f t="shared" ref="I3:I12" si="0">IF(AND($F$6&gt;=A3,$F$6&lt;=B3),C3,"")</f>
        <v/>
      </c>
    </row>
    <row r="4" spans="1:10" x14ac:dyDescent="0.25">
      <c r="A4" s="7">
        <v>0.3</v>
      </c>
      <c r="B4" s="7">
        <v>0.39</v>
      </c>
      <c r="C4" s="7">
        <v>0.17499999999999999</v>
      </c>
      <c r="E4" t="s">
        <v>12</v>
      </c>
      <c r="F4" s="15">
        <v>2000000</v>
      </c>
      <c r="I4" s="11" t="str">
        <f t="shared" si="0"/>
        <v/>
      </c>
    </row>
    <row r="5" spans="1:10" x14ac:dyDescent="0.25">
      <c r="A5" s="7">
        <v>0.4</v>
      </c>
      <c r="B5" s="7">
        <v>0.49</v>
      </c>
      <c r="C5" s="7">
        <v>0.19500000000000001</v>
      </c>
      <c r="E5" t="s">
        <v>13</v>
      </c>
      <c r="F5" s="15">
        <v>144436.22</v>
      </c>
      <c r="I5" s="11" t="str">
        <f t="shared" si="0"/>
        <v/>
      </c>
    </row>
    <row r="6" spans="1:10" x14ac:dyDescent="0.25">
      <c r="A6" s="7">
        <v>0.5</v>
      </c>
      <c r="B6" s="7">
        <v>0.59</v>
      </c>
      <c r="C6" s="7">
        <v>0.215</v>
      </c>
      <c r="E6" s="13" t="s">
        <v>14</v>
      </c>
      <c r="F6" s="14">
        <f>(F4-F5)/F4</f>
        <v>0.92778189</v>
      </c>
      <c r="I6" s="11" t="str">
        <f t="shared" si="0"/>
        <v/>
      </c>
    </row>
    <row r="7" spans="1:10" x14ac:dyDescent="0.25">
      <c r="A7" s="7">
        <v>0.6</v>
      </c>
      <c r="B7" s="7">
        <v>0.69</v>
      </c>
      <c r="C7" s="7">
        <v>0.23499999999999999</v>
      </c>
      <c r="I7" s="11" t="str">
        <f t="shared" si="0"/>
        <v/>
      </c>
    </row>
    <row r="8" spans="1:10" x14ac:dyDescent="0.25">
      <c r="A8" s="7">
        <v>0.69</v>
      </c>
      <c r="B8" s="7">
        <v>0.7</v>
      </c>
      <c r="C8" s="7">
        <f>C7</f>
        <v>0.23499999999999999</v>
      </c>
      <c r="E8" t="s">
        <v>15</v>
      </c>
      <c r="F8" s="15">
        <v>1650000</v>
      </c>
      <c r="I8" s="11" t="str">
        <f t="shared" si="0"/>
        <v/>
      </c>
    </row>
    <row r="9" spans="1:10" x14ac:dyDescent="0.25">
      <c r="A9" s="7">
        <v>0.7</v>
      </c>
      <c r="B9" s="7">
        <v>0.79</v>
      </c>
      <c r="C9" s="7">
        <v>0.245</v>
      </c>
      <c r="E9" t="s">
        <v>16</v>
      </c>
      <c r="F9" s="9">
        <f>F8*SUM(J2:J12)</f>
        <v>412500</v>
      </c>
      <c r="I9" s="11" t="str">
        <f t="shared" si="0"/>
        <v/>
      </c>
    </row>
    <row r="10" spans="1:10" x14ac:dyDescent="0.25">
      <c r="A10" s="7">
        <v>0.8</v>
      </c>
      <c r="B10" s="7">
        <v>0.89</v>
      </c>
      <c r="C10" s="7">
        <v>0.26500000000000001</v>
      </c>
      <c r="E10" t="s">
        <v>17</v>
      </c>
      <c r="F10" s="10">
        <v>2750</v>
      </c>
      <c r="I10" s="11" t="str">
        <f t="shared" si="0"/>
        <v/>
      </c>
      <c r="J10" s="26">
        <v>0.25</v>
      </c>
    </row>
    <row r="11" spans="1:10" x14ac:dyDescent="0.25">
      <c r="A11" s="7">
        <v>0.9</v>
      </c>
      <c r="B11" s="7">
        <v>0.99</v>
      </c>
      <c r="C11" s="7">
        <v>0.28499999999999998</v>
      </c>
      <c r="E11" s="2" t="s">
        <v>18</v>
      </c>
      <c r="F11" s="12">
        <f>SUM(F8:F10)</f>
        <v>2065250</v>
      </c>
      <c r="I11" s="25">
        <f t="shared" si="0"/>
        <v>0.28499999999999998</v>
      </c>
    </row>
    <row r="12" spans="1:10" x14ac:dyDescent="0.25">
      <c r="A12" s="7">
        <v>1</v>
      </c>
      <c r="B12" s="7">
        <v>1</v>
      </c>
      <c r="C12" s="7">
        <v>0.3</v>
      </c>
      <c r="I12" t="str">
        <f t="shared" si="0"/>
        <v/>
      </c>
    </row>
    <row r="13" spans="1:10" x14ac:dyDescent="0.25">
      <c r="E13" t="s">
        <v>20</v>
      </c>
      <c r="F13" s="16">
        <v>30</v>
      </c>
    </row>
    <row r="15" spans="1:10" x14ac:dyDescent="0.25">
      <c r="F15" s="10">
        <f>F4-F11</f>
        <v>-65250</v>
      </c>
    </row>
    <row r="16" spans="1:10" x14ac:dyDescent="0.25">
      <c r="J16" s="26">
        <v>0.01</v>
      </c>
    </row>
    <row r="17" spans="6:10" x14ac:dyDescent="0.25">
      <c r="F17" s="10"/>
      <c r="J17">
        <f>J16*F8</f>
        <v>16500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CE73-4CFB-4DD7-95BC-E0D6BA9154F9}">
  <dimension ref="C3:F10"/>
  <sheetViews>
    <sheetView showGridLines="0" workbookViewId="0">
      <selection activeCell="C13" sqref="C13"/>
    </sheetView>
  </sheetViews>
  <sheetFormatPr defaultRowHeight="15" x14ac:dyDescent="0.25"/>
  <cols>
    <col min="3" max="3" width="25" bestFit="1" customWidth="1"/>
    <col min="4" max="4" width="12.5703125" bestFit="1" customWidth="1"/>
  </cols>
  <sheetData>
    <row r="3" spans="3:6" x14ac:dyDescent="0.25">
      <c r="C3" t="s">
        <v>12</v>
      </c>
      <c r="D3" s="15">
        <v>3600000</v>
      </c>
    </row>
    <row r="4" spans="3:6" x14ac:dyDescent="0.25">
      <c r="C4" t="s">
        <v>13</v>
      </c>
      <c r="D4" s="15">
        <v>1000000</v>
      </c>
    </row>
    <row r="5" spans="3:6" x14ac:dyDescent="0.25">
      <c r="C5" s="13" t="s">
        <v>14</v>
      </c>
      <c r="D5" s="14">
        <f>(D3-D4)/D3</f>
        <v>0.72222222222222221</v>
      </c>
    </row>
    <row r="7" spans="3:6" x14ac:dyDescent="0.25">
      <c r="C7" t="s">
        <v>15</v>
      </c>
      <c r="D7" s="15">
        <v>1000000</v>
      </c>
      <c r="F7" s="26">
        <v>0.3</v>
      </c>
    </row>
    <row r="8" spans="3:6" x14ac:dyDescent="0.25">
      <c r="C8" t="s">
        <v>16</v>
      </c>
      <c r="D8" s="9">
        <f>D7*SUM(F1:F11)</f>
        <v>300000</v>
      </c>
    </row>
    <row r="9" spans="3:6" x14ac:dyDescent="0.25">
      <c r="C9" t="s">
        <v>17</v>
      </c>
      <c r="D9" s="10">
        <v>2750</v>
      </c>
    </row>
    <row r="10" spans="3:6" x14ac:dyDescent="0.25">
      <c r="C10" s="2" t="s">
        <v>18</v>
      </c>
      <c r="D10" s="12">
        <f>SUM(D7:D9)</f>
        <v>1302750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Fees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2025-11-25T17:23:48Z</dcterms:modified>
</cp:coreProperties>
</file>
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si\Desktop\Mila Azania\CLIENTS\LF MINING\"/>
    </mc:Choice>
  </mc:AlternateContent>
  <xr:revisionPtr revIDLastSave="0" documentId="13_ncr:1_{36E49F4C-5850-4DE2-831D-EF80467F8EA8}" xr6:coauthVersionLast="47" xr6:coauthVersionMax="47" xr10:uidLastSave="{00000000-0000-0000-0000-000000000000}"/>
  <bookViews>
    <workbookView xWindow="-120" yWindow="-120" windowWidth="20730" windowHeight="11040" firstSheet="1" activeTab="4" xr2:uid="{012DAA62-29BA-0B4A-A968-44DC929A7261}"/>
  </bookViews>
  <sheets>
    <sheet name="Expense Sheet_VAT_Changes" sheetId="4" r:id="rId1"/>
    <sheet name="Expense Sheet" sheetId="1" r:id="rId2"/>
    <sheet name="Sheet1" sheetId="3" r:id="rId3"/>
    <sheet name="Monthly " sheetId="2" r:id="rId4"/>
    <sheet name="VAT CAL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7" i="5" l="1"/>
  <c r="G21" i="5"/>
  <c r="D21" i="5"/>
  <c r="D23" i="5" s="1"/>
  <c r="E13" i="5"/>
  <c r="G13" i="5" s="1"/>
  <c r="E12" i="5"/>
  <c r="G12" i="5" s="1"/>
  <c r="E10" i="5"/>
  <c r="G10" i="5" s="1"/>
  <c r="G7" i="5"/>
  <c r="G23" i="5" s="1"/>
  <c r="G13" i="4"/>
  <c r="G12" i="4"/>
  <c r="E13" i="4"/>
  <c r="E12" i="4"/>
  <c r="G10" i="4"/>
  <c r="E10" i="4"/>
  <c r="D23" i="4"/>
  <c r="H4" i="3"/>
  <c r="D21" i="4"/>
  <c r="G21" i="4"/>
  <c r="G23" i="4" s="1"/>
  <c r="G7" i="4"/>
  <c r="D27" i="4"/>
  <c r="F13" i="1"/>
  <c r="E8" i="3"/>
  <c r="E4" i="3"/>
  <c r="C4" i="3"/>
  <c r="E10" i="3" s="1"/>
  <c r="E12" i="3" s="1"/>
  <c r="E11" i="1"/>
  <c r="E10" i="1"/>
  <c r="D27" i="1"/>
  <c r="D21" i="1" l="1"/>
  <c r="D2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Francisca Bosu</author>
  </authors>
  <commentList>
    <comment ref="D18" authorId="0" shapeId="0" xr:uid="{333E0D92-D15A-4CA0-84F2-5813BB12EE50}">
      <text>
        <r>
          <rPr>
            <b/>
            <sz val="10"/>
            <color rgb="FF000000"/>
            <rFont val="Tahoma"/>
            <family val="2"/>
          </rPr>
          <t xml:space="preserve">Francisca Bosu: 
</t>
        </r>
        <r>
          <rPr>
            <sz val="10"/>
            <color rgb="FF000000"/>
            <rFont val="Tahoma"/>
            <family val="2"/>
          </rPr>
          <t xml:space="preserve">This total compromises of onsite and offsite personnel and GET's X2.
</t>
        </r>
        <r>
          <rPr>
            <sz val="10"/>
            <color rgb="FF000000"/>
            <rFont val="Tahoma"/>
            <family val="2"/>
          </rPr>
          <t>The first month is already cater for in highlight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Francisca Bosu</author>
  </authors>
  <commentList>
    <comment ref="D18" authorId="0" shapeId="0" xr:uid="{375EAD38-1FD4-E049-8595-BC613459B028}">
      <text>
        <r>
          <rPr>
            <b/>
            <sz val="10"/>
            <color rgb="FF000000"/>
            <rFont val="Tahoma"/>
            <family val="2"/>
          </rPr>
          <t xml:space="preserve">Francisca Bosu: 
</t>
        </r>
        <r>
          <rPr>
            <sz val="10"/>
            <color rgb="FF000000"/>
            <rFont val="Tahoma"/>
            <family val="2"/>
          </rPr>
          <t xml:space="preserve">This total compromises of onsite and offsite personnel and GET's X2.
</t>
        </r>
        <r>
          <rPr>
            <sz val="10"/>
            <color rgb="FF000000"/>
            <rFont val="Tahoma"/>
            <family val="2"/>
          </rPr>
          <t>The first month is already cater for in highlight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Francisca Bosu</author>
  </authors>
  <commentList>
    <comment ref="D18" authorId="0" shapeId="0" xr:uid="{4C952098-1AC6-4893-8025-0623CA3DD877}">
      <text>
        <r>
          <rPr>
            <b/>
            <sz val="10"/>
            <color rgb="FF000000"/>
            <rFont val="Tahoma"/>
            <family val="2"/>
          </rPr>
          <t xml:space="preserve">Francisca Bosu: 
</t>
        </r>
        <r>
          <rPr>
            <sz val="10"/>
            <color rgb="FF000000"/>
            <rFont val="Tahoma"/>
            <family val="2"/>
          </rPr>
          <t xml:space="preserve">This total compromises of onsite and offsite personnel and GET's X2.
</t>
        </r>
        <r>
          <rPr>
            <sz val="10"/>
            <color rgb="FF000000"/>
            <rFont val="Tahoma"/>
            <family val="2"/>
          </rPr>
          <t>The first month is already cater for in highlight</t>
        </r>
      </text>
    </comment>
  </commentList>
</comments>
</file>

<file path=xl/sharedStrings.xml><?xml version="1.0" encoding="utf-8"?>
<sst xmlns="http://schemas.openxmlformats.org/spreadsheetml/2006/main" count="64" uniqueCount="24">
  <si>
    <t>Loan Amount</t>
  </si>
  <si>
    <t xml:space="preserve">Initial Expense </t>
  </si>
  <si>
    <t xml:space="preserve">Items </t>
  </si>
  <si>
    <t xml:space="preserve">Amount </t>
  </si>
  <si>
    <t xml:space="preserve">GET's </t>
  </si>
  <si>
    <t>Parts</t>
  </si>
  <si>
    <t>Quantity</t>
  </si>
  <si>
    <t>Salaries   (Offsite Personnel)</t>
  </si>
  <si>
    <t>Bakkie - Onsite</t>
  </si>
  <si>
    <t>Bakkie - Offsite</t>
  </si>
  <si>
    <t>(ZAR)</t>
  </si>
  <si>
    <t xml:space="preserve">Salaries  (Onsite Personnel) P&amp;G's </t>
  </si>
  <si>
    <t>Manungu - Capital Expense Sheet</t>
  </si>
  <si>
    <t>Drilling inventory</t>
  </si>
  <si>
    <t>3 Month Working Capital</t>
  </si>
  <si>
    <t>Drill Rig (VAT inclusive)</t>
  </si>
  <si>
    <t xml:space="preserve">Difference </t>
  </si>
  <si>
    <t xml:space="preserve">Total Amount required </t>
  </si>
  <si>
    <r>
      <t xml:space="preserve">5% commission on </t>
    </r>
    <r>
      <rPr>
        <b/>
        <i/>
        <u val="double"/>
        <sz val="12"/>
        <color theme="1"/>
        <rFont val="Aptos Narrow (Body)"/>
      </rPr>
      <t>R19 496 400</t>
    </r>
    <r>
      <rPr>
        <b/>
        <i/>
        <u val="double"/>
        <sz val="12"/>
        <color theme="1"/>
        <rFont val="Aptos Narrow"/>
        <family val="2"/>
        <scheme val="minor"/>
      </rPr>
      <t>.00</t>
    </r>
  </si>
  <si>
    <t>loan ammortisation</t>
  </si>
  <si>
    <t>profit share</t>
  </si>
  <si>
    <t>repayment</t>
  </si>
  <si>
    <t>New amount</t>
  </si>
  <si>
    <t>Vat component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</si>
</sst>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0_);[Red]\(0.00\)"/>
    <numFmt numFmtId="165" formatCode="&quot;R&quot;#,##0.00"/>
  </numFmts>
  <fonts count="11">
    <font>
      <sz val="12"/>
      <color theme="1"/>
      <name val="Aptos Narrow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b/>
      <u/>
      <sz val="2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u/>
      <sz val="12"/>
      <color theme="1"/>
      <name val="Aptos Narrow"/>
      <family val="2"/>
      <scheme val="minor"/>
    </font>
    <font>
      <b/>
      <i/>
      <u/>
      <sz val="12"/>
      <color theme="1"/>
      <name val="Aptos Narrow"/>
      <family val="2"/>
      <scheme val="minor"/>
    </font>
    <font>
      <b/>
      <i/>
      <u val="double"/>
      <sz val="12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b/>
      <i/>
      <u val="double"/>
      <sz val="12"/>
      <color theme="1"/>
      <name val="Aptos Narrow (Body)"/>
    </font>
    <font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0" fillId="0" borderId="0" applyFont="0" applyFill="0" applyBorder="0" applyAlignment="0" applyProtection="0"/>
  </cellStyleXfs>
  <cellXfs count="22">
    <xf numFmtId="0" fontId="0" fillId="0" borderId="0" xfId="0"/>
    <xf numFmtId="164" fontId="0" fillId="0" borderId="0" xfId="0" applyNumberFormat="1"/>
    <xf numFmtId="40" fontId="0" fillId="0" borderId="0" xfId="0" applyNumberFormat="1"/>
    <xf numFmtId="0" fontId="5" fillId="0" borderId="0" xfId="0" applyFont="1"/>
    <xf numFmtId="0" fontId="0" fillId="0" borderId="1" xfId="0" applyBorder="1"/>
    <xf numFmtId="0" fontId="0" fillId="2" borderId="1" xfId="0" applyFill="1" applyBorder="1"/>
    <xf numFmtId="40" fontId="4" fillId="0" borderId="0" xfId="0" applyNumberFormat="1" applyFont="1"/>
    <xf numFmtId="0" fontId="8" fillId="0" borderId="1" xfId="0" applyFont="1" applyBorder="1"/>
    <xf numFmtId="0" fontId="8" fillId="0" borderId="0" xfId="0" applyFont="1"/>
    <xf numFmtId="165" fontId="8" fillId="0" borderId="1" xfId="0" applyNumberFormat="1" applyFont="1" applyBorder="1"/>
    <xf numFmtId="165" fontId="8" fillId="2" borderId="1" xfId="0" applyNumberFormat="1" applyFont="1" applyFill="1" applyBorder="1"/>
    <xf numFmtId="165" fontId="0" fillId="0" borderId="1" xfId="0" applyNumberFormat="1" applyBorder="1"/>
    <xf numFmtId="165" fontId="6" fillId="0" borderId="1" xfId="0" applyNumberFormat="1" applyFont="1" applyBorder="1"/>
    <xf numFmtId="165" fontId="0" fillId="0" borderId="0" xfId="0" applyNumberFormat="1"/>
    <xf numFmtId="165" fontId="7" fillId="0" borderId="0" xfId="0" applyNumberFormat="1" applyFont="1"/>
    <xf numFmtId="0" fontId="8" fillId="3" borderId="1" xfId="0" applyFont="1" applyFill="1" applyBorder="1"/>
    <xf numFmtId="0" fontId="6" fillId="4" borderId="1" xfId="0" applyFont="1" applyFill="1" applyBorder="1"/>
    <xf numFmtId="40" fontId="6" fillId="4" borderId="1" xfId="0" applyNumberFormat="1" applyFont="1" applyFill="1" applyBorder="1"/>
    <xf numFmtId="0" fontId="5" fillId="4" borderId="1" xfId="0" applyFont="1" applyFill="1" applyBorder="1"/>
    <xf numFmtId="43" fontId="0" fillId="0" borderId="0" xfId="1" applyFont="1"/>
    <xf numFmtId="165" fontId="4" fillId="0" borderId="2" xfId="0" applyNumberFormat="1" applyFont="1" applyBorder="1"/>
    <xf numFmtId="0" fontId="3" fillId="4" borderId="0" xfId="0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9D25A-C2F6-43DE-9274-6A545419A5BC}">
  <dimension ref="B1:G27"/>
  <sheetViews>
    <sheetView showGridLines="0" topLeftCell="B8" zoomScale="140" zoomScaleNormal="140" workbookViewId="0">
      <selection activeCell="G14" sqref="G14"/>
    </sheetView>
  </sheetViews>
  <sheetFormatPr defaultColWidth="11" defaultRowHeight="15.75"/>
  <cols>
    <col min="2" max="2" width="31.375" customWidth="1"/>
    <col min="3" max="3" width="8.125" bestFit="1" customWidth="1"/>
    <col min="4" max="4" width="26.625" style="1" customWidth="1"/>
    <col min="5" max="7" width="14" bestFit="1" customWidth="1"/>
    <col min="8" max="251" width="12.5" customWidth="1"/>
    <col min="252" max="9251" width="13.5" customWidth="1"/>
    <col min="9252" max="16384" width="14.625" customWidth="1"/>
  </cols>
  <sheetData>
    <row r="1" spans="2:7" ht="39" customHeight="1">
      <c r="B1" s="21" t="s">
        <v>12</v>
      </c>
      <c r="C1" s="21"/>
      <c r="D1" s="21"/>
    </row>
    <row r="3" spans="2:7">
      <c r="D3" s="1" t="s">
        <v>10</v>
      </c>
    </row>
    <row r="4" spans="2:7">
      <c r="B4" s="18" t="s">
        <v>0</v>
      </c>
      <c r="D4" s="6">
        <v>17000000</v>
      </c>
    </row>
    <row r="5" spans="2:7">
      <c r="D5" s="2"/>
    </row>
    <row r="6" spans="2:7">
      <c r="D6" s="2"/>
    </row>
    <row r="7" spans="2:7">
      <c r="B7" s="18" t="s">
        <v>1</v>
      </c>
      <c r="D7" s="2"/>
      <c r="G7" s="13">
        <f>D10*(1+15%)</f>
        <v>-18969823.849999998</v>
      </c>
    </row>
    <row r="8" spans="2:7">
      <c r="B8" s="16" t="s">
        <v>2</v>
      </c>
      <c r="C8" s="16" t="s">
        <v>6</v>
      </c>
      <c r="D8" s="17" t="s">
        <v>3</v>
      </c>
    </row>
    <row r="9" spans="2:7">
      <c r="D9" s="2"/>
    </row>
    <row r="10" spans="2:7">
      <c r="B10" s="7" t="s">
        <v>15</v>
      </c>
      <c r="C10" s="4">
        <v>1</v>
      </c>
      <c r="D10" s="9">
        <v>-16495499</v>
      </c>
      <c r="E10" s="13">
        <f>D10*(1-15%)</f>
        <v>-14021174.15</v>
      </c>
      <c r="F10" t="s">
        <v>23</v>
      </c>
      <c r="G10" s="13">
        <f>D10-E10</f>
        <v>-2474324.8499999996</v>
      </c>
    </row>
    <row r="11" spans="2:7">
      <c r="B11" s="7" t="s">
        <v>13</v>
      </c>
      <c r="C11" s="4"/>
      <c r="D11" s="9">
        <v>-20000</v>
      </c>
    </row>
    <row r="12" spans="2:7">
      <c r="B12" s="7" t="s">
        <v>8</v>
      </c>
      <c r="C12" s="4">
        <v>1</v>
      </c>
      <c r="D12" s="9">
        <v>-520000</v>
      </c>
      <c r="E12" s="13">
        <f>D12*(1-15%)</f>
        <v>-442000</v>
      </c>
      <c r="G12" s="13">
        <f>D12-E12</f>
        <v>-78000</v>
      </c>
    </row>
    <row r="13" spans="2:7">
      <c r="B13" s="7" t="s">
        <v>9</v>
      </c>
      <c r="C13" s="4">
        <v>1</v>
      </c>
      <c r="D13" s="9">
        <v>-830000</v>
      </c>
      <c r="E13" s="13">
        <f>D13*(1-15%)</f>
        <v>-705500</v>
      </c>
      <c r="F13" s="13"/>
      <c r="G13" s="13">
        <f>D13-E13</f>
        <v>-124500</v>
      </c>
    </row>
    <row r="14" spans="2:7">
      <c r="B14" s="15" t="s">
        <v>4</v>
      </c>
      <c r="C14" s="5"/>
      <c r="D14" s="10">
        <v>-235000</v>
      </c>
    </row>
    <row r="15" spans="2:7">
      <c r="B15" s="7" t="s">
        <v>5</v>
      </c>
      <c r="C15" s="5"/>
      <c r="D15" s="10">
        <v>-300000</v>
      </c>
    </row>
    <row r="16" spans="2:7">
      <c r="B16" s="15" t="s">
        <v>11</v>
      </c>
      <c r="C16" s="5"/>
      <c r="D16" s="10">
        <v>-89000</v>
      </c>
    </row>
    <row r="17" spans="2:7">
      <c r="B17" s="15" t="s">
        <v>7</v>
      </c>
      <c r="C17" s="4"/>
      <c r="D17" s="9">
        <v>-35000</v>
      </c>
    </row>
    <row r="18" spans="2:7">
      <c r="B18" s="7" t="s">
        <v>14</v>
      </c>
      <c r="C18" s="4"/>
      <c r="D18" s="9">
        <v>-718000</v>
      </c>
    </row>
    <row r="19" spans="2:7">
      <c r="B19" s="7"/>
      <c r="C19" s="4"/>
      <c r="D19" s="9"/>
    </row>
    <row r="20" spans="2:7">
      <c r="B20" s="7"/>
      <c r="C20" s="4"/>
      <c r="D20" s="9"/>
    </row>
    <row r="21" spans="2:7" ht="16.5" thickBot="1">
      <c r="B21" s="7"/>
      <c r="C21" s="4"/>
      <c r="D21" s="9">
        <f>SUM(D10:D18)</f>
        <v>-19242499</v>
      </c>
      <c r="F21" t="s">
        <v>22</v>
      </c>
      <c r="G21" s="20">
        <f>SUM(G7,D11:D18)</f>
        <v>-21716823.849999998</v>
      </c>
    </row>
    <row r="22" spans="2:7">
      <c r="B22" s="7"/>
      <c r="C22" s="4"/>
      <c r="D22" s="11"/>
    </row>
    <row r="23" spans="2:7">
      <c r="B23" s="7" t="s">
        <v>16</v>
      </c>
      <c r="C23" s="4"/>
      <c r="D23" s="12">
        <f>D4+D21</f>
        <v>-2242499</v>
      </c>
      <c r="F23" s="13"/>
      <c r="G23" s="2">
        <f>G7-G21</f>
        <v>2747000</v>
      </c>
    </row>
    <row r="24" spans="2:7">
      <c r="B24" s="8"/>
      <c r="D24" s="13"/>
    </row>
    <row r="25" spans="2:7">
      <c r="B25" s="7" t="s">
        <v>18</v>
      </c>
      <c r="C25" s="4"/>
      <c r="D25" s="11">
        <v>824774.95</v>
      </c>
    </row>
    <row r="26" spans="2:7">
      <c r="D26" s="13"/>
    </row>
    <row r="27" spans="2:7">
      <c r="B27" s="3" t="s">
        <v>17</v>
      </c>
      <c r="D27" s="14">
        <f>19496400 + 824774.95</f>
        <v>20321174.949999999</v>
      </c>
    </row>
  </sheetData>
  <mergeCells count="1">
    <mergeCell ref="B1:D1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7A61B-E500-774A-BFC8-B0A544F77B34}">
  <dimension ref="B1:F27"/>
  <sheetViews>
    <sheetView topLeftCell="A7" zoomScale="140" zoomScaleNormal="140" workbookViewId="0">
      <selection activeCell="D23" sqref="D23"/>
    </sheetView>
  </sheetViews>
  <sheetFormatPr defaultColWidth="11" defaultRowHeight="15.75"/>
  <cols>
    <col min="2" max="2" width="31.375" customWidth="1"/>
    <col min="3" max="3" width="8.125" bestFit="1" customWidth="1"/>
    <col min="4" max="4" width="26.625" style="1" customWidth="1"/>
    <col min="5" max="5" width="14.75" bestFit="1" customWidth="1"/>
    <col min="6" max="6" width="14" bestFit="1" customWidth="1"/>
    <col min="7" max="251" width="12.5" customWidth="1"/>
    <col min="252" max="9251" width="13.5" customWidth="1"/>
    <col min="9252" max="16384" width="14.625" customWidth="1"/>
  </cols>
  <sheetData>
    <row r="1" spans="2:6" ht="39" customHeight="1">
      <c r="B1" s="21" t="s">
        <v>12</v>
      </c>
      <c r="C1" s="21"/>
      <c r="D1" s="21"/>
    </row>
    <row r="3" spans="2:6">
      <c r="D3" s="1" t="s">
        <v>10</v>
      </c>
    </row>
    <row r="4" spans="2:6">
      <c r="B4" s="18" t="s">
        <v>0</v>
      </c>
      <c r="D4" s="6">
        <v>17000000</v>
      </c>
    </row>
    <row r="5" spans="2:6">
      <c r="D5" s="2"/>
    </row>
    <row r="6" spans="2:6">
      <c r="D6" s="2"/>
    </row>
    <row r="7" spans="2:6">
      <c r="B7" s="18" t="s">
        <v>1</v>
      </c>
      <c r="D7" s="2"/>
    </row>
    <row r="8" spans="2:6">
      <c r="B8" s="16" t="s">
        <v>2</v>
      </c>
      <c r="C8" s="16" t="s">
        <v>6</v>
      </c>
      <c r="D8" s="17" t="s">
        <v>3</v>
      </c>
    </row>
    <row r="9" spans="2:6">
      <c r="D9" s="2"/>
    </row>
    <row r="10" spans="2:6">
      <c r="B10" s="7" t="s">
        <v>15</v>
      </c>
      <c r="C10" s="4">
        <v>1</v>
      </c>
      <c r="D10" s="9">
        <v>-16495499</v>
      </c>
      <c r="E10" s="13">
        <f>D10*(1-15%)</f>
        <v>-14021174.15</v>
      </c>
    </row>
    <row r="11" spans="2:6">
      <c r="B11" s="7" t="s">
        <v>13</v>
      </c>
      <c r="C11" s="4"/>
      <c r="D11" s="9">
        <v>-20000</v>
      </c>
      <c r="E11" s="13">
        <f>D10-E10</f>
        <v>-2474324.8499999996</v>
      </c>
    </row>
    <row r="12" spans="2:6">
      <c r="B12" s="7" t="s">
        <v>8</v>
      </c>
      <c r="C12" s="4">
        <v>1</v>
      </c>
      <c r="D12" s="9">
        <v>-520000</v>
      </c>
    </row>
    <row r="13" spans="2:6">
      <c r="B13" s="7" t="s">
        <v>9</v>
      </c>
      <c r="C13" s="4">
        <v>1</v>
      </c>
      <c r="D13" s="9">
        <v>-830000</v>
      </c>
      <c r="F13" s="13">
        <f>D10*(1+15%)</f>
        <v>-18969823.849999998</v>
      </c>
    </row>
    <row r="14" spans="2:6">
      <c r="B14" s="15" t="s">
        <v>4</v>
      </c>
      <c r="C14" s="5"/>
      <c r="D14" s="10">
        <v>-235000</v>
      </c>
    </row>
    <row r="15" spans="2:6">
      <c r="B15" s="7" t="s">
        <v>5</v>
      </c>
      <c r="C15" s="5"/>
      <c r="D15" s="10">
        <v>-300000</v>
      </c>
    </row>
    <row r="16" spans="2:6">
      <c r="B16" s="15" t="s">
        <v>11</v>
      </c>
      <c r="C16" s="5"/>
      <c r="D16" s="10">
        <v>-89000</v>
      </c>
    </row>
    <row r="17" spans="2:6">
      <c r="B17" s="15" t="s">
        <v>7</v>
      </c>
      <c r="C17" s="4"/>
      <c r="D17" s="9">
        <v>-35000</v>
      </c>
    </row>
    <row r="18" spans="2:6">
      <c r="B18" s="7" t="s">
        <v>14</v>
      </c>
      <c r="C18" s="4"/>
      <c r="D18" s="9">
        <v>-718000</v>
      </c>
    </row>
    <row r="19" spans="2:6">
      <c r="B19" s="7"/>
      <c r="C19" s="4"/>
      <c r="D19" s="9"/>
    </row>
    <row r="20" spans="2:6">
      <c r="B20" s="7"/>
      <c r="C20" s="4"/>
      <c r="D20" s="9"/>
    </row>
    <row r="21" spans="2:6">
      <c r="B21" s="7"/>
      <c r="C21" s="4"/>
      <c r="D21" s="9">
        <f ca="1">SUM(D10:D25)</f>
        <v>-19496400</v>
      </c>
    </row>
    <row r="22" spans="2:6">
      <c r="B22" s="7"/>
      <c r="C22" s="4"/>
      <c r="D22" s="11"/>
    </row>
    <row r="23" spans="2:6">
      <c r="B23" s="7" t="s">
        <v>16</v>
      </c>
      <c r="C23" s="4"/>
      <c r="D23" s="12">
        <f ca="1">D4+D21</f>
        <v>0</v>
      </c>
      <c r="F23">
        <v>-2496400</v>
      </c>
    </row>
    <row r="24" spans="2:6">
      <c r="B24" s="8"/>
      <c r="D24" s="13"/>
    </row>
    <row r="25" spans="2:6">
      <c r="B25" s="7" t="s">
        <v>18</v>
      </c>
      <c r="C25" s="4"/>
      <c r="D25" s="11">
        <v>824774.95</v>
      </c>
    </row>
    <row r="26" spans="2:6">
      <c r="D26" s="13"/>
      <c r="E26" s="9">
        <v>-19496400</v>
      </c>
    </row>
    <row r="27" spans="2:6">
      <c r="B27" s="3" t="s">
        <v>17</v>
      </c>
      <c r="D27" s="14">
        <f>19496400 + 824774.95</f>
        <v>20321174.949999999</v>
      </c>
    </row>
  </sheetData>
  <mergeCells count="1">
    <mergeCell ref="B1:D1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5B6CD-C4CA-4320-96A6-452D2496CA69}">
  <dimension ref="A2:T12"/>
  <sheetViews>
    <sheetView workbookViewId="0">
      <selection activeCell="G8" sqref="G8"/>
    </sheetView>
  </sheetViews>
  <sheetFormatPr defaultRowHeight="15.75"/>
  <cols>
    <col min="1" max="1" width="13.5" style="19" bestFit="1" customWidth="1"/>
    <col min="2" max="2" width="9" style="19"/>
    <col min="3" max="3" width="11" style="19" bestFit="1" customWidth="1"/>
    <col min="4" max="4" width="9" style="19"/>
    <col min="5" max="5" width="12.375" style="19" bestFit="1" customWidth="1"/>
    <col min="6" max="7" width="9" style="19"/>
    <col min="8" max="8" width="13.5" style="19" bestFit="1" customWidth="1"/>
    <col min="9" max="20" width="9" style="19"/>
  </cols>
  <sheetData>
    <row r="2" spans="1:8">
      <c r="A2" s="19" t="s">
        <v>19</v>
      </c>
    </row>
    <row r="3" spans="1:8">
      <c r="C3" s="19" t="s">
        <v>21</v>
      </c>
    </row>
    <row r="4" spans="1:8">
      <c r="A4" s="19">
        <v>17000000</v>
      </c>
      <c r="B4" s="19">
        <v>72</v>
      </c>
      <c r="C4" s="19">
        <f>A4/B4</f>
        <v>236111.11111111112</v>
      </c>
      <c r="E4" s="19">
        <f>495000</f>
        <v>495000</v>
      </c>
      <c r="H4" s="19">
        <f>1800000*36</f>
        <v>64800000</v>
      </c>
    </row>
    <row r="5" spans="1:8">
      <c r="E5" s="19">
        <v>371000</v>
      </c>
    </row>
    <row r="6" spans="1:8">
      <c r="E6" s="19">
        <v>371000</v>
      </c>
    </row>
    <row r="8" spans="1:8">
      <c r="E8" s="19">
        <f>SUM(E4:E7)</f>
        <v>1237000</v>
      </c>
    </row>
    <row r="10" spans="1:8">
      <c r="E10" s="19">
        <f>E8-C4</f>
        <v>1000888.8888888889</v>
      </c>
    </row>
    <row r="12" spans="1:8">
      <c r="C12" s="19" t="s">
        <v>20</v>
      </c>
      <c r="E12" s="19">
        <f>E10/2</f>
        <v>500444.44444444444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8400C-567D-C642-B841-71B2A95393BE}">
  <dimension ref="A1"/>
  <sheetViews>
    <sheetView workbookViewId="0">
      <selection activeCell="E30" sqref="E30"/>
    </sheetView>
  </sheetViews>
  <sheetFormatPr defaultColWidth="11" defaultRowHeight="15.7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76A23-F58A-44AD-9CF2-03D604DEC9F6}">
  <dimension ref="B1:G27"/>
  <sheetViews>
    <sheetView showGridLines="0" tabSelected="1" topLeftCell="B8" zoomScale="140" zoomScaleNormal="140" workbookViewId="0">
      <selection activeCell="E22" sqref="E22"/>
    </sheetView>
  </sheetViews>
  <sheetFormatPr defaultColWidth="11" defaultRowHeight="15.75"/>
  <cols>
    <col min="2" max="2" width="31.375" customWidth="1"/>
    <col min="3" max="3" width="8.125" bestFit="1" customWidth="1"/>
    <col min="4" max="4" width="26.625" style="1" customWidth="1"/>
    <col min="5" max="7" width="14" bestFit="1" customWidth="1"/>
    <col min="8" max="251" width="12.5" customWidth="1"/>
    <col min="252" max="9251" width="13.5" customWidth="1"/>
    <col min="9252" max="16384" width="14.625" customWidth="1"/>
  </cols>
  <sheetData>
    <row r="1" spans="2:7" ht="39" customHeight="1">
      <c r="B1" s="21" t="s">
        <v>12</v>
      </c>
      <c r="C1" s="21"/>
      <c r="D1" s="21"/>
    </row>
    <row r="3" spans="2:7">
      <c r="D3" s="1" t="s">
        <v>10</v>
      </c>
    </row>
    <row r="4" spans="2:7">
      <c r="B4" s="18" t="s">
        <v>0</v>
      </c>
      <c r="D4" s="6">
        <v>17000000</v>
      </c>
    </row>
    <row r="5" spans="2:7">
      <c r="D5" s="2"/>
    </row>
    <row r="6" spans="2:7">
      <c r="D6" s="2"/>
    </row>
    <row r="7" spans="2:7">
      <c r="B7" s="18" t="s">
        <v>1</v>
      </c>
      <c r="D7" s="2"/>
      <c r="G7" s="13">
        <f>D10*(1+15%)</f>
        <v>-18969823.849999998</v>
      </c>
    </row>
    <row r="8" spans="2:7">
      <c r="B8" s="16" t="s">
        <v>2</v>
      </c>
      <c r="C8" s="16" t="s">
        <v>6</v>
      </c>
      <c r="D8" s="17" t="s">
        <v>3</v>
      </c>
    </row>
    <row r="9" spans="2:7">
      <c r="D9" s="2"/>
    </row>
    <row r="10" spans="2:7">
      <c r="B10" s="7" t="s">
        <v>15</v>
      </c>
      <c r="C10" s="4">
        <v>1</v>
      </c>
      <c r="D10" s="9">
        <v>-16495499</v>
      </c>
      <c r="E10" s="13">
        <f>D10*(1-15%)</f>
        <v>-14021174.15</v>
      </c>
      <c r="F10" t="s">
        <v>23</v>
      </c>
      <c r="G10" s="13">
        <f>D10-E10</f>
        <v>-2474324.8499999996</v>
      </c>
    </row>
    <row r="11" spans="2:7">
      <c r="B11" s="7" t="s">
        <v>13</v>
      </c>
      <c r="C11" s="4"/>
      <c r="D11" s="9">
        <v>-20000</v>
      </c>
    </row>
    <row r="12" spans="2:7">
      <c r="B12" s="7" t="s">
        <v>8</v>
      </c>
      <c r="C12" s="4">
        <v>1</v>
      </c>
      <c r="D12" s="9">
        <v>-520000</v>
      </c>
      <c r="E12" s="13">
        <f>D12*(1-15%)</f>
        <v>-442000</v>
      </c>
      <c r="G12" s="13">
        <f>D12-E12</f>
        <v>-78000</v>
      </c>
    </row>
    <row r="13" spans="2:7">
      <c r="B13" s="7" t="s">
        <v>9</v>
      </c>
      <c r="C13" s="4">
        <v>1</v>
      </c>
      <c r="D13" s="9">
        <v>-830000</v>
      </c>
      <c r="E13" s="13">
        <f>D13*(1-15%)</f>
        <v>-705500</v>
      </c>
      <c r="F13" s="13"/>
      <c r="G13" s="13">
        <f>D13-E13</f>
        <v>-124500</v>
      </c>
    </row>
    <row r="14" spans="2:7">
      <c r="B14" s="15" t="s">
        <v>4</v>
      </c>
      <c r="C14" s="5"/>
      <c r="D14" s="10">
        <v>-235000</v>
      </c>
    </row>
    <row r="15" spans="2:7">
      <c r="B15" s="7" t="s">
        <v>5</v>
      </c>
      <c r="C15" s="5"/>
      <c r="D15" s="10">
        <v>-300000</v>
      </c>
    </row>
    <row r="16" spans="2:7">
      <c r="B16" s="15" t="s">
        <v>11</v>
      </c>
      <c r="C16" s="5"/>
      <c r="D16" s="10">
        <v>-89000</v>
      </c>
    </row>
    <row r="17" spans="2:7">
      <c r="B17" s="15" t="s">
        <v>7</v>
      </c>
      <c r="C17" s="4"/>
      <c r="D17" s="9">
        <v>-35000</v>
      </c>
    </row>
    <row r="18" spans="2:7">
      <c r="B18" s="7" t="s">
        <v>14</v>
      </c>
      <c r="C18" s="4"/>
      <c r="D18" s="9">
        <v>-718000</v>
      </c>
    </row>
    <row r="19" spans="2:7">
      <c r="B19" s="7"/>
      <c r="C19" s="4"/>
      <c r="D19" s="9"/>
    </row>
    <row r="20" spans="2:7">
      <c r="B20" s="7"/>
      <c r="C20" s="4"/>
      <c r="D20" s="9"/>
    </row>
    <row r="21" spans="2:7" ht="16.5" thickBot="1">
      <c r="B21" s="7"/>
      <c r="C21" s="4"/>
      <c r="D21" s="9">
        <f>SUM(D10:D18)</f>
        <v>-19242499</v>
      </c>
      <c r="F21" t="s">
        <v>22</v>
      </c>
      <c r="G21" s="20">
        <f>SUM(G7,D11:D18)</f>
        <v>-21716823.849999998</v>
      </c>
    </row>
    <row r="22" spans="2:7">
      <c r="B22" s="7"/>
      <c r="C22" s="4"/>
      <c r="D22" s="11"/>
    </row>
    <row r="23" spans="2:7">
      <c r="B23" s="7" t="s">
        <v>16</v>
      </c>
      <c r="C23" s="4"/>
      <c r="D23" s="12">
        <f>D4+D21</f>
        <v>-2242499</v>
      </c>
      <c r="F23" s="13"/>
      <c r="G23" s="2">
        <f>G7-G21</f>
        <v>2747000</v>
      </c>
    </row>
    <row r="24" spans="2:7">
      <c r="B24" s="8"/>
      <c r="D24" s="13"/>
    </row>
    <row r="25" spans="2:7">
      <c r="B25" s="7" t="s">
        <v>18</v>
      </c>
      <c r="C25" s="4"/>
      <c r="D25" s="11">
        <v>824774.95</v>
      </c>
    </row>
    <row r="26" spans="2:7">
      <c r="D26" s="13"/>
    </row>
    <row r="27" spans="2:7">
      <c r="B27" s="3" t="s">
        <v>17</v>
      </c>
      <c r="D27" s="14">
        <f>19496400 + 824774.95</f>
        <v>20321174.949999999</v>
      </c>
    </row>
  </sheetData>
  <mergeCells count="1">
    <mergeCell ref="B1:D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Expense Sheet_VAT_Changes</vt:lpstr>
      <vt:lpstr>Expense Sheet</vt:lpstr>
      <vt:lpstr>Sheet1</vt:lpstr>
      <vt:lpstr>Monthly </vt:lpstr>
      <vt:lpstr>VAT CAL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Francisca Bosu</dc:creator>
  <cp:lastModifiedBy>Nkgopoleng Sebake</cp:lastModifiedBy>
  <dcterms:created xsi:type="dcterms:W3CDTF">2025-10-09T10:41:04Z</dcterms:created>
  <dcterms:modified xsi:type="dcterms:W3CDTF">2025-10-22T11:25:53Z</dcterms:modified>
</cp:coreProperties>
</file>
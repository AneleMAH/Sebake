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ydney\OneDrive\Desktop\TM AND S CONSTRUCTION\Public Works Mpumalanga\"/>
    </mc:Choice>
  </mc:AlternateContent>
  <xr:revisionPtr revIDLastSave="0" documentId="8_{9D679075-AF94-4F58-BA39-A89106BC3477}" xr6:coauthVersionLast="47" xr6:coauthVersionMax="47" xr10:uidLastSave="{00000000-0000-0000-0000-000000000000}"/>
  <bookViews>
    <workbookView xWindow="-120" yWindow="-120" windowWidth="20730" windowHeight="11040" tabRatio="819" firstSheet="3" activeTab="7" xr2:uid="{00000000-000D-0000-FFFF-FFFF00000000}"/>
  </bookViews>
  <sheets>
    <sheet name="Schedule A Summary" sheetId="57" r:id="rId1"/>
    <sheet name="Schedule A Roadworks" sheetId="56" r:id="rId2"/>
    <sheet name="Schedule B Structures" sheetId="93" r:id="rId3"/>
    <sheet name="Schedule B Summary" sheetId="97" r:id="rId4"/>
    <sheet name=" Schedule C EMP" sheetId="66" r:id="rId5"/>
    <sheet name="Schedule D Remedial Works" sheetId="98" r:id="rId6"/>
    <sheet name="Schedule D Summary " sheetId="99" r:id="rId7"/>
    <sheet name="Total Tender Sum" sheetId="82" r:id="rId8"/>
  </sheets>
  <externalReferences>
    <externalReference r:id="rId9"/>
  </externalReferences>
  <definedNames>
    <definedName name="_sec12" localSheetId="2">#REF!</definedName>
    <definedName name="_sec12" localSheetId="5">#REF!</definedName>
    <definedName name="_sec12">#REF!</definedName>
    <definedName name="_SEC1200" localSheetId="2">#REF!</definedName>
    <definedName name="_SEC1200" localSheetId="5">#REF!</definedName>
    <definedName name="_SEC1200">#REF!</definedName>
    <definedName name="Evaluation" localSheetId="2">#REF!</definedName>
    <definedName name="Evaluation" localSheetId="5">#REF!</definedName>
    <definedName name="Evaluation">#REF!</definedName>
    <definedName name="_xlnm.Print_Area" localSheetId="4">' Schedule C EMP'!$A$1:$H$56</definedName>
    <definedName name="_xlnm.Print_Area" localSheetId="1">'Schedule A Roadworks'!$A$1:$Q$1893</definedName>
    <definedName name="_xlnm.Print_Area" localSheetId="0">'Schedule A Summary'!$A$1:$F$71</definedName>
    <definedName name="_xlnm.Print_Area" localSheetId="2">'Schedule B Structures'!$A$1:$Q$385</definedName>
    <definedName name="_xlnm.Print_Area" localSheetId="3">'Schedule B Summary'!$A$1:$K$81</definedName>
    <definedName name="_xlnm.Print_Area" localSheetId="5">'Schedule D Remedial Works'!$A$1:$Q$154</definedName>
    <definedName name="_xlnm.Print_Area" localSheetId="6">'Schedule D Summary '!$A$1:$F$73</definedName>
    <definedName name="_xlnm.Print_Area" localSheetId="7">'Total Tender Sum'!$A$1:$F$31</definedName>
    <definedName name="Tender" localSheetId="2">#REF!</definedName>
    <definedName name="Tender" localSheetId="5">#REF!</definedName>
    <definedName name="Tend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56" l="1"/>
  <c r="Q12" i="56"/>
  <c r="O10" i="56"/>
  <c r="E28" i="82"/>
  <c r="L149" i="56"/>
  <c r="L1165" i="56"/>
  <c r="T816" i="56"/>
  <c r="T201" i="56"/>
  <c r="M181" i="56"/>
  <c r="J181" i="56"/>
  <c r="J26" i="57"/>
  <c r="I70" i="57"/>
  <c r="J24" i="82"/>
  <c r="J22" i="82"/>
  <c r="J26" i="82" s="1"/>
  <c r="J20" i="82"/>
  <c r="K6" i="82"/>
  <c r="K8" i="82"/>
  <c r="I154" i="98"/>
  <c r="I77" i="98"/>
  <c r="O384" i="93"/>
  <c r="O308" i="93"/>
  <c r="O231" i="93"/>
  <c r="O154" i="93"/>
  <c r="O1893" i="56"/>
  <c r="O1827" i="56"/>
  <c r="O1759" i="56"/>
  <c r="O1692" i="56"/>
  <c r="O1626" i="56"/>
  <c r="O1559" i="56"/>
  <c r="O1424" i="56"/>
  <c r="O1357" i="56"/>
  <c r="O1290" i="56"/>
  <c r="O1087" i="56"/>
  <c r="O1019" i="56"/>
  <c r="O884" i="56"/>
  <c r="O816" i="56"/>
  <c r="O749" i="56"/>
  <c r="O679" i="56"/>
  <c r="O611" i="56"/>
  <c r="O539" i="56"/>
  <c r="O471" i="56"/>
  <c r="O403" i="56"/>
  <c r="O336" i="56"/>
  <c r="L1827" i="56"/>
  <c r="I1893" i="56"/>
  <c r="I1827" i="56"/>
  <c r="I1759" i="56"/>
  <c r="I1692" i="56"/>
  <c r="L1626" i="56"/>
  <c r="I1626" i="56"/>
  <c r="L1559" i="56"/>
  <c r="I1559" i="56"/>
  <c r="I1491" i="56"/>
  <c r="I1424" i="56"/>
  <c r="I1357" i="56"/>
  <c r="I1223" i="56"/>
  <c r="I1155" i="56"/>
  <c r="I1087" i="56"/>
  <c r="I1019" i="56"/>
  <c r="I951" i="56"/>
  <c r="I884" i="56"/>
  <c r="I816" i="56"/>
  <c r="I749" i="56"/>
  <c r="I679" i="56"/>
  <c r="I611" i="56"/>
  <c r="I539" i="56"/>
  <c r="L471" i="56"/>
  <c r="I471" i="56"/>
  <c r="I403" i="56"/>
  <c r="I336" i="56"/>
  <c r="I268" i="56"/>
  <c r="I201" i="56"/>
  <c r="I134" i="56"/>
  <c r="I67" i="56"/>
  <c r="I384" i="93"/>
  <c r="I308" i="93"/>
  <c r="I231" i="93"/>
  <c r="I154" i="93"/>
  <c r="I77" i="93"/>
  <c r="J28" i="82" l="1"/>
  <c r="J30" i="82" s="1"/>
  <c r="I21" i="82" l="1"/>
  <c r="I23" i="82"/>
  <c r="I25" i="82"/>
  <c r="I27" i="82"/>
  <c r="I29" i="82"/>
  <c r="H20" i="82"/>
  <c r="V81" i="56"/>
  <c r="U81" i="56"/>
  <c r="T81" i="56"/>
  <c r="R81" i="56"/>
  <c r="S81" i="56" s="1"/>
  <c r="I6" i="82"/>
  <c r="I8" i="82"/>
  <c r="I10" i="82"/>
  <c r="H9" i="82"/>
  <c r="H7" i="82"/>
  <c r="H26" i="82" l="1"/>
  <c r="H22" i="82"/>
  <c r="H24" i="82"/>
  <c r="Q378" i="56"/>
  <c r="Q455" i="56"/>
  <c r="Q453" i="56"/>
  <c r="K15" i="97"/>
  <c r="K13" i="97"/>
  <c r="K11" i="97"/>
  <c r="K9" i="97"/>
  <c r="J15" i="97"/>
  <c r="J13" i="97"/>
  <c r="J9" i="97"/>
  <c r="E14" i="57"/>
  <c r="F54" i="57"/>
  <c r="E54" i="57"/>
  <c r="F64" i="57"/>
  <c r="F62" i="57"/>
  <c r="F60" i="57"/>
  <c r="F58" i="57"/>
  <c r="F56" i="57"/>
  <c r="F50" i="57"/>
  <c r="F48" i="57"/>
  <c r="F44" i="57"/>
  <c r="F36" i="57"/>
  <c r="F34" i="57"/>
  <c r="F30" i="57"/>
  <c r="F22" i="57"/>
  <c r="F18" i="57"/>
  <c r="F16" i="57"/>
  <c r="F14" i="57"/>
  <c r="E64" i="57"/>
  <c r="E62" i="57"/>
  <c r="E60" i="57"/>
  <c r="E58" i="57"/>
  <c r="E56" i="57"/>
  <c r="E50" i="57"/>
  <c r="E48" i="57"/>
  <c r="E44" i="57"/>
  <c r="L1223" i="56"/>
  <c r="E42" i="57" s="1"/>
  <c r="J42" i="57" s="1"/>
  <c r="E38" i="57"/>
  <c r="E36" i="57"/>
  <c r="E34" i="57"/>
  <c r="E32" i="57"/>
  <c r="E30" i="57"/>
  <c r="E26" i="57"/>
  <c r="E24" i="57"/>
  <c r="L674" i="56"/>
  <c r="L679" i="56"/>
  <c r="E22" i="57"/>
  <c r="E18" i="57"/>
  <c r="E16" i="57"/>
  <c r="E10" i="57"/>
  <c r="E21" i="57"/>
  <c r="E23" i="57"/>
  <c r="E25" i="57"/>
  <c r="E27" i="57"/>
  <c r="E29" i="57"/>
  <c r="E31" i="57"/>
  <c r="E33" i="57"/>
  <c r="E35" i="57"/>
  <c r="E37" i="57"/>
  <c r="E39" i="57"/>
  <c r="E40" i="57"/>
  <c r="E41" i="57"/>
  <c r="E43" i="57"/>
  <c r="E45" i="57"/>
  <c r="E46" i="57"/>
  <c r="E47" i="57"/>
  <c r="E49" i="57"/>
  <c r="E51" i="57"/>
  <c r="E53" i="57"/>
  <c r="E55" i="57"/>
  <c r="E57" i="57"/>
  <c r="E59" i="57"/>
  <c r="E61" i="57"/>
  <c r="E63" i="57"/>
  <c r="E8" i="57"/>
  <c r="L884" i="56"/>
  <c r="O455" i="56"/>
  <c r="O50" i="56"/>
  <c r="L50" i="56"/>
  <c r="L67" i="56" s="1"/>
  <c r="L48" i="56"/>
  <c r="H30" i="82" l="1"/>
  <c r="H28" i="82"/>
  <c r="P10" i="56"/>
  <c r="L12" i="56"/>
  <c r="L10" i="56"/>
  <c r="P111" i="98"/>
  <c r="P108" i="98"/>
  <c r="P106" i="98"/>
  <c r="P96" i="98"/>
  <c r="P90" i="98"/>
  <c r="Q70" i="98"/>
  <c r="P70" i="98"/>
  <c r="P72" i="98"/>
  <c r="P67" i="98"/>
  <c r="P58" i="98"/>
  <c r="P54" i="98"/>
  <c r="P50" i="98"/>
  <c r="P42" i="98"/>
  <c r="Q41" i="98"/>
  <c r="P41" i="98"/>
  <c r="Q40" i="98"/>
  <c r="P40" i="98"/>
  <c r="P36" i="98"/>
  <c r="P32" i="98"/>
  <c r="P27" i="98"/>
  <c r="P25" i="98"/>
  <c r="P16" i="98"/>
  <c r="P77" i="98" s="1"/>
  <c r="P83" i="98" s="1"/>
  <c r="P18" i="98"/>
  <c r="P11" i="98"/>
  <c r="P530" i="56"/>
  <c r="Q519" i="56"/>
  <c r="P519" i="56"/>
  <c r="Q317" i="56"/>
  <c r="P317" i="56"/>
  <c r="Q308" i="56"/>
  <c r="P308" i="56"/>
  <c r="Q282" i="56"/>
  <c r="P282" i="56"/>
  <c r="Q149" i="56"/>
  <c r="P149" i="56"/>
  <c r="P87" i="56"/>
  <c r="P155" i="56"/>
  <c r="P79" i="56"/>
  <c r="Q18" i="56"/>
  <c r="P18" i="56"/>
  <c r="O347" i="56"/>
  <c r="O12" i="56" l="1"/>
  <c r="O67" i="56" s="1"/>
  <c r="F8" i="57" s="1"/>
  <c r="Q10" i="56"/>
  <c r="P154" i="98"/>
  <c r="Q329" i="93"/>
  <c r="Q332" i="93"/>
  <c r="Q350" i="93"/>
  <c r="P324" i="93"/>
  <c r="P327" i="93"/>
  <c r="P329" i="93"/>
  <c r="P332" i="93"/>
  <c r="P336" i="93"/>
  <c r="P339" i="93"/>
  <c r="P341" i="93"/>
  <c r="P343" i="93"/>
  <c r="P347" i="93"/>
  <c r="P350" i="93"/>
  <c r="P352" i="93"/>
  <c r="P355" i="93"/>
  <c r="P357" i="93"/>
  <c r="P320" i="93"/>
  <c r="Q247" i="93"/>
  <c r="Q249" i="93"/>
  <c r="Q251" i="93"/>
  <c r="Q253" i="93"/>
  <c r="Q255" i="93"/>
  <c r="Q259" i="93"/>
  <c r="Q261" i="93"/>
  <c r="Q242" i="93"/>
  <c r="P244" i="93"/>
  <c r="P247" i="93"/>
  <c r="P249" i="93"/>
  <c r="P251" i="93"/>
  <c r="P253" i="93"/>
  <c r="P255" i="93"/>
  <c r="P257" i="93"/>
  <c r="P259" i="93"/>
  <c r="P261" i="93"/>
  <c r="P263" i="93"/>
  <c r="P242" i="93"/>
  <c r="Q167" i="93"/>
  <c r="Q177" i="93"/>
  <c r="Q182" i="93"/>
  <c r="Q184" i="93"/>
  <c r="Q187" i="93"/>
  <c r="Q189" i="93"/>
  <c r="Q192" i="93"/>
  <c r="Q194" i="93"/>
  <c r="Q197" i="93"/>
  <c r="Q199" i="93"/>
  <c r="P167" i="93"/>
  <c r="P170" i="93"/>
  <c r="P172" i="93"/>
  <c r="P174" i="93"/>
  <c r="P177" i="93"/>
  <c r="P179" i="93"/>
  <c r="P182" i="93"/>
  <c r="P184" i="93"/>
  <c r="P187" i="93"/>
  <c r="P189" i="93"/>
  <c r="P192" i="93"/>
  <c r="P194" i="93"/>
  <c r="P197" i="93"/>
  <c r="P199" i="93"/>
  <c r="Q165" i="93"/>
  <c r="P165" i="93"/>
  <c r="Q92" i="93"/>
  <c r="Q94" i="93"/>
  <c r="Q101" i="93"/>
  <c r="Q105" i="93"/>
  <c r="Q107" i="93"/>
  <c r="Q109" i="93"/>
  <c r="Q111" i="93"/>
  <c r="Q117" i="93"/>
  <c r="Q119" i="93"/>
  <c r="Q123" i="93"/>
  <c r="Q125" i="93"/>
  <c r="Q127" i="93"/>
  <c r="Q130" i="93"/>
  <c r="Q132" i="93"/>
  <c r="Q134" i="93"/>
  <c r="P90" i="93"/>
  <c r="P92" i="93"/>
  <c r="P94" i="93"/>
  <c r="P96" i="93"/>
  <c r="P98" i="93"/>
  <c r="P101" i="93"/>
  <c r="P103" i="93"/>
  <c r="P105" i="93"/>
  <c r="P107" i="93"/>
  <c r="P109" i="93"/>
  <c r="P111" i="93"/>
  <c r="P113" i="93"/>
  <c r="P117" i="93"/>
  <c r="P119" i="93"/>
  <c r="P123" i="93"/>
  <c r="P125" i="93"/>
  <c r="P127" i="93"/>
  <c r="P130" i="93"/>
  <c r="P132" i="93"/>
  <c r="P134" i="93"/>
  <c r="P136" i="93"/>
  <c r="Q88" i="93"/>
  <c r="P88" i="93"/>
  <c r="Q17" i="93"/>
  <c r="Q19" i="93"/>
  <c r="Q21" i="93"/>
  <c r="Q32" i="93"/>
  <c r="Q43" i="93"/>
  <c r="Q45" i="93"/>
  <c r="Q12" i="93"/>
  <c r="P17" i="93"/>
  <c r="P19" i="93"/>
  <c r="P21" i="93"/>
  <c r="P23" i="93"/>
  <c r="P26" i="93"/>
  <c r="P30" i="93"/>
  <c r="P32" i="93"/>
  <c r="P34" i="93"/>
  <c r="P38" i="93"/>
  <c r="P41" i="93"/>
  <c r="P43" i="93"/>
  <c r="P45" i="93"/>
  <c r="P48" i="93"/>
  <c r="P50" i="93"/>
  <c r="P52" i="93"/>
  <c r="P12" i="93"/>
  <c r="Q1836" i="56"/>
  <c r="P1836" i="56"/>
  <c r="P1771" i="56"/>
  <c r="Q1771" i="56"/>
  <c r="P1769" i="56"/>
  <c r="P1704" i="56"/>
  <c r="P1707" i="56"/>
  <c r="P1712" i="56"/>
  <c r="P1715" i="56"/>
  <c r="P1720" i="56"/>
  <c r="P1722" i="56"/>
  <c r="P1724" i="56"/>
  <c r="P1728" i="56"/>
  <c r="P1730" i="56"/>
  <c r="P1732" i="56"/>
  <c r="P1702" i="56"/>
  <c r="P1639" i="56"/>
  <c r="P1642" i="56"/>
  <c r="P1644" i="56"/>
  <c r="P1647" i="56"/>
  <c r="P1649" i="56"/>
  <c r="P1651" i="56"/>
  <c r="P1654" i="56"/>
  <c r="P1657" i="56"/>
  <c r="P1637" i="56"/>
  <c r="P1575" i="56"/>
  <c r="P1578" i="56"/>
  <c r="P1581" i="56"/>
  <c r="P1583" i="56"/>
  <c r="P1585" i="56"/>
  <c r="P1587" i="56"/>
  <c r="P1589" i="56"/>
  <c r="P1591" i="56"/>
  <c r="P1595" i="56"/>
  <c r="P1597" i="56"/>
  <c r="P1600" i="56"/>
  <c r="P1602" i="56"/>
  <c r="P1604" i="56"/>
  <c r="P1573" i="56"/>
  <c r="O1500" i="56"/>
  <c r="Q1500" i="56" s="1"/>
  <c r="P1503" i="56"/>
  <c r="P1506" i="56"/>
  <c r="P1508" i="56"/>
  <c r="P1512" i="56"/>
  <c r="P1516" i="56"/>
  <c r="P1519" i="56"/>
  <c r="P1522" i="56"/>
  <c r="P1526" i="56"/>
  <c r="P1529" i="56"/>
  <c r="P1500" i="56"/>
  <c r="P1438" i="56"/>
  <c r="P1441" i="56"/>
  <c r="P1443" i="56"/>
  <c r="P1434" i="56"/>
  <c r="P1369" i="56"/>
  <c r="P1371" i="56"/>
  <c r="P1375" i="56"/>
  <c r="P1377" i="56"/>
  <c r="P1382" i="56"/>
  <c r="P1384" i="56"/>
  <c r="P1387" i="56"/>
  <c r="P1389" i="56"/>
  <c r="P1391" i="56"/>
  <c r="P1367" i="56"/>
  <c r="Q1302" i="56"/>
  <c r="P1304" i="56"/>
  <c r="P1308" i="56"/>
  <c r="P1302" i="56"/>
  <c r="Q1248" i="56"/>
  <c r="Q1250" i="56"/>
  <c r="Q1257" i="56"/>
  <c r="P1248" i="56"/>
  <c r="P1250" i="56"/>
  <c r="P1253" i="56"/>
  <c r="P1255" i="56"/>
  <c r="P1257" i="56"/>
  <c r="P1259" i="56"/>
  <c r="Q1242" i="56"/>
  <c r="Q1244" i="56"/>
  <c r="P1238" i="56"/>
  <c r="P1242" i="56"/>
  <c r="P1244" i="56"/>
  <c r="P1236" i="56"/>
  <c r="Q1167" i="56"/>
  <c r="P1167" i="56"/>
  <c r="P1169" i="56"/>
  <c r="P1171" i="56"/>
  <c r="P1165" i="56"/>
  <c r="O1165" i="56"/>
  <c r="P1104" i="56"/>
  <c r="P1108" i="56"/>
  <c r="P1112" i="56"/>
  <c r="P1099" i="56"/>
  <c r="Q1035" i="56"/>
  <c r="P1032" i="56"/>
  <c r="P1035" i="56"/>
  <c r="P1037" i="56"/>
  <c r="P1030" i="56"/>
  <c r="Q1030" i="56"/>
  <c r="Q965" i="56"/>
  <c r="Q973" i="56"/>
  <c r="P965" i="56"/>
  <c r="P967" i="56"/>
  <c r="P970" i="56"/>
  <c r="P973" i="56"/>
  <c r="P976" i="56"/>
  <c r="P978" i="56"/>
  <c r="P980" i="56"/>
  <c r="P963" i="56"/>
  <c r="Q917" i="56"/>
  <c r="Q920" i="56"/>
  <c r="P898" i="56"/>
  <c r="P902" i="56"/>
  <c r="P906" i="56"/>
  <c r="P908" i="56"/>
  <c r="P910" i="56"/>
  <c r="P912" i="56"/>
  <c r="P915" i="56"/>
  <c r="P917" i="56"/>
  <c r="P920" i="56"/>
  <c r="P923" i="56"/>
  <c r="P925" i="56"/>
  <c r="P927" i="56"/>
  <c r="P896" i="56"/>
  <c r="P830" i="56"/>
  <c r="P833" i="56"/>
  <c r="P835" i="56"/>
  <c r="P837" i="56"/>
  <c r="P826" i="56"/>
  <c r="P759" i="56"/>
  <c r="P763" i="56"/>
  <c r="P765" i="56"/>
  <c r="P767" i="56"/>
  <c r="P771" i="56"/>
  <c r="P757" i="56"/>
  <c r="Q698" i="56"/>
  <c r="Q702" i="56"/>
  <c r="Q706" i="56"/>
  <c r="Q710" i="56"/>
  <c r="Q722" i="56"/>
  <c r="Q728" i="56"/>
  <c r="Q692" i="56"/>
  <c r="P694" i="56"/>
  <c r="P696" i="56"/>
  <c r="P698" i="56"/>
  <c r="P700" i="56"/>
  <c r="P702" i="56"/>
  <c r="P706" i="56"/>
  <c r="P710" i="56"/>
  <c r="P713" i="56"/>
  <c r="P716" i="56"/>
  <c r="P718" i="56"/>
  <c r="P720" i="56"/>
  <c r="P722" i="56"/>
  <c r="P724" i="56"/>
  <c r="P726" i="56"/>
  <c r="P728" i="56"/>
  <c r="P732" i="56"/>
  <c r="P734" i="56"/>
  <c r="P737" i="56"/>
  <c r="P739" i="56"/>
  <c r="P743" i="56"/>
  <c r="P745" i="56"/>
  <c r="P692" i="56"/>
  <c r="Q623" i="56"/>
  <c r="Q625" i="56"/>
  <c r="Q627" i="56"/>
  <c r="Q629" i="56"/>
  <c r="Q620" i="56"/>
  <c r="P623" i="56"/>
  <c r="P625" i="56"/>
  <c r="P627" i="56"/>
  <c r="P629" i="56"/>
  <c r="P633" i="56"/>
  <c r="P620" i="56"/>
  <c r="Q575" i="56"/>
  <c r="Q594" i="56"/>
  <c r="Q596" i="56"/>
  <c r="Q598" i="56"/>
  <c r="Q600" i="56"/>
  <c r="Q603" i="56"/>
  <c r="Q605" i="56"/>
  <c r="Q607" i="56"/>
  <c r="Q609" i="56"/>
  <c r="P553" i="56"/>
  <c r="P556" i="56"/>
  <c r="P559" i="56"/>
  <c r="P561" i="56"/>
  <c r="P563" i="56"/>
  <c r="P568" i="56"/>
  <c r="P570" i="56"/>
  <c r="P575" i="56"/>
  <c r="P579" i="56"/>
  <c r="P582" i="56"/>
  <c r="P584" i="56"/>
  <c r="P587" i="56"/>
  <c r="P589" i="56"/>
  <c r="P591" i="56"/>
  <c r="P594" i="56"/>
  <c r="P596" i="56"/>
  <c r="P598" i="56"/>
  <c r="P600" i="56"/>
  <c r="P603" i="56"/>
  <c r="P605" i="56"/>
  <c r="P607" i="56"/>
  <c r="P609" i="56"/>
  <c r="P551" i="56"/>
  <c r="Q485" i="56"/>
  <c r="Q487" i="56"/>
  <c r="Q483" i="56"/>
  <c r="P485" i="56"/>
  <c r="P487" i="56"/>
  <c r="P492" i="56"/>
  <c r="P494" i="56"/>
  <c r="P496" i="56"/>
  <c r="P498" i="56"/>
  <c r="P502" i="56"/>
  <c r="P506" i="56"/>
  <c r="P509" i="56"/>
  <c r="P512" i="56"/>
  <c r="P517" i="56"/>
  <c r="P521" i="56"/>
  <c r="P523" i="56"/>
  <c r="P526" i="56"/>
  <c r="P528" i="56"/>
  <c r="P483" i="56"/>
  <c r="P455" i="56"/>
  <c r="P453" i="56"/>
  <c r="O373" i="56"/>
  <c r="O376" i="56"/>
  <c r="O378" i="56"/>
  <c r="O370" i="56"/>
  <c r="L373" i="56"/>
  <c r="L376" i="56"/>
  <c r="L378" i="56"/>
  <c r="L370" i="56"/>
  <c r="I12" i="56"/>
  <c r="I18" i="56"/>
  <c r="I22" i="56"/>
  <c r="I25" i="56"/>
  <c r="I26" i="56"/>
  <c r="I27" i="56"/>
  <c r="I28" i="56"/>
  <c r="I29" i="56"/>
  <c r="I30" i="56"/>
  <c r="I32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53" i="56"/>
  <c r="I54" i="56"/>
  <c r="I55" i="56"/>
  <c r="I57" i="56"/>
  <c r="I10" i="56"/>
  <c r="I373" i="56"/>
  <c r="I376" i="56"/>
  <c r="I378" i="56"/>
  <c r="I370" i="56"/>
  <c r="Q349" i="56"/>
  <c r="Q355" i="56"/>
  <c r="Q357" i="56"/>
  <c r="Q363" i="56"/>
  <c r="Q366" i="56"/>
  <c r="Q347" i="56"/>
  <c r="P349" i="56"/>
  <c r="P351" i="56"/>
  <c r="P355" i="56"/>
  <c r="P357" i="56"/>
  <c r="P360" i="56"/>
  <c r="P363" i="56"/>
  <c r="P366" i="56"/>
  <c r="P370" i="56"/>
  <c r="P373" i="56"/>
  <c r="P376" i="56"/>
  <c r="P378" i="56"/>
  <c r="P347" i="56"/>
  <c r="O286" i="56"/>
  <c r="L286" i="56"/>
  <c r="Q304" i="56"/>
  <c r="Q322" i="56"/>
  <c r="Q324" i="56"/>
  <c r="P283" i="56"/>
  <c r="P284" i="56"/>
  <c r="P285" i="56"/>
  <c r="P286" i="56"/>
  <c r="P289" i="56"/>
  <c r="P290" i="56"/>
  <c r="P291" i="56"/>
  <c r="P292" i="56"/>
  <c r="P293" i="56"/>
  <c r="P295" i="56"/>
  <c r="P297" i="56"/>
  <c r="P299" i="56"/>
  <c r="P301" i="56"/>
  <c r="P304" i="56"/>
  <c r="P310" i="56"/>
  <c r="P313" i="56"/>
  <c r="P315" i="56"/>
  <c r="P322" i="56"/>
  <c r="P324" i="56"/>
  <c r="P326" i="56"/>
  <c r="P279" i="56"/>
  <c r="Q218" i="56"/>
  <c r="P220" i="56"/>
  <c r="P223" i="56"/>
  <c r="P225" i="56"/>
  <c r="P227" i="56"/>
  <c r="P218" i="56"/>
  <c r="Q165" i="56"/>
  <c r="Q169" i="56"/>
  <c r="Q172" i="56"/>
  <c r="Q175" i="56"/>
  <c r="Q193" i="56"/>
  <c r="Q196" i="56"/>
  <c r="P157" i="56"/>
  <c r="P159" i="56"/>
  <c r="P165" i="56"/>
  <c r="P169" i="56"/>
  <c r="P172" i="56"/>
  <c r="P175" i="56"/>
  <c r="P178" i="56"/>
  <c r="P181" i="56"/>
  <c r="P187" i="56"/>
  <c r="P193" i="56"/>
  <c r="P196" i="56"/>
  <c r="P153" i="56"/>
  <c r="Q83" i="56"/>
  <c r="P81" i="56"/>
  <c r="P83" i="56"/>
  <c r="Q48" i="56"/>
  <c r="Q45" i="56"/>
  <c r="Q27" i="56"/>
  <c r="Q29" i="56"/>
  <c r="Q32" i="56"/>
  <c r="Q34" i="56"/>
  <c r="Q38" i="56"/>
  <c r="Q40" i="56"/>
  <c r="Q43" i="56"/>
  <c r="Q50" i="56"/>
  <c r="Q52" i="56"/>
  <c r="Q56" i="56"/>
  <c r="Q58" i="56"/>
  <c r="P22" i="56"/>
  <c r="P27" i="56"/>
  <c r="P29" i="56"/>
  <c r="P32" i="56"/>
  <c r="P34" i="56"/>
  <c r="P38" i="56"/>
  <c r="P40" i="56"/>
  <c r="P43" i="56"/>
  <c r="P45" i="56"/>
  <c r="P48" i="56"/>
  <c r="P50" i="56"/>
  <c r="P52" i="56"/>
  <c r="P56" i="56"/>
  <c r="P58" i="56"/>
  <c r="L18" i="56"/>
  <c r="Q1165" i="56" l="1"/>
  <c r="O1223" i="56"/>
  <c r="F42" i="57" s="1"/>
  <c r="Q286" i="56"/>
  <c r="P1892" i="56"/>
  <c r="P1874" i="56"/>
  <c r="P1873" i="56"/>
  <c r="P1872" i="56"/>
  <c r="P1871" i="56"/>
  <c r="P1870" i="56"/>
  <c r="P1869" i="56"/>
  <c r="P1868" i="56"/>
  <c r="P1867" i="56"/>
  <c r="P1866" i="56"/>
  <c r="P1865" i="56"/>
  <c r="P1864" i="56"/>
  <c r="P1863" i="56"/>
  <c r="P1862" i="56"/>
  <c r="P1861" i="56"/>
  <c r="P1860" i="56"/>
  <c r="P1859" i="56"/>
  <c r="P1858" i="56"/>
  <c r="P1857" i="56"/>
  <c r="P1856" i="56"/>
  <c r="P1855" i="56"/>
  <c r="P1839" i="56"/>
  <c r="P1838" i="56"/>
  <c r="P1837" i="56"/>
  <c r="Q1893" i="56"/>
  <c r="P1835" i="56"/>
  <c r="P1834" i="56"/>
  <c r="P1833" i="56"/>
  <c r="P1830" i="56"/>
  <c r="Q1826" i="56"/>
  <c r="P1826" i="56"/>
  <c r="Q1806" i="56"/>
  <c r="P1806" i="56"/>
  <c r="Q1800" i="56"/>
  <c r="P1800" i="56"/>
  <c r="Q1799" i="56"/>
  <c r="P1799" i="56"/>
  <c r="P1798" i="56"/>
  <c r="P1797" i="56"/>
  <c r="P1796" i="56"/>
  <c r="P1795" i="56"/>
  <c r="P1794" i="56"/>
  <c r="P1793" i="56"/>
  <c r="P1792" i="56"/>
  <c r="P1791" i="56"/>
  <c r="P1790" i="56"/>
  <c r="P1789" i="56"/>
  <c r="P1788" i="56"/>
  <c r="P1787" i="56"/>
  <c r="P1786" i="56"/>
  <c r="P1785" i="56"/>
  <c r="P1784" i="56"/>
  <c r="P1783" i="56"/>
  <c r="P1782" i="56"/>
  <c r="P1781" i="56"/>
  <c r="P1780" i="56"/>
  <c r="P1779" i="56"/>
  <c r="P1778" i="56"/>
  <c r="P1777" i="56"/>
  <c r="P1776" i="56"/>
  <c r="P1775" i="56"/>
  <c r="P1774" i="56"/>
  <c r="P1773" i="56"/>
  <c r="P1772" i="56"/>
  <c r="P1770" i="56"/>
  <c r="P1766" i="56"/>
  <c r="P1765" i="56"/>
  <c r="P1756" i="56"/>
  <c r="P1755" i="56"/>
  <c r="P1754" i="56"/>
  <c r="P1753" i="56"/>
  <c r="P1752" i="56"/>
  <c r="P1751" i="56"/>
  <c r="P1750" i="56"/>
  <c r="P1749" i="56"/>
  <c r="P1748" i="56"/>
  <c r="P1747" i="56"/>
  <c r="P1746" i="56"/>
  <c r="P1745" i="56"/>
  <c r="P1744" i="56"/>
  <c r="P1743" i="56"/>
  <c r="P1742" i="56"/>
  <c r="P1741" i="56"/>
  <c r="P1740" i="56"/>
  <c r="P1739" i="56"/>
  <c r="P1738" i="56"/>
  <c r="P1737" i="56"/>
  <c r="P1736" i="56"/>
  <c r="P1733" i="56"/>
  <c r="Q1691" i="56"/>
  <c r="P1691" i="56"/>
  <c r="Q1685" i="56"/>
  <c r="P1685" i="56"/>
  <c r="Q1684" i="56"/>
  <c r="P1684" i="56"/>
  <c r="P1669" i="56"/>
  <c r="P1668" i="56"/>
  <c r="P1667" i="56"/>
  <c r="P1666" i="56"/>
  <c r="P1665" i="56"/>
  <c r="P1664" i="56"/>
  <c r="P1663" i="56"/>
  <c r="P1662" i="56"/>
  <c r="P1661" i="56"/>
  <c r="P1660" i="56"/>
  <c r="P1659" i="56"/>
  <c r="P1658" i="56"/>
  <c r="P1635" i="56"/>
  <c r="Q1625" i="56"/>
  <c r="P1625" i="56"/>
  <c r="P1607" i="56"/>
  <c r="P1606" i="56"/>
  <c r="P1605" i="56"/>
  <c r="P1572" i="56"/>
  <c r="P1571" i="56"/>
  <c r="P1570" i="56"/>
  <c r="P1569" i="56"/>
  <c r="P1567" i="56"/>
  <c r="Q1566" i="56"/>
  <c r="P1566" i="56"/>
  <c r="Q1558" i="56"/>
  <c r="P1558" i="56"/>
  <c r="P1533" i="56"/>
  <c r="P1532" i="56"/>
  <c r="P1531" i="56"/>
  <c r="P1530" i="56"/>
  <c r="P1499" i="56"/>
  <c r="P1491" i="56"/>
  <c r="P1490" i="56"/>
  <c r="P1473" i="56"/>
  <c r="Q1472" i="56"/>
  <c r="P1472" i="56"/>
  <c r="P1459" i="56"/>
  <c r="P1458" i="56"/>
  <c r="P1457" i="56"/>
  <c r="P1456" i="56"/>
  <c r="P1455" i="56"/>
  <c r="P1454" i="56"/>
  <c r="P1453" i="56"/>
  <c r="P1452" i="56"/>
  <c r="P1451" i="56"/>
  <c r="P1448" i="56"/>
  <c r="P1447" i="56"/>
  <c r="P1446" i="56"/>
  <c r="P1445" i="56"/>
  <c r="P1444" i="56"/>
  <c r="P1430" i="56"/>
  <c r="P1393" i="56"/>
  <c r="P1392" i="56"/>
  <c r="P1328" i="56"/>
  <c r="P1327" i="56"/>
  <c r="P1326" i="56"/>
  <c r="P1325" i="56"/>
  <c r="P1324" i="56"/>
  <c r="P1323" i="56"/>
  <c r="P1322" i="56"/>
  <c r="P1321" i="56"/>
  <c r="P1320" i="56"/>
  <c r="P1319" i="56"/>
  <c r="P1318" i="56"/>
  <c r="P1317" i="56"/>
  <c r="P1316" i="56"/>
  <c r="P1315" i="56"/>
  <c r="P1314" i="56"/>
  <c r="P1313" i="56"/>
  <c r="P1312" i="56"/>
  <c r="P1311" i="56"/>
  <c r="P1310" i="56"/>
  <c r="P1309" i="56"/>
  <c r="P1301" i="56"/>
  <c r="P1289" i="56"/>
  <c r="P1288" i="56"/>
  <c r="P1287" i="56"/>
  <c r="P1286" i="56"/>
  <c r="P1285" i="56"/>
  <c r="P1284" i="56"/>
  <c r="P1283" i="56"/>
  <c r="P1282" i="56"/>
  <c r="P1281" i="56"/>
  <c r="P1280" i="56"/>
  <c r="P1279" i="56"/>
  <c r="P1278" i="56"/>
  <c r="P1277" i="56"/>
  <c r="P1276" i="56"/>
  <c r="P1275" i="56"/>
  <c r="P1274" i="56"/>
  <c r="P1273" i="56"/>
  <c r="P1272" i="56"/>
  <c r="P1271" i="56"/>
  <c r="P1270" i="56"/>
  <c r="P1269" i="56"/>
  <c r="P1268" i="56"/>
  <c r="P1267" i="56"/>
  <c r="P1266" i="56"/>
  <c r="P1265" i="56"/>
  <c r="P1264" i="56"/>
  <c r="P1263" i="56"/>
  <c r="P1262" i="56"/>
  <c r="P1261" i="56"/>
  <c r="P1260" i="56"/>
  <c r="P1235" i="56"/>
  <c r="P1234" i="56"/>
  <c r="P1233" i="56"/>
  <c r="P1232" i="56"/>
  <c r="P1231" i="56"/>
  <c r="P1225" i="56"/>
  <c r="Q1090" i="56"/>
  <c r="P1090" i="56"/>
  <c r="P1040" i="56"/>
  <c r="P1039" i="56"/>
  <c r="P1038" i="56"/>
  <c r="P1022" i="56"/>
  <c r="P982" i="56"/>
  <c r="P981" i="56"/>
  <c r="Q958" i="56"/>
  <c r="P958" i="56"/>
  <c r="Q954" i="56"/>
  <c r="P954" i="56"/>
  <c r="Q950" i="56"/>
  <c r="P950" i="56"/>
  <c r="P941" i="56"/>
  <c r="P940" i="56"/>
  <c r="P939" i="56"/>
  <c r="P938" i="56"/>
  <c r="P937" i="56"/>
  <c r="P936" i="56"/>
  <c r="P935" i="56"/>
  <c r="P934" i="56"/>
  <c r="P933" i="56"/>
  <c r="P932" i="56"/>
  <c r="P931" i="56"/>
  <c r="P930" i="56"/>
  <c r="P929" i="56"/>
  <c r="P928" i="56"/>
  <c r="P850" i="56"/>
  <c r="P849" i="56"/>
  <c r="P848" i="56"/>
  <c r="P844" i="56"/>
  <c r="P843" i="56"/>
  <c r="P840" i="56"/>
  <c r="P838" i="56"/>
  <c r="Q830" i="56"/>
  <c r="P824" i="56"/>
  <c r="P775" i="56"/>
  <c r="P774" i="56"/>
  <c r="P773" i="56"/>
  <c r="P772" i="56"/>
  <c r="P746" i="56"/>
  <c r="P678" i="56"/>
  <c r="P677" i="56"/>
  <c r="P676" i="56"/>
  <c r="P675" i="56"/>
  <c r="P674" i="56"/>
  <c r="P673" i="56"/>
  <c r="P672" i="56"/>
  <c r="P671" i="56"/>
  <c r="P670" i="56"/>
  <c r="P669" i="56"/>
  <c r="P668" i="56"/>
  <c r="P667" i="56"/>
  <c r="P666" i="56"/>
  <c r="P665" i="56"/>
  <c r="P664" i="56"/>
  <c r="P663" i="56"/>
  <c r="P662" i="56"/>
  <c r="P661" i="56"/>
  <c r="P660" i="56"/>
  <c r="P659" i="56"/>
  <c r="P658" i="56"/>
  <c r="P657" i="56"/>
  <c r="P656" i="56"/>
  <c r="P655" i="56"/>
  <c r="P654" i="56"/>
  <c r="P653" i="56"/>
  <c r="P652" i="56"/>
  <c r="P651" i="56"/>
  <c r="P650" i="56"/>
  <c r="P649" i="56"/>
  <c r="P648" i="56"/>
  <c r="P647" i="56"/>
  <c r="P646" i="56"/>
  <c r="P645" i="56"/>
  <c r="P644" i="56"/>
  <c r="P643" i="56"/>
  <c r="P642" i="56"/>
  <c r="P641" i="56"/>
  <c r="P640" i="56"/>
  <c r="P639" i="56"/>
  <c r="P638" i="56"/>
  <c r="P637" i="56"/>
  <c r="P636" i="56"/>
  <c r="P635" i="56"/>
  <c r="P619" i="56"/>
  <c r="P610" i="56"/>
  <c r="P550" i="56"/>
  <c r="P549" i="56"/>
  <c r="P548" i="56"/>
  <c r="P547" i="56"/>
  <c r="P546" i="56"/>
  <c r="P545" i="56"/>
  <c r="P482" i="56"/>
  <c r="P478" i="56"/>
  <c r="Q477" i="56"/>
  <c r="P477" i="56"/>
  <c r="Q474" i="56"/>
  <c r="P474" i="56"/>
  <c r="P456" i="56"/>
  <c r="P454" i="56"/>
  <c r="P452" i="56"/>
  <c r="P451" i="56"/>
  <c r="Q406" i="56"/>
  <c r="P406" i="56"/>
  <c r="P383" i="56"/>
  <c r="P382" i="56"/>
  <c r="P381" i="56"/>
  <c r="P380" i="56"/>
  <c r="P345" i="56"/>
  <c r="P342" i="56"/>
  <c r="Q339" i="56"/>
  <c r="P339" i="56"/>
  <c r="P335" i="56"/>
  <c r="P334" i="56"/>
  <c r="P333" i="56"/>
  <c r="P332" i="56"/>
  <c r="P331" i="56"/>
  <c r="P330" i="56"/>
  <c r="P329" i="56"/>
  <c r="P328" i="56"/>
  <c r="P327" i="56"/>
  <c r="P274" i="56"/>
  <c r="Q271" i="56"/>
  <c r="P271" i="56"/>
  <c r="P270" i="56"/>
  <c r="P265" i="56"/>
  <c r="P260" i="56"/>
  <c r="P259" i="56"/>
  <c r="P258" i="56"/>
  <c r="P257" i="56"/>
  <c r="P256" i="56"/>
  <c r="P255" i="56"/>
  <c r="P254" i="56"/>
  <c r="P253" i="56"/>
  <c r="P252" i="56"/>
  <c r="P251" i="56"/>
  <c r="P250" i="56"/>
  <c r="P249" i="56"/>
  <c r="P248" i="56"/>
  <c r="P247" i="56"/>
  <c r="P246" i="56"/>
  <c r="P245" i="56"/>
  <c r="P244" i="56"/>
  <c r="P243" i="56"/>
  <c r="P242" i="56"/>
  <c r="P241" i="56"/>
  <c r="P240" i="56"/>
  <c r="P239" i="56"/>
  <c r="P238" i="56"/>
  <c r="P237" i="56"/>
  <c r="P236" i="56"/>
  <c r="P235" i="56"/>
  <c r="P234" i="56"/>
  <c r="P233" i="56"/>
  <c r="P232" i="56"/>
  <c r="P231" i="56"/>
  <c r="P230" i="56"/>
  <c r="P229" i="56"/>
  <c r="P228" i="56"/>
  <c r="P217" i="56"/>
  <c r="P216" i="56"/>
  <c r="P215" i="56"/>
  <c r="P214" i="56"/>
  <c r="P213" i="56"/>
  <c r="P212" i="56"/>
  <c r="P211" i="56"/>
  <c r="P210" i="56"/>
  <c r="P209" i="56"/>
  <c r="P200" i="56"/>
  <c r="P152" i="56"/>
  <c r="P151" i="56"/>
  <c r="P150" i="56"/>
  <c r="P142" i="56"/>
  <c r="P141" i="56"/>
  <c r="P140" i="56"/>
  <c r="Q133" i="56"/>
  <c r="P133" i="56"/>
  <c r="P132" i="56"/>
  <c r="P131" i="56"/>
  <c r="P130" i="56"/>
  <c r="P129" i="56"/>
  <c r="P128" i="56"/>
  <c r="P127" i="56"/>
  <c r="P126" i="56"/>
  <c r="P125" i="56"/>
  <c r="P124" i="56"/>
  <c r="P123" i="56"/>
  <c r="P122" i="56"/>
  <c r="P121" i="56"/>
  <c r="P120" i="56"/>
  <c r="P119" i="56"/>
  <c r="P118" i="56"/>
  <c r="P117" i="56"/>
  <c r="P116" i="56"/>
  <c r="P115" i="56"/>
  <c r="P114" i="56"/>
  <c r="P113" i="56"/>
  <c r="P112" i="56"/>
  <c r="P111" i="56"/>
  <c r="P110" i="56"/>
  <c r="P109" i="56"/>
  <c r="P108" i="56"/>
  <c r="P107" i="56"/>
  <c r="P106" i="56"/>
  <c r="P105" i="56"/>
  <c r="P104" i="56"/>
  <c r="P103" i="56"/>
  <c r="P102" i="56"/>
  <c r="P101" i="56"/>
  <c r="P100" i="56"/>
  <c r="P99" i="56"/>
  <c r="P98" i="56"/>
  <c r="P97" i="56"/>
  <c r="P96" i="56"/>
  <c r="P95" i="56"/>
  <c r="P94" i="56"/>
  <c r="P93" i="56"/>
  <c r="P92" i="56"/>
  <c r="P91" i="56"/>
  <c r="P90" i="56"/>
  <c r="Q66" i="56"/>
  <c r="P66" i="56"/>
  <c r="P65" i="56"/>
  <c r="P8" i="56"/>
  <c r="K198" i="93"/>
  <c r="K196" i="93"/>
  <c r="K195" i="93"/>
  <c r="K193" i="93"/>
  <c r="K183" i="93"/>
  <c r="K118" i="93"/>
  <c r="O152" i="98"/>
  <c r="L152" i="98"/>
  <c r="O151" i="98"/>
  <c r="L151" i="98"/>
  <c r="O150" i="98"/>
  <c r="L150" i="98"/>
  <c r="O111" i="98"/>
  <c r="Q111" i="98" s="1"/>
  <c r="L111" i="98"/>
  <c r="O108" i="98"/>
  <c r="L108" i="98"/>
  <c r="O106" i="98"/>
  <c r="L106" i="98"/>
  <c r="O96" i="98"/>
  <c r="L96" i="98"/>
  <c r="O91" i="98"/>
  <c r="L91" i="98"/>
  <c r="O90" i="98"/>
  <c r="L90" i="98"/>
  <c r="O89" i="98"/>
  <c r="L89" i="98"/>
  <c r="O86" i="98"/>
  <c r="L86" i="98"/>
  <c r="O85" i="98"/>
  <c r="L85" i="98"/>
  <c r="O84" i="98"/>
  <c r="L84" i="98"/>
  <c r="O72" i="98"/>
  <c r="L72" i="98"/>
  <c r="O67" i="98"/>
  <c r="L67" i="98"/>
  <c r="O58" i="98"/>
  <c r="L58" i="98"/>
  <c r="O54" i="98"/>
  <c r="L54" i="98"/>
  <c r="O50" i="98"/>
  <c r="L50" i="98"/>
  <c r="O42" i="98"/>
  <c r="L42" i="98"/>
  <c r="O38" i="98"/>
  <c r="L38" i="98"/>
  <c r="O37" i="98"/>
  <c r="L37" i="98"/>
  <c r="O36" i="98"/>
  <c r="L36" i="98"/>
  <c r="O35" i="98"/>
  <c r="L35" i="98"/>
  <c r="O34" i="98"/>
  <c r="L34" i="98"/>
  <c r="O33" i="98"/>
  <c r="L33" i="98"/>
  <c r="O32" i="98"/>
  <c r="L32" i="98"/>
  <c r="O31" i="98"/>
  <c r="L31" i="98"/>
  <c r="O30" i="98"/>
  <c r="L30" i="98"/>
  <c r="O29" i="98"/>
  <c r="L29" i="98"/>
  <c r="O28" i="98"/>
  <c r="L28" i="98"/>
  <c r="O27" i="98"/>
  <c r="Q27" i="98" s="1"/>
  <c r="L27" i="98"/>
  <c r="O25" i="98"/>
  <c r="Q25" i="98" s="1"/>
  <c r="L25" i="98"/>
  <c r="O23" i="98"/>
  <c r="L23" i="98"/>
  <c r="O18" i="98"/>
  <c r="Q18" i="98" s="1"/>
  <c r="L18" i="98"/>
  <c r="O16" i="98"/>
  <c r="L16" i="98"/>
  <c r="O15" i="98"/>
  <c r="L15" i="98"/>
  <c r="O11" i="98"/>
  <c r="L11" i="98"/>
  <c r="J8" i="97"/>
  <c r="K6" i="97"/>
  <c r="J6" i="97"/>
  <c r="O371" i="93"/>
  <c r="L371" i="93"/>
  <c r="O369" i="93"/>
  <c r="L369" i="93"/>
  <c r="O367" i="93"/>
  <c r="L367" i="93"/>
  <c r="O359" i="93"/>
  <c r="L359" i="93"/>
  <c r="O358" i="93"/>
  <c r="L358" i="93"/>
  <c r="M357" i="93"/>
  <c r="O357" i="93" s="1"/>
  <c r="Q357" i="93" s="1"/>
  <c r="J357" i="93"/>
  <c r="L357" i="93" s="1"/>
  <c r="O356" i="93"/>
  <c r="L356" i="93"/>
  <c r="M355" i="93"/>
  <c r="O355" i="93" s="1"/>
  <c r="Q355" i="93" s="1"/>
  <c r="J355" i="93"/>
  <c r="L355" i="93" s="1"/>
  <c r="O354" i="93"/>
  <c r="L354" i="93"/>
  <c r="O353" i="93"/>
  <c r="L353" i="93"/>
  <c r="O352" i="93"/>
  <c r="Q352" i="93" s="1"/>
  <c r="L352" i="93"/>
  <c r="O351" i="93"/>
  <c r="L351" i="93"/>
  <c r="O349" i="93"/>
  <c r="L349" i="93"/>
  <c r="O348" i="93"/>
  <c r="L348" i="93"/>
  <c r="O347" i="93"/>
  <c r="Q347" i="93" s="1"/>
  <c r="L347" i="93"/>
  <c r="O346" i="93"/>
  <c r="L346" i="93"/>
  <c r="O345" i="93"/>
  <c r="L345" i="93"/>
  <c r="O344" i="93"/>
  <c r="L344" i="93"/>
  <c r="O343" i="93"/>
  <c r="Q343" i="93" s="1"/>
  <c r="L343" i="93"/>
  <c r="O342" i="93"/>
  <c r="L342" i="93"/>
  <c r="O341" i="93"/>
  <c r="Q341" i="93" s="1"/>
  <c r="L341" i="93"/>
  <c r="O340" i="93"/>
  <c r="L340" i="93"/>
  <c r="O339" i="93"/>
  <c r="Q339" i="93" s="1"/>
  <c r="L339" i="93"/>
  <c r="O338" i="93"/>
  <c r="L338" i="93"/>
  <c r="O337" i="93"/>
  <c r="L337" i="93"/>
  <c r="O336" i="93"/>
  <c r="Q336" i="93" s="1"/>
  <c r="L336" i="93"/>
  <c r="O335" i="93"/>
  <c r="L335" i="93"/>
  <c r="O334" i="93"/>
  <c r="L334" i="93"/>
  <c r="O333" i="93"/>
  <c r="L333" i="93"/>
  <c r="O328" i="93"/>
  <c r="L328" i="93"/>
  <c r="O327" i="93"/>
  <c r="Q327" i="93" s="1"/>
  <c r="L327" i="93"/>
  <c r="O326" i="93"/>
  <c r="L326" i="93"/>
  <c r="O325" i="93"/>
  <c r="L325" i="93"/>
  <c r="O324" i="93"/>
  <c r="Q324" i="93" s="1"/>
  <c r="L324" i="93"/>
  <c r="O323" i="93"/>
  <c r="L323" i="93"/>
  <c r="O322" i="93"/>
  <c r="L322" i="93"/>
  <c r="O321" i="93"/>
  <c r="L321" i="93"/>
  <c r="M320" i="93"/>
  <c r="O320" i="93" s="1"/>
  <c r="Q320" i="93" s="1"/>
  <c r="Q384" i="93" s="1"/>
  <c r="J320" i="93"/>
  <c r="L320" i="93" s="1"/>
  <c r="O319" i="93"/>
  <c r="L319" i="93"/>
  <c r="O318" i="93"/>
  <c r="L318" i="93"/>
  <c r="O317" i="93"/>
  <c r="L317" i="93"/>
  <c r="O316" i="93"/>
  <c r="L316" i="93"/>
  <c r="O315" i="93"/>
  <c r="L315" i="93"/>
  <c r="O314" i="93"/>
  <c r="L314" i="93"/>
  <c r="O311" i="93"/>
  <c r="L311" i="93"/>
  <c r="O306" i="93"/>
  <c r="L306" i="93"/>
  <c r="O305" i="93"/>
  <c r="L305" i="93"/>
  <c r="O304" i="93"/>
  <c r="L304" i="93"/>
  <c r="O303" i="93"/>
  <c r="L303" i="93"/>
  <c r="O263" i="93"/>
  <c r="Q263" i="93" s="1"/>
  <c r="L263" i="93"/>
  <c r="O262" i="93"/>
  <c r="L262" i="93"/>
  <c r="O258" i="93"/>
  <c r="L258" i="93"/>
  <c r="O257" i="93"/>
  <c r="Q257" i="93" s="1"/>
  <c r="L257" i="93"/>
  <c r="O256" i="93"/>
  <c r="L256" i="93"/>
  <c r="O246" i="93"/>
  <c r="L246" i="93"/>
  <c r="O245" i="93"/>
  <c r="L245" i="93"/>
  <c r="O244" i="93"/>
  <c r="Q244" i="93" s="1"/>
  <c r="Q308" i="93" s="1"/>
  <c r="L244" i="93"/>
  <c r="O243" i="93"/>
  <c r="L243" i="93"/>
  <c r="O241" i="93"/>
  <c r="L241" i="93"/>
  <c r="O240" i="93"/>
  <c r="L240" i="93"/>
  <c r="O239" i="93"/>
  <c r="L239" i="93"/>
  <c r="O238" i="93"/>
  <c r="L238" i="93"/>
  <c r="O237" i="93"/>
  <c r="L237" i="93"/>
  <c r="O234" i="93"/>
  <c r="L234" i="93"/>
  <c r="O233" i="93"/>
  <c r="L233" i="93"/>
  <c r="O229" i="93"/>
  <c r="L229" i="93"/>
  <c r="O228" i="93"/>
  <c r="L228" i="93"/>
  <c r="O227" i="93"/>
  <c r="L227" i="93"/>
  <c r="O226" i="93"/>
  <c r="L226" i="93"/>
  <c r="O225" i="93"/>
  <c r="L225" i="93"/>
  <c r="O207" i="93"/>
  <c r="L207" i="93"/>
  <c r="O206" i="93"/>
  <c r="L206" i="93"/>
  <c r="O205" i="93"/>
  <c r="L205" i="93"/>
  <c r="O204" i="93"/>
  <c r="L204" i="93"/>
  <c r="O203" i="93"/>
  <c r="L203" i="93"/>
  <c r="O202" i="93"/>
  <c r="L202" i="93"/>
  <c r="O201" i="93"/>
  <c r="L201" i="93"/>
  <c r="O200" i="93"/>
  <c r="L200" i="93"/>
  <c r="O191" i="93"/>
  <c r="L191" i="93"/>
  <c r="O190" i="93"/>
  <c r="L190" i="93"/>
  <c r="O188" i="93"/>
  <c r="L188" i="93"/>
  <c r="O186" i="93"/>
  <c r="L186" i="93"/>
  <c r="O181" i="93"/>
  <c r="L181" i="93"/>
  <c r="O180" i="93"/>
  <c r="L180" i="93"/>
  <c r="O179" i="93"/>
  <c r="L179" i="93"/>
  <c r="O178" i="93"/>
  <c r="L178" i="93"/>
  <c r="O176" i="93"/>
  <c r="L176" i="93"/>
  <c r="O175" i="93"/>
  <c r="L175" i="93"/>
  <c r="O174" i="93"/>
  <c r="Q174" i="93" s="1"/>
  <c r="L174" i="93"/>
  <c r="O173" i="93"/>
  <c r="L173" i="93"/>
  <c r="O172" i="93"/>
  <c r="Q172" i="93" s="1"/>
  <c r="L172" i="93"/>
  <c r="O171" i="93"/>
  <c r="L171" i="93"/>
  <c r="O170" i="93"/>
  <c r="Q170" i="93" s="1"/>
  <c r="L170" i="93"/>
  <c r="O169" i="93"/>
  <c r="L169" i="93"/>
  <c r="O168" i="93"/>
  <c r="L168" i="93"/>
  <c r="O166" i="93"/>
  <c r="L166" i="93"/>
  <c r="O164" i="93"/>
  <c r="L164" i="93"/>
  <c r="O163" i="93"/>
  <c r="L163" i="93"/>
  <c r="O162" i="93"/>
  <c r="L162" i="93"/>
  <c r="O161" i="93"/>
  <c r="L161" i="93"/>
  <c r="O160" i="93"/>
  <c r="L160" i="93"/>
  <c r="O152" i="93"/>
  <c r="L152" i="93"/>
  <c r="O151" i="93"/>
  <c r="L151" i="93"/>
  <c r="O150" i="93"/>
  <c r="L150" i="93"/>
  <c r="O138" i="93"/>
  <c r="L138" i="93"/>
  <c r="O137" i="93"/>
  <c r="L137" i="93"/>
  <c r="O136" i="93"/>
  <c r="Q136" i="93" s="1"/>
  <c r="L136" i="93"/>
  <c r="O135" i="93"/>
  <c r="L135" i="93"/>
  <c r="O133" i="93"/>
  <c r="L133" i="93"/>
  <c r="O116" i="93"/>
  <c r="L116" i="93"/>
  <c r="O115" i="93"/>
  <c r="L115" i="93"/>
  <c r="O114" i="93"/>
  <c r="L114" i="93"/>
  <c r="O113" i="93"/>
  <c r="Q113" i="93" s="1"/>
  <c r="L113" i="93"/>
  <c r="O112" i="93"/>
  <c r="L112" i="93"/>
  <c r="O104" i="93"/>
  <c r="L104" i="93"/>
  <c r="O103" i="93"/>
  <c r="Q103" i="93" s="1"/>
  <c r="L103" i="93"/>
  <c r="O102" i="93"/>
  <c r="L102" i="93"/>
  <c r="O100" i="93"/>
  <c r="L100" i="93"/>
  <c r="O99" i="93"/>
  <c r="L99" i="93"/>
  <c r="O98" i="93"/>
  <c r="Q98" i="93" s="1"/>
  <c r="L98" i="93"/>
  <c r="O97" i="93"/>
  <c r="L97" i="93"/>
  <c r="O96" i="93"/>
  <c r="Q96" i="93" s="1"/>
  <c r="L96" i="93"/>
  <c r="O95" i="93"/>
  <c r="L95" i="93"/>
  <c r="O91" i="93"/>
  <c r="L91" i="93"/>
  <c r="O90" i="93"/>
  <c r="Q90" i="93" s="1"/>
  <c r="Q154" i="93" s="1"/>
  <c r="L90" i="93"/>
  <c r="O89" i="93"/>
  <c r="L89" i="93"/>
  <c r="O87" i="93"/>
  <c r="L87" i="93"/>
  <c r="O86" i="93"/>
  <c r="L86" i="93"/>
  <c r="O85" i="93"/>
  <c r="L85" i="93"/>
  <c r="O84" i="93"/>
  <c r="L84" i="93"/>
  <c r="O83" i="93"/>
  <c r="L83" i="93"/>
  <c r="O52" i="93"/>
  <c r="L52" i="93"/>
  <c r="O51" i="93"/>
  <c r="L51" i="93"/>
  <c r="O50" i="93"/>
  <c r="L50" i="93"/>
  <c r="O49" i="93"/>
  <c r="L49" i="93"/>
  <c r="O48" i="93"/>
  <c r="L48" i="93"/>
  <c r="O47" i="93"/>
  <c r="L47" i="93"/>
  <c r="O46" i="93"/>
  <c r="L46" i="93"/>
  <c r="O44" i="93"/>
  <c r="L44" i="93"/>
  <c r="O42" i="93"/>
  <c r="L42" i="93"/>
  <c r="O41" i="93"/>
  <c r="L41" i="93"/>
  <c r="O40" i="93"/>
  <c r="L40" i="93"/>
  <c r="O39" i="93"/>
  <c r="L39" i="93"/>
  <c r="O37" i="93"/>
  <c r="L37" i="93"/>
  <c r="O36" i="93"/>
  <c r="L36" i="93"/>
  <c r="O35" i="93"/>
  <c r="L35" i="93"/>
  <c r="O34" i="93"/>
  <c r="L34" i="93"/>
  <c r="O33" i="93"/>
  <c r="L33" i="93"/>
  <c r="O31" i="93"/>
  <c r="L31" i="93"/>
  <c r="O30" i="93"/>
  <c r="L30" i="93"/>
  <c r="O29" i="93"/>
  <c r="L29" i="93"/>
  <c r="O28" i="93"/>
  <c r="L28" i="93"/>
  <c r="O27" i="93"/>
  <c r="L27" i="93"/>
  <c r="O26" i="93"/>
  <c r="L26" i="93"/>
  <c r="N25" i="93"/>
  <c r="N24" i="93"/>
  <c r="O23" i="93"/>
  <c r="L23" i="93"/>
  <c r="N20" i="93"/>
  <c r="N18" i="93"/>
  <c r="O16" i="93"/>
  <c r="L16" i="93"/>
  <c r="O15" i="93"/>
  <c r="L15" i="93"/>
  <c r="O14" i="93"/>
  <c r="L14" i="93"/>
  <c r="O13" i="93"/>
  <c r="L13" i="93"/>
  <c r="O1892" i="56"/>
  <c r="L1892" i="56"/>
  <c r="O1874" i="56"/>
  <c r="L1874" i="56"/>
  <c r="O1873" i="56"/>
  <c r="L1873" i="56"/>
  <c r="O1872" i="56"/>
  <c r="L1872" i="56"/>
  <c r="O1871" i="56"/>
  <c r="L1871" i="56"/>
  <c r="O1870" i="56"/>
  <c r="L1870" i="56"/>
  <c r="O1869" i="56"/>
  <c r="L1869" i="56"/>
  <c r="O1868" i="56"/>
  <c r="L1868" i="56"/>
  <c r="O1867" i="56"/>
  <c r="L1867" i="56"/>
  <c r="O1866" i="56"/>
  <c r="L1866" i="56"/>
  <c r="O1865" i="56"/>
  <c r="L1865" i="56"/>
  <c r="O1864" i="56"/>
  <c r="L1864" i="56"/>
  <c r="O1863" i="56"/>
  <c r="L1863" i="56"/>
  <c r="O1862" i="56"/>
  <c r="L1862" i="56"/>
  <c r="O1861" i="56"/>
  <c r="L1861" i="56"/>
  <c r="O1860" i="56"/>
  <c r="L1860" i="56"/>
  <c r="O1859" i="56"/>
  <c r="L1859" i="56"/>
  <c r="O1858" i="56"/>
  <c r="L1858" i="56"/>
  <c r="O1857" i="56"/>
  <c r="L1857" i="56"/>
  <c r="O1856" i="56"/>
  <c r="L1856" i="56"/>
  <c r="O1855" i="56"/>
  <c r="L1855" i="56"/>
  <c r="O1839" i="56"/>
  <c r="L1839" i="56"/>
  <c r="O1838" i="56"/>
  <c r="L1838" i="56"/>
  <c r="O1837" i="56"/>
  <c r="L1837" i="56"/>
  <c r="O1836" i="56"/>
  <c r="L1836" i="56"/>
  <c r="O1835" i="56"/>
  <c r="L1835" i="56"/>
  <c r="O1834" i="56"/>
  <c r="L1834" i="56"/>
  <c r="O1833" i="56"/>
  <c r="L1833" i="56"/>
  <c r="O1830" i="56"/>
  <c r="L1830" i="56"/>
  <c r="O1826" i="56"/>
  <c r="L1826" i="56"/>
  <c r="O1806" i="56"/>
  <c r="L1806" i="56"/>
  <c r="O1800" i="56"/>
  <c r="L1800" i="56"/>
  <c r="O1799" i="56"/>
  <c r="L1799" i="56"/>
  <c r="O1798" i="56"/>
  <c r="L1798" i="56"/>
  <c r="O1797" i="56"/>
  <c r="L1797" i="56"/>
  <c r="O1796" i="56"/>
  <c r="L1796" i="56"/>
  <c r="O1795" i="56"/>
  <c r="L1795" i="56"/>
  <c r="O1794" i="56"/>
  <c r="L1794" i="56"/>
  <c r="O1793" i="56"/>
  <c r="L1793" i="56"/>
  <c r="O1792" i="56"/>
  <c r="L1792" i="56"/>
  <c r="O1791" i="56"/>
  <c r="L1791" i="56"/>
  <c r="O1790" i="56"/>
  <c r="L1790" i="56"/>
  <c r="O1789" i="56"/>
  <c r="L1789" i="56"/>
  <c r="O1788" i="56"/>
  <c r="L1788" i="56"/>
  <c r="O1787" i="56"/>
  <c r="L1787" i="56"/>
  <c r="O1786" i="56"/>
  <c r="L1786" i="56"/>
  <c r="O1785" i="56"/>
  <c r="L1785" i="56"/>
  <c r="O1784" i="56"/>
  <c r="L1784" i="56"/>
  <c r="O1783" i="56"/>
  <c r="L1783" i="56"/>
  <c r="O1782" i="56"/>
  <c r="L1782" i="56"/>
  <c r="O1781" i="56"/>
  <c r="L1781" i="56"/>
  <c r="O1780" i="56"/>
  <c r="L1780" i="56"/>
  <c r="O1779" i="56"/>
  <c r="L1779" i="56"/>
  <c r="O1778" i="56"/>
  <c r="L1778" i="56"/>
  <c r="O1777" i="56"/>
  <c r="L1777" i="56"/>
  <c r="O1776" i="56"/>
  <c r="L1776" i="56"/>
  <c r="O1775" i="56"/>
  <c r="L1775" i="56"/>
  <c r="O1774" i="56"/>
  <c r="L1774" i="56"/>
  <c r="O1773" i="56"/>
  <c r="L1773" i="56"/>
  <c r="O1772" i="56"/>
  <c r="L1772" i="56"/>
  <c r="O1770" i="56"/>
  <c r="L1770" i="56"/>
  <c r="O1769" i="56"/>
  <c r="L1769" i="56"/>
  <c r="O1766" i="56"/>
  <c r="L1766" i="56"/>
  <c r="O1765" i="56"/>
  <c r="L1765" i="56"/>
  <c r="O1756" i="56"/>
  <c r="L1756" i="56"/>
  <c r="O1755" i="56"/>
  <c r="L1755" i="56"/>
  <c r="O1754" i="56"/>
  <c r="L1754" i="56"/>
  <c r="O1753" i="56"/>
  <c r="L1753" i="56"/>
  <c r="O1752" i="56"/>
  <c r="L1752" i="56"/>
  <c r="O1751" i="56"/>
  <c r="L1751" i="56"/>
  <c r="O1750" i="56"/>
  <c r="L1750" i="56"/>
  <c r="O1749" i="56"/>
  <c r="L1749" i="56"/>
  <c r="O1748" i="56"/>
  <c r="L1748" i="56"/>
  <c r="O1747" i="56"/>
  <c r="L1747" i="56"/>
  <c r="O1746" i="56"/>
  <c r="L1746" i="56"/>
  <c r="O1745" i="56"/>
  <c r="L1745" i="56"/>
  <c r="O1744" i="56"/>
  <c r="L1744" i="56"/>
  <c r="O1743" i="56"/>
  <c r="L1743" i="56"/>
  <c r="O1742" i="56"/>
  <c r="L1742" i="56"/>
  <c r="O1741" i="56"/>
  <c r="L1741" i="56"/>
  <c r="O1740" i="56"/>
  <c r="L1740" i="56"/>
  <c r="O1739" i="56"/>
  <c r="L1739" i="56"/>
  <c r="O1738" i="56"/>
  <c r="L1738" i="56"/>
  <c r="O1737" i="56"/>
  <c r="L1737" i="56"/>
  <c r="O1736" i="56"/>
  <c r="L1736" i="56"/>
  <c r="O1733" i="56"/>
  <c r="L1733" i="56"/>
  <c r="O1732" i="56"/>
  <c r="Q1732" i="56" s="1"/>
  <c r="L1732" i="56"/>
  <c r="O1731" i="56"/>
  <c r="L1731" i="56"/>
  <c r="O1730" i="56"/>
  <c r="Q1730" i="56" s="1"/>
  <c r="L1730" i="56"/>
  <c r="O1729" i="56"/>
  <c r="L1729" i="56"/>
  <c r="M1728" i="56"/>
  <c r="O1728" i="56" s="1"/>
  <c r="Q1728" i="56" s="1"/>
  <c r="J1728" i="56"/>
  <c r="L1728" i="56" s="1"/>
  <c r="O1727" i="56"/>
  <c r="L1727" i="56"/>
  <c r="O1726" i="56"/>
  <c r="L1726" i="56"/>
  <c r="O1725" i="56"/>
  <c r="L1725" i="56"/>
  <c r="O1724" i="56"/>
  <c r="Q1724" i="56" s="1"/>
  <c r="L1724" i="56"/>
  <c r="O1723" i="56"/>
  <c r="L1723" i="56"/>
  <c r="O1722" i="56"/>
  <c r="Q1722" i="56" s="1"/>
  <c r="L1722" i="56"/>
  <c r="O1721" i="56"/>
  <c r="L1721" i="56"/>
  <c r="O1720" i="56"/>
  <c r="Q1720" i="56" s="1"/>
  <c r="L1720" i="56"/>
  <c r="O1719" i="56"/>
  <c r="L1719" i="56"/>
  <c r="O1718" i="56"/>
  <c r="L1718" i="56"/>
  <c r="O1717" i="56"/>
  <c r="L1717" i="56"/>
  <c r="O1716" i="56"/>
  <c r="L1716" i="56"/>
  <c r="M1715" i="56"/>
  <c r="O1715" i="56" s="1"/>
  <c r="Q1715" i="56" s="1"/>
  <c r="J1715" i="56"/>
  <c r="L1715" i="56" s="1"/>
  <c r="O1714" i="56"/>
  <c r="L1714" i="56"/>
  <c r="O1713" i="56"/>
  <c r="L1713" i="56"/>
  <c r="M1712" i="56"/>
  <c r="O1712" i="56" s="1"/>
  <c r="Q1712" i="56" s="1"/>
  <c r="J1712" i="56"/>
  <c r="L1712" i="56" s="1"/>
  <c r="O1711" i="56"/>
  <c r="L1711" i="56"/>
  <c r="O1710" i="56"/>
  <c r="L1710" i="56"/>
  <c r="O1709" i="56"/>
  <c r="L1709" i="56"/>
  <c r="O1708" i="56"/>
  <c r="L1708" i="56"/>
  <c r="O1707" i="56"/>
  <c r="Q1707" i="56" s="1"/>
  <c r="L1707" i="56"/>
  <c r="O1706" i="56"/>
  <c r="L1706" i="56"/>
  <c r="O1705" i="56"/>
  <c r="L1705" i="56"/>
  <c r="O1704" i="56"/>
  <c r="Q1704" i="56" s="1"/>
  <c r="L1704" i="56"/>
  <c r="O1703" i="56"/>
  <c r="L1703" i="56"/>
  <c r="O1702" i="56"/>
  <c r="Q1702" i="56" s="1"/>
  <c r="L1702" i="56"/>
  <c r="O1691" i="56"/>
  <c r="L1691" i="56"/>
  <c r="O1685" i="56"/>
  <c r="L1685" i="56"/>
  <c r="O1684" i="56"/>
  <c r="L1684" i="56"/>
  <c r="O1669" i="56"/>
  <c r="L1669" i="56"/>
  <c r="O1668" i="56"/>
  <c r="L1668" i="56"/>
  <c r="O1667" i="56"/>
  <c r="L1667" i="56"/>
  <c r="O1666" i="56"/>
  <c r="L1666" i="56"/>
  <c r="O1665" i="56"/>
  <c r="L1665" i="56"/>
  <c r="O1664" i="56"/>
  <c r="L1664" i="56"/>
  <c r="O1663" i="56"/>
  <c r="L1663" i="56"/>
  <c r="O1662" i="56"/>
  <c r="L1662" i="56"/>
  <c r="O1661" i="56"/>
  <c r="L1661" i="56"/>
  <c r="O1660" i="56"/>
  <c r="L1660" i="56"/>
  <c r="O1659" i="56"/>
  <c r="L1659" i="56"/>
  <c r="O1658" i="56"/>
  <c r="L1658" i="56"/>
  <c r="O1657" i="56"/>
  <c r="Q1657" i="56" s="1"/>
  <c r="L1657" i="56"/>
  <c r="O1656" i="56"/>
  <c r="L1656" i="56"/>
  <c r="O1655" i="56"/>
  <c r="L1655" i="56"/>
  <c r="O1654" i="56"/>
  <c r="Q1654" i="56" s="1"/>
  <c r="L1654" i="56"/>
  <c r="O1653" i="56"/>
  <c r="L1653" i="56"/>
  <c r="O1652" i="56"/>
  <c r="L1652" i="56"/>
  <c r="O1651" i="56"/>
  <c r="Q1651" i="56" s="1"/>
  <c r="L1651" i="56"/>
  <c r="O1650" i="56"/>
  <c r="L1650" i="56"/>
  <c r="O1649" i="56"/>
  <c r="Q1649" i="56" s="1"/>
  <c r="L1649" i="56"/>
  <c r="O1648" i="56"/>
  <c r="L1648" i="56"/>
  <c r="O1647" i="56"/>
  <c r="Q1647" i="56" s="1"/>
  <c r="L1647" i="56"/>
  <c r="O1646" i="56"/>
  <c r="L1646" i="56"/>
  <c r="O1645" i="56"/>
  <c r="L1645" i="56"/>
  <c r="O1644" i="56"/>
  <c r="Q1644" i="56" s="1"/>
  <c r="L1644" i="56"/>
  <c r="O1643" i="56"/>
  <c r="L1643" i="56"/>
  <c r="O1642" i="56"/>
  <c r="Q1642" i="56" s="1"/>
  <c r="L1642" i="56"/>
  <c r="O1641" i="56"/>
  <c r="L1641" i="56"/>
  <c r="O1640" i="56"/>
  <c r="L1640" i="56"/>
  <c r="O1639" i="56"/>
  <c r="Q1639" i="56" s="1"/>
  <c r="L1639" i="56"/>
  <c r="O1638" i="56"/>
  <c r="L1638" i="56"/>
  <c r="O1637" i="56"/>
  <c r="Q1637" i="56" s="1"/>
  <c r="L1637" i="56"/>
  <c r="O1635" i="56"/>
  <c r="L1635" i="56"/>
  <c r="O1625" i="56"/>
  <c r="L1625" i="56"/>
  <c r="O1607" i="56"/>
  <c r="L1607" i="56"/>
  <c r="O1606" i="56"/>
  <c r="L1606" i="56"/>
  <c r="O1605" i="56"/>
  <c r="L1605" i="56"/>
  <c r="O1604" i="56"/>
  <c r="Q1604" i="56" s="1"/>
  <c r="L1604" i="56"/>
  <c r="O1603" i="56"/>
  <c r="L1603" i="56"/>
  <c r="O1602" i="56"/>
  <c r="Q1602" i="56" s="1"/>
  <c r="L1602" i="56"/>
  <c r="O1601" i="56"/>
  <c r="L1601" i="56"/>
  <c r="O1600" i="56"/>
  <c r="Q1600" i="56" s="1"/>
  <c r="L1600" i="56"/>
  <c r="O1599" i="56"/>
  <c r="L1599" i="56"/>
  <c r="O1598" i="56"/>
  <c r="L1598" i="56"/>
  <c r="O1597" i="56"/>
  <c r="Q1597" i="56" s="1"/>
  <c r="L1597" i="56"/>
  <c r="O1596" i="56"/>
  <c r="L1596" i="56"/>
  <c r="O1595" i="56"/>
  <c r="Q1595" i="56" s="1"/>
  <c r="L1595" i="56"/>
  <c r="O1594" i="56"/>
  <c r="L1594" i="56"/>
  <c r="O1593" i="56"/>
  <c r="L1593" i="56"/>
  <c r="O1592" i="56"/>
  <c r="L1592" i="56"/>
  <c r="O1591" i="56"/>
  <c r="Q1591" i="56" s="1"/>
  <c r="L1591" i="56"/>
  <c r="O1590" i="56"/>
  <c r="L1590" i="56"/>
  <c r="O1589" i="56"/>
  <c r="Q1589" i="56" s="1"/>
  <c r="L1589" i="56"/>
  <c r="O1588" i="56"/>
  <c r="L1588" i="56"/>
  <c r="O1587" i="56"/>
  <c r="Q1587" i="56" s="1"/>
  <c r="L1587" i="56"/>
  <c r="O1586" i="56"/>
  <c r="L1586" i="56"/>
  <c r="O1585" i="56"/>
  <c r="Q1585" i="56" s="1"/>
  <c r="L1585" i="56"/>
  <c r="O1584" i="56"/>
  <c r="L1584" i="56"/>
  <c r="O1583" i="56"/>
  <c r="Q1583" i="56" s="1"/>
  <c r="L1583" i="56"/>
  <c r="O1582" i="56"/>
  <c r="L1582" i="56"/>
  <c r="O1581" i="56"/>
  <c r="Q1581" i="56" s="1"/>
  <c r="L1581" i="56"/>
  <c r="O1580" i="56"/>
  <c r="L1580" i="56"/>
  <c r="O1579" i="56"/>
  <c r="L1579" i="56"/>
  <c r="O1578" i="56"/>
  <c r="Q1578" i="56" s="1"/>
  <c r="L1578" i="56"/>
  <c r="O1577" i="56"/>
  <c r="L1577" i="56"/>
  <c r="O1576" i="56"/>
  <c r="L1576" i="56"/>
  <c r="O1575" i="56"/>
  <c r="Q1575" i="56" s="1"/>
  <c r="L1575" i="56"/>
  <c r="O1574" i="56"/>
  <c r="L1574" i="56"/>
  <c r="O1573" i="56"/>
  <c r="Q1573" i="56" s="1"/>
  <c r="L1573" i="56"/>
  <c r="O1572" i="56"/>
  <c r="L1572" i="56"/>
  <c r="O1571" i="56"/>
  <c r="L1571" i="56"/>
  <c r="O1570" i="56"/>
  <c r="L1570" i="56"/>
  <c r="O1569" i="56"/>
  <c r="L1569" i="56"/>
  <c r="O1567" i="56"/>
  <c r="L1567" i="56"/>
  <c r="O1566" i="56"/>
  <c r="L1566" i="56"/>
  <c r="O1558" i="56"/>
  <c r="L1558" i="56"/>
  <c r="O1533" i="56"/>
  <c r="L1533" i="56"/>
  <c r="O1532" i="56"/>
  <c r="L1532" i="56"/>
  <c r="O1531" i="56"/>
  <c r="L1531" i="56"/>
  <c r="O1530" i="56"/>
  <c r="L1530" i="56"/>
  <c r="O1529" i="56"/>
  <c r="Q1529" i="56" s="1"/>
  <c r="L1529" i="56"/>
  <c r="O1528" i="56"/>
  <c r="L1528" i="56"/>
  <c r="O1527" i="56"/>
  <c r="L1527" i="56"/>
  <c r="O1526" i="56"/>
  <c r="Q1526" i="56" s="1"/>
  <c r="L1526" i="56"/>
  <c r="O1525" i="56"/>
  <c r="L1525" i="56"/>
  <c r="O1524" i="56"/>
  <c r="L1524" i="56"/>
  <c r="O1523" i="56"/>
  <c r="L1523" i="56"/>
  <c r="O1522" i="56"/>
  <c r="Q1522" i="56" s="1"/>
  <c r="L1522" i="56"/>
  <c r="O1521" i="56"/>
  <c r="L1521" i="56"/>
  <c r="O1520" i="56"/>
  <c r="L1520" i="56"/>
  <c r="O1519" i="56"/>
  <c r="Q1519" i="56" s="1"/>
  <c r="L1519" i="56"/>
  <c r="O1518" i="56"/>
  <c r="L1518" i="56"/>
  <c r="O1517" i="56"/>
  <c r="L1517" i="56"/>
  <c r="O1516" i="56"/>
  <c r="Q1516" i="56" s="1"/>
  <c r="L1516" i="56"/>
  <c r="O1515" i="56"/>
  <c r="L1515" i="56"/>
  <c r="O1514" i="56"/>
  <c r="L1514" i="56"/>
  <c r="O1513" i="56"/>
  <c r="L1513" i="56"/>
  <c r="O1512" i="56"/>
  <c r="Q1512" i="56" s="1"/>
  <c r="L1512" i="56"/>
  <c r="O1511" i="56"/>
  <c r="L1511" i="56"/>
  <c r="O1510" i="56"/>
  <c r="L1510" i="56"/>
  <c r="O1509" i="56"/>
  <c r="L1509" i="56"/>
  <c r="O1508" i="56"/>
  <c r="Q1508" i="56" s="1"/>
  <c r="L1508" i="56"/>
  <c r="O1507" i="56"/>
  <c r="L1507" i="56"/>
  <c r="O1506" i="56"/>
  <c r="Q1506" i="56" s="1"/>
  <c r="L1506" i="56"/>
  <c r="O1505" i="56"/>
  <c r="L1505" i="56"/>
  <c r="O1504" i="56"/>
  <c r="L1504" i="56"/>
  <c r="O1503" i="56"/>
  <c r="Q1503" i="56" s="1"/>
  <c r="L1503" i="56"/>
  <c r="O1502" i="56"/>
  <c r="L1502" i="56"/>
  <c r="O1501" i="56"/>
  <c r="L1501" i="56"/>
  <c r="L1500" i="56"/>
  <c r="O1499" i="56"/>
  <c r="L1499" i="56"/>
  <c r="O1490" i="56"/>
  <c r="L1490" i="56"/>
  <c r="O1473" i="56"/>
  <c r="L1473" i="56"/>
  <c r="O1472" i="56"/>
  <c r="L1472" i="56"/>
  <c r="O1459" i="56"/>
  <c r="L1459" i="56"/>
  <c r="O1458" i="56"/>
  <c r="L1458" i="56"/>
  <c r="O1457" i="56"/>
  <c r="L1457" i="56"/>
  <c r="O1456" i="56"/>
  <c r="L1456" i="56"/>
  <c r="O1455" i="56"/>
  <c r="L1455" i="56"/>
  <c r="O1454" i="56"/>
  <c r="L1454" i="56"/>
  <c r="O1453" i="56"/>
  <c r="L1453" i="56"/>
  <c r="O1452" i="56"/>
  <c r="L1452" i="56"/>
  <c r="O1451" i="56"/>
  <c r="L1451" i="56"/>
  <c r="O1448" i="56"/>
  <c r="L1448" i="56"/>
  <c r="O1447" i="56"/>
  <c r="L1447" i="56"/>
  <c r="O1446" i="56"/>
  <c r="L1446" i="56"/>
  <c r="O1445" i="56"/>
  <c r="L1445" i="56"/>
  <c r="O1444" i="56"/>
  <c r="L1444" i="56"/>
  <c r="O1443" i="56"/>
  <c r="O1491" i="56" s="1"/>
  <c r="F52" i="57" s="1"/>
  <c r="L1443" i="56"/>
  <c r="O1442" i="56"/>
  <c r="L1442" i="56"/>
  <c r="O1441" i="56"/>
  <c r="Q1441" i="56" s="1"/>
  <c r="L1441" i="56"/>
  <c r="O1440" i="56"/>
  <c r="L1440" i="56"/>
  <c r="O1439" i="56"/>
  <c r="L1439" i="56"/>
  <c r="O1438" i="56"/>
  <c r="Q1438" i="56" s="1"/>
  <c r="L1438" i="56"/>
  <c r="O1437" i="56"/>
  <c r="L1437" i="56"/>
  <c r="O1436" i="56"/>
  <c r="L1436" i="56"/>
  <c r="O1435" i="56"/>
  <c r="L1435" i="56"/>
  <c r="O1434" i="56"/>
  <c r="Q1434" i="56" s="1"/>
  <c r="L1434" i="56"/>
  <c r="O1430" i="56"/>
  <c r="L1430" i="56"/>
  <c r="O1393" i="56"/>
  <c r="L1393" i="56"/>
  <c r="O1392" i="56"/>
  <c r="L1392" i="56"/>
  <c r="O1391" i="56"/>
  <c r="Q1391" i="56" s="1"/>
  <c r="L1391" i="56"/>
  <c r="O1390" i="56"/>
  <c r="L1390" i="56"/>
  <c r="O1389" i="56"/>
  <c r="Q1389" i="56" s="1"/>
  <c r="L1389" i="56"/>
  <c r="O1388" i="56"/>
  <c r="L1388" i="56"/>
  <c r="M1387" i="56"/>
  <c r="O1387" i="56" s="1"/>
  <c r="Q1387" i="56" s="1"/>
  <c r="J1387" i="56"/>
  <c r="L1387" i="56" s="1"/>
  <c r="O1386" i="56"/>
  <c r="L1386" i="56"/>
  <c r="O1385" i="56"/>
  <c r="L1385" i="56"/>
  <c r="O1384" i="56"/>
  <c r="Q1384" i="56" s="1"/>
  <c r="L1384" i="56"/>
  <c r="O1383" i="56"/>
  <c r="L1383" i="56"/>
  <c r="O1382" i="56"/>
  <c r="Q1382" i="56" s="1"/>
  <c r="L1382" i="56"/>
  <c r="O1381" i="56"/>
  <c r="L1381" i="56"/>
  <c r="O1378" i="56"/>
  <c r="L1378" i="56"/>
  <c r="O1377" i="56"/>
  <c r="Q1377" i="56" s="1"/>
  <c r="L1377" i="56"/>
  <c r="O1376" i="56"/>
  <c r="L1376" i="56"/>
  <c r="M1375" i="56"/>
  <c r="O1375" i="56" s="1"/>
  <c r="Q1375" i="56" s="1"/>
  <c r="J1375" i="56"/>
  <c r="L1375" i="56" s="1"/>
  <c r="O1374" i="56"/>
  <c r="L1374" i="56"/>
  <c r="O1373" i="56"/>
  <c r="L1373" i="56"/>
  <c r="O1372" i="56"/>
  <c r="L1372" i="56"/>
  <c r="M1371" i="56"/>
  <c r="O1371" i="56" s="1"/>
  <c r="Q1371" i="56" s="1"/>
  <c r="J1371" i="56"/>
  <c r="L1371" i="56" s="1"/>
  <c r="O1370" i="56"/>
  <c r="L1370" i="56"/>
  <c r="M1369" i="56"/>
  <c r="O1369" i="56" s="1"/>
  <c r="Q1369" i="56" s="1"/>
  <c r="J1369" i="56"/>
  <c r="L1369" i="56" s="1"/>
  <c r="O1368" i="56"/>
  <c r="L1368" i="56"/>
  <c r="M1367" i="56"/>
  <c r="O1367" i="56" s="1"/>
  <c r="Q1367" i="56" s="1"/>
  <c r="J1367" i="56"/>
  <c r="L1367" i="56" s="1"/>
  <c r="O1328" i="56"/>
  <c r="L1328" i="56"/>
  <c r="O1327" i="56"/>
  <c r="L1327" i="56"/>
  <c r="O1326" i="56"/>
  <c r="L1326" i="56"/>
  <c r="O1325" i="56"/>
  <c r="L1325" i="56"/>
  <c r="O1324" i="56"/>
  <c r="L1324" i="56"/>
  <c r="O1323" i="56"/>
  <c r="L1323" i="56"/>
  <c r="O1322" i="56"/>
  <c r="L1322" i="56"/>
  <c r="O1321" i="56"/>
  <c r="L1321" i="56"/>
  <c r="O1320" i="56"/>
  <c r="L1320" i="56"/>
  <c r="O1319" i="56"/>
  <c r="L1319" i="56"/>
  <c r="O1318" i="56"/>
  <c r="L1318" i="56"/>
  <c r="O1317" i="56"/>
  <c r="L1317" i="56"/>
  <c r="O1316" i="56"/>
  <c r="L1316" i="56"/>
  <c r="O1315" i="56"/>
  <c r="L1315" i="56"/>
  <c r="O1314" i="56"/>
  <c r="L1314" i="56"/>
  <c r="O1313" i="56"/>
  <c r="L1313" i="56"/>
  <c r="O1312" i="56"/>
  <c r="L1312" i="56"/>
  <c r="O1311" i="56"/>
  <c r="L1311" i="56"/>
  <c r="O1310" i="56"/>
  <c r="L1310" i="56"/>
  <c r="O1309" i="56"/>
  <c r="L1309" i="56"/>
  <c r="M1308" i="56"/>
  <c r="O1308" i="56" s="1"/>
  <c r="Q1308" i="56" s="1"/>
  <c r="J1308" i="56"/>
  <c r="L1308" i="56" s="1"/>
  <c r="O1307" i="56"/>
  <c r="L1307" i="56"/>
  <c r="O1306" i="56"/>
  <c r="L1306" i="56"/>
  <c r="O1305" i="56"/>
  <c r="L1305" i="56"/>
  <c r="O1304" i="56"/>
  <c r="Q1304" i="56" s="1"/>
  <c r="Q1357" i="56" s="1"/>
  <c r="L1304" i="56"/>
  <c r="O1303" i="56"/>
  <c r="L1303" i="56"/>
  <c r="O1301" i="56"/>
  <c r="L1301" i="56"/>
  <c r="O1289" i="56"/>
  <c r="L1289" i="56"/>
  <c r="O1288" i="56"/>
  <c r="L1288" i="56"/>
  <c r="O1287" i="56"/>
  <c r="L1287" i="56"/>
  <c r="O1286" i="56"/>
  <c r="L1286" i="56"/>
  <c r="O1285" i="56"/>
  <c r="L1285" i="56"/>
  <c r="O1284" i="56"/>
  <c r="L1284" i="56"/>
  <c r="O1283" i="56"/>
  <c r="L1283" i="56"/>
  <c r="O1282" i="56"/>
  <c r="L1282" i="56"/>
  <c r="O1281" i="56"/>
  <c r="L1281" i="56"/>
  <c r="O1280" i="56"/>
  <c r="L1280" i="56"/>
  <c r="O1279" i="56"/>
  <c r="L1279" i="56"/>
  <c r="O1278" i="56"/>
  <c r="L1278" i="56"/>
  <c r="O1277" i="56"/>
  <c r="L1277" i="56"/>
  <c r="O1276" i="56"/>
  <c r="L1276" i="56"/>
  <c r="O1275" i="56"/>
  <c r="L1275" i="56"/>
  <c r="O1274" i="56"/>
  <c r="L1274" i="56"/>
  <c r="O1273" i="56"/>
  <c r="L1273" i="56"/>
  <c r="O1272" i="56"/>
  <c r="L1272" i="56"/>
  <c r="O1271" i="56"/>
  <c r="L1271" i="56"/>
  <c r="O1270" i="56"/>
  <c r="L1270" i="56"/>
  <c r="O1269" i="56"/>
  <c r="L1269" i="56"/>
  <c r="O1268" i="56"/>
  <c r="L1268" i="56"/>
  <c r="O1267" i="56"/>
  <c r="L1267" i="56"/>
  <c r="O1266" i="56"/>
  <c r="L1266" i="56"/>
  <c r="O1265" i="56"/>
  <c r="L1265" i="56"/>
  <c r="O1264" i="56"/>
  <c r="L1264" i="56"/>
  <c r="O1263" i="56"/>
  <c r="L1263" i="56"/>
  <c r="O1262" i="56"/>
  <c r="L1262" i="56"/>
  <c r="O1261" i="56"/>
  <c r="L1261" i="56"/>
  <c r="O1260" i="56"/>
  <c r="L1260" i="56"/>
  <c r="O1259" i="56"/>
  <c r="Q1259" i="56" s="1"/>
  <c r="L1259" i="56"/>
  <c r="O1258" i="56"/>
  <c r="L1258" i="56"/>
  <c r="O1256" i="56"/>
  <c r="L1256" i="56"/>
  <c r="O1255" i="56"/>
  <c r="Q1255" i="56" s="1"/>
  <c r="L1255" i="56"/>
  <c r="O1254" i="56"/>
  <c r="L1254" i="56"/>
  <c r="M1253" i="56"/>
  <c r="O1253" i="56" s="1"/>
  <c r="Q1253" i="56" s="1"/>
  <c r="J1253" i="56"/>
  <c r="L1253" i="56" s="1"/>
  <c r="O1241" i="56"/>
  <c r="L1241" i="56"/>
  <c r="O1240" i="56"/>
  <c r="L1240" i="56"/>
  <c r="O1239" i="56"/>
  <c r="L1239" i="56"/>
  <c r="O1237" i="56"/>
  <c r="L1237" i="56"/>
  <c r="M1236" i="56"/>
  <c r="O1236" i="56" s="1"/>
  <c r="Q1236" i="56" s="1"/>
  <c r="J1236" i="56"/>
  <c r="L1236" i="56" s="1"/>
  <c r="O1235" i="56"/>
  <c r="L1235" i="56"/>
  <c r="O1234" i="56"/>
  <c r="L1234" i="56"/>
  <c r="O1233" i="56"/>
  <c r="L1233" i="56"/>
  <c r="O1232" i="56"/>
  <c r="L1232" i="56"/>
  <c r="O1231" i="56"/>
  <c r="L1231" i="56"/>
  <c r="O1225" i="56"/>
  <c r="L1225" i="56"/>
  <c r="O1171" i="56"/>
  <c r="Q1171" i="56" s="1"/>
  <c r="L1171" i="56"/>
  <c r="O1170" i="56"/>
  <c r="L1170" i="56"/>
  <c r="O1169" i="56"/>
  <c r="Q1169" i="56" s="1"/>
  <c r="Q1223" i="56" s="1"/>
  <c r="L1169" i="56"/>
  <c r="O1168" i="56"/>
  <c r="L1168" i="56"/>
  <c r="O1166" i="56"/>
  <c r="L1166" i="56"/>
  <c r="M1112" i="56"/>
  <c r="O1112" i="56" s="1"/>
  <c r="Q1112" i="56" s="1"/>
  <c r="J1112" i="56"/>
  <c r="L1112" i="56" s="1"/>
  <c r="M1108" i="56"/>
  <c r="O1108" i="56" s="1"/>
  <c r="Q1108" i="56" s="1"/>
  <c r="J1108" i="56"/>
  <c r="L1108" i="56" s="1"/>
  <c r="M1104" i="56"/>
  <c r="O1104" i="56" s="1"/>
  <c r="Q1104" i="56" s="1"/>
  <c r="J1104" i="56"/>
  <c r="L1104" i="56" s="1"/>
  <c r="O1100" i="56"/>
  <c r="L1100" i="56"/>
  <c r="M1099" i="56"/>
  <c r="O1099" i="56" s="1"/>
  <c r="J1099" i="56"/>
  <c r="L1099" i="56" s="1"/>
  <c r="O1090" i="56"/>
  <c r="L1090" i="56"/>
  <c r="O1040" i="56"/>
  <c r="L1040" i="56"/>
  <c r="O1039" i="56"/>
  <c r="L1039" i="56"/>
  <c r="O1038" i="56"/>
  <c r="L1038" i="56"/>
  <c r="J1037" i="56"/>
  <c r="L1037" i="56" s="1"/>
  <c r="O1036" i="56"/>
  <c r="L1036" i="56"/>
  <c r="O1034" i="56"/>
  <c r="L1034" i="56"/>
  <c r="O1033" i="56"/>
  <c r="L1033" i="56"/>
  <c r="J1032" i="56"/>
  <c r="L1032" i="56" s="1"/>
  <c r="O1031" i="56"/>
  <c r="L1031" i="56"/>
  <c r="O1022" i="56"/>
  <c r="L1022" i="56"/>
  <c r="O982" i="56"/>
  <c r="L982" i="56"/>
  <c r="O981" i="56"/>
  <c r="L981" i="56"/>
  <c r="O979" i="56"/>
  <c r="L979" i="56"/>
  <c r="M978" i="56"/>
  <c r="O978" i="56" s="1"/>
  <c r="Q978" i="56" s="1"/>
  <c r="J978" i="56"/>
  <c r="L978" i="56" s="1"/>
  <c r="O977" i="56"/>
  <c r="L977" i="56"/>
  <c r="M976" i="56"/>
  <c r="O976" i="56" s="1"/>
  <c r="Q976" i="56" s="1"/>
  <c r="J976" i="56"/>
  <c r="L976" i="56" s="1"/>
  <c r="O975" i="56"/>
  <c r="L975" i="56"/>
  <c r="O974" i="56"/>
  <c r="L974" i="56"/>
  <c r="O972" i="56"/>
  <c r="L972" i="56"/>
  <c r="O971" i="56"/>
  <c r="L971" i="56"/>
  <c r="M970" i="56"/>
  <c r="M1032" i="56" s="1"/>
  <c r="J970" i="56"/>
  <c r="L970" i="56" s="1"/>
  <c r="O969" i="56"/>
  <c r="L969" i="56"/>
  <c r="O968" i="56"/>
  <c r="L968" i="56"/>
  <c r="M967" i="56"/>
  <c r="O967" i="56" s="1"/>
  <c r="Q967" i="56" s="1"/>
  <c r="J967" i="56"/>
  <c r="L967" i="56" s="1"/>
  <c r="O966" i="56"/>
  <c r="L966" i="56"/>
  <c r="O964" i="56"/>
  <c r="L964" i="56"/>
  <c r="M963" i="56"/>
  <c r="O963" i="56" s="1"/>
  <c r="Q963" i="56" s="1"/>
  <c r="J963" i="56"/>
  <c r="L963" i="56" s="1"/>
  <c r="O958" i="56"/>
  <c r="L958" i="56"/>
  <c r="O954" i="56"/>
  <c r="L954" i="56"/>
  <c r="O950" i="56"/>
  <c r="L950" i="56"/>
  <c r="O941" i="56"/>
  <c r="L941" i="56"/>
  <c r="O940" i="56"/>
  <c r="L940" i="56"/>
  <c r="O939" i="56"/>
  <c r="L939" i="56"/>
  <c r="O938" i="56"/>
  <c r="L938" i="56"/>
  <c r="O937" i="56"/>
  <c r="L937" i="56"/>
  <c r="O936" i="56"/>
  <c r="L936" i="56"/>
  <c r="O935" i="56"/>
  <c r="L935" i="56"/>
  <c r="O934" i="56"/>
  <c r="L934" i="56"/>
  <c r="O933" i="56"/>
  <c r="L933" i="56"/>
  <c r="O932" i="56"/>
  <c r="L932" i="56"/>
  <c r="O931" i="56"/>
  <c r="L931" i="56"/>
  <c r="O930" i="56"/>
  <c r="L930" i="56"/>
  <c r="O929" i="56"/>
  <c r="L929" i="56"/>
  <c r="O928" i="56"/>
  <c r="L928" i="56"/>
  <c r="J927" i="56"/>
  <c r="L927" i="56" s="1"/>
  <c r="O926" i="56"/>
  <c r="L926" i="56"/>
  <c r="O925" i="56"/>
  <c r="Q925" i="56" s="1"/>
  <c r="L925" i="56"/>
  <c r="O924" i="56"/>
  <c r="L924" i="56"/>
  <c r="M923" i="56"/>
  <c r="O923" i="56" s="1"/>
  <c r="Q923" i="56" s="1"/>
  <c r="J923" i="56"/>
  <c r="L923" i="56" s="1"/>
  <c r="O922" i="56"/>
  <c r="L922" i="56"/>
  <c r="O921" i="56"/>
  <c r="L921" i="56"/>
  <c r="O919" i="56"/>
  <c r="L919" i="56"/>
  <c r="O918" i="56"/>
  <c r="L918" i="56"/>
  <c r="O916" i="56"/>
  <c r="L916" i="56"/>
  <c r="M915" i="56"/>
  <c r="O915" i="56" s="1"/>
  <c r="Q915" i="56" s="1"/>
  <c r="J915" i="56"/>
  <c r="L915" i="56" s="1"/>
  <c r="O914" i="56"/>
  <c r="L914" i="56"/>
  <c r="O913" i="56"/>
  <c r="L913" i="56"/>
  <c r="O912" i="56"/>
  <c r="Q912" i="56" s="1"/>
  <c r="L912" i="56"/>
  <c r="O911" i="56"/>
  <c r="L911" i="56"/>
  <c r="O910" i="56"/>
  <c r="Q910" i="56" s="1"/>
  <c r="L910" i="56"/>
  <c r="O909" i="56"/>
  <c r="L909" i="56"/>
  <c r="O908" i="56"/>
  <c r="Q908" i="56" s="1"/>
  <c r="L908" i="56"/>
  <c r="O907" i="56"/>
  <c r="L907" i="56"/>
  <c r="M906" i="56"/>
  <c r="O906" i="56" s="1"/>
  <c r="Q906" i="56" s="1"/>
  <c r="J906" i="56"/>
  <c r="L906" i="56" s="1"/>
  <c r="O905" i="56"/>
  <c r="L905" i="56"/>
  <c r="O904" i="56"/>
  <c r="L904" i="56"/>
  <c r="O903" i="56"/>
  <c r="L903" i="56"/>
  <c r="O902" i="56"/>
  <c r="Q902" i="56" s="1"/>
  <c r="L902" i="56"/>
  <c r="O901" i="56"/>
  <c r="L901" i="56"/>
  <c r="O900" i="56"/>
  <c r="L900" i="56"/>
  <c r="O899" i="56"/>
  <c r="L899" i="56"/>
  <c r="M898" i="56"/>
  <c r="O898" i="56" s="1"/>
  <c r="J898" i="56"/>
  <c r="L898" i="56" s="1"/>
  <c r="O897" i="56"/>
  <c r="L897" i="56"/>
  <c r="M896" i="56"/>
  <c r="O896" i="56" s="1"/>
  <c r="Q896" i="56" s="1"/>
  <c r="J896" i="56"/>
  <c r="L896" i="56" s="1"/>
  <c r="O850" i="56"/>
  <c r="L850" i="56"/>
  <c r="O849" i="56"/>
  <c r="L849" i="56"/>
  <c r="O848" i="56"/>
  <c r="L848" i="56"/>
  <c r="O844" i="56"/>
  <c r="L844" i="56"/>
  <c r="O843" i="56"/>
  <c r="L843" i="56"/>
  <c r="O840" i="56"/>
  <c r="L840" i="56"/>
  <c r="O838" i="56"/>
  <c r="L838" i="56"/>
  <c r="O836" i="56"/>
  <c r="L836" i="56"/>
  <c r="O834" i="56"/>
  <c r="L834" i="56"/>
  <c r="O832" i="56"/>
  <c r="L832" i="56"/>
  <c r="O831" i="56"/>
  <c r="L831" i="56"/>
  <c r="O830" i="56"/>
  <c r="L830" i="56"/>
  <c r="O829" i="56"/>
  <c r="L829" i="56"/>
  <c r="O828" i="56"/>
  <c r="L828" i="56"/>
  <c r="O827" i="56"/>
  <c r="Q884" i="56" s="1"/>
  <c r="L827" i="56"/>
  <c r="M826" i="56"/>
  <c r="O826" i="56" s="1"/>
  <c r="Q826" i="56" s="1"/>
  <c r="J826" i="56"/>
  <c r="L826" i="56" s="1"/>
  <c r="O824" i="56"/>
  <c r="L824" i="56"/>
  <c r="O775" i="56"/>
  <c r="L775" i="56"/>
  <c r="O774" i="56"/>
  <c r="L774" i="56"/>
  <c r="O773" i="56"/>
  <c r="L773" i="56"/>
  <c r="O772" i="56"/>
  <c r="L772" i="56"/>
  <c r="M771" i="56"/>
  <c r="O771" i="56" s="1"/>
  <c r="Q771" i="56" s="1"/>
  <c r="J771" i="56"/>
  <c r="L771" i="56" s="1"/>
  <c r="O770" i="56"/>
  <c r="L770" i="56"/>
  <c r="O769" i="56"/>
  <c r="L769" i="56"/>
  <c r="O768" i="56"/>
  <c r="L768" i="56"/>
  <c r="M767" i="56"/>
  <c r="O767" i="56" s="1"/>
  <c r="Q767" i="56" s="1"/>
  <c r="J767" i="56"/>
  <c r="L767" i="56" s="1"/>
  <c r="O766" i="56"/>
  <c r="L766" i="56"/>
  <c r="O765" i="56"/>
  <c r="Q765" i="56" s="1"/>
  <c r="L765" i="56"/>
  <c r="O764" i="56"/>
  <c r="L764" i="56"/>
  <c r="O763" i="56"/>
  <c r="Q763" i="56" s="1"/>
  <c r="L763" i="56"/>
  <c r="O762" i="56"/>
  <c r="L762" i="56"/>
  <c r="O761" i="56"/>
  <c r="L761" i="56"/>
  <c r="O760" i="56"/>
  <c r="L760" i="56"/>
  <c r="O759" i="56"/>
  <c r="Q759" i="56" s="1"/>
  <c r="L759" i="56"/>
  <c r="O758" i="56"/>
  <c r="L758" i="56"/>
  <c r="O757" i="56"/>
  <c r="Q757" i="56" s="1"/>
  <c r="L757" i="56"/>
  <c r="O746" i="56"/>
  <c r="L746" i="56"/>
  <c r="O745" i="56"/>
  <c r="Q745" i="56" s="1"/>
  <c r="L745" i="56"/>
  <c r="O744" i="56"/>
  <c r="L744" i="56"/>
  <c r="M743" i="56"/>
  <c r="O743" i="56" s="1"/>
  <c r="Q743" i="56" s="1"/>
  <c r="J743" i="56"/>
  <c r="L743" i="56" s="1"/>
  <c r="O742" i="56"/>
  <c r="L742" i="56"/>
  <c r="O741" i="56"/>
  <c r="L741" i="56"/>
  <c r="O740" i="56"/>
  <c r="L740" i="56"/>
  <c r="M739" i="56"/>
  <c r="O739" i="56" s="1"/>
  <c r="Q739" i="56" s="1"/>
  <c r="J739" i="56"/>
  <c r="L739" i="56" s="1"/>
  <c r="O738" i="56"/>
  <c r="L738" i="56"/>
  <c r="M737" i="56"/>
  <c r="O737" i="56" s="1"/>
  <c r="Q737" i="56" s="1"/>
  <c r="J737" i="56"/>
  <c r="L737" i="56" s="1"/>
  <c r="O736" i="56"/>
  <c r="L736" i="56"/>
  <c r="O735" i="56"/>
  <c r="L735" i="56"/>
  <c r="O734" i="56"/>
  <c r="Q734" i="56" s="1"/>
  <c r="L734" i="56"/>
  <c r="O733" i="56"/>
  <c r="L733" i="56"/>
  <c r="O732" i="56"/>
  <c r="Q732" i="56" s="1"/>
  <c r="L732" i="56"/>
  <c r="O731" i="56"/>
  <c r="L731" i="56"/>
  <c r="O730" i="56"/>
  <c r="L730" i="56"/>
  <c r="O729" i="56"/>
  <c r="L729" i="56"/>
  <c r="O727" i="56"/>
  <c r="L727" i="56"/>
  <c r="O726" i="56"/>
  <c r="Q726" i="56" s="1"/>
  <c r="L726" i="56"/>
  <c r="O725" i="56"/>
  <c r="L725" i="56"/>
  <c r="O724" i="56"/>
  <c r="Q724" i="56" s="1"/>
  <c r="L724" i="56"/>
  <c r="O723" i="56"/>
  <c r="L723" i="56"/>
  <c r="O721" i="56"/>
  <c r="L721" i="56"/>
  <c r="O720" i="56"/>
  <c r="Q720" i="56" s="1"/>
  <c r="L720" i="56"/>
  <c r="O719" i="56"/>
  <c r="L719" i="56"/>
  <c r="O718" i="56"/>
  <c r="Q718" i="56" s="1"/>
  <c r="L718" i="56"/>
  <c r="O717" i="56"/>
  <c r="L717" i="56"/>
  <c r="O716" i="56"/>
  <c r="Q716" i="56" s="1"/>
  <c r="L716" i="56"/>
  <c r="O715" i="56"/>
  <c r="L715" i="56"/>
  <c r="O714" i="56"/>
  <c r="L714" i="56"/>
  <c r="M713" i="56"/>
  <c r="O713" i="56" s="1"/>
  <c r="Q713" i="56" s="1"/>
  <c r="J713" i="56"/>
  <c r="L713" i="56" s="1"/>
  <c r="O712" i="56"/>
  <c r="L712" i="56"/>
  <c r="O711" i="56"/>
  <c r="L711" i="56"/>
  <c r="O709" i="56"/>
  <c r="L709" i="56"/>
  <c r="O708" i="56"/>
  <c r="L708" i="56"/>
  <c r="O707" i="56"/>
  <c r="L707" i="56"/>
  <c r="O705" i="56"/>
  <c r="L705" i="56"/>
  <c r="O704" i="56"/>
  <c r="L704" i="56"/>
  <c r="O703" i="56"/>
  <c r="L703" i="56"/>
  <c r="O701" i="56"/>
  <c r="L701" i="56"/>
  <c r="O700" i="56"/>
  <c r="Q700" i="56" s="1"/>
  <c r="L700" i="56"/>
  <c r="O699" i="56"/>
  <c r="L699" i="56"/>
  <c r="O697" i="56"/>
  <c r="L697" i="56"/>
  <c r="O696" i="56"/>
  <c r="Q696" i="56" s="1"/>
  <c r="L696" i="56"/>
  <c r="O694" i="56"/>
  <c r="Q694" i="56" s="1"/>
  <c r="L694" i="56"/>
  <c r="O693" i="56"/>
  <c r="L693" i="56"/>
  <c r="O678" i="56"/>
  <c r="L678" i="56"/>
  <c r="O677" i="56"/>
  <c r="L677" i="56"/>
  <c r="O676" i="56"/>
  <c r="L676" i="56"/>
  <c r="O675" i="56"/>
  <c r="L675" i="56"/>
  <c r="O674" i="56"/>
  <c r="O673" i="56"/>
  <c r="L673" i="56"/>
  <c r="O672" i="56"/>
  <c r="L672" i="56"/>
  <c r="O671" i="56"/>
  <c r="L671" i="56"/>
  <c r="O670" i="56"/>
  <c r="L670" i="56"/>
  <c r="O669" i="56"/>
  <c r="L669" i="56"/>
  <c r="O668" i="56"/>
  <c r="L668" i="56"/>
  <c r="O667" i="56"/>
  <c r="L667" i="56"/>
  <c r="O666" i="56"/>
  <c r="L666" i="56"/>
  <c r="O665" i="56"/>
  <c r="L665" i="56"/>
  <c r="O664" i="56"/>
  <c r="L664" i="56"/>
  <c r="O663" i="56"/>
  <c r="L663" i="56"/>
  <c r="O662" i="56"/>
  <c r="L662" i="56"/>
  <c r="O661" i="56"/>
  <c r="L661" i="56"/>
  <c r="O660" i="56"/>
  <c r="L660" i="56"/>
  <c r="O659" i="56"/>
  <c r="L659" i="56"/>
  <c r="O658" i="56"/>
  <c r="L658" i="56"/>
  <c r="O657" i="56"/>
  <c r="L657" i="56"/>
  <c r="O656" i="56"/>
  <c r="L656" i="56"/>
  <c r="O655" i="56"/>
  <c r="L655" i="56"/>
  <c r="O654" i="56"/>
  <c r="L654" i="56"/>
  <c r="O653" i="56"/>
  <c r="L653" i="56"/>
  <c r="O652" i="56"/>
  <c r="L652" i="56"/>
  <c r="O651" i="56"/>
  <c r="L651" i="56"/>
  <c r="O650" i="56"/>
  <c r="L650" i="56"/>
  <c r="O649" i="56"/>
  <c r="L649" i="56"/>
  <c r="O648" i="56"/>
  <c r="L648" i="56"/>
  <c r="O647" i="56"/>
  <c r="L647" i="56"/>
  <c r="O646" i="56"/>
  <c r="L646" i="56"/>
  <c r="O645" i="56"/>
  <c r="L645" i="56"/>
  <c r="O644" i="56"/>
  <c r="L644" i="56"/>
  <c r="O643" i="56"/>
  <c r="L643" i="56"/>
  <c r="O642" i="56"/>
  <c r="L642" i="56"/>
  <c r="O641" i="56"/>
  <c r="L641" i="56"/>
  <c r="O640" i="56"/>
  <c r="L640" i="56"/>
  <c r="O639" i="56"/>
  <c r="L639" i="56"/>
  <c r="O638" i="56"/>
  <c r="L638" i="56"/>
  <c r="O637" i="56"/>
  <c r="L637" i="56"/>
  <c r="O636" i="56"/>
  <c r="L636" i="56"/>
  <c r="O635" i="56"/>
  <c r="L635" i="56"/>
  <c r="O634" i="56"/>
  <c r="L634" i="56"/>
  <c r="O633" i="56"/>
  <c r="Q633" i="56" s="1"/>
  <c r="L633" i="56"/>
  <c r="O632" i="56"/>
  <c r="L632" i="56"/>
  <c r="O631" i="56"/>
  <c r="L631" i="56"/>
  <c r="O630" i="56"/>
  <c r="L630" i="56"/>
  <c r="O622" i="56"/>
  <c r="L622" i="56"/>
  <c r="O621" i="56"/>
  <c r="L621" i="56"/>
  <c r="O619" i="56"/>
  <c r="L619" i="56"/>
  <c r="O610" i="56"/>
  <c r="L610" i="56"/>
  <c r="O608" i="56"/>
  <c r="L608" i="56"/>
  <c r="O606" i="56"/>
  <c r="L606" i="56"/>
  <c r="O604" i="56"/>
  <c r="L604" i="56"/>
  <c r="O602" i="56"/>
  <c r="L602" i="56"/>
  <c r="O601" i="56"/>
  <c r="L601" i="56"/>
  <c r="O593" i="56"/>
  <c r="L593" i="56"/>
  <c r="O592" i="56"/>
  <c r="L592" i="56"/>
  <c r="M591" i="56"/>
  <c r="O591" i="56" s="1"/>
  <c r="Q591" i="56" s="1"/>
  <c r="J591" i="56"/>
  <c r="L591" i="56" s="1"/>
  <c r="O590" i="56"/>
  <c r="L590" i="56"/>
  <c r="O589" i="56"/>
  <c r="Q589" i="56" s="1"/>
  <c r="L589" i="56"/>
  <c r="O588" i="56"/>
  <c r="L588" i="56"/>
  <c r="O587" i="56"/>
  <c r="Q587" i="56" s="1"/>
  <c r="L587" i="56"/>
  <c r="O586" i="56"/>
  <c r="L586" i="56"/>
  <c r="O585" i="56"/>
  <c r="L585" i="56"/>
  <c r="M584" i="56"/>
  <c r="O584" i="56" s="1"/>
  <c r="Q584" i="56" s="1"/>
  <c r="J584" i="56"/>
  <c r="L584" i="56" s="1"/>
  <c r="O583" i="56"/>
  <c r="L583" i="56"/>
  <c r="M582" i="56"/>
  <c r="O582" i="56" s="1"/>
  <c r="Q582" i="56" s="1"/>
  <c r="J582" i="56"/>
  <c r="L582" i="56" s="1"/>
  <c r="O581" i="56"/>
  <c r="L581" i="56"/>
  <c r="O580" i="56"/>
  <c r="L580" i="56"/>
  <c r="M579" i="56"/>
  <c r="O579" i="56" s="1"/>
  <c r="Q579" i="56" s="1"/>
  <c r="J579" i="56"/>
  <c r="L579" i="56" s="1"/>
  <c r="O578" i="56"/>
  <c r="L578" i="56"/>
  <c r="O577" i="56"/>
  <c r="L577" i="56"/>
  <c r="O576" i="56"/>
  <c r="L576" i="56"/>
  <c r="O574" i="56"/>
  <c r="L574" i="56"/>
  <c r="O573" i="56"/>
  <c r="L573" i="56"/>
  <c r="O572" i="56"/>
  <c r="L572" i="56"/>
  <c r="O571" i="56"/>
  <c r="L571" i="56"/>
  <c r="O570" i="56"/>
  <c r="Q570" i="56" s="1"/>
  <c r="L570" i="56"/>
  <c r="O569" i="56"/>
  <c r="L569" i="56"/>
  <c r="O568" i="56"/>
  <c r="Q568" i="56" s="1"/>
  <c r="L568" i="56"/>
  <c r="O567" i="56"/>
  <c r="L567" i="56"/>
  <c r="O566" i="56"/>
  <c r="L566" i="56"/>
  <c r="O565" i="56"/>
  <c r="L565" i="56"/>
  <c r="O564" i="56"/>
  <c r="L564" i="56"/>
  <c r="O563" i="56"/>
  <c r="Q563" i="56" s="1"/>
  <c r="L563" i="56"/>
  <c r="O562" i="56"/>
  <c r="L562" i="56"/>
  <c r="O561" i="56"/>
  <c r="Q561" i="56" s="1"/>
  <c r="L561" i="56"/>
  <c r="O560" i="56"/>
  <c r="L560" i="56"/>
  <c r="O559" i="56"/>
  <c r="Q559" i="56" s="1"/>
  <c r="L559" i="56"/>
  <c r="O558" i="56"/>
  <c r="L558" i="56"/>
  <c r="O557" i="56"/>
  <c r="L557" i="56"/>
  <c r="O556" i="56"/>
  <c r="Q556" i="56" s="1"/>
  <c r="L556" i="56"/>
  <c r="O555" i="56"/>
  <c r="L555" i="56"/>
  <c r="O554" i="56"/>
  <c r="L554" i="56"/>
  <c r="M553" i="56"/>
  <c r="O553" i="56" s="1"/>
  <c r="Q553" i="56" s="1"/>
  <c r="J553" i="56"/>
  <c r="L553" i="56" s="1"/>
  <c r="O552" i="56"/>
  <c r="L552" i="56"/>
  <c r="M551" i="56"/>
  <c r="O551" i="56" s="1"/>
  <c r="Q551" i="56" s="1"/>
  <c r="J551" i="56"/>
  <c r="L551" i="56" s="1"/>
  <c r="O550" i="56"/>
  <c r="L550" i="56"/>
  <c r="O549" i="56"/>
  <c r="L549" i="56"/>
  <c r="O548" i="56"/>
  <c r="L548" i="56"/>
  <c r="O547" i="56"/>
  <c r="L547" i="56"/>
  <c r="O546" i="56"/>
  <c r="L546" i="56"/>
  <c r="O545" i="56"/>
  <c r="L545" i="56"/>
  <c r="O536" i="56"/>
  <c r="L536" i="56"/>
  <c r="O535" i="56"/>
  <c r="L535" i="56"/>
  <c r="O534" i="56"/>
  <c r="L534" i="56"/>
  <c r="O533" i="56"/>
  <c r="L533" i="56"/>
  <c r="O532" i="56"/>
  <c r="L532" i="56"/>
  <c r="O531" i="56"/>
  <c r="L531" i="56"/>
  <c r="M530" i="56"/>
  <c r="O530" i="56" s="1"/>
  <c r="Q530" i="56" s="1"/>
  <c r="J530" i="56"/>
  <c r="L530" i="56" s="1"/>
  <c r="O529" i="56"/>
  <c r="L529" i="56"/>
  <c r="O528" i="56"/>
  <c r="Q528" i="56" s="1"/>
  <c r="L528" i="56"/>
  <c r="O527" i="56"/>
  <c r="L527" i="56"/>
  <c r="O526" i="56"/>
  <c r="Q526" i="56" s="1"/>
  <c r="L526" i="56"/>
  <c r="O525" i="56"/>
  <c r="L525" i="56"/>
  <c r="O524" i="56"/>
  <c r="L524" i="56"/>
  <c r="O523" i="56"/>
  <c r="Q523" i="56" s="1"/>
  <c r="L523" i="56"/>
  <c r="O522" i="56"/>
  <c r="L522" i="56"/>
  <c r="O521" i="56"/>
  <c r="Q521" i="56" s="1"/>
  <c r="L521" i="56"/>
  <c r="O520" i="56"/>
  <c r="L520" i="56"/>
  <c r="O519" i="56"/>
  <c r="L519" i="56"/>
  <c r="O518" i="56"/>
  <c r="L518" i="56"/>
  <c r="O517" i="56"/>
  <c r="Q517" i="56" s="1"/>
  <c r="L517" i="56"/>
  <c r="O516" i="56"/>
  <c r="L516" i="56"/>
  <c r="O515" i="56"/>
  <c r="L515" i="56"/>
  <c r="O514" i="56"/>
  <c r="L514" i="56"/>
  <c r="O513" i="56"/>
  <c r="L513" i="56"/>
  <c r="O512" i="56"/>
  <c r="Q512" i="56" s="1"/>
  <c r="L512" i="56"/>
  <c r="O511" i="56"/>
  <c r="L511" i="56"/>
  <c r="O510" i="56"/>
  <c r="L510" i="56"/>
  <c r="O509" i="56"/>
  <c r="Q509" i="56" s="1"/>
  <c r="L509" i="56"/>
  <c r="O508" i="56"/>
  <c r="L508" i="56"/>
  <c r="O507" i="56"/>
  <c r="L507" i="56"/>
  <c r="O506" i="56"/>
  <c r="Q506" i="56" s="1"/>
  <c r="L506" i="56"/>
  <c r="O505" i="56"/>
  <c r="L505" i="56"/>
  <c r="O504" i="56"/>
  <c r="L504" i="56"/>
  <c r="O503" i="56"/>
  <c r="L503" i="56"/>
  <c r="O502" i="56"/>
  <c r="Q502" i="56" s="1"/>
  <c r="L502" i="56"/>
  <c r="O501" i="56"/>
  <c r="L501" i="56"/>
  <c r="O500" i="56"/>
  <c r="L500" i="56"/>
  <c r="O499" i="56"/>
  <c r="L499" i="56"/>
  <c r="O498" i="56"/>
  <c r="Q498" i="56" s="1"/>
  <c r="L498" i="56"/>
  <c r="O497" i="56"/>
  <c r="L497" i="56"/>
  <c r="O496" i="56"/>
  <c r="Q496" i="56" s="1"/>
  <c r="L496" i="56"/>
  <c r="O495" i="56"/>
  <c r="L495" i="56"/>
  <c r="O494" i="56"/>
  <c r="Q494" i="56" s="1"/>
  <c r="L494" i="56"/>
  <c r="O493" i="56"/>
  <c r="L493" i="56"/>
  <c r="O492" i="56"/>
  <c r="Q492" i="56" s="1"/>
  <c r="Q539" i="56" s="1"/>
  <c r="L492" i="56"/>
  <c r="O491" i="56"/>
  <c r="L491" i="56"/>
  <c r="O490" i="56"/>
  <c r="L490" i="56"/>
  <c r="O489" i="56"/>
  <c r="L489" i="56"/>
  <c r="O488" i="56"/>
  <c r="L488" i="56"/>
  <c r="O482" i="56"/>
  <c r="L482" i="56"/>
  <c r="O478" i="56"/>
  <c r="L478" i="56"/>
  <c r="O477" i="56"/>
  <c r="L477" i="56"/>
  <c r="O474" i="56"/>
  <c r="L474" i="56"/>
  <c r="O456" i="56"/>
  <c r="L456" i="56"/>
  <c r="M455" i="56"/>
  <c r="J455" i="56"/>
  <c r="L455" i="56" s="1"/>
  <c r="O454" i="56"/>
  <c r="L454" i="56"/>
  <c r="O453" i="56"/>
  <c r="L453" i="56"/>
  <c r="O452" i="56"/>
  <c r="L452" i="56"/>
  <c r="O451" i="56"/>
  <c r="L451" i="56"/>
  <c r="O406" i="56"/>
  <c r="L406" i="56"/>
  <c r="O383" i="56"/>
  <c r="L383" i="56"/>
  <c r="O382" i="56"/>
  <c r="L382" i="56"/>
  <c r="O381" i="56"/>
  <c r="L381" i="56"/>
  <c r="O380" i="56"/>
  <c r="L380" i="56"/>
  <c r="O379" i="56"/>
  <c r="Q376" i="56"/>
  <c r="Q370" i="56"/>
  <c r="O369" i="56"/>
  <c r="L369" i="56"/>
  <c r="O368" i="56"/>
  <c r="L368" i="56"/>
  <c r="O367" i="56"/>
  <c r="L367" i="56"/>
  <c r="M366" i="56"/>
  <c r="O366" i="56" s="1"/>
  <c r="J366" i="56"/>
  <c r="L366" i="56" s="1"/>
  <c r="O365" i="56"/>
  <c r="L365" i="56"/>
  <c r="O364" i="56"/>
  <c r="L364" i="56"/>
  <c r="O363" i="56"/>
  <c r="L363" i="56"/>
  <c r="O362" i="56"/>
  <c r="L362" i="56"/>
  <c r="O361" i="56"/>
  <c r="L361" i="56"/>
  <c r="O360" i="56"/>
  <c r="Q360" i="56" s="1"/>
  <c r="L360" i="56"/>
  <c r="O359" i="56"/>
  <c r="L359" i="56"/>
  <c r="O358" i="56"/>
  <c r="L358" i="56"/>
  <c r="O356" i="56"/>
  <c r="L356" i="56"/>
  <c r="O354" i="56"/>
  <c r="L354" i="56"/>
  <c r="O353" i="56"/>
  <c r="L353" i="56"/>
  <c r="O352" i="56"/>
  <c r="L352" i="56"/>
  <c r="O351" i="56"/>
  <c r="Q351" i="56" s="1"/>
  <c r="L351" i="56"/>
  <c r="O350" i="56"/>
  <c r="L350" i="56"/>
  <c r="O348" i="56"/>
  <c r="L348" i="56"/>
  <c r="L347" i="56"/>
  <c r="O345" i="56"/>
  <c r="L345" i="56"/>
  <c r="O342" i="56"/>
  <c r="L342" i="56"/>
  <c r="O339" i="56"/>
  <c r="L339" i="56"/>
  <c r="O335" i="56"/>
  <c r="L335" i="56"/>
  <c r="O334" i="56"/>
  <c r="L334" i="56"/>
  <c r="O333" i="56"/>
  <c r="L333" i="56"/>
  <c r="O332" i="56"/>
  <c r="L332" i="56"/>
  <c r="O331" i="56"/>
  <c r="L331" i="56"/>
  <c r="O330" i="56"/>
  <c r="L330" i="56"/>
  <c r="O329" i="56"/>
  <c r="L329" i="56"/>
  <c r="O328" i="56"/>
  <c r="L328" i="56"/>
  <c r="O327" i="56"/>
  <c r="L327" i="56"/>
  <c r="O326" i="56"/>
  <c r="Q326" i="56" s="1"/>
  <c r="L326" i="56"/>
  <c r="O325" i="56"/>
  <c r="L325" i="56"/>
  <c r="O323" i="56"/>
  <c r="L323" i="56"/>
  <c r="O321" i="56"/>
  <c r="L321" i="56"/>
  <c r="O320" i="56"/>
  <c r="L320" i="56"/>
  <c r="O319" i="56"/>
  <c r="L319" i="56"/>
  <c r="O318" i="56"/>
  <c r="L318" i="56"/>
  <c r="O316" i="56"/>
  <c r="L316" i="56"/>
  <c r="O315" i="56"/>
  <c r="Q315" i="56" s="1"/>
  <c r="L315" i="56"/>
  <c r="O314" i="56"/>
  <c r="L314" i="56"/>
  <c r="M313" i="56"/>
  <c r="O313" i="56" s="1"/>
  <c r="Q313" i="56" s="1"/>
  <c r="J313" i="56"/>
  <c r="L313" i="56" s="1"/>
  <c r="O312" i="56"/>
  <c r="L312" i="56"/>
  <c r="O311" i="56"/>
  <c r="L311" i="56"/>
  <c r="M310" i="56"/>
  <c r="O310" i="56" s="1"/>
  <c r="Q310" i="56" s="1"/>
  <c r="J310" i="56"/>
  <c r="L310" i="56" s="1"/>
  <c r="O309" i="56"/>
  <c r="L309" i="56"/>
  <c r="M308" i="56"/>
  <c r="O308" i="56" s="1"/>
  <c r="J308" i="56"/>
  <c r="L308" i="56" s="1"/>
  <c r="O307" i="56"/>
  <c r="L307" i="56"/>
  <c r="O306" i="56"/>
  <c r="L306" i="56"/>
  <c r="O305" i="56"/>
  <c r="L305" i="56"/>
  <c r="O303" i="56"/>
  <c r="L303" i="56"/>
  <c r="O302" i="56"/>
  <c r="L302" i="56"/>
  <c r="O301" i="56"/>
  <c r="Q301" i="56" s="1"/>
  <c r="L301" i="56"/>
  <c r="O300" i="56"/>
  <c r="L300" i="56"/>
  <c r="O299" i="56"/>
  <c r="Q299" i="56" s="1"/>
  <c r="L299" i="56"/>
  <c r="O298" i="56"/>
  <c r="L298" i="56"/>
  <c r="M297" i="56"/>
  <c r="O297" i="56" s="1"/>
  <c r="Q297" i="56" s="1"/>
  <c r="J297" i="56"/>
  <c r="L297" i="56" s="1"/>
  <c r="O296" i="56"/>
  <c r="L296" i="56"/>
  <c r="O295" i="56"/>
  <c r="Q295" i="56" s="1"/>
  <c r="L295" i="56"/>
  <c r="O294" i="56"/>
  <c r="L294" i="56"/>
  <c r="O293" i="56"/>
  <c r="Q293" i="56" s="1"/>
  <c r="L293" i="56"/>
  <c r="O292" i="56"/>
  <c r="Q292" i="56" s="1"/>
  <c r="L292" i="56"/>
  <c r="O291" i="56"/>
  <c r="Q291" i="56" s="1"/>
  <c r="L291" i="56"/>
  <c r="O290" i="56"/>
  <c r="Q290" i="56" s="1"/>
  <c r="L290" i="56"/>
  <c r="M289" i="56"/>
  <c r="O289" i="56" s="1"/>
  <c r="Q289" i="56" s="1"/>
  <c r="J289" i="56"/>
  <c r="L289" i="56" s="1"/>
  <c r="O288" i="56"/>
  <c r="L288" i="56"/>
  <c r="O287" i="56"/>
  <c r="L287" i="56"/>
  <c r="O285" i="56"/>
  <c r="L285" i="56"/>
  <c r="M284" i="56"/>
  <c r="O284" i="56" s="1"/>
  <c r="Q284" i="56" s="1"/>
  <c r="J284" i="56"/>
  <c r="L284" i="56" s="1"/>
  <c r="O283" i="56"/>
  <c r="L283" i="56"/>
  <c r="O282" i="56"/>
  <c r="L282" i="56"/>
  <c r="O281" i="56"/>
  <c r="L281" i="56"/>
  <c r="O280" i="56"/>
  <c r="L280" i="56"/>
  <c r="O279" i="56"/>
  <c r="Q279" i="56" s="1"/>
  <c r="L279" i="56"/>
  <c r="O275" i="56"/>
  <c r="L275" i="56"/>
  <c r="O274" i="56"/>
  <c r="L274" i="56"/>
  <c r="O271" i="56"/>
  <c r="L271" i="56"/>
  <c r="O270" i="56"/>
  <c r="L270" i="56"/>
  <c r="O265" i="56"/>
  <c r="L265" i="56"/>
  <c r="O260" i="56"/>
  <c r="L260" i="56"/>
  <c r="O259" i="56"/>
  <c r="L259" i="56"/>
  <c r="O258" i="56"/>
  <c r="L258" i="56"/>
  <c r="O257" i="56"/>
  <c r="L257" i="56"/>
  <c r="O256" i="56"/>
  <c r="L256" i="56"/>
  <c r="O255" i="56"/>
  <c r="L255" i="56"/>
  <c r="O254" i="56"/>
  <c r="L254" i="56"/>
  <c r="O253" i="56"/>
  <c r="L253" i="56"/>
  <c r="O252" i="56"/>
  <c r="L252" i="56"/>
  <c r="O251" i="56"/>
  <c r="L251" i="56"/>
  <c r="O250" i="56"/>
  <c r="L250" i="56"/>
  <c r="O249" i="56"/>
  <c r="L249" i="56"/>
  <c r="O248" i="56"/>
  <c r="L248" i="56"/>
  <c r="O247" i="56"/>
  <c r="L247" i="56"/>
  <c r="O246" i="56"/>
  <c r="L246" i="56"/>
  <c r="O245" i="56"/>
  <c r="L245" i="56"/>
  <c r="O244" i="56"/>
  <c r="L244" i="56"/>
  <c r="O243" i="56"/>
  <c r="L243" i="56"/>
  <c r="O242" i="56"/>
  <c r="L242" i="56"/>
  <c r="O241" i="56"/>
  <c r="L241" i="56"/>
  <c r="O240" i="56"/>
  <c r="L240" i="56"/>
  <c r="O239" i="56"/>
  <c r="L239" i="56"/>
  <c r="O238" i="56"/>
  <c r="L238" i="56"/>
  <c r="O237" i="56"/>
  <c r="L237" i="56"/>
  <c r="O236" i="56"/>
  <c r="L236" i="56"/>
  <c r="O235" i="56"/>
  <c r="L235" i="56"/>
  <c r="O234" i="56"/>
  <c r="L234" i="56"/>
  <c r="O233" i="56"/>
  <c r="L233" i="56"/>
  <c r="O232" i="56"/>
  <c r="L232" i="56"/>
  <c r="O231" i="56"/>
  <c r="L231" i="56"/>
  <c r="O230" i="56"/>
  <c r="L230" i="56"/>
  <c r="O229" i="56"/>
  <c r="L229" i="56"/>
  <c r="O228" i="56"/>
  <c r="L228" i="56"/>
  <c r="O227" i="56"/>
  <c r="Q227" i="56" s="1"/>
  <c r="L227" i="56"/>
  <c r="O226" i="56"/>
  <c r="L226" i="56"/>
  <c r="O225" i="56"/>
  <c r="Q225" i="56" s="1"/>
  <c r="L225" i="56"/>
  <c r="O224" i="56"/>
  <c r="L224" i="56"/>
  <c r="O223" i="56"/>
  <c r="Q223" i="56" s="1"/>
  <c r="L223" i="56"/>
  <c r="O222" i="56"/>
  <c r="L222" i="56"/>
  <c r="O221" i="56"/>
  <c r="L221" i="56"/>
  <c r="O220" i="56"/>
  <c r="Q220" i="56" s="1"/>
  <c r="L220" i="56"/>
  <c r="O219" i="56"/>
  <c r="L219" i="56"/>
  <c r="O218" i="56"/>
  <c r="L218" i="56"/>
  <c r="O217" i="56"/>
  <c r="L217" i="56"/>
  <c r="O216" i="56"/>
  <c r="L216" i="56"/>
  <c r="O215" i="56"/>
  <c r="L215" i="56"/>
  <c r="O214" i="56"/>
  <c r="L214" i="56"/>
  <c r="O213" i="56"/>
  <c r="L213" i="56"/>
  <c r="O212" i="56"/>
  <c r="L212" i="56"/>
  <c r="O211" i="56"/>
  <c r="L211" i="56"/>
  <c r="O210" i="56"/>
  <c r="L210" i="56"/>
  <c r="O209" i="56"/>
  <c r="L209" i="56"/>
  <c r="O200" i="56"/>
  <c r="L200" i="56"/>
  <c r="O199" i="56"/>
  <c r="L199" i="56"/>
  <c r="O198" i="56"/>
  <c r="L198" i="56"/>
  <c r="O197" i="56"/>
  <c r="L197" i="56"/>
  <c r="O195" i="56"/>
  <c r="L195" i="56"/>
  <c r="O194" i="56"/>
  <c r="L194" i="56"/>
  <c r="N193" i="56"/>
  <c r="O193" i="56" s="1"/>
  <c r="J196" i="56"/>
  <c r="L196" i="56" s="1"/>
  <c r="O192" i="56"/>
  <c r="L192" i="56"/>
  <c r="O191" i="56"/>
  <c r="L191" i="56"/>
  <c r="O190" i="56"/>
  <c r="L190" i="56"/>
  <c r="O189" i="56"/>
  <c r="L189" i="56"/>
  <c r="O188" i="56"/>
  <c r="L188" i="56"/>
  <c r="M187" i="56"/>
  <c r="O187" i="56" s="1"/>
  <c r="Q187" i="56" s="1"/>
  <c r="J187" i="56"/>
  <c r="L187" i="56" s="1"/>
  <c r="L186" i="56"/>
  <c r="L185" i="56"/>
  <c r="L184" i="56"/>
  <c r="L183" i="56"/>
  <c r="L182" i="56"/>
  <c r="O180" i="56"/>
  <c r="L180" i="56"/>
  <c r="O179" i="56"/>
  <c r="L179" i="56"/>
  <c r="O178" i="56"/>
  <c r="Q178" i="56" s="1"/>
  <c r="L178" i="56"/>
  <c r="O177" i="56"/>
  <c r="L177" i="56"/>
  <c r="O176" i="56"/>
  <c r="L176" i="56"/>
  <c r="N175" i="56"/>
  <c r="O175" i="56" s="1"/>
  <c r="L175" i="56"/>
  <c r="O174" i="56"/>
  <c r="L174" i="56"/>
  <c r="O173" i="56"/>
  <c r="L173" i="56"/>
  <c r="O171" i="56"/>
  <c r="L171" i="56"/>
  <c r="O170" i="56"/>
  <c r="L170" i="56"/>
  <c r="N169" i="56"/>
  <c r="O169" i="56" s="1"/>
  <c r="L181" i="56"/>
  <c r="O168" i="56"/>
  <c r="L168" i="56"/>
  <c r="O167" i="56"/>
  <c r="L167" i="56"/>
  <c r="O166" i="56"/>
  <c r="L166" i="56"/>
  <c r="N165" i="56"/>
  <c r="O181" i="56" s="1"/>
  <c r="O201" i="56" s="1"/>
  <c r="L165" i="56"/>
  <c r="O164" i="56"/>
  <c r="L164" i="56"/>
  <c r="O163" i="56"/>
  <c r="L163" i="56"/>
  <c r="O162" i="56"/>
  <c r="L162" i="56"/>
  <c r="O161" i="56"/>
  <c r="L161" i="56"/>
  <c r="O160" i="56"/>
  <c r="L160" i="56"/>
  <c r="O159" i="56"/>
  <c r="Q159" i="56" s="1"/>
  <c r="L159" i="56"/>
  <c r="O158" i="56"/>
  <c r="L158" i="56"/>
  <c r="O157" i="56"/>
  <c r="Q157" i="56" s="1"/>
  <c r="L157" i="56"/>
  <c r="O156" i="56"/>
  <c r="L156" i="56"/>
  <c r="O155" i="56"/>
  <c r="Q155" i="56" s="1"/>
  <c r="L155" i="56"/>
  <c r="O154" i="56"/>
  <c r="L154" i="56"/>
  <c r="O153" i="56"/>
  <c r="Q153" i="56" s="1"/>
  <c r="L153" i="56"/>
  <c r="O152" i="56"/>
  <c r="L152" i="56"/>
  <c r="O151" i="56"/>
  <c r="L151" i="56"/>
  <c r="O150" i="56"/>
  <c r="L150" i="56"/>
  <c r="O149" i="56"/>
  <c r="O142" i="56"/>
  <c r="L142" i="56"/>
  <c r="O141" i="56"/>
  <c r="L141" i="56"/>
  <c r="O140" i="56"/>
  <c r="L140" i="56"/>
  <c r="O133" i="56"/>
  <c r="L133" i="56"/>
  <c r="O132" i="56"/>
  <c r="L132" i="56"/>
  <c r="O131" i="56"/>
  <c r="L131" i="56"/>
  <c r="O130" i="56"/>
  <c r="L130" i="56"/>
  <c r="O129" i="56"/>
  <c r="L129" i="56"/>
  <c r="O128" i="56"/>
  <c r="L128" i="56"/>
  <c r="O127" i="56"/>
  <c r="L127" i="56"/>
  <c r="O126" i="56"/>
  <c r="L126" i="56"/>
  <c r="O125" i="56"/>
  <c r="L125" i="56"/>
  <c r="O124" i="56"/>
  <c r="L124" i="56"/>
  <c r="O123" i="56"/>
  <c r="L123" i="56"/>
  <c r="O122" i="56"/>
  <c r="L122" i="56"/>
  <c r="O121" i="56"/>
  <c r="L121" i="56"/>
  <c r="O120" i="56"/>
  <c r="L120" i="56"/>
  <c r="O119" i="56"/>
  <c r="L119" i="56"/>
  <c r="O118" i="56"/>
  <c r="L118" i="56"/>
  <c r="O117" i="56"/>
  <c r="L117" i="56"/>
  <c r="O116" i="56"/>
  <c r="L116" i="56"/>
  <c r="O115" i="56"/>
  <c r="L115" i="56"/>
  <c r="O114" i="56"/>
  <c r="L114" i="56"/>
  <c r="O113" i="56"/>
  <c r="L113" i="56"/>
  <c r="O112" i="56"/>
  <c r="L112" i="56"/>
  <c r="O111" i="56"/>
  <c r="L111" i="56"/>
  <c r="O110" i="56"/>
  <c r="L110" i="56"/>
  <c r="O109" i="56"/>
  <c r="L109" i="56"/>
  <c r="O108" i="56"/>
  <c r="L108" i="56"/>
  <c r="O107" i="56"/>
  <c r="L107" i="56"/>
  <c r="O106" i="56"/>
  <c r="L106" i="56"/>
  <c r="O105" i="56"/>
  <c r="L105" i="56"/>
  <c r="O104" i="56"/>
  <c r="L104" i="56"/>
  <c r="O103" i="56"/>
  <c r="L103" i="56"/>
  <c r="O102" i="56"/>
  <c r="L102" i="56"/>
  <c r="O101" i="56"/>
  <c r="L101" i="56"/>
  <c r="O100" i="56"/>
  <c r="L100" i="56"/>
  <c r="O99" i="56"/>
  <c r="L99" i="56"/>
  <c r="O98" i="56"/>
  <c r="L98" i="56"/>
  <c r="O97" i="56"/>
  <c r="L97" i="56"/>
  <c r="O96" i="56"/>
  <c r="L96" i="56"/>
  <c r="O95" i="56"/>
  <c r="L95" i="56"/>
  <c r="O94" i="56"/>
  <c r="L94" i="56"/>
  <c r="O93" i="56"/>
  <c r="L93" i="56"/>
  <c r="O92" i="56"/>
  <c r="L92" i="56"/>
  <c r="O91" i="56"/>
  <c r="L91" i="56"/>
  <c r="O90" i="56"/>
  <c r="L90" i="56"/>
  <c r="O89" i="56"/>
  <c r="L89" i="56"/>
  <c r="O88" i="56"/>
  <c r="L88" i="56"/>
  <c r="O87" i="56"/>
  <c r="Q87" i="56" s="1"/>
  <c r="L87" i="56"/>
  <c r="O86" i="56"/>
  <c r="L86" i="56"/>
  <c r="O85" i="56"/>
  <c r="L85" i="56"/>
  <c r="O84" i="56"/>
  <c r="L84" i="56"/>
  <c r="O83" i="56"/>
  <c r="L83" i="56"/>
  <c r="L82" i="56"/>
  <c r="O81" i="56"/>
  <c r="Q81" i="56" s="1"/>
  <c r="L81" i="56"/>
  <c r="L80" i="56"/>
  <c r="O79" i="56"/>
  <c r="L79" i="56"/>
  <c r="O66" i="56"/>
  <c r="L66" i="56"/>
  <c r="O65" i="56"/>
  <c r="L65" i="56"/>
  <c r="O59" i="56"/>
  <c r="L59" i="56"/>
  <c r="M58" i="56"/>
  <c r="J58" i="56"/>
  <c r="O57" i="56"/>
  <c r="L57" i="56"/>
  <c r="O55" i="56"/>
  <c r="L55" i="56"/>
  <c r="O54" i="56"/>
  <c r="L54" i="56"/>
  <c r="O53" i="56"/>
  <c r="L53" i="56"/>
  <c r="O51" i="56"/>
  <c r="L51" i="56"/>
  <c r="M50" i="56"/>
  <c r="J50" i="56"/>
  <c r="O49" i="56"/>
  <c r="L49" i="56"/>
  <c r="O47" i="56"/>
  <c r="L47" i="56"/>
  <c r="O46" i="56"/>
  <c r="L46" i="56"/>
  <c r="M45" i="56"/>
  <c r="O45" i="56" s="1"/>
  <c r="J45" i="56"/>
  <c r="L45" i="56" s="1"/>
  <c r="O44" i="56"/>
  <c r="L44" i="56"/>
  <c r="O43" i="56"/>
  <c r="L43" i="56"/>
  <c r="O42" i="56"/>
  <c r="L42" i="56"/>
  <c r="O41" i="56"/>
  <c r="L41" i="56"/>
  <c r="M40" i="56"/>
  <c r="O40" i="56" s="1"/>
  <c r="O39" i="56"/>
  <c r="L39" i="56"/>
  <c r="M38" i="56"/>
  <c r="O38" i="56" s="1"/>
  <c r="J38" i="56"/>
  <c r="L38" i="56" s="1"/>
  <c r="O37" i="56"/>
  <c r="L37" i="56"/>
  <c r="O36" i="56"/>
  <c r="L36" i="56"/>
  <c r="O35" i="56"/>
  <c r="L35" i="56"/>
  <c r="J34" i="56"/>
  <c r="L34" i="56" s="1"/>
  <c r="M32" i="56"/>
  <c r="O32" i="56" s="1"/>
  <c r="J32" i="56"/>
  <c r="L32" i="56" s="1"/>
  <c r="O30" i="56"/>
  <c r="L30" i="56"/>
  <c r="M29" i="56"/>
  <c r="O29" i="56" s="1"/>
  <c r="J29" i="56"/>
  <c r="L29" i="56" s="1"/>
  <c r="O28" i="56"/>
  <c r="L28" i="56"/>
  <c r="O27" i="56"/>
  <c r="L27" i="56"/>
  <c r="O26" i="56"/>
  <c r="L26" i="56"/>
  <c r="O25" i="56"/>
  <c r="L25" i="56"/>
  <c r="O22" i="56"/>
  <c r="Q22" i="56" s="1"/>
  <c r="L22" i="56"/>
  <c r="O18" i="56"/>
  <c r="M12" i="56"/>
  <c r="J12" i="56"/>
  <c r="O8" i="56"/>
  <c r="L8" i="56"/>
  <c r="I152" i="98"/>
  <c r="I151" i="98"/>
  <c r="I150" i="98"/>
  <c r="I111" i="98"/>
  <c r="I108" i="98"/>
  <c r="G108" i="98"/>
  <c r="G106" i="98"/>
  <c r="I106" i="98" s="1"/>
  <c r="G96" i="98"/>
  <c r="I96" i="98" s="1"/>
  <c r="I91" i="98"/>
  <c r="I90" i="98"/>
  <c r="G90" i="98"/>
  <c r="I89" i="98"/>
  <c r="I86" i="98"/>
  <c r="I85" i="98"/>
  <c r="I84" i="98"/>
  <c r="G72" i="98"/>
  <c r="I72" i="98" s="1"/>
  <c r="I67" i="98"/>
  <c r="G67" i="98"/>
  <c r="G58" i="98"/>
  <c r="I58" i="98" s="1"/>
  <c r="G54" i="98"/>
  <c r="I54" i="98" s="1"/>
  <c r="G50" i="98"/>
  <c r="I50" i="98" s="1"/>
  <c r="I42" i="98"/>
  <c r="G42" i="98"/>
  <c r="I38" i="98"/>
  <c r="I37" i="98"/>
  <c r="G36" i="98"/>
  <c r="I36" i="98" s="1"/>
  <c r="I35" i="98"/>
  <c r="I34" i="98"/>
  <c r="I33" i="98"/>
  <c r="G32" i="98"/>
  <c r="I32" i="98" s="1"/>
  <c r="I31" i="98"/>
  <c r="I30" i="98"/>
  <c r="I29" i="98"/>
  <c r="I28" i="98"/>
  <c r="I27" i="98"/>
  <c r="I25" i="98"/>
  <c r="I23" i="98"/>
  <c r="G18" i="98"/>
  <c r="I18" i="98" s="1"/>
  <c r="I16" i="98"/>
  <c r="I15" i="98"/>
  <c r="I11" i="98"/>
  <c r="Q79" i="56" l="1"/>
  <c r="O134" i="56"/>
  <c r="F10" i="57" s="1"/>
  <c r="Q898" i="56"/>
  <c r="Q951" i="56" s="1"/>
  <c r="O951" i="56"/>
  <c r="F32" i="57" s="1"/>
  <c r="Q1099" i="56"/>
  <c r="Q1155" i="56" s="1"/>
  <c r="O1155" i="56"/>
  <c r="F38" i="57" s="1"/>
  <c r="Q11" i="98"/>
  <c r="O77" i="98"/>
  <c r="O83" i="98" s="1"/>
  <c r="Q108" i="98"/>
  <c r="Q106" i="98"/>
  <c r="Q96" i="98"/>
  <c r="Q90" i="98"/>
  <c r="Q72" i="98"/>
  <c r="Q67" i="98"/>
  <c r="Q58" i="98"/>
  <c r="Q54" i="98"/>
  <c r="Q50" i="98"/>
  <c r="Q42" i="98"/>
  <c r="L77" i="98"/>
  <c r="L83" i="98" s="1"/>
  <c r="Q36" i="98"/>
  <c r="Q32" i="98"/>
  <c r="Q77" i="98" s="1"/>
  <c r="Q83" i="98" s="1"/>
  <c r="Q154" i="98" s="1"/>
  <c r="Q179" i="93"/>
  <c r="Q26" i="93"/>
  <c r="Q50" i="93"/>
  <c r="Q41" i="93"/>
  <c r="Q23" i="93"/>
  <c r="Q48" i="93"/>
  <c r="Q52" i="93"/>
  <c r="O77" i="93"/>
  <c r="Q1443" i="56"/>
  <c r="Q34" i="93"/>
  <c r="Q30" i="93"/>
  <c r="Q181" i="56"/>
  <c r="Q231" i="93"/>
  <c r="Q1769" i="56"/>
  <c r="Q749" i="56"/>
  <c r="Q755" i="56" s="1"/>
  <c r="Q611" i="56"/>
  <c r="Q617" i="56" s="1"/>
  <c r="L384" i="93"/>
  <c r="L154" i="93"/>
  <c r="Q1424" i="56"/>
  <c r="Q816" i="56"/>
  <c r="Q373" i="56"/>
  <c r="Q403" i="56" s="1"/>
  <c r="P207" i="56"/>
  <c r="Q201" i="56"/>
  <c r="Q207" i="56" s="1"/>
  <c r="Q268" i="56" s="1"/>
  <c r="Q134" i="56"/>
  <c r="Q67" i="56"/>
  <c r="Q679" i="56"/>
  <c r="Q471" i="56"/>
  <c r="P617" i="56"/>
  <c r="P755" i="56"/>
  <c r="Q1559" i="56"/>
  <c r="Q1692" i="56"/>
  <c r="Q1827" i="56"/>
  <c r="Q1290" i="56"/>
  <c r="P1827" i="56"/>
  <c r="Q1626" i="56"/>
  <c r="L308" i="93"/>
  <c r="L231" i="93"/>
  <c r="J11" i="97" s="1"/>
  <c r="L134" i="56"/>
  <c r="L403" i="56"/>
  <c r="L951" i="56"/>
  <c r="L1357" i="56"/>
  <c r="L1759" i="56"/>
  <c r="L1893" i="56"/>
  <c r="L749" i="56"/>
  <c r="L755" i="56" s="1"/>
  <c r="L816" i="56" s="1"/>
  <c r="L1155" i="56"/>
  <c r="L1692" i="56"/>
  <c r="L1424" i="56"/>
  <c r="L539" i="56"/>
  <c r="O38" i="93"/>
  <c r="L38" i="93"/>
  <c r="Q38" i="93" s="1"/>
  <c r="Q77" i="93" s="1"/>
  <c r="L611" i="56"/>
  <c r="L617" i="56" s="1"/>
  <c r="L1087" i="56"/>
  <c r="O617" i="56"/>
  <c r="F24" i="57" s="1"/>
  <c r="L1491" i="56"/>
  <c r="E52" i="57" s="1"/>
  <c r="J52" i="57" s="1"/>
  <c r="O1032" i="56"/>
  <c r="M1037" i="56"/>
  <c r="O1037" i="56" s="1"/>
  <c r="Q1037" i="56" s="1"/>
  <c r="Q1491" i="56"/>
  <c r="O755" i="56"/>
  <c r="F26" i="57" s="1"/>
  <c r="J317" i="56"/>
  <c r="L317" i="56" s="1"/>
  <c r="L336" i="56" s="1"/>
  <c r="M927" i="56"/>
  <c r="O927" i="56" s="1"/>
  <c r="Q927" i="56" s="1"/>
  <c r="M980" i="56"/>
  <c r="O980" i="56" s="1"/>
  <c r="Q980" i="56" s="1"/>
  <c r="M34" i="56"/>
  <c r="O34" i="56" s="1"/>
  <c r="M317" i="56"/>
  <c r="O317" i="56" s="1"/>
  <c r="O165" i="56"/>
  <c r="O207" i="56" s="1"/>
  <c r="L169" i="56"/>
  <c r="L201" i="56" s="1"/>
  <c r="L207" i="56" s="1"/>
  <c r="L268" i="56" s="1"/>
  <c r="L193" i="56"/>
  <c r="O970" i="56"/>
  <c r="J1238" i="56"/>
  <c r="L1238" i="56" s="1"/>
  <c r="L1290" i="56" s="1"/>
  <c r="J40" i="56"/>
  <c r="L40" i="56" s="1"/>
  <c r="M196" i="56"/>
  <c r="O196" i="56" s="1"/>
  <c r="J980" i="56"/>
  <c r="L980" i="56" s="1"/>
  <c r="L1019" i="56" s="1"/>
  <c r="M1238" i="56"/>
  <c r="O1238" i="56" s="1"/>
  <c r="Q1238" i="56" s="1"/>
  <c r="I83" i="98"/>
  <c r="D6" i="99" s="1"/>
  <c r="D72" i="99" s="1"/>
  <c r="E12" i="57" l="1"/>
  <c r="J12" i="57" s="1"/>
  <c r="T268" i="56"/>
  <c r="O154" i="98"/>
  <c r="F6" i="99" s="1"/>
  <c r="F72" i="99" s="1"/>
  <c r="F9" i="82" s="1"/>
  <c r="L154" i="98"/>
  <c r="E6" i="99" s="1"/>
  <c r="E72" i="99" s="1"/>
  <c r="K7" i="97"/>
  <c r="K80" i="97" s="1"/>
  <c r="O268" i="56"/>
  <c r="F12" i="57" s="1"/>
  <c r="F70" i="57" s="1"/>
  <c r="F5" i="82" s="1"/>
  <c r="E70" i="57"/>
  <c r="F7" i="82"/>
  <c r="L77" i="93"/>
  <c r="J7" i="97" s="1"/>
  <c r="J80" i="97" s="1"/>
  <c r="E7" i="82" s="1"/>
  <c r="K7" i="82" s="1"/>
  <c r="Q1032" i="56"/>
  <c r="Q1087" i="56" s="1"/>
  <c r="Q970" i="56"/>
  <c r="Q1019" i="56" s="1"/>
  <c r="Q336" i="56"/>
  <c r="Q1759" i="56"/>
  <c r="H193" i="56"/>
  <c r="H165" i="56"/>
  <c r="G38" i="56"/>
  <c r="G32" i="56"/>
  <c r="G1712" i="56"/>
  <c r="G1715" i="56"/>
  <c r="I1500" i="56"/>
  <c r="G1443" i="56"/>
  <c r="G1387" i="56"/>
  <c r="G1371" i="56"/>
  <c r="G1369" i="56"/>
  <c r="G1367" i="56"/>
  <c r="G1308" i="56"/>
  <c r="G1253" i="56"/>
  <c r="G1238" i="56"/>
  <c r="G1236" i="56"/>
  <c r="G1165" i="56"/>
  <c r="G1112" i="56"/>
  <c r="I1112" i="56" s="1"/>
  <c r="G1108" i="56"/>
  <c r="G1104" i="56"/>
  <c r="G1099" i="56"/>
  <c r="G1037" i="56"/>
  <c r="G1032" i="56"/>
  <c r="G980" i="56"/>
  <c r="G976" i="56"/>
  <c r="G978" i="56"/>
  <c r="G970" i="56"/>
  <c r="G967" i="56"/>
  <c r="G963" i="56"/>
  <c r="G927" i="56"/>
  <c r="G923" i="56"/>
  <c r="G915" i="56"/>
  <c r="G906" i="56"/>
  <c r="G898" i="56"/>
  <c r="G896" i="56"/>
  <c r="G826" i="56"/>
  <c r="G771" i="56"/>
  <c r="G767" i="56"/>
  <c r="G591" i="56"/>
  <c r="G743" i="56"/>
  <c r="G739" i="56"/>
  <c r="G737" i="56"/>
  <c r="G713" i="56"/>
  <c r="G584" i="56"/>
  <c r="G582" i="56"/>
  <c r="G579" i="56"/>
  <c r="G553" i="56"/>
  <c r="G551" i="56"/>
  <c r="G530" i="56"/>
  <c r="G308" i="56"/>
  <c r="G317" i="56"/>
  <c r="G310" i="56"/>
  <c r="G297" i="56"/>
  <c r="G289" i="56"/>
  <c r="G284" i="56"/>
  <c r="G187" i="56"/>
  <c r="H175" i="56"/>
  <c r="H169" i="56"/>
  <c r="G355" i="93"/>
  <c r="G357" i="93"/>
  <c r="G320" i="93"/>
  <c r="G52" i="93"/>
  <c r="G48" i="93"/>
  <c r="G41" i="93"/>
  <c r="G38" i="93"/>
  <c r="G34" i="93"/>
  <c r="G30" i="93"/>
  <c r="G23" i="93"/>
  <c r="J70" i="57" l="1"/>
  <c r="E75" i="57"/>
  <c r="E9" i="82"/>
  <c r="K9" i="82" s="1"/>
  <c r="G72" i="99"/>
  <c r="L80" i="97"/>
  <c r="E5" i="82"/>
  <c r="K5" i="82" s="1"/>
  <c r="I9" i="82"/>
  <c r="I7" i="82"/>
  <c r="G7" i="82"/>
  <c r="F20" i="82"/>
  <c r="G70" i="57"/>
  <c r="I347" i="56"/>
  <c r="G1375" i="56"/>
  <c r="F22" i="82" l="1"/>
  <c r="I22" i="82" s="1"/>
  <c r="G19" i="82"/>
  <c r="G5" i="82"/>
  <c r="G9" i="82"/>
  <c r="E20" i="82"/>
  <c r="E24" i="82" s="1"/>
  <c r="I20" i="82"/>
  <c r="E22" i="82"/>
  <c r="K22" i="82" s="1"/>
  <c r="K20" i="82"/>
  <c r="F24" i="82"/>
  <c r="I24" i="82" s="1"/>
  <c r="I696" i="56"/>
  <c r="I26" i="93"/>
  <c r="I30" i="93"/>
  <c r="I23" i="93"/>
  <c r="F26" i="82" l="1"/>
  <c r="F28" i="82" s="1"/>
  <c r="E26" i="82"/>
  <c r="K24" i="82"/>
  <c r="I565" i="56"/>
  <c r="I570" i="56"/>
  <c r="I568" i="56"/>
  <c r="I26" i="82" l="1"/>
  <c r="K26" i="82"/>
  <c r="F30" i="82"/>
  <c r="I28" i="82"/>
  <c r="I1385" i="56"/>
  <c r="H1385" i="56"/>
  <c r="I1383" i="56"/>
  <c r="H1383" i="56"/>
  <c r="I1382" i="56"/>
  <c r="I1381" i="56"/>
  <c r="H1381" i="56"/>
  <c r="I1108" i="56"/>
  <c r="I1104" i="56"/>
  <c r="E38" i="82" l="1"/>
  <c r="E40" i="82"/>
  <c r="E30" i="82"/>
  <c r="K28" i="82"/>
  <c r="F36" i="82"/>
  <c r="I30" i="82"/>
  <c r="G34" i="82"/>
  <c r="F37" i="82"/>
  <c r="I1384" i="56"/>
  <c r="I263" i="93"/>
  <c r="G30" i="82" l="1"/>
  <c r="E37" i="82"/>
  <c r="K30" i="82"/>
  <c r="H198" i="93"/>
  <c r="H193" i="93"/>
  <c r="H188" i="93"/>
  <c r="H183" i="93"/>
  <c r="H178" i="93"/>
  <c r="G1728" i="56"/>
  <c r="H80" i="56" l="1"/>
  <c r="H82" i="56"/>
  <c r="H84" i="56"/>
  <c r="H85" i="56"/>
  <c r="I1100" i="56" l="1"/>
  <c r="G455" i="56"/>
  <c r="I455" i="56" s="1"/>
  <c r="G366" i="56"/>
  <c r="I366" i="56" s="1"/>
  <c r="G313" i="56"/>
  <c r="I313" i="56" s="1"/>
  <c r="G181" i="56"/>
  <c r="I181" i="56" s="1"/>
  <c r="G196" i="56"/>
  <c r="I196" i="56" s="1"/>
  <c r="I165" i="56"/>
  <c r="G58" i="56"/>
  <c r="G50" i="56"/>
  <c r="G45" i="56"/>
  <c r="G40" i="56"/>
  <c r="I359" i="93"/>
  <c r="I358" i="93"/>
  <c r="I357" i="93"/>
  <c r="I356" i="93"/>
  <c r="I355" i="93"/>
  <c r="I354" i="93"/>
  <c r="I353" i="93"/>
  <c r="I352" i="93"/>
  <c r="I351" i="93"/>
  <c r="I349" i="93"/>
  <c r="I348" i="93"/>
  <c r="I347" i="93"/>
  <c r="I346" i="93"/>
  <c r="I345" i="93"/>
  <c r="I344" i="93"/>
  <c r="I343" i="93"/>
  <c r="I342" i="93"/>
  <c r="I341" i="93"/>
  <c r="I340" i="93"/>
  <c r="I339" i="93"/>
  <c r="I338" i="93"/>
  <c r="I337" i="93"/>
  <c r="I336" i="93"/>
  <c r="I335" i="93"/>
  <c r="I334" i="93"/>
  <c r="I333" i="93"/>
  <c r="I328" i="93"/>
  <c r="I327" i="93"/>
  <c r="I326" i="93"/>
  <c r="I325" i="93"/>
  <c r="I324" i="93"/>
  <c r="I323" i="93"/>
  <c r="I322" i="93"/>
  <c r="I321" i="93"/>
  <c r="I320" i="93"/>
  <c r="I262" i="93"/>
  <c r="I258" i="93"/>
  <c r="I257" i="93"/>
  <c r="I256" i="93"/>
  <c r="I246" i="93"/>
  <c r="I245" i="93"/>
  <c r="I244" i="93"/>
  <c r="I243" i="93"/>
  <c r="I201" i="93"/>
  <c r="I200" i="93"/>
  <c r="I191" i="93"/>
  <c r="I190" i="93"/>
  <c r="I188" i="93"/>
  <c r="I186" i="93"/>
  <c r="I181" i="93"/>
  <c r="I180" i="93"/>
  <c r="I179" i="93"/>
  <c r="I178" i="93"/>
  <c r="I176" i="93"/>
  <c r="I175" i="93"/>
  <c r="I174" i="93"/>
  <c r="I173" i="93"/>
  <c r="I172" i="93"/>
  <c r="I171" i="93"/>
  <c r="I170" i="93"/>
  <c r="I169" i="93"/>
  <c r="I168" i="93"/>
  <c r="I166" i="93"/>
  <c r="I137" i="93"/>
  <c r="I136" i="93"/>
  <c r="I135" i="93"/>
  <c r="I133" i="93"/>
  <c r="I116" i="93"/>
  <c r="I115" i="93"/>
  <c r="I114" i="93"/>
  <c r="I113" i="93"/>
  <c r="I112" i="93"/>
  <c r="I104" i="93"/>
  <c r="I103" i="93"/>
  <c r="I102" i="93"/>
  <c r="I100" i="93"/>
  <c r="I99" i="93"/>
  <c r="I98" i="93"/>
  <c r="I97" i="93"/>
  <c r="I96" i="93"/>
  <c r="I95" i="93"/>
  <c r="I91" i="93"/>
  <c r="I90" i="93"/>
  <c r="I89" i="93"/>
  <c r="I52" i="93"/>
  <c r="I51" i="93"/>
  <c r="I50" i="93"/>
  <c r="I49" i="93"/>
  <c r="I48" i="93"/>
  <c r="I47" i="93"/>
  <c r="I46" i="93"/>
  <c r="I44" i="93"/>
  <c r="I42" i="93"/>
  <c r="I41" i="93"/>
  <c r="I40" i="93"/>
  <c r="I39" i="93"/>
  <c r="I38" i="93"/>
  <c r="I37" i="93"/>
  <c r="I36" i="93"/>
  <c r="I35" i="93"/>
  <c r="I34" i="93"/>
  <c r="I33" i="93"/>
  <c r="I31" i="93"/>
  <c r="I29" i="93"/>
  <c r="I28" i="93"/>
  <c r="I27" i="93"/>
  <c r="I1839" i="56"/>
  <c r="I1838" i="56"/>
  <c r="I1837" i="56"/>
  <c r="I1836" i="56"/>
  <c r="I1835" i="56"/>
  <c r="I1781" i="56"/>
  <c r="I1780" i="56"/>
  <c r="I1779" i="56"/>
  <c r="I1778" i="56"/>
  <c r="I1777" i="56"/>
  <c r="I1776" i="56"/>
  <c r="I1775" i="56"/>
  <c r="I1774" i="56"/>
  <c r="I1773" i="56"/>
  <c r="I1772" i="56"/>
  <c r="I1770" i="56"/>
  <c r="I1769" i="56"/>
  <c r="I1756" i="56"/>
  <c r="I1755" i="56"/>
  <c r="I1754" i="56"/>
  <c r="I1753" i="56"/>
  <c r="I1752" i="56"/>
  <c r="I1751" i="56"/>
  <c r="I1750" i="56"/>
  <c r="I1749" i="56"/>
  <c r="I1748" i="56"/>
  <c r="I1747" i="56"/>
  <c r="I1746" i="56"/>
  <c r="I1745" i="56"/>
  <c r="I1744" i="56"/>
  <c r="I1743" i="56"/>
  <c r="I1742" i="56"/>
  <c r="I1741" i="56"/>
  <c r="I1740" i="56"/>
  <c r="I1739" i="56"/>
  <c r="I1738" i="56"/>
  <c r="I1737" i="56"/>
  <c r="I1736" i="56"/>
  <c r="I1733" i="56"/>
  <c r="I1732" i="56"/>
  <c r="I1731" i="56"/>
  <c r="I1730" i="56"/>
  <c r="I1729" i="56"/>
  <c r="I1728" i="56"/>
  <c r="I1727" i="56"/>
  <c r="I1726" i="56"/>
  <c r="I1725" i="56"/>
  <c r="I1724" i="56"/>
  <c r="I1723" i="56"/>
  <c r="I1722" i="56"/>
  <c r="I1721" i="56"/>
  <c r="I1720" i="56"/>
  <c r="I1719" i="56"/>
  <c r="I1718" i="56"/>
  <c r="I1717" i="56"/>
  <c r="I1716" i="56"/>
  <c r="I1715" i="56"/>
  <c r="I1714" i="56"/>
  <c r="I1713" i="56"/>
  <c r="I1712" i="56"/>
  <c r="I1711" i="56"/>
  <c r="I1710" i="56"/>
  <c r="I1709" i="56"/>
  <c r="I1708" i="56"/>
  <c r="I1707" i="56"/>
  <c r="I1706" i="56"/>
  <c r="I1705" i="56"/>
  <c r="I1704" i="56"/>
  <c r="I1703" i="56"/>
  <c r="I1702" i="56"/>
  <c r="I1669" i="56"/>
  <c r="I1668" i="56"/>
  <c r="I1667" i="56"/>
  <c r="I1666" i="56"/>
  <c r="I1665" i="56"/>
  <c r="I1664" i="56"/>
  <c r="I1663" i="56"/>
  <c r="I1662" i="56"/>
  <c r="I1661" i="56"/>
  <c r="I1660" i="56"/>
  <c r="I1659" i="56"/>
  <c r="I1658" i="56"/>
  <c r="I1657" i="56"/>
  <c r="I1656" i="56"/>
  <c r="I1655" i="56"/>
  <c r="I1654" i="56"/>
  <c r="I1653" i="56"/>
  <c r="I1652" i="56"/>
  <c r="I1651" i="56"/>
  <c r="I1650" i="56"/>
  <c r="I1649" i="56"/>
  <c r="I1648" i="56"/>
  <c r="I1647" i="56"/>
  <c r="I1646" i="56"/>
  <c r="I1645" i="56"/>
  <c r="I1644" i="56"/>
  <c r="I1643" i="56"/>
  <c r="I1642" i="56"/>
  <c r="I1641" i="56"/>
  <c r="I1640" i="56"/>
  <c r="I1639" i="56"/>
  <c r="I1638" i="56"/>
  <c r="I1637" i="56"/>
  <c r="I1607" i="56"/>
  <c r="I1606" i="56"/>
  <c r="I1605" i="56"/>
  <c r="I1604" i="56"/>
  <c r="I1603" i="56"/>
  <c r="I1602" i="56"/>
  <c r="I1601" i="56"/>
  <c r="I1600" i="56"/>
  <c r="I1599" i="56"/>
  <c r="I1598" i="56"/>
  <c r="I1597" i="56"/>
  <c r="I1596" i="56"/>
  <c r="I1595" i="56"/>
  <c r="I1594" i="56"/>
  <c r="I1593" i="56"/>
  <c r="I1592" i="56"/>
  <c r="I1591" i="56"/>
  <c r="I1590" i="56"/>
  <c r="I1589" i="56"/>
  <c r="I1588" i="56"/>
  <c r="I1587" i="56"/>
  <c r="I1586" i="56"/>
  <c r="I1585" i="56"/>
  <c r="I1584" i="56"/>
  <c r="I1583" i="56"/>
  <c r="I1582" i="56"/>
  <c r="I1581" i="56"/>
  <c r="I1580" i="56"/>
  <c r="I1579" i="56"/>
  <c r="I1578" i="56"/>
  <c r="I1577" i="56"/>
  <c r="I1576" i="56"/>
  <c r="I1575" i="56"/>
  <c r="I1574" i="56"/>
  <c r="I1573" i="56"/>
  <c r="I1533" i="56"/>
  <c r="I1532" i="56"/>
  <c r="I1531" i="56"/>
  <c r="I1530" i="56"/>
  <c r="I1529" i="56"/>
  <c r="I1528" i="56"/>
  <c r="I1527" i="56"/>
  <c r="I1526" i="56"/>
  <c r="I1525" i="56"/>
  <c r="I1524" i="56"/>
  <c r="I1523" i="56"/>
  <c r="I1522" i="56"/>
  <c r="I1521" i="56"/>
  <c r="I1520" i="56"/>
  <c r="I1519" i="56"/>
  <c r="I1518" i="56"/>
  <c r="I1517" i="56"/>
  <c r="I1516" i="56"/>
  <c r="I1515" i="56"/>
  <c r="I1514" i="56"/>
  <c r="I1513" i="56"/>
  <c r="I1512" i="56"/>
  <c r="I1511" i="56"/>
  <c r="I1510" i="56"/>
  <c r="I1509" i="56"/>
  <c r="I1508" i="56"/>
  <c r="I1507" i="56"/>
  <c r="I1506" i="56"/>
  <c r="I1505" i="56"/>
  <c r="I1504" i="56"/>
  <c r="I1503" i="56"/>
  <c r="I1502" i="56"/>
  <c r="I1501" i="56"/>
  <c r="I1448" i="56"/>
  <c r="I1447" i="56"/>
  <c r="I1446" i="56"/>
  <c r="I1445" i="56"/>
  <c r="I1444" i="56"/>
  <c r="I1443" i="56"/>
  <c r="I1442" i="56"/>
  <c r="I1441" i="56"/>
  <c r="I1440" i="56"/>
  <c r="I1439" i="56"/>
  <c r="I1438" i="56"/>
  <c r="I1437" i="56"/>
  <c r="I1436" i="56"/>
  <c r="I1435" i="56"/>
  <c r="I1434" i="56"/>
  <c r="I1393" i="56"/>
  <c r="I1392" i="56"/>
  <c r="I1391" i="56"/>
  <c r="I1390" i="56"/>
  <c r="I1389" i="56"/>
  <c r="I1388" i="56"/>
  <c r="I1387" i="56"/>
  <c r="I1386" i="56"/>
  <c r="I1378" i="56"/>
  <c r="I1377" i="56"/>
  <c r="I1376" i="56"/>
  <c r="I1375" i="56"/>
  <c r="I1374" i="56"/>
  <c r="I1373" i="56"/>
  <c r="I1372" i="56"/>
  <c r="I1371" i="56"/>
  <c r="I1370" i="56"/>
  <c r="I1369" i="56"/>
  <c r="I1368" i="56"/>
  <c r="I1367" i="56"/>
  <c r="I1328" i="56"/>
  <c r="I1327" i="56"/>
  <c r="I1326" i="56"/>
  <c r="I1325" i="56"/>
  <c r="I1324" i="56"/>
  <c r="I1323" i="56"/>
  <c r="I1322" i="56"/>
  <c r="I1321" i="56"/>
  <c r="I1320" i="56"/>
  <c r="I1319" i="56"/>
  <c r="I1318" i="56"/>
  <c r="I1317" i="56"/>
  <c r="I1316" i="56"/>
  <c r="I1315" i="56"/>
  <c r="I1314" i="56"/>
  <c r="I1313" i="56"/>
  <c r="I1312" i="56"/>
  <c r="I1311" i="56"/>
  <c r="I1310" i="56"/>
  <c r="I1309" i="56"/>
  <c r="I1308" i="56"/>
  <c r="I1307" i="56"/>
  <c r="I1306" i="56"/>
  <c r="I1305" i="56"/>
  <c r="I1304" i="56"/>
  <c r="I1303" i="56"/>
  <c r="I1301" i="56"/>
  <c r="I1283" i="56"/>
  <c r="I1282" i="56"/>
  <c r="I1281" i="56"/>
  <c r="I1280" i="56"/>
  <c r="I1279" i="56"/>
  <c r="I1278" i="56"/>
  <c r="I1277" i="56"/>
  <c r="I1276" i="56"/>
  <c r="I1275" i="56"/>
  <c r="I1274" i="56"/>
  <c r="I1273" i="56"/>
  <c r="I1272" i="56"/>
  <c r="I1271" i="56"/>
  <c r="I1270" i="56"/>
  <c r="I1269" i="56"/>
  <c r="I1268" i="56"/>
  <c r="I1267" i="56"/>
  <c r="I1266" i="56"/>
  <c r="I1265" i="56"/>
  <c r="I1264" i="56"/>
  <c r="I1263" i="56"/>
  <c r="I1262" i="56"/>
  <c r="I1261" i="56"/>
  <c r="I1260" i="56"/>
  <c r="I1259" i="56"/>
  <c r="I1258" i="56"/>
  <c r="I1256" i="56"/>
  <c r="I1255" i="56"/>
  <c r="I1254" i="56"/>
  <c r="I1253" i="56"/>
  <c r="I1241" i="56"/>
  <c r="I1240" i="56"/>
  <c r="I1239" i="56"/>
  <c r="I1237" i="56"/>
  <c r="I1236" i="56"/>
  <c r="I1171" i="56"/>
  <c r="I1170" i="56"/>
  <c r="I1169" i="56"/>
  <c r="I1168" i="56"/>
  <c r="I1166" i="56"/>
  <c r="I1165" i="56"/>
  <c r="I1099" i="56"/>
  <c r="I1040" i="56"/>
  <c r="I1039" i="56"/>
  <c r="I1038" i="56"/>
  <c r="I1037" i="56"/>
  <c r="I1036" i="56"/>
  <c r="I1034" i="56"/>
  <c r="I1033" i="56"/>
  <c r="I1032" i="56"/>
  <c r="I1031" i="56"/>
  <c r="I981" i="56"/>
  <c r="I980" i="56"/>
  <c r="I979" i="56"/>
  <c r="I978" i="56"/>
  <c r="I977" i="56"/>
  <c r="I976" i="56"/>
  <c r="I975" i="56"/>
  <c r="I974" i="56"/>
  <c r="I972" i="56"/>
  <c r="I971" i="56"/>
  <c r="I970" i="56"/>
  <c r="I969" i="56"/>
  <c r="I968" i="56"/>
  <c r="I967" i="56"/>
  <c r="I966" i="56"/>
  <c r="I964" i="56"/>
  <c r="I963" i="56"/>
  <c r="I941" i="56"/>
  <c r="I940" i="56"/>
  <c r="I939" i="56"/>
  <c r="I938" i="56"/>
  <c r="I937" i="56"/>
  <c r="I936" i="56"/>
  <c r="I935" i="56"/>
  <c r="I934" i="56"/>
  <c r="I933" i="56"/>
  <c r="I932" i="56"/>
  <c r="I931" i="56"/>
  <c r="I930" i="56"/>
  <c r="I929" i="56"/>
  <c r="I928" i="56"/>
  <c r="I927" i="56"/>
  <c r="I926" i="56"/>
  <c r="I925" i="56"/>
  <c r="I924" i="56"/>
  <c r="I923" i="56"/>
  <c r="I922" i="56"/>
  <c r="I921" i="56"/>
  <c r="I919" i="56"/>
  <c r="I918" i="56"/>
  <c r="I916" i="56"/>
  <c r="I915" i="56"/>
  <c r="I914" i="56"/>
  <c r="I913" i="56"/>
  <c r="I912" i="56"/>
  <c r="I911" i="56"/>
  <c r="I910" i="56"/>
  <c r="I909" i="56"/>
  <c r="I908" i="56"/>
  <c r="I907" i="56"/>
  <c r="I906" i="56"/>
  <c r="I905" i="56"/>
  <c r="I904" i="56"/>
  <c r="I903" i="56"/>
  <c r="I902" i="56"/>
  <c r="I901" i="56"/>
  <c r="I900" i="56"/>
  <c r="I899" i="56"/>
  <c r="I898" i="56"/>
  <c r="I897" i="56"/>
  <c r="I896" i="56"/>
  <c r="I836" i="56"/>
  <c r="I834" i="56"/>
  <c r="I832" i="56"/>
  <c r="I831" i="56"/>
  <c r="I830" i="56"/>
  <c r="I829" i="56"/>
  <c r="I828" i="56"/>
  <c r="I827" i="56"/>
  <c r="I826" i="56"/>
  <c r="I775" i="56"/>
  <c r="I774" i="56"/>
  <c r="I773" i="56"/>
  <c r="I772" i="56"/>
  <c r="I771" i="56"/>
  <c r="I770" i="56"/>
  <c r="I769" i="56"/>
  <c r="I768" i="56"/>
  <c r="I767" i="56"/>
  <c r="I766" i="56"/>
  <c r="I765" i="56"/>
  <c r="I764" i="56"/>
  <c r="I763" i="56"/>
  <c r="I762" i="56"/>
  <c r="I761" i="56"/>
  <c r="I760" i="56"/>
  <c r="I759" i="56"/>
  <c r="I758" i="56"/>
  <c r="I757" i="56"/>
  <c r="I745" i="56"/>
  <c r="I744" i="56"/>
  <c r="I743" i="56"/>
  <c r="I742" i="56"/>
  <c r="I741" i="56"/>
  <c r="I740" i="56"/>
  <c r="I739" i="56"/>
  <c r="I738" i="56"/>
  <c r="I737" i="56"/>
  <c r="I736" i="56"/>
  <c r="I735" i="56"/>
  <c r="I734" i="56"/>
  <c r="I733" i="56"/>
  <c r="I732" i="56"/>
  <c r="I731" i="56"/>
  <c r="I730" i="56"/>
  <c r="I729" i="56"/>
  <c r="I727" i="56"/>
  <c r="I726" i="56"/>
  <c r="I725" i="56"/>
  <c r="I724" i="56"/>
  <c r="I723" i="56"/>
  <c r="I721" i="56"/>
  <c r="I720" i="56"/>
  <c r="I719" i="56"/>
  <c r="I718" i="56"/>
  <c r="I717" i="56"/>
  <c r="I716" i="56"/>
  <c r="I715" i="56"/>
  <c r="I714" i="56"/>
  <c r="I713" i="56"/>
  <c r="I712" i="56"/>
  <c r="I711" i="56"/>
  <c r="I709" i="56"/>
  <c r="I708" i="56"/>
  <c r="I707" i="56"/>
  <c r="I705" i="56"/>
  <c r="I704" i="56"/>
  <c r="I703" i="56"/>
  <c r="I701" i="56"/>
  <c r="I700" i="56"/>
  <c r="I699" i="56"/>
  <c r="I697" i="56"/>
  <c r="I694" i="56"/>
  <c r="I693" i="56"/>
  <c r="I678" i="56"/>
  <c r="I677" i="56"/>
  <c r="I676" i="56"/>
  <c r="I675" i="56"/>
  <c r="I674" i="56"/>
  <c r="I673" i="56"/>
  <c r="I672" i="56"/>
  <c r="I671" i="56"/>
  <c r="I670" i="56"/>
  <c r="I669" i="56"/>
  <c r="I668" i="56"/>
  <c r="I667" i="56"/>
  <c r="I666" i="56"/>
  <c r="I665" i="56"/>
  <c r="I664" i="56"/>
  <c r="I663" i="56"/>
  <c r="I662" i="56"/>
  <c r="I661" i="56"/>
  <c r="I660" i="56"/>
  <c r="I659" i="56"/>
  <c r="I658" i="56"/>
  <c r="I657" i="56"/>
  <c r="I656" i="56"/>
  <c r="I655" i="56"/>
  <c r="I654" i="56"/>
  <c r="I653" i="56"/>
  <c r="I652" i="56"/>
  <c r="I651" i="56"/>
  <c r="I650" i="56"/>
  <c r="I649" i="56"/>
  <c r="I648" i="56"/>
  <c r="I647" i="56"/>
  <c r="I646" i="56"/>
  <c r="I645" i="56"/>
  <c r="I644" i="56"/>
  <c r="I643" i="56"/>
  <c r="I642" i="56"/>
  <c r="I641" i="56"/>
  <c r="I640" i="56"/>
  <c r="I639" i="56"/>
  <c r="I638" i="56"/>
  <c r="I637" i="56"/>
  <c r="I636" i="56"/>
  <c r="I635" i="56"/>
  <c r="I634" i="56"/>
  <c r="I633" i="56"/>
  <c r="I632" i="56"/>
  <c r="I631" i="56"/>
  <c r="I630" i="56"/>
  <c r="I622" i="56"/>
  <c r="I621" i="56"/>
  <c r="I602" i="56"/>
  <c r="I601" i="56"/>
  <c r="I593" i="56"/>
  <c r="I592" i="56"/>
  <c r="I591" i="56"/>
  <c r="I590" i="56"/>
  <c r="I589" i="56"/>
  <c r="I588" i="56"/>
  <c r="I587" i="56"/>
  <c r="I586" i="56"/>
  <c r="I585" i="56"/>
  <c r="I584" i="56"/>
  <c r="I583" i="56"/>
  <c r="I582" i="56"/>
  <c r="I581" i="56"/>
  <c r="I580" i="56"/>
  <c r="I579" i="56"/>
  <c r="I578" i="56"/>
  <c r="I577" i="56"/>
  <c r="I576" i="56"/>
  <c r="I574" i="56"/>
  <c r="I573" i="56"/>
  <c r="I572" i="56"/>
  <c r="I571" i="56"/>
  <c r="I569" i="56"/>
  <c r="I567" i="56"/>
  <c r="I566" i="56"/>
  <c r="I564" i="56"/>
  <c r="I563" i="56"/>
  <c r="I562" i="56"/>
  <c r="I561" i="56"/>
  <c r="I560" i="56"/>
  <c r="I559" i="56"/>
  <c r="I558" i="56"/>
  <c r="I557" i="56"/>
  <c r="I556" i="56"/>
  <c r="I555" i="56"/>
  <c r="I554" i="56"/>
  <c r="I553" i="56"/>
  <c r="I552" i="56"/>
  <c r="I551" i="56"/>
  <c r="I536" i="56"/>
  <c r="I535" i="56"/>
  <c r="I534" i="56"/>
  <c r="I533" i="56"/>
  <c r="I532" i="56"/>
  <c r="I531" i="56"/>
  <c r="I530" i="56"/>
  <c r="I529" i="56"/>
  <c r="I528" i="56"/>
  <c r="I527" i="56"/>
  <c r="I526" i="56"/>
  <c r="I525" i="56"/>
  <c r="I524" i="56"/>
  <c r="I523" i="56"/>
  <c r="I522" i="56"/>
  <c r="I521" i="56"/>
  <c r="I520" i="56"/>
  <c r="I519" i="56"/>
  <c r="I518" i="56"/>
  <c r="I517" i="56"/>
  <c r="I516" i="56"/>
  <c r="I515" i="56"/>
  <c r="I514" i="56"/>
  <c r="I513" i="56"/>
  <c r="I512" i="56"/>
  <c r="I511" i="56"/>
  <c r="I510" i="56"/>
  <c r="I509" i="56"/>
  <c r="I508" i="56"/>
  <c r="I507" i="56"/>
  <c r="I506" i="56"/>
  <c r="I505" i="56"/>
  <c r="I504" i="56"/>
  <c r="I503" i="56"/>
  <c r="I502" i="56"/>
  <c r="I501" i="56"/>
  <c r="I500" i="56"/>
  <c r="I499" i="56"/>
  <c r="I498" i="56"/>
  <c r="I497" i="56"/>
  <c r="I496" i="56"/>
  <c r="I495" i="56"/>
  <c r="I494" i="56"/>
  <c r="I493" i="56"/>
  <c r="I492" i="56"/>
  <c r="I491" i="56"/>
  <c r="I490" i="56"/>
  <c r="I489" i="56"/>
  <c r="I488" i="56"/>
  <c r="I456" i="56"/>
  <c r="I454" i="56"/>
  <c r="I453" i="56"/>
  <c r="I452" i="56"/>
  <c r="I451" i="56"/>
  <c r="I383" i="56"/>
  <c r="I382" i="56"/>
  <c r="I381" i="56"/>
  <c r="I380" i="56"/>
  <c r="I379" i="56"/>
  <c r="I369" i="56"/>
  <c r="I368" i="56"/>
  <c r="I367" i="56"/>
  <c r="I365" i="56"/>
  <c r="I364" i="56"/>
  <c r="I363" i="56"/>
  <c r="I362" i="56"/>
  <c r="I361" i="56"/>
  <c r="I360" i="56"/>
  <c r="I359" i="56"/>
  <c r="I358" i="56"/>
  <c r="I357" i="56"/>
  <c r="I356" i="56"/>
  <c r="I355" i="56"/>
  <c r="I354" i="56"/>
  <c r="I353" i="56"/>
  <c r="I352" i="56"/>
  <c r="I351" i="56"/>
  <c r="I350" i="56"/>
  <c r="I348" i="56"/>
  <c r="I335" i="56"/>
  <c r="I334" i="56"/>
  <c r="I333" i="56"/>
  <c r="I332" i="56"/>
  <c r="I331" i="56"/>
  <c r="I330" i="56"/>
  <c r="I329" i="56"/>
  <c r="I328" i="56"/>
  <c r="I327" i="56"/>
  <c r="I326" i="56"/>
  <c r="I325" i="56"/>
  <c r="I323" i="56"/>
  <c r="I321" i="56"/>
  <c r="I320" i="56"/>
  <c r="I319" i="56"/>
  <c r="I318" i="56"/>
  <c r="I317" i="56"/>
  <c r="I316" i="56"/>
  <c r="I315" i="56"/>
  <c r="I314" i="56"/>
  <c r="I312" i="56"/>
  <c r="I311" i="56"/>
  <c r="I310" i="56"/>
  <c r="I309" i="56"/>
  <c r="I308" i="56"/>
  <c r="I307" i="56"/>
  <c r="I306" i="56"/>
  <c r="I305" i="56"/>
  <c r="I303" i="56"/>
  <c r="I302" i="56"/>
  <c r="I301" i="56"/>
  <c r="I300" i="56"/>
  <c r="I299" i="56"/>
  <c r="I298" i="56"/>
  <c r="I297" i="56"/>
  <c r="I296" i="56"/>
  <c r="I295" i="56"/>
  <c r="I294" i="56"/>
  <c r="I293" i="56"/>
  <c r="I292" i="56"/>
  <c r="I291" i="56"/>
  <c r="I290" i="56"/>
  <c r="I289" i="56"/>
  <c r="I288" i="56"/>
  <c r="I287" i="56"/>
  <c r="I286" i="56"/>
  <c r="I285" i="56"/>
  <c r="I284" i="56"/>
  <c r="I283" i="56"/>
  <c r="I282" i="56"/>
  <c r="I281" i="56"/>
  <c r="I280" i="56"/>
  <c r="I279" i="56"/>
  <c r="I260" i="56"/>
  <c r="I259" i="56"/>
  <c r="I258" i="56"/>
  <c r="I257" i="56"/>
  <c r="I256" i="56"/>
  <c r="I255" i="56"/>
  <c r="I254" i="56"/>
  <c r="I253" i="56"/>
  <c r="I252" i="56"/>
  <c r="I251" i="56"/>
  <c r="I250" i="56"/>
  <c r="I249" i="56"/>
  <c r="I248" i="56"/>
  <c r="I247" i="56"/>
  <c r="I246" i="56"/>
  <c r="I245" i="56"/>
  <c r="I244" i="56"/>
  <c r="I243" i="56"/>
  <c r="I242" i="56"/>
  <c r="I241" i="56"/>
  <c r="I240" i="56"/>
  <c r="I239" i="56"/>
  <c r="I238" i="56"/>
  <c r="I237" i="56"/>
  <c r="I236" i="56"/>
  <c r="I235" i="56"/>
  <c r="I234" i="56"/>
  <c r="I233" i="56"/>
  <c r="I232" i="56"/>
  <c r="I231" i="56"/>
  <c r="I230" i="56"/>
  <c r="I229" i="56"/>
  <c r="I228" i="56"/>
  <c r="I227" i="56"/>
  <c r="I226" i="56"/>
  <c r="I225" i="56"/>
  <c r="I224" i="56"/>
  <c r="I223" i="56"/>
  <c r="I222" i="56"/>
  <c r="I221" i="56"/>
  <c r="I220" i="56"/>
  <c r="I219" i="56"/>
  <c r="I218" i="56"/>
  <c r="I200" i="56"/>
  <c r="I199" i="56"/>
  <c r="I198" i="56"/>
  <c r="I197" i="56"/>
  <c r="I195" i="56"/>
  <c r="I194" i="56"/>
  <c r="I193" i="56"/>
  <c r="I192" i="56"/>
  <c r="I191" i="56"/>
  <c r="I190" i="56"/>
  <c r="I189" i="56"/>
  <c r="I188" i="56"/>
  <c r="I187" i="56"/>
  <c r="I186" i="56"/>
  <c r="I185" i="56"/>
  <c r="I184" i="56"/>
  <c r="I183" i="56"/>
  <c r="I182" i="56"/>
  <c r="I180" i="56"/>
  <c r="I179" i="56"/>
  <c r="I178" i="56"/>
  <c r="I177" i="56"/>
  <c r="I176" i="56"/>
  <c r="I175" i="56"/>
  <c r="I174" i="56"/>
  <c r="I173" i="56"/>
  <c r="I171" i="56"/>
  <c r="I170" i="56"/>
  <c r="I169" i="56"/>
  <c r="I168" i="56"/>
  <c r="I167" i="56"/>
  <c r="I166" i="56"/>
  <c r="I164" i="56"/>
  <c r="I163" i="56"/>
  <c r="I162" i="56"/>
  <c r="I161" i="56"/>
  <c r="I160" i="56"/>
  <c r="I159" i="56"/>
  <c r="I158" i="56"/>
  <c r="I157" i="56"/>
  <c r="I156" i="56"/>
  <c r="I155" i="56"/>
  <c r="I154" i="56"/>
  <c r="I153" i="56"/>
  <c r="I152" i="56"/>
  <c r="I151" i="56"/>
  <c r="I150" i="56"/>
  <c r="I149" i="56"/>
  <c r="I87" i="56"/>
  <c r="I86" i="56"/>
  <c r="I85" i="56"/>
  <c r="I84" i="56"/>
  <c r="I83" i="56"/>
  <c r="I82" i="56"/>
  <c r="I81" i="56"/>
  <c r="I80" i="56"/>
  <c r="I79" i="56"/>
  <c r="I59" i="56"/>
  <c r="G34" i="56"/>
  <c r="G29" i="56"/>
  <c r="G12" i="56"/>
  <c r="D36" i="57" l="1"/>
  <c r="D38" i="57"/>
  <c r="D48" i="57"/>
  <c r="D60" i="57"/>
  <c r="D50" i="57"/>
  <c r="D42" i="57"/>
  <c r="D18" i="57"/>
  <c r="D16" i="57"/>
  <c r="D14" i="57"/>
  <c r="I270" i="56"/>
  <c r="I271" i="56"/>
  <c r="I1238" i="56" l="1"/>
  <c r="H345" i="93" l="1"/>
  <c r="H349" i="93"/>
  <c r="H351" i="93"/>
  <c r="H353" i="93"/>
  <c r="H354" i="93"/>
  <c r="H356" i="93"/>
  <c r="H321" i="93"/>
  <c r="H322" i="93"/>
  <c r="H323" i="93"/>
  <c r="H325" i="93"/>
  <c r="H243" i="93"/>
  <c r="H245" i="93"/>
  <c r="H166" i="93"/>
  <c r="H168" i="93"/>
  <c r="H169" i="93"/>
  <c r="H171" i="93"/>
  <c r="H173" i="93"/>
  <c r="H176" i="93"/>
  <c r="H190" i="93"/>
  <c r="H191" i="93"/>
  <c r="H195" i="93"/>
  <c r="H196" i="93"/>
  <c r="H200" i="93"/>
  <c r="H89" i="93"/>
  <c r="H91" i="93"/>
  <c r="H100" i="93"/>
  <c r="H115" i="93"/>
  <c r="H118" i="93"/>
  <c r="H18" i="93"/>
  <c r="H20" i="93"/>
  <c r="H24" i="93"/>
  <c r="H25" i="93"/>
  <c r="H27" i="93"/>
  <c r="H28" i="93"/>
  <c r="H29" i="93"/>
  <c r="H33" i="93"/>
  <c r="H35" i="93"/>
  <c r="H36" i="93"/>
  <c r="H37" i="93"/>
  <c r="H39" i="93"/>
  <c r="H40" i="93"/>
  <c r="H42" i="93"/>
  <c r="H44" i="93"/>
  <c r="H46" i="93"/>
  <c r="H47" i="93"/>
  <c r="H49" i="93"/>
  <c r="H51" i="93"/>
  <c r="H1703" i="56"/>
  <c r="H1705" i="56"/>
  <c r="H1706" i="56"/>
  <c r="H1709" i="56"/>
  <c r="H1710" i="56"/>
  <c r="H1711" i="56"/>
  <c r="H1714" i="56"/>
  <c r="H1718" i="56"/>
  <c r="H1719" i="56"/>
  <c r="H1721" i="56"/>
  <c r="H1723" i="56"/>
  <c r="H1725" i="56"/>
  <c r="H1726" i="56"/>
  <c r="H1727" i="56"/>
  <c r="H1729" i="56"/>
  <c r="H1731" i="56"/>
  <c r="H1652" i="56"/>
  <c r="H1653" i="56"/>
  <c r="H1655" i="56"/>
  <c r="H1656" i="56"/>
  <c r="H1638" i="56"/>
  <c r="H1641" i="56"/>
  <c r="H1643" i="56"/>
  <c r="H1574" i="56"/>
  <c r="H1576" i="56"/>
  <c r="H1577" i="56"/>
  <c r="H1579" i="56"/>
  <c r="H1580" i="56"/>
  <c r="H1582" i="56"/>
  <c r="H1584" i="56"/>
  <c r="H1586" i="56"/>
  <c r="H1588" i="56"/>
  <c r="H1590" i="56"/>
  <c r="H1592" i="56"/>
  <c r="H1593" i="56"/>
  <c r="H1594" i="56"/>
  <c r="H1596" i="56"/>
  <c r="H1598" i="56"/>
  <c r="H1599" i="56"/>
  <c r="H1601" i="56"/>
  <c r="H1603" i="56"/>
  <c r="H1501" i="56"/>
  <c r="H1502" i="56"/>
  <c r="H1504" i="56"/>
  <c r="H1510" i="56"/>
  <c r="H1511" i="56"/>
  <c r="H1514" i="56"/>
  <c r="H1515" i="56"/>
  <c r="H1518" i="56"/>
  <c r="H1521" i="56"/>
  <c r="H1524" i="56"/>
  <c r="H1525" i="56"/>
  <c r="H1527" i="56"/>
  <c r="H1528" i="56"/>
  <c r="H1435" i="56"/>
  <c r="H1436" i="56"/>
  <c r="H1437" i="56"/>
  <c r="H1439" i="56"/>
  <c r="H1440" i="56"/>
  <c r="H1442" i="56"/>
  <c r="H1370" i="56"/>
  <c r="H1372" i="56"/>
  <c r="H1373" i="56"/>
  <c r="H1374" i="56"/>
  <c r="H1376" i="56"/>
  <c r="H1378" i="56"/>
  <c r="H1386" i="56"/>
  <c r="H1388" i="56"/>
  <c r="H1390" i="56"/>
  <c r="H1305" i="56"/>
  <c r="H1306" i="56"/>
  <c r="H1307" i="56"/>
  <c r="H1254" i="56"/>
  <c r="H1237" i="56"/>
  <c r="H1168" i="56"/>
  <c r="H1170" i="56"/>
  <c r="H1033" i="56"/>
  <c r="H1034" i="56"/>
  <c r="H969" i="56"/>
  <c r="H972" i="56"/>
  <c r="H975" i="56"/>
  <c r="H979" i="56"/>
  <c r="H922" i="56"/>
  <c r="H827" i="56"/>
  <c r="H828" i="56"/>
  <c r="H832" i="56"/>
  <c r="H834" i="56"/>
  <c r="H836" i="56"/>
  <c r="H758" i="56"/>
  <c r="H760" i="56"/>
  <c r="H761" i="56"/>
  <c r="H703" i="56"/>
  <c r="H708" i="56"/>
  <c r="H712" i="56"/>
  <c r="H714" i="56"/>
  <c r="H715" i="56"/>
  <c r="H723" i="56"/>
  <c r="H731" i="56"/>
  <c r="H736" i="56"/>
  <c r="H740" i="56"/>
  <c r="H741" i="56"/>
  <c r="H621" i="56"/>
  <c r="H622" i="56"/>
  <c r="H552" i="56"/>
  <c r="H558" i="56"/>
  <c r="H565" i="56"/>
  <c r="H566" i="56"/>
  <c r="H567" i="56"/>
  <c r="H577" i="56"/>
  <c r="H578" i="56"/>
  <c r="H581" i="56"/>
  <c r="H583" i="56"/>
  <c r="H585" i="56"/>
  <c r="H586" i="56"/>
  <c r="H588" i="56"/>
  <c r="H590" i="56"/>
  <c r="H593" i="56"/>
  <c r="H601" i="56"/>
  <c r="H602" i="56"/>
  <c r="H604" i="56"/>
  <c r="I604" i="56" s="1"/>
  <c r="H606" i="56"/>
  <c r="I606" i="56" s="1"/>
  <c r="H608" i="56"/>
  <c r="I608" i="56" s="1"/>
  <c r="H513" i="56"/>
  <c r="H490" i="56"/>
  <c r="H420" i="56"/>
  <c r="H371" i="56"/>
  <c r="H372" i="56"/>
  <c r="H374" i="56"/>
  <c r="H375" i="56"/>
  <c r="H377" i="56"/>
  <c r="H354" i="56"/>
  <c r="H86" i="56"/>
  <c r="H150" i="56"/>
  <c r="H151" i="56"/>
  <c r="H152" i="56"/>
  <c r="H154" i="56"/>
  <c r="H156" i="56"/>
  <c r="H158" i="56"/>
  <c r="H182" i="56"/>
  <c r="H183" i="56"/>
  <c r="H184" i="56"/>
  <c r="H185" i="56"/>
  <c r="H186" i="56"/>
  <c r="H219" i="56"/>
  <c r="H221" i="56"/>
  <c r="H222" i="56"/>
  <c r="H224" i="56"/>
  <c r="H226" i="56"/>
  <c r="H281" i="56"/>
  <c r="H294" i="56"/>
  <c r="H302" i="56"/>
  <c r="H307" i="56"/>
  <c r="I1855" i="56" l="1"/>
  <c r="I1856" i="56"/>
  <c r="I1857" i="56"/>
  <c r="I1858" i="56"/>
  <c r="I1859" i="56"/>
  <c r="I1860" i="56"/>
  <c r="I1861" i="56"/>
  <c r="I1862" i="56"/>
  <c r="I1863" i="56"/>
  <c r="I1864" i="56"/>
  <c r="I1865" i="56"/>
  <c r="I1866" i="56"/>
  <c r="I1867" i="56"/>
  <c r="I1868" i="56"/>
  <c r="I1869" i="56"/>
  <c r="I1870" i="56"/>
  <c r="I1871" i="56"/>
  <c r="I1872" i="56"/>
  <c r="I1873" i="56"/>
  <c r="I1874" i="56"/>
  <c r="I1782" i="56"/>
  <c r="I1783" i="56"/>
  <c r="I1784" i="56"/>
  <c r="I1785" i="56"/>
  <c r="I1786" i="56"/>
  <c r="I1787" i="56"/>
  <c r="I1788" i="56"/>
  <c r="I1789" i="56"/>
  <c r="I1790" i="56"/>
  <c r="I1791" i="56"/>
  <c r="I1792" i="56"/>
  <c r="I1793" i="56"/>
  <c r="I1794" i="56"/>
  <c r="I1795" i="56"/>
  <c r="I1796" i="56"/>
  <c r="I1797" i="56"/>
  <c r="I1798" i="56"/>
  <c r="I1799" i="56"/>
  <c r="I1800" i="56"/>
  <c r="I1806" i="56"/>
  <c r="I1635" i="56"/>
  <c r="I1684" i="56"/>
  <c r="I1685" i="56"/>
  <c r="I1567" i="56"/>
  <c r="I1569" i="56"/>
  <c r="I1570" i="56"/>
  <c r="I1571" i="56"/>
  <c r="I1572" i="56"/>
  <c r="I1499" i="56"/>
  <c r="I1451" i="56"/>
  <c r="I1452" i="56"/>
  <c r="I1453" i="56"/>
  <c r="I1454" i="56"/>
  <c r="I1455" i="56"/>
  <c r="I1456" i="56"/>
  <c r="I1457" i="56"/>
  <c r="I1458" i="56"/>
  <c r="I1459" i="56"/>
  <c r="I1472" i="56"/>
  <c r="I1473" i="56"/>
  <c r="I1284" i="56"/>
  <c r="I1285" i="56"/>
  <c r="I1286" i="56"/>
  <c r="I1287" i="56"/>
  <c r="I1288" i="56"/>
  <c r="I1289" i="56"/>
  <c r="I982" i="56"/>
  <c r="D34" i="57" s="1"/>
  <c r="I838" i="56"/>
  <c r="I840" i="56"/>
  <c r="I746" i="56"/>
  <c r="I548" i="56"/>
  <c r="I549" i="56"/>
  <c r="I550" i="56"/>
  <c r="I482" i="56"/>
  <c r="I212" i="56"/>
  <c r="I213" i="56"/>
  <c r="I214" i="56"/>
  <c r="I215" i="56"/>
  <c r="I216" i="56"/>
  <c r="I217" i="56"/>
  <c r="I142" i="56"/>
  <c r="I88" i="56"/>
  <c r="I89" i="56"/>
  <c r="I90" i="56"/>
  <c r="I91" i="56"/>
  <c r="I92" i="56"/>
  <c r="I93" i="56"/>
  <c r="I94" i="56"/>
  <c r="I95" i="56"/>
  <c r="I96" i="56"/>
  <c r="I97" i="56"/>
  <c r="I98" i="56"/>
  <c r="I99" i="56"/>
  <c r="I100" i="56"/>
  <c r="I101" i="56"/>
  <c r="I102" i="56"/>
  <c r="I103" i="56"/>
  <c r="I104" i="56"/>
  <c r="I105" i="56"/>
  <c r="I106" i="56"/>
  <c r="I107" i="56"/>
  <c r="I108" i="56"/>
  <c r="I109" i="56"/>
  <c r="I110" i="56"/>
  <c r="I111" i="56"/>
  <c r="I112" i="56"/>
  <c r="I113" i="56"/>
  <c r="I114" i="56"/>
  <c r="I115" i="56"/>
  <c r="I116" i="56"/>
  <c r="I117" i="56"/>
  <c r="I118" i="56"/>
  <c r="I119" i="56"/>
  <c r="I120" i="56"/>
  <c r="I121" i="56"/>
  <c r="I122" i="56"/>
  <c r="I123" i="56"/>
  <c r="I124" i="56"/>
  <c r="I125" i="56"/>
  <c r="I126" i="56"/>
  <c r="I127" i="56"/>
  <c r="I128" i="56"/>
  <c r="I129" i="56"/>
  <c r="I130" i="56"/>
  <c r="I131" i="56"/>
  <c r="I8" i="56"/>
  <c r="D22" i="57" l="1"/>
  <c r="D9" i="82"/>
  <c r="I8" i="97" l="1"/>
  <c r="I6" i="97"/>
  <c r="I138" i="93" l="1"/>
  <c r="I1090" i="56" l="1"/>
  <c r="I610" i="56"/>
  <c r="I617" i="56" s="1"/>
  <c r="D24" i="57" s="1"/>
  <c r="I619" i="56"/>
  <c r="I1235" i="56" l="1"/>
  <c r="I1234" i="56"/>
  <c r="I1233" i="56"/>
  <c r="I1232" i="56"/>
  <c r="I1231" i="56"/>
  <c r="I1290" i="56" l="1"/>
  <c r="D44" i="57" s="1"/>
  <c r="I367" i="93" l="1"/>
  <c r="I369" i="93"/>
  <c r="I319" i="93"/>
  <c r="I318" i="93"/>
  <c r="I371" i="93"/>
  <c r="I317" i="93"/>
  <c r="I316" i="93"/>
  <c r="I315" i="93"/>
  <c r="I314" i="93"/>
  <c r="I311" i="93"/>
  <c r="I306" i="93"/>
  <c r="I305" i="93"/>
  <c r="I304" i="93"/>
  <c r="I303" i="93"/>
  <c r="I241" i="93"/>
  <c r="I240" i="93"/>
  <c r="I239" i="93"/>
  <c r="I238" i="93"/>
  <c r="I237" i="93"/>
  <c r="I234" i="93"/>
  <c r="I233" i="93"/>
  <c r="I229" i="93"/>
  <c r="I228" i="93"/>
  <c r="I227" i="93"/>
  <c r="I226" i="93"/>
  <c r="I225" i="93"/>
  <c r="I207" i="93"/>
  <c r="I206" i="93"/>
  <c r="I205" i="93"/>
  <c r="I204" i="93"/>
  <c r="I203" i="93"/>
  <c r="I202" i="93"/>
  <c r="I164" i="93"/>
  <c r="I163" i="93"/>
  <c r="I162" i="93"/>
  <c r="I161" i="93"/>
  <c r="I160" i="93"/>
  <c r="I152" i="93"/>
  <c r="I151" i="93"/>
  <c r="I150" i="93"/>
  <c r="I87" i="93"/>
  <c r="I86" i="93"/>
  <c r="I85" i="93"/>
  <c r="I84" i="93"/>
  <c r="I83" i="93"/>
  <c r="I16" i="93"/>
  <c r="I15" i="93"/>
  <c r="I14" i="93"/>
  <c r="I13" i="93"/>
  <c r="I211" i="56" l="1"/>
  <c r="I210" i="56"/>
  <c r="I209" i="56"/>
  <c r="I1892" i="56" l="1"/>
  <c r="D64" i="57" s="1"/>
  <c r="I1834" i="56"/>
  <c r="I1833" i="56"/>
  <c r="I1830" i="56"/>
  <c r="I65" i="56"/>
  <c r="I66" i="56"/>
  <c r="I132" i="56"/>
  <c r="I133" i="56"/>
  <c r="I140" i="56"/>
  <c r="I141" i="56"/>
  <c r="I265" i="56"/>
  <c r="I345" i="56"/>
  <c r="I477" i="56"/>
  <c r="I478" i="56"/>
  <c r="I545" i="56"/>
  <c r="I546" i="56"/>
  <c r="I547" i="56"/>
  <c r="I824" i="56"/>
  <c r="I843" i="56"/>
  <c r="I844" i="56"/>
  <c r="I848" i="56"/>
  <c r="I849" i="56"/>
  <c r="I850" i="56"/>
  <c r="I950" i="56"/>
  <c r="D32" i="57" s="1"/>
  <c r="I1766" i="56"/>
  <c r="I1022" i="56"/>
  <c r="I274" i="56"/>
  <c r="I275" i="56"/>
  <c r="I958" i="56"/>
  <c r="I1826" i="56"/>
  <c r="D62" i="57" s="1"/>
  <c r="I1765" i="56"/>
  <c r="I1691" i="56"/>
  <c r="D58" i="57" s="1"/>
  <c r="I1625" i="56"/>
  <c r="D56" i="57" s="1"/>
  <c r="I1566" i="56"/>
  <c r="I1558" i="56"/>
  <c r="D54" i="57" s="1"/>
  <c r="I1490" i="56"/>
  <c r="D52" i="57" s="1"/>
  <c r="I1430" i="56"/>
  <c r="I954" i="56"/>
  <c r="I474" i="56"/>
  <c r="I406" i="56"/>
  <c r="I342" i="56"/>
  <c r="I339" i="56"/>
  <c r="D10" i="57" l="1"/>
  <c r="D8" i="57"/>
  <c r="D30" i="57"/>
  <c r="I15" i="97" l="1"/>
  <c r="I11" i="97"/>
  <c r="I207" i="56"/>
  <c r="D12" i="57" l="1"/>
  <c r="I13" i="97"/>
  <c r="I9" i="97" l="1"/>
  <c r="I7" i="97" l="1"/>
  <c r="I80" i="97" s="1"/>
  <c r="D7" i="82" s="1"/>
  <c r="I1225" i="56"/>
  <c r="I755" i="56"/>
  <c r="D26" i="57" s="1"/>
  <c r="D70" i="57" s="1"/>
  <c r="D5" i="82" s="1"/>
  <c r="D20" i="82" l="1"/>
  <c r="D24" i="82" l="1"/>
  <c r="D22" i="82"/>
  <c r="D26" i="82" l="1"/>
  <c r="D28" i="82" s="1"/>
  <c r="D30" i="82" s="1"/>
  <c r="G24" i="57" l="1"/>
  <c r="H24" i="57" s="1"/>
  <c r="G54" i="57" l="1"/>
  <c r="H54" i="57" s="1"/>
  <c r="G10" i="57" l="1"/>
  <c r="H10" i="57" s="1"/>
  <c r="G30" i="57"/>
  <c r="H30" i="57" s="1"/>
  <c r="H5" i="82" l="1"/>
  <c r="I5" i="8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481 qty_rev3" type="6" refreshedVersion="3" background="1" saveData="1">
    <textPr codePage="437" sourceFile="E:\Temp\Mooiplaas VO\D481 qty_rev3.txt" delimited="0" thousands=" ">
      <textFields count="8">
        <textField/>
        <textField position="8"/>
        <textField position="22"/>
        <textField position="31"/>
        <textField position="37"/>
        <textField position="41"/>
        <textField position="50"/>
        <textField position="60"/>
      </textFields>
    </textPr>
  </connection>
  <connection id="2" xr16:uid="{00000000-0015-0000-FFFF-FFFF01000000}" name="D481 ssg_rev3" type="6" refreshedVersion="3" background="1" saveData="1">
    <textPr codePage="437" sourceFile="E:\Temp\Mooiplaas VO\D481 ssg_rev3.txt" delimited="0" thousands=" ">
      <textFields count="8">
        <textField/>
        <textField position="8"/>
        <textField position="22"/>
        <textField position="31"/>
        <textField position="37"/>
        <textField position="41"/>
        <textField position="50"/>
        <textField position="60"/>
      </textFields>
    </textPr>
  </connection>
  <connection id="3" xr16:uid="{00000000-0015-0000-FFFF-FFFF02000000}" name="Masshaul_rev21" type="6" refreshedVersion="4" background="1" saveData="1">
    <textPr codePage="437" sourceFile="Q:\4 Lidwala\PROJECTS\GENERAL\13009-N-R-B D481 Mooiplaas Phase 2\5 Design Information\5.1 Calculations\Masshaul_rev2.txt" delimited="0" thousands=" ">
      <textFields count="9">
        <textField/>
        <textField position="8"/>
        <textField position="23"/>
        <textField position="28"/>
        <textField position="36"/>
        <textField position="45"/>
        <textField position="50"/>
        <textField position="60"/>
        <textField position="69"/>
      </textFields>
    </textPr>
  </connection>
</connections>
</file>

<file path=xl/sharedStrings.xml><?xml version="1.0" encoding="utf-8"?>
<sst xmlns="http://schemas.openxmlformats.org/spreadsheetml/2006/main" count="3291" uniqueCount="894">
  <si>
    <t xml:space="preserve"> L</t>
  </si>
  <si>
    <t>L  17.04</t>
  </si>
  <si>
    <t>L  17.02</t>
  </si>
  <si>
    <t>L  21.03</t>
  </si>
  <si>
    <t>L  21.05</t>
  </si>
  <si>
    <t>L  21.04</t>
  </si>
  <si>
    <t>L  21.12</t>
  </si>
  <si>
    <t>L  21.16</t>
  </si>
  <si>
    <t>L  21.19</t>
  </si>
  <si>
    <t>L  22.02</t>
  </si>
  <si>
    <t>L  33.13</t>
  </si>
  <si>
    <t>Extra over item 56.05 for cement-treated soil backfill</t>
  </si>
  <si>
    <t>Extra over item 56.05 for rock excavation</t>
  </si>
  <si>
    <t>ROAD MARKINGS</t>
  </si>
  <si>
    <t>Road-marking paint:</t>
  </si>
  <si>
    <t>Variations in rate of application:</t>
  </si>
  <si>
    <t>Relocation of traffic-control facilities</t>
  </si>
  <si>
    <t>Clearing and grubbing of:</t>
  </si>
  <si>
    <t>slopes steeper than 1:4</t>
  </si>
  <si>
    <t>34/16.02</t>
  </si>
  <si>
    <t>material hauled in excess of 1,0 km</t>
  </si>
  <si>
    <t>over unstabilized compacted layers:</t>
  </si>
  <si>
    <t>Galvanised gabion boxes (1.0m diaphragm spacing)</t>
  </si>
  <si>
    <t>Borrow Material</t>
  </si>
  <si>
    <t>L</t>
  </si>
  <si>
    <t>Temporary gravel deviations</t>
  </si>
  <si>
    <t>Mounted back to back</t>
  </si>
  <si>
    <t xml:space="preserve">5 m3 Tippers </t>
  </si>
  <si>
    <t xml:space="preserve">10 m3 Tippers </t>
  </si>
  <si>
    <t>FINISHING THE ROAD AND ROAD RESERVE AND TREATING OLD ROADS</t>
  </si>
  <si>
    <t>Finishing the road and road reserve:</t>
  </si>
  <si>
    <t>Treatment of old roads and temporary deviations</t>
  </si>
  <si>
    <t>SCHEDULE</t>
  </si>
  <si>
    <t>SERIES 1000 :  GENERAL</t>
  </si>
  <si>
    <t>Housing, offices and laboratories for the engineer's site personnel</t>
  </si>
  <si>
    <t>Accommodation of traffic</t>
  </si>
  <si>
    <t>Dayworks</t>
  </si>
  <si>
    <t>SERIES 2000 :  DRAINAGE</t>
  </si>
  <si>
    <t>Drains</t>
  </si>
  <si>
    <t>Prefabricated culverts</t>
  </si>
  <si>
    <t>SERIES 3000 :  EARTHWORKS AND PAVEMENT LAYERS OF GRAVEL OR CRUSHED STONE</t>
  </si>
  <si>
    <t>Mass earthworks</t>
  </si>
  <si>
    <t>Pavement layers of gravel material</t>
  </si>
  <si>
    <t>Supply, transport and erect contract sign board as per</t>
  </si>
  <si>
    <t>No.</t>
  </si>
  <si>
    <t>Temporary deviation</t>
  </si>
  <si>
    <t>600mm diameter pipes</t>
  </si>
  <si>
    <t>900mm diameter pipes</t>
  </si>
  <si>
    <t xml:space="preserve">Contractor's handling of costs, provit and all other </t>
  </si>
  <si>
    <t>charges in respect of sub-item B18.05 a)</t>
  </si>
  <si>
    <t>19mm crushed stone obtained from commercial source</t>
  </si>
  <si>
    <t>Course grade: 19mm nominal size</t>
  </si>
  <si>
    <t>Test flushing of pipe subsoil drains</t>
  </si>
  <si>
    <t>Stacking 900mm diameter</t>
  </si>
  <si>
    <t>Concrete kerbing cast in-situ or manufactered on site</t>
  </si>
  <si>
    <t>Saw cutting of in situ materials:</t>
  </si>
  <si>
    <t>Concrete screed or backfill below chutes (class 25/19)</t>
  </si>
  <si>
    <t>IBE bitumen prime</t>
  </si>
  <si>
    <t>SERIES 4000 :  ASPHALT PAVEMENTS AND SEALS</t>
  </si>
  <si>
    <t>SERIES 5000 :  ANCILLARY ROADWORKS</t>
  </si>
  <si>
    <t>Pitching, stonework and protection against erosion</t>
  </si>
  <si>
    <t>Gabions</t>
  </si>
  <si>
    <t>Guardrails</t>
  </si>
  <si>
    <t>Fencing</t>
  </si>
  <si>
    <t>Road signs</t>
  </si>
  <si>
    <t>Road markings</t>
  </si>
  <si>
    <t>Finishing the road and road reserve and treating old roads</t>
  </si>
  <si>
    <t>CLEARING AND GRUBBING</t>
  </si>
  <si>
    <t>Scheduled</t>
  </si>
  <si>
    <t>Quantity</t>
  </si>
  <si>
    <t>Value</t>
  </si>
  <si>
    <t>TOTAL BROUGHT FORWARD</t>
  </si>
  <si>
    <t>A</t>
  </si>
  <si>
    <t>ROADWORKS</t>
  </si>
  <si>
    <t>TOTAL OF SCHEDULE OF QUANTITIES</t>
  </si>
  <si>
    <t>SUBTOTAL</t>
  </si>
  <si>
    <t>TOTAL TENDER SUM</t>
  </si>
  <si>
    <t>m²</t>
  </si>
  <si>
    <t xml:space="preserve">Estimated </t>
  </si>
  <si>
    <t>SCHEDULE A : ROADWORKS</t>
  </si>
  <si>
    <t>B14.03</t>
  </si>
  <si>
    <t>ENVIROMENTAL MANAGEMENT PLAN</t>
  </si>
  <si>
    <t>Prov sum</t>
  </si>
  <si>
    <t>Community participation</t>
  </si>
  <si>
    <t>L B12.02</t>
  </si>
  <si>
    <t>B12.03</t>
  </si>
  <si>
    <t>Construction Regulations</t>
  </si>
  <si>
    <t>Contractor’s time related obligations in respect</t>
  </si>
  <si>
    <t>of the Occupational Health and Safety Act and</t>
  </si>
  <si>
    <t xml:space="preserve">Excavation for subsoil drainage systems: </t>
  </si>
  <si>
    <t>L  23.01</t>
  </si>
  <si>
    <t>Trimming</t>
  </si>
  <si>
    <t>L 58.03</t>
  </si>
  <si>
    <t>Grassing:</t>
  </si>
  <si>
    <t>Machine trimming</t>
  </si>
  <si>
    <t>Hand trimming</t>
  </si>
  <si>
    <t>Scarifying for loosening topsoil</t>
  </si>
  <si>
    <t>Superphosphate</t>
  </si>
  <si>
    <t>Formula 3:2:1(25)</t>
  </si>
  <si>
    <t>Formula 2:3:2(22)+Zn</t>
  </si>
  <si>
    <t>Hydroseeding:</t>
  </si>
  <si>
    <t>Providing an approved seed mixture for hydroseeding</t>
  </si>
  <si>
    <t>Providing an approved mulch</t>
  </si>
  <si>
    <t>Hydroseeding</t>
  </si>
  <si>
    <t xml:space="preserve"> ha</t>
  </si>
  <si>
    <t xml:space="preserve"> t</t>
  </si>
  <si>
    <t>Topsoiling within the road reserve, where the following</t>
  </si>
  <si>
    <t>materials are used:</t>
  </si>
  <si>
    <t xml:space="preserve">Topsoil obtained from within the road reserve or </t>
  </si>
  <si>
    <t>borrow areas (free haul 1,0 km)</t>
  </si>
  <si>
    <t xml:space="preserve">Providing and applying chemical fertilisers and/or </t>
  </si>
  <si>
    <t>soil-improvement material:</t>
  </si>
  <si>
    <t>Handling cost and profit in respect of B12.03 (a) above</t>
  </si>
  <si>
    <t>Community liaison officer</t>
  </si>
  <si>
    <t xml:space="preserve"> Cost of community participation and PLC support </t>
  </si>
  <si>
    <t xml:space="preserve"> Handling cost and profit in respect of subitem 12.05 (a) </t>
  </si>
  <si>
    <t>Binder variations</t>
  </si>
  <si>
    <t>Fixed obligations</t>
  </si>
  <si>
    <t>Time-related obligations</t>
  </si>
  <si>
    <t>CONTRACTOR'S ESTABLISHMENT ON SITE</t>
  </si>
  <si>
    <t>AND GENERAL OBLIGATIONS</t>
  </si>
  <si>
    <t>f)</t>
  </si>
  <si>
    <t>g)</t>
  </si>
  <si>
    <t>h)</t>
  </si>
  <si>
    <t>ii)</t>
  </si>
  <si>
    <t>iii)</t>
  </si>
  <si>
    <t>vi)</t>
  </si>
  <si>
    <t>x)</t>
  </si>
  <si>
    <t>xi)</t>
  </si>
  <si>
    <t>xiii)</t>
  </si>
  <si>
    <t>v)</t>
  </si>
  <si>
    <t>ix)</t>
  </si>
  <si>
    <t>xiv)</t>
  </si>
  <si>
    <t>Fixed costs</t>
  </si>
  <si>
    <t>Running costs</t>
  </si>
  <si>
    <t>Shaping of temporary deviations</t>
  </si>
  <si>
    <t>Cut and borrow to fill</t>
  </si>
  <si>
    <t>Cut to spoil</t>
  </si>
  <si>
    <t>j)</t>
  </si>
  <si>
    <t>Flagmen</t>
  </si>
  <si>
    <t>Portable STOP and GO-RY signs</t>
  </si>
  <si>
    <t>Amber flicker lights</t>
  </si>
  <si>
    <t>Road signs, R- and TR-series, (900mm)</t>
  </si>
  <si>
    <t>Road signs, TW-series, (900mm)</t>
  </si>
  <si>
    <t>Road signs, STW-, DTG-, TGS- and TG-series (excluding</t>
  </si>
  <si>
    <t>delineators and barricades)</t>
  </si>
  <si>
    <t>Delineators (DTG50J) (900mm):</t>
  </si>
  <si>
    <t>On site</t>
  </si>
  <si>
    <t>Temporary deviations</t>
  </si>
  <si>
    <t>Existing roads used as temporay deviations</t>
  </si>
  <si>
    <t>Normal areas:</t>
  </si>
  <si>
    <t>Within the road reserve</t>
  </si>
  <si>
    <t>Existing embankments and cut slopes with</t>
  </si>
  <si>
    <t>Girth exceeding 1 m up to and including 2 m</t>
  </si>
  <si>
    <t>Girth exceeding 2 m up to and including 3 m</t>
  </si>
  <si>
    <t>Unskilled labour</t>
  </si>
  <si>
    <t>Skilled labour</t>
  </si>
  <si>
    <t>Outside normal working hours and Saturdays:</t>
  </si>
  <si>
    <t>Cat D7H Dozer or equivalent</t>
  </si>
  <si>
    <t>Cat 350 Excavator or equivalent</t>
  </si>
  <si>
    <t>Cat 428 TLB or equivalent</t>
  </si>
  <si>
    <t>Cat 140G Grader or equivalent</t>
  </si>
  <si>
    <t>Cat 930 Loader or equivalent</t>
  </si>
  <si>
    <t>Bomag BW90 Pedestrian roller or equivalent</t>
  </si>
  <si>
    <t>Watercart 5 000l</t>
  </si>
  <si>
    <t>Tractor - trailer combination (43kw - 3 ton min.)</t>
  </si>
  <si>
    <t xml:space="preserve">Chainsaw </t>
  </si>
  <si>
    <t>LDV</t>
  </si>
  <si>
    <t>Flatbed truck</t>
  </si>
  <si>
    <t>Excavating soft material situated within the following</t>
  </si>
  <si>
    <t>depth ranges below the surface level:</t>
  </si>
  <si>
    <t>0 m up to 1,5 m</t>
  </si>
  <si>
    <t>Extra over subitem 21.01 (a) for excavation in hard</t>
  </si>
  <si>
    <t>material, irrespective of depth</t>
  </si>
  <si>
    <t>Extra over subitem 21.03 (a) for excavation in hard</t>
  </si>
  <si>
    <t>material irrespective of depth</t>
  </si>
  <si>
    <t>Stacking 600mm diameter</t>
  </si>
  <si>
    <t>Ordinary pipes (110mm diameter uPVC)</t>
  </si>
  <si>
    <t>Natural permeable material in subsoil drainage systems</t>
  </si>
  <si>
    <t>(crushed stone):</t>
  </si>
  <si>
    <t>Unplasticized PVC pipes and fittings, normal duty,</t>
  </si>
  <si>
    <t>Concrete outlet structures, manhole boxes, junction boxes</t>
  </si>
  <si>
    <t>and cleaning eyes for subsoil drainage systems:</t>
  </si>
  <si>
    <t>Overhaul for material hauled in excess of 1,0 km free-haul</t>
  </si>
  <si>
    <t>(normal overhaul)</t>
  </si>
  <si>
    <t>Selected backfill material under concrete-lined side drains</t>
  </si>
  <si>
    <t>compacted to 93 % of modified AASHTO density</t>
  </si>
  <si>
    <t>Exceeding 1,5 m and up to 3,0 m</t>
  </si>
  <si>
    <t xml:space="preserve">Extra over subitem 22.01 (a) for excavation in hard </t>
  </si>
  <si>
    <t>Using excavated material</t>
  </si>
  <si>
    <t>Using imported selected material</t>
  </si>
  <si>
    <t>Extra over subitems 22.02 (a) and (b) for soil cement</t>
  </si>
  <si>
    <t>backfilling (5 % OPC)</t>
  </si>
  <si>
    <t>On class B bedding</t>
  </si>
  <si>
    <t>Mild steel bars</t>
  </si>
  <si>
    <t>High-tensile steel bars</t>
  </si>
  <si>
    <t>Welded steel fabric</t>
  </si>
  <si>
    <t>Split pipes (250 mm diameter uPVC)</t>
  </si>
  <si>
    <t>Overhaul on excavated material carted to spoil, backfill</t>
  </si>
  <si>
    <t xml:space="preserve">material (but excluding Portland cement in the case of soil </t>
  </si>
  <si>
    <t>cement), for haul in excess of the free-haul distance</t>
  </si>
  <si>
    <t>CONCRETE KERBING, CONCRETE CHANNELLING,</t>
  </si>
  <si>
    <t>CHUTES AND DOWNPIPES AND CONCRETE</t>
  </si>
  <si>
    <t>150mm deep</t>
  </si>
  <si>
    <t>LININGS FOR OPEN DRAINS</t>
  </si>
  <si>
    <t>(class 30/19 concrete):</t>
  </si>
  <si>
    <t>Prefabricated concrete chutes</t>
  </si>
  <si>
    <t>Concrete drift for crossing concrete drain</t>
  </si>
  <si>
    <t>In soft  material</t>
  </si>
  <si>
    <t>In hard material</t>
  </si>
  <si>
    <t>Class U2 surface finish to cast in situ concrete</t>
  </si>
  <si>
    <t>To ends of slabs</t>
  </si>
  <si>
    <t>Concrete kerbing, concrete channelling, chutes and downpipes, and concrete linings for open drains</t>
  </si>
  <si>
    <t>Formwork to cast in situ concrete lining for open drains</t>
  </si>
  <si>
    <t>(Class F2 surface finish):</t>
  </si>
  <si>
    <t>To sides with formwork on both internal and external</t>
  </si>
  <si>
    <t>faces (each face measured)</t>
  </si>
  <si>
    <t>Steel reinforcement (for concrete drains, energy breakers</t>
  </si>
  <si>
    <t>&amp; in-/outlet structures):</t>
  </si>
  <si>
    <t>Material in compacted layer thickness of 200 mm</t>
  </si>
  <si>
    <t>and less:</t>
  </si>
  <si>
    <t>Compacted to 90 % of modified AASHTO density</t>
  </si>
  <si>
    <t>Rock fill</t>
  </si>
  <si>
    <t>Extra over item 33.01 for excavating and breaking down</t>
  </si>
  <si>
    <t>material in:</t>
  </si>
  <si>
    <t>Hard excavation</t>
  </si>
  <si>
    <t>Soft excavation</t>
  </si>
  <si>
    <t>Boulder excavation class A</t>
  </si>
  <si>
    <t>Boulder excavation class B</t>
  </si>
  <si>
    <t>Compaction to 90 % of modified AASHTO density.</t>
  </si>
  <si>
    <t>Compaction to 93 % of modified AASHTO density</t>
  </si>
  <si>
    <t>In situ treatment by blasting</t>
  </si>
  <si>
    <t>Cut slopes</t>
  </si>
  <si>
    <t>Fill slopes</t>
  </si>
  <si>
    <t>Pavement layers constructed from gravel taken from cut</t>
  </si>
  <si>
    <t>Gravel selected layer compacted to:</t>
  </si>
  <si>
    <t>93% of modified AASHTO density, 150 mm thick</t>
  </si>
  <si>
    <t xml:space="preserve">Slaked road lime </t>
  </si>
  <si>
    <t>Chem-ll grade 32.5</t>
  </si>
  <si>
    <t>MC 30 cut back bitumen</t>
  </si>
  <si>
    <t>Extra over item 41.01 for applying the prime coat in areas</t>
  </si>
  <si>
    <t>accessible only to hand held equipment</t>
  </si>
  <si>
    <t>Plain Pitching</t>
  </si>
  <si>
    <t>Method 1</t>
  </si>
  <si>
    <t>Cement-mortored stone walls</t>
  </si>
  <si>
    <t>For scour checks and remedial work</t>
  </si>
  <si>
    <t>In solid rock (material which requires blasting)</t>
  </si>
  <si>
    <t>Galvanised gabion mattresses</t>
  </si>
  <si>
    <t>Galvanised</t>
  </si>
  <si>
    <t>Timber</t>
  </si>
  <si>
    <t>l)</t>
  </si>
  <si>
    <t>Straining posts, stays and anchors:</t>
  </si>
  <si>
    <t>In all other classes of material</t>
  </si>
  <si>
    <t>Removing and stacking exisiting culverts</t>
  </si>
  <si>
    <t>no</t>
  </si>
  <si>
    <t>STABILIZATION</t>
  </si>
  <si>
    <t>Stabilization</t>
  </si>
  <si>
    <t xml:space="preserve">Clearing and grubbing at inlets and outlets of hydraulic </t>
  </si>
  <si>
    <t>structures</t>
  </si>
  <si>
    <t>Removal and grubbing of large trees and tree stumps:</t>
  </si>
  <si>
    <t>Clearing and grubbing</t>
  </si>
  <si>
    <t>Prime Coat</t>
  </si>
  <si>
    <t>Rate</t>
  </si>
  <si>
    <t>Item</t>
  </si>
  <si>
    <t>Description</t>
  </si>
  <si>
    <t>Unit</t>
  </si>
  <si>
    <t>No</t>
  </si>
  <si>
    <t>SCHEDULE OF QUANTITIES</t>
  </si>
  <si>
    <t>TOTAL CARRIED TO SUMMARY</t>
  </si>
  <si>
    <t>Prov Sum</t>
  </si>
  <si>
    <t>%</t>
  </si>
  <si>
    <t>Contractor's general obligations</t>
  </si>
  <si>
    <t>Month</t>
  </si>
  <si>
    <t>HOUSING, OFFICES AND LABORATORIES FOR</t>
  </si>
  <si>
    <t>THE ENGINEER'S SITE PERSONNEL</t>
  </si>
  <si>
    <r>
      <t>m</t>
    </r>
    <r>
      <rPr>
        <vertAlign val="superscript"/>
        <sz val="9"/>
        <rFont val="Arial"/>
        <family val="2"/>
      </rPr>
      <t>2</t>
    </r>
  </si>
  <si>
    <t>c)</t>
  </si>
  <si>
    <t>i)</t>
  </si>
  <si>
    <t>a)</t>
  </si>
  <si>
    <t>b)</t>
  </si>
  <si>
    <t>k)</t>
  </si>
  <si>
    <t>d)</t>
  </si>
  <si>
    <t>e)</t>
  </si>
  <si>
    <t>TOTAL CARRIED FORWARD</t>
  </si>
  <si>
    <t>month</t>
  </si>
  <si>
    <t>ACCOMMODATION OF TRAFFIC</t>
  </si>
  <si>
    <t xml:space="preserve">Accommodating traffic and maintaining </t>
  </si>
  <si>
    <t>temporary deviations</t>
  </si>
  <si>
    <t>km</t>
  </si>
  <si>
    <t>Earthworks for temporary deviations:</t>
  </si>
  <si>
    <t>man-day</t>
  </si>
  <si>
    <t>Gravelling and repair of temporary deviations and existing</t>
  </si>
  <si>
    <t>gravel shoulders used as temporary deviations:</t>
  </si>
  <si>
    <t>Watering of temporary deviations</t>
  </si>
  <si>
    <t>kl</t>
  </si>
  <si>
    <t>Blading by road grader of:</t>
  </si>
  <si>
    <t>km-pass</t>
  </si>
  <si>
    <t>15/16.02</t>
  </si>
  <si>
    <t>Overhaul on material hauled in excess of 1,0 km (ordinary</t>
  </si>
  <si>
    <t>overhaul)</t>
  </si>
  <si>
    <t>DAYWORKS</t>
  </si>
  <si>
    <t>Personnel during normal working hours:</t>
  </si>
  <si>
    <t>Personnel outside normal working hours:</t>
  </si>
  <si>
    <t>b)  Sundays and public holidays:</t>
  </si>
  <si>
    <t>Plant</t>
  </si>
  <si>
    <t>DRAINS</t>
  </si>
  <si>
    <t>Excavation of open drains:</t>
  </si>
  <si>
    <t>Inpermeable backfilling to subsoil drainage systems</t>
  </si>
  <si>
    <t>Banks and dykes</t>
  </si>
  <si>
    <t>Pipes in subsoil drainage systems:</t>
  </si>
  <si>
    <t>m</t>
  </si>
  <si>
    <t>Concrete caps for subsoil drain pipes</t>
  </si>
  <si>
    <t>Backfilling existing eroded side drains</t>
  </si>
  <si>
    <t>PREFABRICATED CULVERTS</t>
  </si>
  <si>
    <t>Excavation</t>
  </si>
  <si>
    <t>Backfilling</t>
  </si>
  <si>
    <t>Concrete pipe culverts:</t>
  </si>
  <si>
    <t>t</t>
  </si>
  <si>
    <t>kg</t>
  </si>
  <si>
    <t>Service ducts:</t>
  </si>
  <si>
    <t>Duct marker blocks</t>
  </si>
  <si>
    <t>BORROW MATERIALS</t>
  </si>
  <si>
    <t>Finishing-off borrow area's in:</t>
  </si>
  <si>
    <t>Soft material</t>
  </si>
  <si>
    <t>Trimming of excavations for concrete-lined open drains:</t>
  </si>
  <si>
    <t>Sealed joints in concrete linings of open drains</t>
  </si>
  <si>
    <t>MASS EARTHWORKS</t>
  </si>
  <si>
    <t>33.10</t>
  </si>
  <si>
    <t>Roadbed preparation and the compaction of material:</t>
  </si>
  <si>
    <t>33.12</t>
  </si>
  <si>
    <t>In-situ treatment of roadbed:</t>
  </si>
  <si>
    <t>Finishing-off cut and fill slopes</t>
  </si>
  <si>
    <t>33/16.02</t>
  </si>
  <si>
    <t>C</t>
  </si>
  <si>
    <t>SCHEDULE C : ENVIROMENTAL MANAGEMENT PLAN</t>
  </si>
  <si>
    <t>SECTION</t>
  </si>
  <si>
    <t>Penalty for unnecessary removal or damage to trees</t>
  </si>
  <si>
    <t>C10.01</t>
  </si>
  <si>
    <t>(a) 2600mm girth or less</t>
  </si>
  <si>
    <t>no.</t>
  </si>
  <si>
    <t>(b) Greater than 2600mm, but less than 6180mm girth</t>
  </si>
  <si>
    <t>(c) Greater than 61800mm girth</t>
  </si>
  <si>
    <t>Penalty for serious violations</t>
  </si>
  <si>
    <t>C10.02</t>
  </si>
  <si>
    <t xml:space="preserve">(a) Hazardous chemical/oil spill and/or dumping in
 non-approved sites
</t>
  </si>
  <si>
    <t>(b) General damage to sensitive environments</t>
  </si>
  <si>
    <t>(c) Damage to cultural and historical sites</t>
  </si>
  <si>
    <t>(d) Pollution of water sources</t>
  </si>
  <si>
    <t>(e) Unauthorised blasting activities</t>
  </si>
  <si>
    <t>(a) Littering on site</t>
  </si>
  <si>
    <t>Penalty for less serious violations</t>
  </si>
  <si>
    <t>C10.03</t>
  </si>
  <si>
    <t>(b) Lighting of illegal fires on site</t>
  </si>
  <si>
    <t>(c ) Persistent or un-repaired fuel and oil leaks</t>
  </si>
  <si>
    <t>(f) Excess dust or excess noise emanating from site</t>
  </si>
  <si>
    <t xml:space="preserve">(g) Dumping of milled material in side drains or on grassed areas
</t>
  </si>
  <si>
    <t>(h) Possession or use of intoxicating substances on site</t>
  </si>
  <si>
    <t>(i)  Any vehicles being driven in excess of designated speed limits</t>
  </si>
  <si>
    <t xml:space="preserve">(j)  Removal and/or damage to flora or cultural or heritage objects on site, and/or killing of wildlife
</t>
  </si>
  <si>
    <t>(k) Illegal hunting</t>
  </si>
  <si>
    <t>(l) Urination and defecation anywhere except in designated areas</t>
  </si>
  <si>
    <t>B12.04</t>
  </si>
  <si>
    <t>GENERAL REQUIREMENTS AND PROVISIONS</t>
  </si>
  <si>
    <t>FOUNDATIONS FOR STRUCTURES</t>
  </si>
  <si>
    <t>Excavation:</t>
  </si>
  <si>
    <t>B12.01</t>
  </si>
  <si>
    <t>CETA accredited training</t>
  </si>
  <si>
    <t>Handling cost and profit in respect of B12.01 a) above</t>
  </si>
  <si>
    <t>Training:</t>
  </si>
  <si>
    <t>Excavation for services:</t>
  </si>
  <si>
    <t>Excavation in search of existing services in soft material</t>
  </si>
  <si>
    <t>situated within the following depth ranges below the</t>
  </si>
  <si>
    <t>surface level:</t>
  </si>
  <si>
    <t>0m to 2m</t>
  </si>
  <si>
    <t>Extra over item B12.02 a) for excavation in hard material</t>
  </si>
  <si>
    <t>in the close vicinity of services using jackhammers,</t>
  </si>
  <si>
    <t>power tools, etc where no blasting or machine</t>
  </si>
  <si>
    <t>excavation is permitted</t>
  </si>
  <si>
    <t>Relocation and protection of existing services:</t>
  </si>
  <si>
    <t xml:space="preserve">Relocation, including lowering or raising, protection </t>
  </si>
  <si>
    <t xml:space="preserve">and/or repair of existing services which are not allowed </t>
  </si>
  <si>
    <t>for under items in the schedule of quantities</t>
  </si>
  <si>
    <t>Provision of Community Liaison Officer</t>
  </si>
  <si>
    <t>B12.06</t>
  </si>
  <si>
    <t>B12.07</t>
  </si>
  <si>
    <t>material hauled in excess of 1,0 km (ordinary overhaul)</t>
  </si>
  <si>
    <t>Concrete Class 15/19 in Blinding Layer</t>
  </si>
  <si>
    <t>Extra over Item 52.03(c) for cutting mattresses to suit</t>
  </si>
  <si>
    <t xml:space="preserve">semi-matt background (class II).  Symbols, lettering, </t>
  </si>
  <si>
    <t>Kilometer posts</t>
  </si>
  <si>
    <t>B56.10</t>
  </si>
  <si>
    <t>Danger Plates:</t>
  </si>
  <si>
    <t>Danger plates at culverts – W401</t>
  </si>
  <si>
    <t>Chevron plates at bridges and other locations – W401</t>
  </si>
  <si>
    <t>Cast in-situ concrete in footings to signs, Class 15/19</t>
  </si>
  <si>
    <t>B57.05</t>
  </si>
  <si>
    <t>Foundation fill consisting of:</t>
  </si>
  <si>
    <t>Class F1 surface finish to:</t>
  </si>
  <si>
    <t>Class F2 surface finish to:</t>
  </si>
  <si>
    <t>STEEL REINFORCEMENT FOR STRUCTURES</t>
  </si>
  <si>
    <t>Steel reinforcement for:</t>
  </si>
  <si>
    <t>CONCRETE FOR STRUCTURES</t>
  </si>
  <si>
    <t>Filled joints:</t>
  </si>
  <si>
    <t>Joints measured per square metre:</t>
  </si>
  <si>
    <t>Unfilled joints:</t>
  </si>
  <si>
    <t>Dismantling existing fences:</t>
  </si>
  <si>
    <t>Stock-proof fences</t>
  </si>
  <si>
    <t>LANDSCAPING</t>
  </si>
  <si>
    <t>Landscaping</t>
  </si>
  <si>
    <t>B14.11</t>
  </si>
  <si>
    <t>L 21.06</t>
  </si>
  <si>
    <t>L 21.07</t>
  </si>
  <si>
    <t>L 21.08</t>
  </si>
  <si>
    <t>L 21.10</t>
  </si>
  <si>
    <t>L 21.13</t>
  </si>
  <si>
    <t>L 22.23</t>
  </si>
  <si>
    <t>L 22.24</t>
  </si>
  <si>
    <t>L 73/23.01</t>
  </si>
  <si>
    <t>L 23.03</t>
  </si>
  <si>
    <t>L 23.05</t>
  </si>
  <si>
    <t>L 23.07</t>
  </si>
  <si>
    <t>L 23.08</t>
  </si>
  <si>
    <t>L 23.09</t>
  </si>
  <si>
    <t>L 23.10</t>
  </si>
  <si>
    <t>L 23.11</t>
  </si>
  <si>
    <t>L 23.12</t>
  </si>
  <si>
    <t>L 41.03</t>
  </si>
  <si>
    <t>L  51.01</t>
  </si>
  <si>
    <t>L  51.03</t>
  </si>
  <si>
    <t>L 52.01</t>
  </si>
  <si>
    <t>L  52.02</t>
  </si>
  <si>
    <t>L  52.03</t>
  </si>
  <si>
    <t>L 52.04</t>
  </si>
  <si>
    <t>L B52.06</t>
  </si>
  <si>
    <t>L B52.07</t>
  </si>
  <si>
    <t>L  54.01</t>
  </si>
  <si>
    <t>L  54.04</t>
  </si>
  <si>
    <t>L  54.05</t>
  </si>
  <si>
    <t>L  54.06</t>
  </si>
  <si>
    <t>L 55.02</t>
  </si>
  <si>
    <t>L 55.03</t>
  </si>
  <si>
    <t>L 55.05</t>
  </si>
  <si>
    <t>L  56.08</t>
  </si>
  <si>
    <t>L B64/56.11</t>
  </si>
  <si>
    <t>L 59.01</t>
  </si>
  <si>
    <t>L 59.02</t>
  </si>
  <si>
    <t>Preparing the areas for grassing:</t>
  </si>
  <si>
    <t>Material obtained from:</t>
  </si>
  <si>
    <t>L  56.05</t>
  </si>
  <si>
    <t>L  56.06</t>
  </si>
  <si>
    <t>Grouted stone pitching</t>
  </si>
  <si>
    <t>Road sign boards with painted or coloured</t>
  </si>
  <si>
    <t xml:space="preserve">and borders in diamond grade retro-reflective </t>
  </si>
  <si>
    <t>PAVEMENT LAYERS OF GRAVEL MATERIAL</t>
  </si>
  <si>
    <t>ha</t>
  </si>
  <si>
    <t>Chemical stabilizing agent:</t>
  </si>
  <si>
    <t>litre</t>
  </si>
  <si>
    <t>PRIME COAT</t>
  </si>
  <si>
    <t>Prime Coat:</t>
  </si>
  <si>
    <t>Aggregate for blinding</t>
  </si>
  <si>
    <t>PITCHING, STONEWORK AND PROTECTION</t>
  </si>
  <si>
    <t>AGAINST EROSION</t>
  </si>
  <si>
    <t>Stone Pitching</t>
  </si>
  <si>
    <t>GABIONS</t>
  </si>
  <si>
    <t>Foundation trench excavation and backfilling:</t>
  </si>
  <si>
    <t>Surface preparation for bedding the gabions</t>
  </si>
  <si>
    <t>Filter fabric (bidim U24)</t>
  </si>
  <si>
    <t>GUARDRAILS</t>
  </si>
  <si>
    <t>Guardrails on timber posts:</t>
  </si>
  <si>
    <t>End treatments:</t>
  </si>
  <si>
    <t>2400 x 400mm / TR17 - 1200mm Dia combination)</t>
  </si>
  <si>
    <t>Movable barricade/road sign combination (DTG106</t>
  </si>
  <si>
    <t>Movable barriers (Yellow plastic NJ type; double sided)</t>
  </si>
  <si>
    <t>Gravel wearing course compacted to:</t>
  </si>
  <si>
    <t>Extra over item 34.01 and 34.06 for overhaul on</t>
  </si>
  <si>
    <t>Additional foundation investigations</t>
  </si>
  <si>
    <t>Access and drainage</t>
  </si>
  <si>
    <t>Access</t>
  </si>
  <si>
    <t>foundation fill and fill for caissons</t>
  </si>
  <si>
    <t>Vertical formwork to provide</t>
  </si>
  <si>
    <t>Cell structure</t>
  </si>
  <si>
    <t>Horizontal formwork to provide</t>
  </si>
  <si>
    <t>Cast in situ concrete</t>
  </si>
  <si>
    <t>Two layers bituminous paint</t>
  </si>
  <si>
    <t>Bearing strips, two layers 3-ply roofing felt</t>
  </si>
  <si>
    <t>Cement</t>
  </si>
  <si>
    <t>Additional guardrail posts:</t>
  </si>
  <si>
    <t>a)     Timber</t>
  </si>
  <si>
    <t>Reflective plates</t>
  </si>
  <si>
    <t>FENCING</t>
  </si>
  <si>
    <t>Clearing the fence line, 2m wide strip</t>
  </si>
  <si>
    <t>Supply and erect new fencing material for new fences:</t>
  </si>
  <si>
    <t>ROAD SIGNS</t>
  </si>
  <si>
    <t>material, where the sign board is constructed from:</t>
  </si>
  <si>
    <t>Materials</t>
  </si>
  <si>
    <t>Vertical:</t>
  </si>
  <si>
    <t>Inclined:</t>
  </si>
  <si>
    <t>Prepainted galvanized steel plate (chromadek)</t>
  </si>
  <si>
    <t>Excavation and backfilling for road sign supports</t>
  </si>
  <si>
    <t>Dismantling storing and reerection of road signs with a</t>
  </si>
  <si>
    <t xml:space="preserve">surface area of </t>
  </si>
  <si>
    <t>White lines</t>
  </si>
  <si>
    <t>broken or unbroken, width of line: 100mm</t>
  </si>
  <si>
    <t>broken or unbroken, width of line: 500mm</t>
  </si>
  <si>
    <t>Yellow lines</t>
  </si>
  <si>
    <t xml:space="preserve">White lettering and symbols </t>
  </si>
  <si>
    <t>White paint</t>
  </si>
  <si>
    <t>Yellow paint</t>
  </si>
  <si>
    <t>Setting out and pre-marking the lines (excluding traffic island</t>
  </si>
  <si>
    <t>markings, lettering and symbols)</t>
  </si>
  <si>
    <t>Re-establishing the painting unit at the end of the</t>
  </si>
  <si>
    <t>maintenance period</t>
  </si>
  <si>
    <t>Single carriageway road</t>
  </si>
  <si>
    <t>sub-item B12.04(a)</t>
  </si>
  <si>
    <t>Services at offices and laboratories:</t>
  </si>
  <si>
    <t>End treatments in accordance with the drawings where</t>
  </si>
  <si>
    <t>single guardrail sections are used</t>
  </si>
  <si>
    <t xml:space="preserve">Cutting bituminous surfacing and pavement layers for </t>
  </si>
  <si>
    <t>concrete kerbing, channeling and concrete lined drains</t>
  </si>
  <si>
    <t>Road sign supports</t>
  </si>
  <si>
    <t>xii)</t>
  </si>
  <si>
    <t>Excess overburden in borrow pits for obtaining material</t>
  </si>
  <si>
    <t>for pavement layers:</t>
  </si>
  <si>
    <t>(f) Uncontrolled/unmanaged erosion
 per incident, depending on environment impacts (over and above
 rehabilitation at contractor’s cost)</t>
  </si>
  <si>
    <t>Natural permeable material in subsoil drainage systems (sand):</t>
  </si>
  <si>
    <t>TESTING MATERIALS AND WORKMANSHIP</t>
  </si>
  <si>
    <t>Other special tests requested by the engineer</t>
  </si>
  <si>
    <t>Testing Materials and Workmanship</t>
  </si>
  <si>
    <t>B33.01</t>
  </si>
  <si>
    <t>Cut and borrow to fill, including free-haul up to 1,0 km:</t>
  </si>
  <si>
    <t>B12.09</t>
  </si>
  <si>
    <t>B13.01</t>
  </si>
  <si>
    <t>of the Environmental management plan</t>
  </si>
  <si>
    <t>Compensation to land owners</t>
  </si>
  <si>
    <t xml:space="preserve"> Cost of compensation to land owners</t>
  </si>
  <si>
    <t xml:space="preserve"> Handling cost and profit in respect of subitem 12.07 (a) </t>
  </si>
  <si>
    <t>B14.01</t>
  </si>
  <si>
    <t>Provision of offices, accommodation and laboratory</t>
  </si>
  <si>
    <t/>
  </si>
  <si>
    <t>Office accommodation for Resident Engineers</t>
  </si>
  <si>
    <t>staff including all furniture, services and carports.</t>
  </si>
  <si>
    <t>4 people and boardroom facilities.</t>
  </si>
  <si>
    <t>installation for soils and asphalt testing and services,</t>
  </si>
  <si>
    <t>excluding testing apparatus</t>
  </si>
  <si>
    <t>Open concrete working floors, 150mm thick</t>
  </si>
  <si>
    <t>Roofs over open concrete floors</t>
  </si>
  <si>
    <t xml:space="preserve">Ablution units, including kitchen area and utensils </t>
  </si>
  <si>
    <t>Office and laboratory fittings, installation and equipment</t>
  </si>
  <si>
    <t>Prime-cost items and items paid for in a lump sum</t>
  </si>
  <si>
    <t>The provision of telephone services, cellular</t>
  </si>
  <si>
    <t>PC Sum</t>
  </si>
  <si>
    <t>service contracts including cell phones for all</t>
  </si>
  <si>
    <t>supervisory staff</t>
  </si>
  <si>
    <t>The provision of 3G data services, mobile</t>
  </si>
  <si>
    <t>contracts, including 3G modems</t>
  </si>
  <si>
    <t xml:space="preserve">The provision of computer hardware and software </t>
  </si>
  <si>
    <t>facilities for the supervisory staff</t>
  </si>
  <si>
    <t>The provision of printing, copying and scanning</t>
  </si>
  <si>
    <t>The provision for digital cameras</t>
  </si>
  <si>
    <t>Handling costs and profit in respect of subitem</t>
  </si>
  <si>
    <t>14.03(b)</t>
  </si>
  <si>
    <t>Housing for labourers:</t>
  </si>
  <si>
    <t>Living accommodation for laboratory</t>
  </si>
  <si>
    <t>assistants including ablution, cooking</t>
  </si>
  <si>
    <t>and laundry facilities</t>
  </si>
  <si>
    <t>Man-Month</t>
  </si>
  <si>
    <t>B14.07</t>
  </si>
  <si>
    <t>Rented hotel and other accommodation</t>
  </si>
  <si>
    <t xml:space="preserve">Provisional sum for providing rented housing, </t>
  </si>
  <si>
    <t>hotel or other accommodation, fully furnished and</t>
  </si>
  <si>
    <t>including services</t>
  </si>
  <si>
    <t>B14.07(a)</t>
  </si>
  <si>
    <t>Services</t>
  </si>
  <si>
    <t>The provision of water, electricity, low pressure gas,</t>
  </si>
  <si>
    <t>sewerage and rubbish removal, cleaning services,</t>
  </si>
  <si>
    <t>maintenance and repairs, all as specified in Clause 1404,</t>
  </si>
  <si>
    <t>including the construction and maintenance of access</t>
  </si>
  <si>
    <t>roads, footpaths, etc</t>
  </si>
  <si>
    <t>Services for labourers accommodation:</t>
  </si>
  <si>
    <t>Provision and erection of security fencing (including gate)</t>
  </si>
  <si>
    <t>Sand obtained commercial sources (medium grade)</t>
  </si>
  <si>
    <t>B31.04</t>
  </si>
  <si>
    <t>Protecting borrow pits:</t>
  </si>
  <si>
    <t>Stock proof fencing as per detail all inclusive</t>
  </si>
  <si>
    <t>Corner post as per detail all inclusive</t>
  </si>
  <si>
    <t>Gates all inclusive</t>
  </si>
  <si>
    <t>successive depth ranges</t>
  </si>
  <si>
    <t>Foundations, from 0 m up to 2 m</t>
  </si>
  <si>
    <t>Foundations, exceeding 2 m and up to 4 m</t>
  </si>
  <si>
    <t>Backfill to excavations utilising:</t>
  </si>
  <si>
    <t xml:space="preserve">Material from excavation compacted to 90% of </t>
  </si>
  <si>
    <t>modified AASHTO density</t>
  </si>
  <si>
    <t>Fill within a restricted area (extra over item 61.04)</t>
  </si>
  <si>
    <t>Overhaul in excess of 1,0 km on excavated material and</t>
  </si>
  <si>
    <t xml:space="preserve">on material imported for backfill and foundation fill and </t>
  </si>
  <si>
    <t>Mass concrete, class 15/19</t>
  </si>
  <si>
    <t>Rate Only</t>
  </si>
  <si>
    <t>FALSEWORK, FORMWORK AND CONCRETE FINISH</t>
  </si>
  <si>
    <t>High-yield-stress-steel bars (hot rolled)</t>
  </si>
  <si>
    <t>Class 30/19 concrete in:</t>
  </si>
  <si>
    <t>NO-FINES CONCRETE, JOINTS, BEARINGS, PARAPETS</t>
  </si>
  <si>
    <t>AND DRAINAGE FOR STRUCTURES</t>
  </si>
  <si>
    <t xml:space="preserve">10 mm thick bitumen impregnated fibreboard </t>
  </si>
  <si>
    <t>Drainage pipes and weep holes:</t>
  </si>
  <si>
    <t>Weep holes</t>
  </si>
  <si>
    <t>50 mm dia uPVC pipes</t>
  </si>
  <si>
    <t>Synthetic-fibre filter fabric, Kaymat U24 or approved</t>
  </si>
  <si>
    <t>equivalent</t>
  </si>
  <si>
    <t xml:space="preserve">Crushed stone in drainage strips        </t>
  </si>
  <si>
    <t>SUMMARY OF SCHEDULE OF QUANTITIES</t>
  </si>
  <si>
    <t>Extra over Subitem 61.02(a) for hard excavation</t>
  </si>
  <si>
    <t>Compacted granular material, compacted to 90% of</t>
  </si>
  <si>
    <t>Synthethic fibre filter fabric. Non-woven, continuous</t>
  </si>
  <si>
    <t>filament Grade 2 geotextile as per COLTO Table 2104/2</t>
  </si>
  <si>
    <t>In- and outlet structures</t>
  </si>
  <si>
    <t>Cell structures</t>
  </si>
  <si>
    <t>Y20 dowels, 800 long, in central foundation slabs,</t>
  </si>
  <si>
    <t>complete with 20mm dia PVC sleeve abd</t>
  </si>
  <si>
    <t>polystyrene expansion cap</t>
  </si>
  <si>
    <t>complete with couplings, 150 mm diameter, perforated</t>
  </si>
  <si>
    <t>Transition kerb - cast in-situ</t>
  </si>
  <si>
    <t>Edge beam 300x200mm - cast in-situ</t>
  </si>
  <si>
    <t>Energy breaker at end concrete lined drain</t>
  </si>
  <si>
    <t>Transition concrete lined drain to energy breaker (l=5m)</t>
  </si>
  <si>
    <t>2,0 x 1,0 x 1,0m with 50 mm nominal mesh</t>
  </si>
  <si>
    <t>2,0 x 1,0 x 0,3m with 50 mm nominal mesh</t>
  </si>
  <si>
    <t>and diaphragm spacing 1,0m</t>
  </si>
  <si>
    <t>L 55.01</t>
  </si>
  <si>
    <t>Zinc-coated barbed wire, high tensile grade single</t>
  </si>
  <si>
    <t>strand (SANS 675), 3.2mm x 2.5mm oval-shaped</t>
  </si>
  <si>
    <t>Standards, 2.5 kg/m "Y" section, 1.85m long</t>
  </si>
  <si>
    <t>Droppers, 0.56 kg/m ridgeback pattern, 1.2m long</t>
  </si>
  <si>
    <t>2130 x 100mm dia x 3mm mild steel tubing with</t>
  </si>
  <si>
    <t>steel cap and 230 x 230 x 3mm base plate,</t>
  </si>
  <si>
    <t>fully galvanised</t>
  </si>
  <si>
    <t>1690 x 60mm dia x 3mm mild steel tubing with</t>
  </si>
  <si>
    <t>230 x 230 x 3mm base plate, fully galvanised</t>
  </si>
  <si>
    <t>Horizontal:</t>
  </si>
  <si>
    <t>Cross brace support, 2400 x 60mm dia x 3mm mild steel</t>
  </si>
  <si>
    <t>tubing, ends pressed flat to 8mm, fully galvanised</t>
  </si>
  <si>
    <t>New gates, single leaf stock-proof, 4,2m x 1,15m</t>
  </si>
  <si>
    <t>including smooth wire inside gate</t>
  </si>
  <si>
    <t>Steel tubing (100mm dia and 4mm wall thickness)</t>
  </si>
  <si>
    <t>Timber:</t>
  </si>
  <si>
    <t>Wooden pole 100mm top dia.</t>
  </si>
  <si>
    <t>Wooden pole 175mm top dia.</t>
  </si>
  <si>
    <t>broken or unbroken, width of line: 150mm</t>
  </si>
  <si>
    <t>Roadstuds: Bi-directional, all colors:</t>
  </si>
  <si>
    <t>Swanmank (or similar approved)</t>
  </si>
  <si>
    <t>Temporary culverts:</t>
  </si>
  <si>
    <t>Provision of laying of temporary prefabricated culverts complete</t>
  </si>
  <si>
    <t>Eventual removal of prefabricated culverts</t>
  </si>
  <si>
    <t>B17.07</t>
  </si>
  <si>
    <t>Removal of topsoil material and temporary</t>
  </si>
  <si>
    <t>stockpiling thereof in:</t>
  </si>
  <si>
    <t xml:space="preserve">Topsoil in windrows alongside the work area </t>
  </si>
  <si>
    <t>Topsoil in windrows on the edges of borrow pits or</t>
  </si>
  <si>
    <t xml:space="preserve">spoil areas </t>
  </si>
  <si>
    <t>B17.08</t>
  </si>
  <si>
    <t>90% of modified AASHTO density, 150 mm thick</t>
  </si>
  <si>
    <t>B</t>
  </si>
  <si>
    <t>SCHEDULE B : STRUCTURAL</t>
  </si>
  <si>
    <t>TOTAL OF SCHEDULE B CARRIED FORWARD TO TENDER SUMMARY</t>
  </si>
  <si>
    <t>B12.08</t>
  </si>
  <si>
    <t>Incentives / Penalties for Contract Participation Goal</t>
  </si>
  <si>
    <t>Bonus</t>
  </si>
  <si>
    <t>Penalty</t>
  </si>
  <si>
    <t>Handling costs and profit in respect of</t>
  </si>
  <si>
    <t>Removal of existing structures</t>
  </si>
  <si>
    <t>B21.01</t>
  </si>
  <si>
    <t>Cut to spoil, including free-haul up to 1,0 km.</t>
  </si>
  <si>
    <t>Extra over items 33.01 and 33.04 for overhaul on</t>
  </si>
  <si>
    <t>B33.04</t>
  </si>
  <si>
    <t>Mountable kerb (fig.8b SABS) - pre-cast</t>
  </si>
  <si>
    <t>Inlet, outlet, transition and similar structures:</t>
  </si>
  <si>
    <t>Cast in situ concrete (w-1,5m) (concrete class 30/19)</t>
  </si>
  <si>
    <t>Outlet structures for Pipe and Box Culverts</t>
  </si>
  <si>
    <t>Cell Structures for in-situ cast Box Culverts and In- and</t>
  </si>
  <si>
    <t>obtained from borrow areas or from the road reserve</t>
  </si>
  <si>
    <t>(free haul 1,0 km)</t>
  </si>
  <si>
    <t>Topsoiling of borrow pits and spoil sites by using topsoil</t>
  </si>
  <si>
    <t>Removal and storage of selected vegetation:</t>
  </si>
  <si>
    <t>Cost of removal, storing, protection and replanting in</t>
  </si>
  <si>
    <t>a protected and fenced-off area of selected vegetation</t>
  </si>
  <si>
    <t>Handling costs and profit in respect of subitem 17.06</t>
  </si>
  <si>
    <t>95% of modified AASHTO density, 200 mm thick</t>
  </si>
  <si>
    <t>Within the borrow areas</t>
  </si>
  <si>
    <t>L  22.07</t>
  </si>
  <si>
    <t>Cast in situ concrete and formwork:</t>
  </si>
  <si>
    <t>In class A bedding, screeds and the encasing for pipes,</t>
  </si>
  <si>
    <t>including formwork</t>
  </si>
  <si>
    <t>Class 15/38</t>
  </si>
  <si>
    <t>Crushed Stone Base:</t>
  </si>
  <si>
    <t>bulk relative density, 150 mm thick</t>
  </si>
  <si>
    <t>Gravel subbase, 200 mm thick</t>
  </si>
  <si>
    <t>Contractor's establishment on site and general obligations</t>
  </si>
  <si>
    <t>ASPHALT BASE AND SURFACING</t>
  </si>
  <si>
    <t>Asphalt surfacing</t>
  </si>
  <si>
    <t>Surfacing or asphalt inlay constructed with new asphalt</t>
  </si>
  <si>
    <t xml:space="preserve">Continously graded, using AE-2 type modified binder </t>
  </si>
  <si>
    <t xml:space="preserve">(TRH 8 Table 3 medium grade as specified, </t>
  </si>
  <si>
    <t>Tack coat of 30% stable grade emulsion</t>
  </si>
  <si>
    <t xml:space="preserve">a)  </t>
  </si>
  <si>
    <t>60/70 Penetration grade bitumen</t>
  </si>
  <si>
    <t xml:space="preserve"> A-E2 type modified binder</t>
  </si>
  <si>
    <t>Variation in active filler content</t>
  </si>
  <si>
    <t>Lime</t>
  </si>
  <si>
    <t xml:space="preserve">Trial sections using continuosly graded asphalt to a </t>
  </si>
  <si>
    <t>B42.08</t>
  </si>
  <si>
    <t>B42.21</t>
  </si>
  <si>
    <t>Aggregate variations</t>
  </si>
  <si>
    <t>30 mm in thickness)</t>
  </si>
  <si>
    <t>Asphalt Base and Surfacing</t>
  </si>
  <si>
    <t>Minor structures and parts of structures (Reinforced)</t>
  </si>
  <si>
    <t xml:space="preserve"> concrete and masonry)</t>
  </si>
  <si>
    <t>Paving beam 100x150mm - cast in-situ</t>
  </si>
  <si>
    <t>60mm rectangular block paving, herringbone pattern</t>
  </si>
  <si>
    <t>or borrow, including free-haul up to 1,0 km:</t>
  </si>
  <si>
    <t>95% of modified AASHTO density, 150 mm thick</t>
  </si>
  <si>
    <t>100 mm cores in asphalt paving</t>
  </si>
  <si>
    <t>L 55.04</t>
  </si>
  <si>
    <t>Moving existing fences:</t>
  </si>
  <si>
    <t>Minor structures and parts of structures (Unreinforced</t>
  </si>
  <si>
    <t>B35.01</t>
  </si>
  <si>
    <t>Extra over item 34.01 d) for chemical stablilization</t>
  </si>
  <si>
    <t>drawing D4407-GP-03</t>
  </si>
  <si>
    <t>B12.10</t>
  </si>
  <si>
    <t>DME financial provision payment</t>
  </si>
  <si>
    <t>Borrow pit provision payment  to DME</t>
  </si>
  <si>
    <t>Temporary traffic control facilities (dwg D4407-TA-01 to 04)</t>
  </si>
  <si>
    <t>Outlet structures (dwg D4407-TD-009)</t>
  </si>
  <si>
    <t>Cleaning eyes (dwg D4407-TD-009)</t>
  </si>
  <si>
    <t>(class 30/19 concrete): (dwg D4407-TD-002)</t>
  </si>
  <si>
    <t>Concrete chutes (D4407-TD-005):</t>
  </si>
  <si>
    <t>Non-symmetrical chute inlet (dwg D4407-TD-005)</t>
  </si>
  <si>
    <t>Symmetrical chute inlet at low point (dwg D4407-TD-005)</t>
  </si>
  <si>
    <t>Symmetrical chute outlet (dwg D4407-TD-005)</t>
  </si>
  <si>
    <t>Drop inlet for concrete lined drain (dwg D4407-TD-003)</t>
  </si>
  <si>
    <t>(dwg D4407-TD-005)</t>
  </si>
  <si>
    <t>(dwg D4407-TD-003)</t>
  </si>
  <si>
    <t>Concrete lining for open drains: (dwg D4407-TD-005)</t>
  </si>
  <si>
    <t>Stone masonry walls (dwg D4407-TD-004)</t>
  </si>
  <si>
    <t>600 mm diameter, class 75 D</t>
  </si>
  <si>
    <t>900 mm diameter, class 75 D</t>
  </si>
  <si>
    <t>Class 30/19</t>
  </si>
  <si>
    <t>In inlet and outlet structures, skewed ends, excluding</t>
  </si>
  <si>
    <t>formwork but including class U2 surface finish</t>
  </si>
  <si>
    <t>Formwork of concrete under subitem 22.07 c) above:</t>
  </si>
  <si>
    <t>F1 surface finish on unexposed surfaces</t>
  </si>
  <si>
    <t>F2 surface finish on exposed surfaces</t>
  </si>
  <si>
    <t>L 22.10</t>
  </si>
  <si>
    <t>Steel reinforcement:</t>
  </si>
  <si>
    <t>Brickwork:</t>
  </si>
  <si>
    <t>115 mm thick</t>
  </si>
  <si>
    <t>230 mm thick</t>
  </si>
  <si>
    <t>Plaster</t>
  </si>
  <si>
    <t>Benching</t>
  </si>
  <si>
    <t>L 22.20</t>
  </si>
  <si>
    <t>L 22.21</t>
  </si>
  <si>
    <t>L 22.19</t>
  </si>
  <si>
    <t>L 22.18</t>
  </si>
  <si>
    <t>Accessories:</t>
  </si>
  <si>
    <t>Manhole covers (1,5 x 1,5 x 0.15 m concrete slab)</t>
  </si>
  <si>
    <t>Concrete block paving for walkways</t>
  </si>
  <si>
    <t>L 23.02</t>
  </si>
  <si>
    <t xml:space="preserve">Concrete kerbing-channeling combination (Concrete </t>
  </si>
  <si>
    <t>class 30/19)</t>
  </si>
  <si>
    <t>Mountable kerb (fig.8b SABS) - pre-cast + 200mm channel</t>
  </si>
  <si>
    <t>CRUSHED STONE BASE</t>
  </si>
  <si>
    <t>97% of modified AASHTO density, 150 mm thick</t>
  </si>
  <si>
    <t>for walkways</t>
  </si>
  <si>
    <t>Gravel base, 150 mm thick</t>
  </si>
  <si>
    <t>Property fences (all sorts)</t>
  </si>
  <si>
    <t xml:space="preserve">General requirements and provisions </t>
  </si>
  <si>
    <t>Crushed stone base</t>
  </si>
  <si>
    <t>B42.22</t>
  </si>
  <si>
    <t>Construction of standard semi-circular speed hump with medium</t>
  </si>
  <si>
    <t xml:space="preserve">grade Asphalt including saw cutting of existing asphalt seal and </t>
  </si>
  <si>
    <t>SCHEDULE A: ROADWORKS</t>
  </si>
  <si>
    <t>Contingency =</t>
  </si>
  <si>
    <t>Contingency earthworks =</t>
  </si>
  <si>
    <t>Imported material (G5)</t>
  </si>
  <si>
    <t>Foundation lining, 0,15 mm polyethylene sheeting</t>
  </si>
  <si>
    <t>Pier Footing</t>
  </si>
  <si>
    <t>iv)</t>
  </si>
  <si>
    <t>Abutment footings</t>
  </si>
  <si>
    <t>Approach slab</t>
  </si>
  <si>
    <t>vii)</t>
  </si>
  <si>
    <t>Abutments</t>
  </si>
  <si>
    <t>Wingwalls</t>
  </si>
  <si>
    <t>Retaining walls</t>
  </si>
  <si>
    <t>Parapets</t>
  </si>
  <si>
    <t>Culvert soffits</t>
  </si>
  <si>
    <t>Bridge deck soffit</t>
  </si>
  <si>
    <t>Inclined formwork to provide</t>
  </si>
  <si>
    <t>Deck cantilevers and haunches</t>
  </si>
  <si>
    <t>Inlet and outlet structures</t>
  </si>
  <si>
    <t xml:space="preserve">Abutments </t>
  </si>
  <si>
    <t>Traffic barriers and end blocks</t>
  </si>
  <si>
    <t>Piers</t>
  </si>
  <si>
    <t>Abutments,wing walls and approach slab</t>
  </si>
  <si>
    <t xml:space="preserve">Deck </t>
  </si>
  <si>
    <t>Foundations (footings)</t>
  </si>
  <si>
    <t>Pier</t>
  </si>
  <si>
    <t>Class 40/19 concrete in:</t>
  </si>
  <si>
    <t>Pier walls</t>
  </si>
  <si>
    <t>Abutment walls</t>
  </si>
  <si>
    <t>Wing walls</t>
  </si>
  <si>
    <t>Approach slabs</t>
  </si>
  <si>
    <t>Bridge deck</t>
  </si>
  <si>
    <t>Pier footing</t>
  </si>
  <si>
    <t>Sealing joints with:</t>
  </si>
  <si>
    <t>10 mm silicone sealant</t>
  </si>
  <si>
    <t>Y20 dowels, 1500mm long, galvanized</t>
  </si>
  <si>
    <t>Dowels:</t>
  </si>
  <si>
    <t xml:space="preserve">a) </t>
  </si>
  <si>
    <t>Concrete parapets:</t>
  </si>
  <si>
    <t>F-type cast in-situ traffic barriers</t>
  </si>
  <si>
    <t>End blocks (3,5 m long, completely as detailed)</t>
  </si>
  <si>
    <t>Number plates</t>
  </si>
  <si>
    <t>Drainage pipes:</t>
  </si>
  <si>
    <t>110 mm dia uPVC in deck</t>
  </si>
  <si>
    <t>Service duct, 110 mm uPVC</t>
  </si>
  <si>
    <t>B22.29</t>
  </si>
  <si>
    <t xml:space="preserve">Prefabricated pipe culvert - 3 x 1.2m dia pipe culvert, 45 m </t>
  </si>
  <si>
    <t>in length, constructed using culvert jacking method</t>
  </si>
  <si>
    <t>Concrete screed, 75mm thick, class 15/19</t>
  </si>
  <si>
    <t xml:space="preserve">Constructed from type G1/G2 material obtained from </t>
  </si>
  <si>
    <t xml:space="preserve">commercial sources and compacted to 88%/85% of </t>
  </si>
  <si>
    <r>
      <t>m</t>
    </r>
    <r>
      <rPr>
        <vertAlign val="superscript"/>
        <sz val="9"/>
        <rFont val="Arial"/>
        <family val="2"/>
      </rPr>
      <t>3</t>
    </r>
  </si>
  <si>
    <r>
      <t>80m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laboratory including all furniture and fittings,</t>
    </r>
  </si>
  <si>
    <r>
      <t>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-km</t>
    </r>
  </si>
  <si>
    <r>
      <t>Area not exceeding 2 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</t>
    </r>
  </si>
  <si>
    <r>
      <t>Area exceeding 2 m</t>
    </r>
    <r>
      <rPr>
        <vertAlign val="superscript"/>
        <sz val="9"/>
        <rFont val="Arial"/>
        <family val="2"/>
      </rPr>
      <t xml:space="preserve">2 </t>
    </r>
    <r>
      <rPr>
        <sz val="9"/>
        <rFont val="Arial"/>
        <family val="2"/>
      </rPr>
      <t>but not 10  m</t>
    </r>
    <r>
      <rPr>
        <vertAlign val="superscript"/>
        <sz val="9"/>
        <rFont val="Arial"/>
        <family val="2"/>
      </rPr>
      <t>2</t>
    </r>
  </si>
  <si>
    <r>
      <t>up to 2.0m</t>
    </r>
    <r>
      <rPr>
        <vertAlign val="superscript"/>
        <sz val="9"/>
        <rFont val="Arial"/>
        <family val="2"/>
      </rPr>
      <t>2</t>
    </r>
  </si>
  <si>
    <r>
      <t>2.0m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to 10m</t>
    </r>
    <r>
      <rPr>
        <vertAlign val="superscript"/>
        <sz val="9"/>
        <rFont val="Arial"/>
        <family val="2"/>
      </rPr>
      <t>2</t>
    </r>
  </si>
  <si>
    <t xml:space="preserve">SCHEDULE  </t>
  </si>
  <si>
    <r>
      <t>Minimum area 80m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in 3 offices, including furniture for</t>
    </r>
  </si>
  <si>
    <t>Gravel base compacted to:</t>
  </si>
  <si>
    <t>Foundations, exceeding 4 m and up to 6 m</t>
  </si>
  <si>
    <r>
      <t>m</t>
    </r>
    <r>
      <rPr>
        <vertAlign val="superscript"/>
        <sz val="10"/>
        <rFont val="Arial"/>
        <family val="2"/>
      </rPr>
      <t>3</t>
    </r>
  </si>
  <si>
    <r>
      <t>m</t>
    </r>
    <r>
      <rPr>
        <vertAlign val="superscript"/>
        <sz val="10"/>
        <rFont val="Arial"/>
        <family val="2"/>
      </rPr>
      <t>2</t>
    </r>
  </si>
  <si>
    <t>STRUCTURES</t>
  </si>
  <si>
    <t>VALUE ADDED TAX (15%)</t>
  </si>
  <si>
    <t>Lump Sum</t>
  </si>
  <si>
    <t>hrs</t>
  </si>
  <si>
    <t>TOTAL</t>
  </si>
  <si>
    <t>TOTAL OF SCHEDULE A CARRIED FORWARD TO TENDER SUMMARY</t>
  </si>
  <si>
    <t>Gravel subbase C4 (chemically stabilized) compacted to:</t>
  </si>
  <si>
    <t xml:space="preserve"> </t>
  </si>
  <si>
    <t>L 32.03</t>
  </si>
  <si>
    <t>36.03</t>
  </si>
  <si>
    <t>Base Trial</t>
  </si>
  <si>
    <t>thickness of 30 mm (AE-2 modified binder)</t>
  </si>
  <si>
    <t>Procurement of materials and fixing of the damaged works</t>
  </si>
  <si>
    <t>viii)</t>
  </si>
  <si>
    <t>to 88%/85% of bulk relative density, 150 mm thick</t>
  </si>
  <si>
    <t xml:space="preserve">commercial sources blended with 2,8 km existing base and compacted </t>
  </si>
  <si>
    <t>blending (60% existing &amp; 40% from Commercial),</t>
  </si>
  <si>
    <t xml:space="preserve"> processing, slushing and compaction )</t>
  </si>
  <si>
    <t>(ii) Gabions with materials abtained from commercial sources:</t>
  </si>
  <si>
    <t>Stacking 1200mm diameter</t>
  </si>
  <si>
    <t>Stacking 1500mm diameter</t>
  </si>
  <si>
    <t>(i) Barrier kerb (fig.3 SABS) - pre-cast + 100mm channel</t>
  </si>
  <si>
    <t>(ii) Barrier kerb (fig.3 SABS) - pre-cast + 200mm channel</t>
  </si>
  <si>
    <t xml:space="preserve">(The process include importing of G2, ripping existing base, </t>
  </si>
  <si>
    <t>36.01</t>
  </si>
  <si>
    <t xml:space="preserve">Constructed from type G1/G2 by ripping and processing </t>
  </si>
  <si>
    <t>existing material</t>
  </si>
  <si>
    <t>(i) Gabions with materials abtained from local sources</t>
  </si>
  <si>
    <t>CONTINGENCIES (5%)</t>
  </si>
  <si>
    <t>SCHEDULE  : REMEDIAL WORK</t>
  </si>
  <si>
    <t>TOTAL CARRIED DOWN</t>
  </si>
  <si>
    <t>SCHEDULE C : SNAGLIST</t>
  </si>
  <si>
    <t>Balance brought Forward</t>
  </si>
  <si>
    <t xml:space="preserve">TOTAL </t>
  </si>
  <si>
    <t>REMEDIAL WORKS</t>
  </si>
  <si>
    <t>SCHEDULE D: REMEDIAL WORKS</t>
  </si>
  <si>
    <t>Remedial Works Summary</t>
  </si>
  <si>
    <t>CONTRACT PRICE ADJUSTMENT (6%)</t>
  </si>
  <si>
    <t>T2 Tech</t>
  </si>
  <si>
    <t>TM&amp;S Original rates</t>
  </si>
  <si>
    <t>TM&amp;S Proposed rates</t>
  </si>
  <si>
    <t>Rates</t>
  </si>
  <si>
    <t xml:space="preserve">Difference in </t>
  </si>
  <si>
    <t>Over and above the appointed amount</t>
  </si>
  <si>
    <t>Appointed amount</t>
  </si>
  <si>
    <t>TOTAL OLD TM&amp;S</t>
  </si>
  <si>
    <t>TOTAL NEW TM&amp;S</t>
  </si>
  <si>
    <t>TR per month</t>
  </si>
  <si>
    <t>Corrections</t>
  </si>
  <si>
    <t>TC Balancing original rates</t>
  </si>
  <si>
    <t>TC balancing original rate</t>
  </si>
  <si>
    <t>TC balancing original rate on training provision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</si>
</sst>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R&quot;* #,##0.00_-;\-&quot;R&quot;* #,##0.00_-;_-&quot;R&quot;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R&quot;* #,##0.00_);_(&quot;R&quot;* \(#,##0.00\);_(&quot;R&quot;* &quot;-&quot;??_);_(@_)"/>
    <numFmt numFmtId="169" formatCode="0.0"/>
    <numFmt numFmtId="170" formatCode="#,##0.0"/>
    <numFmt numFmtId="171" formatCode="#,##0.000"/>
    <numFmt numFmtId="172" formatCode="\$#,##0\ ;\(\$#,##0\)"/>
    <numFmt numFmtId="173" formatCode="\$#,##0.00\ ;\(\$#,##0.00\)"/>
    <numFmt numFmtId="174" formatCode="#\ ###;[Red]#\ ###"/>
    <numFmt numFmtId="175" formatCode="&quot;R&quot;\ #,##0.00"/>
    <numFmt numFmtId="176" formatCode="#,##0_ ;\-#,##0\ "/>
    <numFmt numFmtId="177" formatCode="#,##0.00_ ;\-#,##0.00\ 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0"/>
      <name val="Times New Roman"/>
      <family val="1"/>
    </font>
    <font>
      <i/>
      <u/>
      <sz val="10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8"/>
      <name val="Courier New"/>
      <family val="3"/>
    </font>
    <font>
      <b/>
      <u/>
      <sz val="10"/>
      <name val="Times New Roman"/>
      <family val="1"/>
    </font>
    <font>
      <sz val="12"/>
      <color theme="1"/>
      <name val="Calibri"/>
      <family val="2"/>
      <scheme val="minor"/>
    </font>
    <font>
      <sz val="9"/>
      <color rgb="FFFF0000"/>
      <name val="Arial"/>
      <family val="2"/>
    </font>
    <font>
      <vertAlign val="superscript"/>
      <sz val="10"/>
      <name val="Arial"/>
      <family val="2"/>
    </font>
    <font>
      <sz val="11"/>
      <color rgb="FFFF0000"/>
      <name val="Arial"/>
      <family val="2"/>
    </font>
    <font>
      <b/>
      <sz val="9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5105">
    <xf numFmtId="0" fontId="0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1" fillId="3" borderId="0" applyNumberFormat="0" applyBorder="0" applyAlignment="0" applyProtection="0"/>
    <xf numFmtId="0" fontId="22" fillId="20" borderId="1" applyNumberFormat="0" applyAlignment="0" applyProtection="0"/>
    <xf numFmtId="0" fontId="23" fillId="21" borderId="2" applyNumberFormat="0" applyAlignment="0" applyProtection="0"/>
    <xf numFmtId="167" fontId="3" fillId="0" borderId="0" applyFont="0" applyFill="0" applyBorder="0" applyAlignment="0" applyProtection="0"/>
    <xf numFmtId="3" fontId="13" fillId="0" borderId="3" applyFill="0" applyAlignment="0" applyProtection="0"/>
    <xf numFmtId="3" fontId="3" fillId="0" borderId="4" applyProtection="0"/>
    <xf numFmtId="170" fontId="3" fillId="0" borderId="0" applyFont="0" applyFill="0" applyBorder="0" applyAlignment="0" applyProtection="0"/>
    <xf numFmtId="4" fontId="13" fillId="0" borderId="3" applyProtection="0"/>
    <xf numFmtId="171" fontId="3" fillId="0" borderId="3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6" fillId="0" borderId="0" applyProtection="0"/>
    <xf numFmtId="0" fontId="24" fillId="0" borderId="0" applyNumberFormat="0" applyFill="0" applyBorder="0" applyAlignment="0" applyProtection="0"/>
    <xf numFmtId="0" fontId="3" fillId="22" borderId="0"/>
    <xf numFmtId="2" fontId="16" fillId="0" borderId="0" applyProtection="0"/>
    <xf numFmtId="0" fontId="25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>
      <protection locked="0"/>
    </xf>
    <xf numFmtId="0" fontId="18" fillId="0" borderId="0" applyProtection="0"/>
    <xf numFmtId="0" fontId="27" fillId="7" borderId="1" applyNumberFormat="0" applyAlignment="0" applyProtection="0"/>
    <xf numFmtId="0" fontId="28" fillId="0" borderId="6" applyNumberFormat="0" applyFill="0" applyAlignment="0" applyProtection="0"/>
    <xf numFmtId="0" fontId="29" fillId="23" borderId="0" applyNumberFormat="0" applyBorder="0" applyAlignment="0" applyProtection="0"/>
    <xf numFmtId="0" fontId="7" fillId="0" borderId="0"/>
    <xf numFmtId="0" fontId="7" fillId="0" borderId="0"/>
    <xf numFmtId="0" fontId="9" fillId="24" borderId="7" applyNumberFormat="0" applyFont="0" applyAlignment="0" applyProtection="0"/>
    <xf numFmtId="0" fontId="14" fillId="0" borderId="4"/>
    <xf numFmtId="0" fontId="30" fillId="20" borderId="8" applyNumberFormat="0" applyAlignment="0" applyProtection="0"/>
    <xf numFmtId="0" fontId="31" fillId="0" borderId="0" applyNumberFormat="0" applyFill="0" applyBorder="0" applyAlignment="0" applyProtection="0"/>
    <xf numFmtId="0" fontId="16" fillId="0" borderId="9" applyProtection="0"/>
    <xf numFmtId="0" fontId="32" fillId="0" borderId="0" applyNumberFormat="0" applyFill="0" applyBorder="0" applyAlignment="0" applyProtection="0"/>
    <xf numFmtId="0" fontId="3" fillId="0" borderId="0"/>
    <xf numFmtId="9" fontId="33" fillId="0" borderId="0" applyFont="0" applyFill="0" applyBorder="0" applyAlignment="0" applyProtection="0"/>
    <xf numFmtId="0" fontId="15" fillId="0" borderId="0" applyProtection="0"/>
    <xf numFmtId="2" fontId="15" fillId="0" borderId="0" applyProtection="0"/>
    <xf numFmtId="0" fontId="11" fillId="0" borderId="0" applyNumberFormat="0" applyFill="0" applyBorder="0" applyAlignment="0" applyProtection="0"/>
    <xf numFmtId="0" fontId="11" fillId="0" borderId="0" applyProtection="0"/>
    <xf numFmtId="0" fontId="3" fillId="24" borderId="7" applyNumberFormat="0" applyFont="0" applyAlignment="0" applyProtection="0"/>
    <xf numFmtId="0" fontId="15" fillId="0" borderId="9" applyProtection="0"/>
    <xf numFmtId="9" fontId="3" fillId="0" borderId="0" applyFont="0" applyFill="0" applyBorder="0" applyAlignment="0" applyProtection="0"/>
    <xf numFmtId="0" fontId="34" fillId="0" borderId="0"/>
    <xf numFmtId="3" fontId="3" fillId="0" borderId="4" applyProtection="0"/>
    <xf numFmtId="0" fontId="3" fillId="0" borderId="0"/>
    <xf numFmtId="0" fontId="15" fillId="0" borderId="0"/>
    <xf numFmtId="0" fontId="19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9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9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9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10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10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10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15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2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2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2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0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0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0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3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3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3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4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4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4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5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5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5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6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6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6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7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7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7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8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8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8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3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3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3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4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4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4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9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9" borderId="0" applyNumberFormat="0" applyBorder="0" applyAlignment="0" applyProtection="0"/>
    <xf numFmtId="0" fontId="15" fillId="0" borderId="0" applyNumberFormat="0" applyFill="0" applyBorder="0" applyAlignment="0" applyProtection="0"/>
    <xf numFmtId="0" fontId="20" fillId="19" borderId="0" applyNumberFormat="0" applyBorder="0" applyAlignment="0" applyProtection="0"/>
    <xf numFmtId="0" fontId="15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22" fillId="20" borderId="1" applyNumberFormat="0" applyAlignment="0" applyProtection="0"/>
    <xf numFmtId="0" fontId="15" fillId="0" borderId="0" applyNumberFormat="0" applyFill="0" applyBorder="0" applyAlignment="0" applyProtection="0"/>
    <xf numFmtId="0" fontId="22" fillId="20" borderId="1" applyNumberFormat="0" applyAlignment="0" applyProtection="0"/>
    <xf numFmtId="0" fontId="15" fillId="0" borderId="0" applyNumberFormat="0" applyFill="0" applyBorder="0" applyAlignment="0" applyProtection="0"/>
    <xf numFmtId="0" fontId="22" fillId="20" borderId="1" applyNumberFormat="0" applyAlignment="0" applyProtection="0"/>
    <xf numFmtId="0" fontId="15" fillId="0" borderId="0" applyNumberFormat="0" applyFill="0" applyBorder="0" applyAlignment="0" applyProtection="0"/>
    <xf numFmtId="0" fontId="23" fillId="21" borderId="2" applyNumberFormat="0" applyAlignment="0" applyProtection="0"/>
    <xf numFmtId="0" fontId="15" fillId="0" borderId="0" applyNumberFormat="0" applyFill="0" applyBorder="0" applyAlignment="0" applyProtection="0"/>
    <xf numFmtId="0" fontId="23" fillId="21" borderId="2" applyNumberFormat="0" applyAlignment="0" applyProtection="0"/>
    <xf numFmtId="0" fontId="15" fillId="0" borderId="0" applyNumberFormat="0" applyFill="0" applyBorder="0" applyAlignment="0" applyProtection="0"/>
    <xf numFmtId="0" fontId="23" fillId="21" borderId="2" applyNumberFormat="0" applyAlignment="0" applyProtection="0"/>
    <xf numFmtId="0" fontId="15" fillId="0" borderId="0" applyNumberFormat="0" applyFill="0" applyBorder="0" applyAlignment="0" applyProtection="0"/>
    <xf numFmtId="4" fontId="3" fillId="0" borderId="3" applyProtection="0"/>
    <xf numFmtId="3" fontId="3" fillId="0" borderId="4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13" fillId="0" borderId="3" applyFill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3" fontId="13" fillId="0" borderId="3" applyFill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3" fontId="13" fillId="0" borderId="3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3" fontId="3" fillId="0" borderId="4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3" fontId="3" fillId="0" borderId="4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3" fontId="13" fillId="0" borderId="3" applyFill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3" fontId="3" fillId="0" borderId="4" applyProtection="0"/>
    <xf numFmtId="0" fontId="15" fillId="0" borderId="0" applyNumberFormat="0" applyFill="0" applyBorder="0" applyAlignment="0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0" fontId="3" fillId="0" borderId="3" applyProtection="0"/>
    <xf numFmtId="170" fontId="3" fillId="0" borderId="3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0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70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70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70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" fontId="13" fillId="0" borderId="3" applyProtection="0"/>
    <xf numFmtId="4" fontId="13" fillId="0" borderId="3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4" fontId="13" fillId="0" borderId="3" applyProtection="0"/>
    <xf numFmtId="4" fontId="13" fillId="0" borderId="3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1" fontId="3" fillId="0" borderId="3" applyProtection="0"/>
    <xf numFmtId="171" fontId="3" fillId="0" borderId="3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1" fontId="3" fillId="0" borderId="3" applyProtection="0"/>
    <xf numFmtId="171" fontId="3" fillId="0" borderId="3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1" fontId="3" fillId="0" borderId="3" applyProtection="0"/>
    <xf numFmtId="0" fontId="15" fillId="0" borderId="0" applyNumberFormat="0" applyFill="0" applyBorder="0" applyAlignment="0" applyProtection="0"/>
    <xf numFmtId="171" fontId="3" fillId="0" borderId="3" applyProtection="0"/>
    <xf numFmtId="0" fontId="15" fillId="0" borderId="0" applyNumberFormat="0" applyFill="0" applyBorder="0" applyAlignment="0" applyProtection="0"/>
    <xf numFmtId="171" fontId="3" fillId="0" borderId="3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3" fontId="3" fillId="0" borderId="3" applyProtection="0">
      <alignment horizontal="right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2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72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72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" fillId="22" borderId="0"/>
    <xf numFmtId="0" fontId="15" fillId="0" borderId="0" applyNumberFormat="0" applyFill="0" applyBorder="0" applyAlignment="0" applyProtection="0"/>
    <xf numFmtId="0" fontId="3" fillId="22" borderId="0"/>
    <xf numFmtId="0" fontId="15" fillId="0" borderId="0" applyNumberFormat="0" applyFill="0" applyBorder="0" applyAlignment="0" applyProtection="0"/>
    <xf numFmtId="0" fontId="3" fillId="22" borderId="0"/>
    <xf numFmtId="2" fontId="15" fillId="0" borderId="0" applyProtection="0"/>
    <xf numFmtId="2" fontId="15" fillId="0" borderId="0" applyProtection="0"/>
    <xf numFmtId="2" fontId="15" fillId="0" borderId="0" applyProtection="0"/>
    <xf numFmtId="0" fontId="15" fillId="0" borderId="0" applyNumberFormat="0" applyFill="0" applyBorder="0" applyAlignment="0" applyProtection="0"/>
    <xf numFmtId="2" fontId="15" fillId="0" borderId="0" applyProtection="0"/>
    <xf numFmtId="0" fontId="15" fillId="0" borderId="0" applyNumberFormat="0" applyFill="0" applyBorder="0" applyAlignment="0" applyProtection="0"/>
    <xf numFmtId="2" fontId="15" fillId="0" borderId="0" applyProtection="0"/>
    <xf numFmtId="0" fontId="15" fillId="0" borderId="0" applyNumberFormat="0" applyFill="0" applyBorder="0" applyAlignment="0" applyProtection="0"/>
    <xf numFmtId="2" fontId="15" fillId="0" borderId="0" applyProtection="0"/>
    <xf numFmtId="0" fontId="15" fillId="0" borderId="0" applyNumberFormat="0" applyFill="0" applyBorder="0" applyAlignment="0" applyProtection="0"/>
    <xf numFmtId="2" fontId="15" fillId="0" borderId="0" applyProtection="0"/>
    <xf numFmtId="0" fontId="15" fillId="0" borderId="0" applyNumberFormat="0" applyFill="0" applyBorder="0" applyAlignment="0" applyProtection="0"/>
    <xf numFmtId="2" fontId="15" fillId="0" borderId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15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0" fontId="15" fillId="0" borderId="0" applyNumberFormat="0" applyFill="0" applyBorder="0" applyAlignment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2" fontId="15" fillId="0" borderId="0" applyProtection="0"/>
    <xf numFmtId="2" fontId="8" fillId="0" borderId="0" applyProtection="0"/>
    <xf numFmtId="0" fontId="25" fillId="4" borderId="0" applyNumberFormat="0" applyBorder="0" applyAlignment="0" applyProtection="0"/>
    <xf numFmtId="2" fontId="8" fillId="0" borderId="0" applyProtection="0"/>
    <xf numFmtId="0" fontId="25" fillId="4" borderId="0" applyNumberFormat="0" applyBorder="0" applyAlignment="0" applyProtection="0"/>
    <xf numFmtId="2" fontId="8" fillId="0" borderId="0" applyProtection="0"/>
    <xf numFmtId="0" fontId="25" fillId="4" borderId="0" applyNumberFormat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7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0" fontId="15" fillId="0" borderId="0"/>
    <xf numFmtId="0" fontId="11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2" fontId="8" fillId="0" borderId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" fontId="8" fillId="0" borderId="0" applyProtection="0"/>
    <xf numFmtId="2" fontId="8" fillId="0" borderId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11" fillId="0" borderId="0" applyNumberFormat="0" applyFill="0" applyBorder="0" applyAlignment="0" applyProtection="0"/>
    <xf numFmtId="2" fontId="8" fillId="0" borderId="0" applyProtection="0"/>
    <xf numFmtId="0" fontId="26" fillId="0" borderId="5" applyNumberFormat="0" applyFill="0" applyAlignment="0" applyProtection="0"/>
    <xf numFmtId="2" fontId="8" fillId="0" borderId="0" applyProtection="0"/>
    <xf numFmtId="0" fontId="26" fillId="0" borderId="5" applyNumberFormat="0" applyFill="0" applyAlignment="0" applyProtection="0"/>
    <xf numFmtId="2" fontId="8" fillId="0" borderId="0" applyProtection="0"/>
    <xf numFmtId="0" fontId="26" fillId="0" borderId="5" applyNumberFormat="0" applyFill="0" applyAlignment="0" applyProtection="0"/>
    <xf numFmtId="0" fontId="34" fillId="0" borderId="0" applyNumberFormat="0" applyFont="0" applyFill="0" applyBorder="0" applyAlignment="0" applyProtection="0">
      <protection locked="0"/>
    </xf>
    <xf numFmtId="0" fontId="26" fillId="0" borderId="0" applyNumberFormat="0" applyFill="0" applyBorder="0" applyAlignment="0" applyProtection="0"/>
    <xf numFmtId="2" fontId="8" fillId="0" borderId="0" applyProtection="0"/>
    <xf numFmtId="0" fontId="26" fillId="0" borderId="0" applyNumberFormat="0" applyFill="0" applyBorder="0" applyAlignment="0" applyProtection="0"/>
    <xf numFmtId="2" fontId="8" fillId="0" borderId="0" applyProtection="0"/>
    <xf numFmtId="0" fontId="26" fillId="0" borderId="0" applyNumberFormat="0" applyFill="0" applyBorder="0" applyAlignment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2" fontId="8" fillId="0" borderId="0" applyProtection="0"/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2" fontId="8" fillId="0" borderId="0" applyProtection="0"/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0" fontId="12" fillId="0" borderId="0" applyNumberFormat="0" applyFill="0" applyBorder="0" applyAlignment="0" applyProtection="0"/>
    <xf numFmtId="0" fontId="17" fillId="0" borderId="0" applyProtection="0"/>
    <xf numFmtId="2" fontId="8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7" fillId="0" borderId="0" applyProtection="0"/>
    <xf numFmtId="2" fontId="8" fillId="0" borderId="0" applyProtection="0"/>
    <xf numFmtId="0" fontId="11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2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2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0" fontId="11" fillId="0" borderId="0" applyProtection="0"/>
    <xf numFmtId="0" fontId="8" fillId="0" borderId="0" applyProtection="0"/>
    <xf numFmtId="0" fontId="27" fillId="7" borderId="1" applyNumberFormat="0" applyAlignment="0" applyProtection="0"/>
    <xf numFmtId="0" fontId="8" fillId="0" borderId="0" applyProtection="0"/>
    <xf numFmtId="0" fontId="27" fillId="7" borderId="1" applyNumberFormat="0" applyAlignment="0" applyProtection="0"/>
    <xf numFmtId="0" fontId="8" fillId="0" borderId="0" applyProtection="0"/>
    <xf numFmtId="0" fontId="27" fillId="7" borderId="1" applyNumberFormat="0" applyAlignment="0" applyProtection="0"/>
    <xf numFmtId="0" fontId="8" fillId="0" borderId="0" applyProtection="0"/>
    <xf numFmtId="0" fontId="28" fillId="0" borderId="6" applyNumberFormat="0" applyFill="0" applyAlignment="0" applyProtection="0"/>
    <xf numFmtId="0" fontId="8" fillId="0" borderId="0" applyProtection="0"/>
    <xf numFmtId="0" fontId="28" fillId="0" borderId="6" applyNumberFormat="0" applyFill="0" applyAlignment="0" applyProtection="0"/>
    <xf numFmtId="0" fontId="8" fillId="0" borderId="0" applyProtection="0"/>
    <xf numFmtId="0" fontId="28" fillId="0" borderId="6" applyNumberFormat="0" applyFill="0" applyAlignment="0" applyProtection="0"/>
    <xf numFmtId="0" fontId="8" fillId="0" borderId="0" applyProtection="0"/>
    <xf numFmtId="0" fontId="29" fillId="23" borderId="0" applyNumberFormat="0" applyBorder="0" applyAlignment="0" applyProtection="0"/>
    <xf numFmtId="0" fontId="8" fillId="0" borderId="0" applyProtection="0"/>
    <xf numFmtId="0" fontId="29" fillId="23" borderId="0" applyNumberFormat="0" applyBorder="0" applyAlignment="0" applyProtection="0"/>
    <xf numFmtId="0" fontId="8" fillId="0" borderId="0" applyProtection="0"/>
    <xf numFmtId="0" fontId="29" fillId="23" borderId="0" applyNumberFormat="0" applyBorder="0" applyAlignment="0" applyProtection="0"/>
    <xf numFmtId="0" fontId="8" fillId="0" borderId="0" applyProtection="0"/>
    <xf numFmtId="0" fontId="3" fillId="0" borderId="0"/>
    <xf numFmtId="0" fontId="8" fillId="0" borderId="0" applyProtection="0"/>
    <xf numFmtId="0" fontId="15" fillId="0" borderId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8" fillId="0" borderId="0" applyProtection="0"/>
    <xf numFmtId="0" fontId="3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3" fillId="0" borderId="0"/>
    <xf numFmtId="0" fontId="8" fillId="0" borderId="0" applyProtection="0"/>
    <xf numFmtId="0" fontId="8" fillId="0" borderId="0" applyProtection="0"/>
    <xf numFmtId="0" fontId="15" fillId="0" borderId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8" fillId="0" borderId="0" applyProtection="0"/>
    <xf numFmtId="0" fontId="15" fillId="0" borderId="0"/>
    <xf numFmtId="0" fontId="15" fillId="0" borderId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8" fillId="0" borderId="0" applyProtection="0"/>
    <xf numFmtId="0" fontId="15" fillId="0" borderId="0"/>
    <xf numFmtId="0" fontId="15" fillId="0" borderId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15" fillId="0" borderId="0"/>
    <xf numFmtId="0" fontId="3" fillId="0" borderId="0"/>
    <xf numFmtId="0" fontId="8" fillId="0" borderId="0" applyProtection="0"/>
    <xf numFmtId="0" fontId="3" fillId="0" borderId="0"/>
    <xf numFmtId="0" fontId="8" fillId="0" borderId="0" applyProtection="0"/>
    <xf numFmtId="0" fontId="3" fillId="0" borderId="0"/>
    <xf numFmtId="0" fontId="3" fillId="0" borderId="0"/>
    <xf numFmtId="0" fontId="3" fillId="0" borderId="0"/>
    <xf numFmtId="0" fontId="8" fillId="0" borderId="0" applyProtection="0"/>
    <xf numFmtId="0" fontId="15" fillId="0" borderId="0"/>
    <xf numFmtId="0" fontId="3" fillId="0" borderId="0"/>
    <xf numFmtId="0" fontId="15" fillId="0" borderId="0"/>
    <xf numFmtId="0" fontId="34" fillId="0" borderId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9" fontId="3" fillId="0" borderId="3" applyProtection="0">
      <alignment horizontal="righ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4" fontId="20" fillId="0" borderId="3" applyProtection="0"/>
    <xf numFmtId="4" fontId="3" fillId="0" borderId="3" applyProtection="0"/>
    <xf numFmtId="4" fontId="3" fillId="0" borderId="3" applyProtection="0"/>
    <xf numFmtId="4" fontId="3" fillId="0" borderId="3" applyProtection="0"/>
    <xf numFmtId="4" fontId="3" fillId="0" borderId="3" applyProtection="0"/>
    <xf numFmtId="0" fontId="19" fillId="4" borderId="0" applyNumberFormat="0" applyBorder="0" applyAlignment="0" applyProtection="0"/>
    <xf numFmtId="3" fontId="13" fillId="0" borderId="3" applyFill="0" applyAlignment="0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3" fontId="20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0" fontId="19" fillId="4" borderId="0" applyNumberFormat="0" applyBorder="0" applyAlignment="0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0" fontId="19" fillId="4" borderId="0" applyNumberFormat="0" applyBorder="0" applyAlignment="0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0" fontId="19" fillId="4" borderId="0" applyNumberFormat="0" applyBorder="0" applyAlignment="0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0" fontId="19" fillId="4" borderId="0" applyNumberFormat="0" applyBorder="0" applyAlignment="0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13" fillId="0" borderId="3" applyFill="0" applyAlignment="0" applyProtection="0"/>
    <xf numFmtId="3" fontId="3" fillId="0" borderId="4" applyProtection="0"/>
    <xf numFmtId="0" fontId="19" fillId="4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3" fontId="3" fillId="0" borderId="4" applyProtection="0"/>
    <xf numFmtId="3" fontId="3" fillId="0" borderId="4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3" fontId="13" fillId="0" borderId="3" applyFill="0" applyAlignment="0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13" fillId="0" borderId="3" applyFill="0" applyAlignment="0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13" fillId="0" borderId="3" applyFill="0" applyAlignment="0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13" fillId="0" borderId="3" applyFill="0" applyAlignment="0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13" fillId="0" borderId="3" applyFill="0" applyAlignment="0" applyProtection="0"/>
    <xf numFmtId="3" fontId="3" fillId="0" borderId="4" applyProtection="0"/>
    <xf numFmtId="3" fontId="3" fillId="0" borderId="4" applyProtection="0"/>
    <xf numFmtId="3" fontId="3" fillId="0" borderId="4" applyProtection="0"/>
    <xf numFmtId="3" fontId="3" fillId="0" borderId="4" applyProtection="0"/>
    <xf numFmtId="0" fontId="19" fillId="3" borderId="0" applyNumberFormat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20" fillId="0" borderId="0" applyFont="0" applyFill="0" applyBorder="0" applyAlignment="0" applyProtection="0"/>
    <xf numFmtId="0" fontId="19" fillId="3" borderId="0" applyNumberFormat="0" applyBorder="0" applyAlignment="0" applyProtection="0"/>
    <xf numFmtId="170" fontId="3" fillId="0" borderId="3" applyProtection="0"/>
    <xf numFmtId="170" fontId="3" fillId="0" borderId="3" applyProtection="0"/>
    <xf numFmtId="170" fontId="3" fillId="0" borderId="3" applyProtection="0"/>
    <xf numFmtId="170" fontId="2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0" fontId="19" fillId="2" borderId="0" applyNumberFormat="0" applyBorder="0" applyAlignment="0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4" fontId="13" fillId="0" borderId="3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171" fontId="20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0" fontId="19" fillId="2" borderId="0" applyNumberFormat="0" applyBorder="0" applyAlignment="0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20" fillId="0" borderId="3" applyProtection="0"/>
    <xf numFmtId="0" fontId="19" fillId="2" borderId="0" applyNumberFormat="0" applyBorder="0" applyAlignment="0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20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171" fontId="3" fillId="0" borderId="3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4" fontId="20" fillId="0" borderId="3" applyProtection="0">
      <alignment horizontal="right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4" fontId="20" fillId="0" borderId="3" applyProtection="0">
      <alignment horizontal="right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4" fontId="20" fillId="0" borderId="3" applyProtection="0">
      <alignment horizontal="right"/>
    </xf>
    <xf numFmtId="166" fontId="3" fillId="0" borderId="0" applyFont="0" applyFill="0" applyBorder="0" applyAlignment="0" applyProtection="0"/>
    <xf numFmtId="174" fontId="20" fillId="0" borderId="3" applyProtection="0">
      <alignment horizontal="right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5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9" fillId="2" borderId="0" applyNumberFormat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20" fillId="0" borderId="0" applyFont="0" applyFill="0" applyBorder="0" applyAlignment="0" applyProtection="0"/>
    <xf numFmtId="0" fontId="19" fillId="2" borderId="0" applyNumberFormat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9" fillId="2" borderId="0" applyNumberFormat="0" applyBorder="0" applyAlignment="0" applyProtection="0"/>
    <xf numFmtId="0" fontId="19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" fillId="22" borderId="0"/>
    <xf numFmtId="0" fontId="3" fillId="22" borderId="0"/>
    <xf numFmtId="0" fontId="3" fillId="22" borderId="0"/>
    <xf numFmtId="0" fontId="3" fillId="22" borderId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3" fillId="22" borderId="0"/>
    <xf numFmtId="0" fontId="3" fillId="22" borderId="0"/>
    <xf numFmtId="0" fontId="3" fillId="22" borderId="0"/>
    <xf numFmtId="0" fontId="3" fillId="22" borderId="0"/>
    <xf numFmtId="0" fontId="3" fillId="22" borderId="0"/>
    <xf numFmtId="2" fontId="19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2" fontId="15" fillId="0" borderId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3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2" borderId="0" applyNumberFormat="0" applyBorder="0" applyAlignment="0" applyProtection="0"/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9" fillId="2" borderId="0" applyNumberFormat="0" applyBorder="0" applyAlignment="0" applyProtection="0"/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9" fillId="0" borderId="0" applyProtection="0"/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9" fillId="0" borderId="0" applyProtection="0"/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9" fillId="0" borderId="0" applyProtection="0"/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9" fillId="0" borderId="0" applyProtection="0"/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9" fillId="0" borderId="0" applyProtection="0"/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5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36" fillId="0" borderId="0" applyNumberForma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4" fontId="3" fillId="0" borderId="3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3" applyProtection="0">
      <alignment horizontal="right"/>
    </xf>
    <xf numFmtId="174" fontId="3" fillId="0" borderId="3" applyProtection="0">
      <alignment horizontal="right"/>
    </xf>
    <xf numFmtId="174" fontId="3" fillId="0" borderId="3" applyProtection="0">
      <alignment horizontal="right"/>
    </xf>
    <xf numFmtId="174" fontId="3" fillId="0" borderId="3" applyProtection="0">
      <alignment horizontal="right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1" fillId="0" borderId="0" applyProtection="0"/>
    <xf numFmtId="0" fontId="11" fillId="0" borderId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7" fillId="7" borderId="1" applyNumberFormat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0" fontId="30" fillId="20" borderId="8" applyNumberFormat="0" applyAlignment="0" applyProtection="0"/>
    <xf numFmtId="9" fontId="3" fillId="0" borderId="3" applyProtection="0">
      <alignment horizontal="right"/>
    </xf>
    <xf numFmtId="9" fontId="3" fillId="0" borderId="3" applyProtection="0">
      <alignment horizontal="righ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4" fontId="20" fillId="0" borderId="3" applyProtection="0"/>
    <xf numFmtId="0" fontId="2" fillId="0" borderId="0"/>
    <xf numFmtId="174" fontId="20" fillId="0" borderId="3" applyProtection="0">
      <alignment horizontal="right"/>
    </xf>
    <xf numFmtId="174" fontId="20" fillId="0" borderId="3" applyProtection="0">
      <alignment horizontal="right"/>
    </xf>
    <xf numFmtId="174" fontId="20" fillId="0" borderId="3" applyProtection="0">
      <alignment horizontal="right"/>
    </xf>
    <xf numFmtId="174" fontId="20" fillId="0" borderId="3" applyProtection="0">
      <alignment horizontal="right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7" fontId="3" fillId="0" borderId="0" applyFont="0" applyFill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5" fillId="0" borderId="0" applyNumberFormat="0" applyFont="0" applyFill="0" applyBorder="0" applyAlignment="0">
      <protection locked="0"/>
    </xf>
    <xf numFmtId="0" fontId="1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Protection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Protection="0"/>
    <xf numFmtId="0" fontId="11" fillId="0" borderId="0" applyProtection="0"/>
    <xf numFmtId="0" fontId="11" fillId="0" borderId="0" applyProtection="0"/>
    <xf numFmtId="0" fontId="11" fillId="0" borderId="0" applyProtection="0"/>
    <xf numFmtId="0" fontId="11" fillId="0" borderId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1">
    <xf numFmtId="0" fontId="0" fillId="0" borderId="0" xfId="0"/>
    <xf numFmtId="0" fontId="4" fillId="0" borderId="10" xfId="0" applyFont="1" applyBorder="1"/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0" xfId="0" applyFont="1" applyBorder="1"/>
    <xf numFmtId="2" fontId="4" fillId="0" borderId="10" xfId="0" applyNumberFormat="1" applyFont="1" applyBorder="1"/>
    <xf numFmtId="0" fontId="4" fillId="0" borderId="10" xfId="0" applyFont="1" applyBorder="1" applyAlignment="1">
      <alignment wrapText="1"/>
    </xf>
    <xf numFmtId="2" fontId="4" fillId="0" borderId="0" xfId="0" applyNumberFormat="1" applyFont="1"/>
    <xf numFmtId="0" fontId="4" fillId="0" borderId="10" xfId="0" quotePrefix="1" applyFont="1" applyBorder="1" applyAlignment="1">
      <alignment horizontal="center"/>
    </xf>
    <xf numFmtId="2" fontId="4" fillId="0" borderId="10" xfId="0" applyNumberFormat="1" applyFont="1" applyBorder="1" applyAlignment="1">
      <alignment horizontal="right"/>
    </xf>
    <xf numFmtId="2" fontId="5" fillId="0" borderId="11" xfId="0" applyNumberFormat="1" applyFont="1" applyBorder="1" applyAlignment="1">
      <alignment horizontal="right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5" fillId="0" borderId="10" xfId="0" applyFont="1" applyBorder="1" applyAlignment="1">
      <alignment wrapText="1"/>
    </xf>
    <xf numFmtId="0" fontId="5" fillId="0" borderId="14" xfId="0" applyFont="1" applyBorder="1" applyAlignment="1">
      <alignment horizontal="center"/>
    </xf>
    <xf numFmtId="0" fontId="5" fillId="0" borderId="15" xfId="0" applyFont="1" applyBorder="1"/>
    <xf numFmtId="0" fontId="4" fillId="0" borderId="15" xfId="0" applyFont="1" applyBorder="1" applyAlignment="1">
      <alignment horizontal="center"/>
    </xf>
    <xf numFmtId="2" fontId="5" fillId="0" borderId="16" xfId="0" applyNumberFormat="1" applyFont="1" applyBorder="1" applyAlignment="1">
      <alignment horizontal="right"/>
    </xf>
    <xf numFmtId="0" fontId="4" fillId="0" borderId="10" xfId="0" applyFont="1" applyBorder="1" applyAlignment="1">
      <alignment horizontal="left" vertical="top" wrapText="1"/>
    </xf>
    <xf numFmtId="2" fontId="10" fillId="0" borderId="0" xfId="0" applyNumberFormat="1" applyFont="1" applyAlignment="1">
      <alignment horizontal="right"/>
    </xf>
    <xf numFmtId="0" fontId="5" fillId="0" borderId="16" xfId="0" applyFont="1" applyBorder="1" applyAlignment="1">
      <alignment horizontal="center"/>
    </xf>
    <xf numFmtId="0" fontId="5" fillId="0" borderId="10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14" xfId="0" applyFont="1" applyBorder="1" applyAlignment="1">
      <alignment horizontal="center"/>
    </xf>
    <xf numFmtId="3" fontId="4" fillId="0" borderId="12" xfId="0" applyNumberFormat="1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4" fontId="4" fillId="0" borderId="12" xfId="0" applyNumberFormat="1" applyFont="1" applyBorder="1" applyAlignment="1">
      <alignment horizontal="center" vertical="center"/>
    </xf>
    <xf numFmtId="4" fontId="4" fillId="0" borderId="13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4" xfId="67" applyFont="1" applyBorder="1" applyAlignment="1">
      <alignment horizontal="center"/>
    </xf>
    <xf numFmtId="9" fontId="4" fillId="0" borderId="0" xfId="59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 applyProtection="1">
      <alignment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24" xfId="0" applyFont="1" applyBorder="1" applyAlignment="1">
      <alignment horizontal="left" vertical="center"/>
    </xf>
    <xf numFmtId="3" fontId="4" fillId="0" borderId="10" xfId="29" applyFont="1" applyFill="1" applyBorder="1" applyAlignment="1" applyProtection="1">
      <alignment horizontal="center"/>
    </xf>
    <xf numFmtId="0" fontId="4" fillId="0" borderId="10" xfId="893" applyFont="1" applyBorder="1" applyAlignment="1">
      <alignment horizontal="center"/>
    </xf>
    <xf numFmtId="0" fontId="4" fillId="0" borderId="0" xfId="893" applyFont="1"/>
    <xf numFmtId="0" fontId="4" fillId="0" borderId="14" xfId="893" applyFont="1" applyBorder="1" applyAlignment="1">
      <alignment horizontal="center" vertical="center"/>
    </xf>
    <xf numFmtId="0" fontId="4" fillId="0" borderId="24" xfId="893" applyFont="1" applyBorder="1" applyAlignment="1">
      <alignment horizontal="left" vertical="center"/>
    </xf>
    <xf numFmtId="0" fontId="4" fillId="0" borderId="10" xfId="893" applyFont="1" applyBorder="1" applyAlignment="1">
      <alignment horizontal="center" vertical="center"/>
    </xf>
    <xf numFmtId="0" fontId="4" fillId="0" borderId="0" xfId="893" applyFont="1" applyAlignment="1">
      <alignment horizontal="left"/>
    </xf>
    <xf numFmtId="0" fontId="37" fillId="0" borderId="0" xfId="893" applyFont="1" applyAlignment="1">
      <alignment horizontal="left"/>
    </xf>
    <xf numFmtId="0" fontId="4" fillId="0" borderId="14" xfId="893" applyFont="1" applyBorder="1"/>
    <xf numFmtId="0" fontId="4" fillId="0" borderId="10" xfId="893" quotePrefix="1" applyFont="1" applyBorder="1" applyAlignment="1">
      <alignment horizontal="center"/>
    </xf>
    <xf numFmtId="4" fontId="4" fillId="0" borderId="10" xfId="893" applyNumberFormat="1" applyFont="1" applyBorder="1" applyAlignment="1">
      <alignment horizontal="right" vertical="center"/>
    </xf>
    <xf numFmtId="3" fontId="4" fillId="0" borderId="10" xfId="893" applyNumberFormat="1" applyFont="1" applyBorder="1" applyAlignment="1">
      <alignment horizontal="center" vertical="center"/>
    </xf>
    <xf numFmtId="0" fontId="4" fillId="0" borderId="14" xfId="893" applyFont="1" applyBorder="1" applyAlignment="1">
      <alignment horizontal="left" vertical="center"/>
    </xf>
    <xf numFmtId="0" fontId="4" fillId="0" borderId="0" xfId="893" applyFont="1" applyAlignment="1" applyProtection="1">
      <alignment vertical="center"/>
      <protection locked="0"/>
    </xf>
    <xf numFmtId="0" fontId="4" fillId="0" borderId="10" xfId="893" applyFont="1" applyBorder="1"/>
    <xf numFmtId="0" fontId="4" fillId="0" borderId="14" xfId="70" applyFont="1" applyBorder="1" applyAlignment="1">
      <alignment horizontal="left"/>
    </xf>
    <xf numFmtId="3" fontId="4" fillId="0" borderId="10" xfId="69" applyNumberFormat="1" applyFont="1" applyBorder="1" applyAlignment="1">
      <alignment horizontal="center" vertical="center"/>
    </xf>
    <xf numFmtId="0" fontId="4" fillId="0" borderId="24" xfId="893" applyFont="1" applyBorder="1" applyAlignment="1">
      <alignment horizontal="center" vertical="center"/>
    </xf>
    <xf numFmtId="0" fontId="4" fillId="0" borderId="14" xfId="0" applyFont="1" applyBorder="1"/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4" fontId="4" fillId="0" borderId="10" xfId="235" applyNumberFormat="1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left"/>
    </xf>
    <xf numFmtId="0" fontId="4" fillId="0" borderId="24" xfId="893" applyFont="1" applyBorder="1" applyAlignment="1">
      <alignment vertical="center"/>
    </xf>
    <xf numFmtId="0" fontId="4" fillId="0" borderId="0" xfId="893" applyFont="1" applyAlignment="1" applyProtection="1">
      <alignment horizontal="left" vertical="center"/>
      <protection locked="0"/>
    </xf>
    <xf numFmtId="170" fontId="4" fillId="0" borderId="10" xfId="893" applyNumberFormat="1" applyFont="1" applyBorder="1" applyAlignment="1">
      <alignment horizontal="center" vertical="center"/>
    </xf>
    <xf numFmtId="2" fontId="4" fillId="0" borderId="14" xfId="893" applyNumberFormat="1" applyFont="1" applyBorder="1" applyAlignment="1">
      <alignment horizontal="center" vertical="center"/>
    </xf>
    <xf numFmtId="0" fontId="5" fillId="0" borderId="0" xfId="893" applyFont="1" applyAlignment="1">
      <alignment horizontal="left" vertical="center"/>
    </xf>
    <xf numFmtId="0" fontId="5" fillId="0" borderId="0" xfId="893" applyFont="1" applyAlignment="1" applyProtection="1">
      <alignment horizontal="left" vertical="center"/>
      <protection locked="0"/>
    </xf>
    <xf numFmtId="0" fontId="4" fillId="0" borderId="0" xfId="893" applyFont="1" applyAlignment="1">
      <alignment horizontal="center" vertical="center"/>
    </xf>
    <xf numFmtId="3" fontId="4" fillId="0" borderId="0" xfId="893" applyNumberFormat="1" applyFont="1" applyAlignment="1">
      <alignment horizontal="center" vertical="center"/>
    </xf>
    <xf numFmtId="4" fontId="4" fillId="0" borderId="0" xfId="893" applyNumberFormat="1" applyFont="1" applyAlignment="1">
      <alignment horizontal="center" vertical="center"/>
    </xf>
    <xf numFmtId="0" fontId="4" fillId="0" borderId="0" xfId="893" applyFont="1" applyAlignment="1">
      <alignment horizontal="left" vertical="center"/>
    </xf>
    <xf numFmtId="0" fontId="4" fillId="0" borderId="0" xfId="893" applyFont="1" applyAlignment="1">
      <alignment vertical="center"/>
    </xf>
    <xf numFmtId="4" fontId="5" fillId="0" borderId="0" xfId="893" applyNumberFormat="1" applyFont="1" applyAlignment="1">
      <alignment horizontal="right" vertical="center"/>
    </xf>
    <xf numFmtId="0" fontId="4" fillId="0" borderId="0" xfId="893" applyFont="1" applyAlignment="1">
      <alignment horizontal="right" vertical="center"/>
    </xf>
    <xf numFmtId="0" fontId="5" fillId="0" borderId="17" xfId="893" applyFont="1" applyBorder="1" applyAlignment="1">
      <alignment horizontal="center" vertical="center"/>
    </xf>
    <xf numFmtId="0" fontId="5" fillId="0" borderId="17" xfId="893" applyFont="1" applyBorder="1" applyAlignment="1">
      <alignment horizontal="left" vertical="center"/>
    </xf>
    <xf numFmtId="0" fontId="5" fillId="0" borderId="17" xfId="893" applyFont="1" applyBorder="1" applyAlignment="1" applyProtection="1">
      <alignment horizontal="left" vertical="center"/>
      <protection locked="0"/>
    </xf>
    <xf numFmtId="0" fontId="4" fillId="0" borderId="17" xfId="893" applyFont="1" applyBorder="1" applyAlignment="1">
      <alignment horizontal="center" vertical="center"/>
    </xf>
    <xf numFmtId="0" fontId="4" fillId="0" borderId="21" xfId="893" applyFont="1" applyBorder="1" applyAlignment="1">
      <alignment horizontal="center" vertical="center"/>
    </xf>
    <xf numFmtId="0" fontId="4" fillId="0" borderId="21" xfId="893" applyFont="1" applyBorder="1" applyAlignment="1">
      <alignment horizontal="left" vertical="center"/>
    </xf>
    <xf numFmtId="0" fontId="4" fillId="0" borderId="23" xfId="893" applyFont="1" applyBorder="1" applyAlignment="1" applyProtection="1">
      <alignment horizontal="center" vertical="center"/>
      <protection locked="0"/>
    </xf>
    <xf numFmtId="0" fontId="4" fillId="0" borderId="22" xfId="893" applyFont="1" applyBorder="1" applyAlignment="1">
      <alignment horizontal="center" vertical="center"/>
    </xf>
    <xf numFmtId="3" fontId="4" fillId="0" borderId="12" xfId="893" applyNumberFormat="1" applyFont="1" applyBorder="1" applyAlignment="1">
      <alignment horizontal="center" vertical="center"/>
    </xf>
    <xf numFmtId="0" fontId="4" fillId="0" borderId="19" xfId="893" applyFont="1" applyBorder="1" applyAlignment="1">
      <alignment horizontal="center" vertical="center"/>
    </xf>
    <xf numFmtId="0" fontId="4" fillId="0" borderId="19" xfId="893" applyFont="1" applyBorder="1" applyAlignment="1">
      <alignment horizontal="left" vertical="center"/>
    </xf>
    <xf numFmtId="0" fontId="4" fillId="0" borderId="17" xfId="893" applyFont="1" applyBorder="1" applyAlignment="1" applyProtection="1">
      <alignment horizontal="center" vertical="center"/>
      <protection locked="0"/>
    </xf>
    <xf numFmtId="0" fontId="4" fillId="0" borderId="20" xfId="893" applyFont="1" applyBorder="1" applyAlignment="1">
      <alignment horizontal="center" vertical="center"/>
    </xf>
    <xf numFmtId="3" fontId="4" fillId="0" borderId="13" xfId="893" applyNumberFormat="1" applyFont="1" applyBorder="1" applyAlignment="1">
      <alignment horizontal="center" vertical="center"/>
    </xf>
    <xf numFmtId="0" fontId="4" fillId="0" borderId="12" xfId="893" applyFont="1" applyBorder="1" applyAlignment="1">
      <alignment horizontal="left" vertical="center"/>
    </xf>
    <xf numFmtId="0" fontId="5" fillId="0" borderId="10" xfId="893" applyFont="1" applyBorder="1" applyAlignment="1">
      <alignment horizontal="center" vertical="center"/>
    </xf>
    <xf numFmtId="0" fontId="5" fillId="0" borderId="0" xfId="893" applyFont="1" applyAlignment="1" applyProtection="1">
      <alignment vertical="center"/>
      <protection locked="0"/>
    </xf>
    <xf numFmtId="0" fontId="5" fillId="0" borderId="24" xfId="893" applyFont="1" applyBorder="1" applyAlignment="1">
      <alignment vertical="center"/>
    </xf>
    <xf numFmtId="0" fontId="4" fillId="0" borderId="14" xfId="893" applyFont="1" applyBorder="1" applyAlignment="1">
      <alignment horizontal="center" wrapText="1"/>
    </xf>
    <xf numFmtId="0" fontId="4" fillId="0" borderId="14" xfId="893" applyFont="1" applyBorder="1" applyAlignment="1">
      <alignment horizontal="left"/>
    </xf>
    <xf numFmtId="0" fontId="4" fillId="0" borderId="24" xfId="893" applyFont="1" applyBorder="1" applyAlignment="1">
      <alignment horizontal="center" wrapText="1"/>
    </xf>
    <xf numFmtId="0" fontId="5" fillId="0" borderId="18" xfId="893" applyFont="1" applyBorder="1" applyAlignment="1">
      <alignment horizontal="center" vertical="center"/>
    </xf>
    <xf numFmtId="0" fontId="5" fillId="0" borderId="18" xfId="893" applyFont="1" applyBorder="1" applyAlignment="1">
      <alignment horizontal="left" vertical="center"/>
    </xf>
    <xf numFmtId="0" fontId="5" fillId="0" borderId="15" xfId="893" applyFont="1" applyBorder="1" applyAlignment="1" applyProtection="1">
      <alignment vertical="center"/>
      <protection locked="0"/>
    </xf>
    <xf numFmtId="0" fontId="4" fillId="0" borderId="15" xfId="893" applyFont="1" applyBorder="1" applyAlignment="1">
      <alignment horizontal="center" vertical="center"/>
    </xf>
    <xf numFmtId="3" fontId="4" fillId="0" borderId="15" xfId="893" applyNumberFormat="1" applyFont="1" applyBorder="1" applyAlignment="1">
      <alignment horizontal="center" vertical="center"/>
    </xf>
    <xf numFmtId="0" fontId="5" fillId="0" borderId="0" xfId="893" applyFont="1" applyAlignment="1">
      <alignment vertical="center"/>
    </xf>
    <xf numFmtId="0" fontId="4" fillId="0" borderId="17" xfId="893" applyFont="1" applyBorder="1" applyAlignment="1">
      <alignment horizontal="left" vertical="center"/>
    </xf>
    <xf numFmtId="0" fontId="4" fillId="0" borderId="17" xfId="893" applyFont="1" applyBorder="1" applyAlignment="1" applyProtection="1">
      <alignment vertical="center"/>
      <protection locked="0"/>
    </xf>
    <xf numFmtId="0" fontId="4" fillId="0" borderId="17" xfId="893" applyFont="1" applyBorder="1" applyAlignment="1">
      <alignment vertical="center"/>
    </xf>
    <xf numFmtId="3" fontId="4" fillId="0" borderId="10" xfId="893" quotePrefix="1" applyNumberFormat="1" applyFont="1" applyBorder="1" applyAlignment="1">
      <alignment horizontal="center" vertical="center"/>
    </xf>
    <xf numFmtId="3" fontId="4" fillId="0" borderId="10" xfId="29" applyFont="1" applyFill="1" applyBorder="1" applyAlignment="1" applyProtection="1">
      <alignment horizontal="center" vertical="center"/>
    </xf>
    <xf numFmtId="0" fontId="4" fillId="0" borderId="10" xfId="893" quotePrefix="1" applyFont="1" applyBorder="1" applyAlignment="1">
      <alignment horizontal="center" vertical="center"/>
    </xf>
    <xf numFmtId="0" fontId="4" fillId="0" borderId="13" xfId="893" applyFont="1" applyBorder="1"/>
    <xf numFmtId="3" fontId="4" fillId="0" borderId="10" xfId="29" quotePrefix="1" applyFont="1" applyFill="1" applyBorder="1" applyAlignment="1" applyProtection="1">
      <alignment horizontal="center" vertical="center"/>
    </xf>
    <xf numFmtId="0" fontId="37" fillId="0" borderId="0" xfId="0" applyFont="1" applyAlignment="1">
      <alignment horizontal="left"/>
    </xf>
    <xf numFmtId="0" fontId="5" fillId="0" borderId="14" xfId="893" applyFont="1" applyBorder="1" applyAlignment="1">
      <alignment horizontal="center" vertical="center"/>
    </xf>
    <xf numFmtId="0" fontId="5" fillId="0" borderId="14" xfId="893" applyFont="1" applyBorder="1" applyAlignment="1">
      <alignment horizontal="left" vertical="center"/>
    </xf>
    <xf numFmtId="0" fontId="4" fillId="0" borderId="10" xfId="893" applyFont="1" applyBorder="1" applyAlignment="1">
      <alignment horizontal="left" vertical="center"/>
    </xf>
    <xf numFmtId="0" fontId="4" fillId="0" borderId="10" xfId="893" applyFont="1" applyBorder="1" applyAlignment="1" applyProtection="1">
      <alignment horizontal="left" vertical="center"/>
      <protection locked="0"/>
    </xf>
    <xf numFmtId="0" fontId="4" fillId="0" borderId="24" xfId="893" applyFont="1" applyBorder="1"/>
    <xf numFmtId="0" fontId="4" fillId="0" borderId="24" xfId="0" applyFont="1" applyBorder="1"/>
    <xf numFmtId="0" fontId="37" fillId="0" borderId="24" xfId="0" applyFont="1" applyBorder="1" applyAlignment="1">
      <alignment horizontal="left"/>
    </xf>
    <xf numFmtId="0" fontId="4" fillId="0" borderId="14" xfId="893" applyFont="1" applyBorder="1" applyAlignment="1">
      <alignment horizontal="left" vertical="center" wrapText="1"/>
    </xf>
    <xf numFmtId="170" fontId="4" fillId="0" borderId="10" xfId="893" quotePrefix="1" applyNumberFormat="1" applyFont="1" applyBorder="1" applyAlignment="1">
      <alignment horizontal="center" vertical="center"/>
    </xf>
    <xf numFmtId="3" fontId="4" fillId="0" borderId="14" xfId="69" applyNumberFormat="1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4" fontId="4" fillId="0" borderId="0" xfId="893" applyNumberFormat="1" applyFont="1" applyAlignment="1">
      <alignment horizontal="right" vertical="center"/>
    </xf>
    <xf numFmtId="4" fontId="4" fillId="0" borderId="0" xfId="893" applyNumberFormat="1" applyFont="1" applyAlignment="1">
      <alignment vertical="center"/>
    </xf>
    <xf numFmtId="0" fontId="5" fillId="0" borderId="16" xfId="51" applyFont="1" applyBorder="1" applyAlignment="1">
      <alignment horizontal="center" vertical="center" wrapText="1"/>
    </xf>
    <xf numFmtId="168" fontId="4" fillId="0" borderId="10" xfId="51" applyNumberFormat="1" applyFont="1" applyBorder="1" applyAlignment="1">
      <alignment wrapText="1"/>
    </xf>
    <xf numFmtId="0" fontId="5" fillId="0" borderId="18" xfId="51" applyFont="1" applyBorder="1" applyAlignment="1">
      <alignment horizontal="left" vertical="center"/>
    </xf>
    <xf numFmtId="168" fontId="5" fillId="0" borderId="16" xfId="51" applyNumberFormat="1" applyFont="1" applyBorder="1" applyAlignment="1">
      <alignment vertical="center" wrapText="1"/>
    </xf>
    <xf numFmtId="4" fontId="4" fillId="0" borderId="12" xfId="893" applyNumberFormat="1" applyFont="1" applyBorder="1" applyAlignment="1">
      <alignment horizontal="right" vertical="center"/>
    </xf>
    <xf numFmtId="4" fontId="4" fillId="0" borderId="13" xfId="893" applyNumberFormat="1" applyFont="1" applyBorder="1" applyAlignment="1">
      <alignment horizontal="right" vertical="center"/>
    </xf>
    <xf numFmtId="0" fontId="5" fillId="0" borderId="15" xfId="893" applyFont="1" applyBorder="1" applyAlignment="1">
      <alignment horizontal="left" vertical="center"/>
    </xf>
    <xf numFmtId="0" fontId="4" fillId="0" borderId="15" xfId="893" applyFont="1" applyBorder="1" applyAlignment="1" applyProtection="1">
      <alignment vertical="center"/>
      <protection locked="0"/>
    </xf>
    <xf numFmtId="0" fontId="4" fillId="0" borderId="15" xfId="893" applyFont="1" applyBorder="1" applyAlignment="1">
      <alignment vertical="center"/>
    </xf>
    <xf numFmtId="4" fontId="4" fillId="0" borderId="11" xfId="893" applyNumberFormat="1" applyFont="1" applyBorder="1" applyAlignment="1">
      <alignment horizontal="right" vertical="center"/>
    </xf>
    <xf numFmtId="0" fontId="4" fillId="0" borderId="0" xfId="50" applyFont="1" applyAlignment="1">
      <alignment horizontal="center" vertical="top" wrapText="1"/>
    </xf>
    <xf numFmtId="0" fontId="5" fillId="0" borderId="0" xfId="50" applyFont="1" applyAlignment="1">
      <alignment horizontal="center" wrapText="1"/>
    </xf>
    <xf numFmtId="0" fontId="4" fillId="0" borderId="0" xfId="50" applyFont="1" applyAlignment="1">
      <alignment wrapText="1"/>
    </xf>
    <xf numFmtId="0" fontId="4" fillId="0" borderId="0" xfId="51" applyFont="1" applyAlignment="1">
      <alignment wrapText="1"/>
    </xf>
    <xf numFmtId="0" fontId="5" fillId="0" borderId="12" xfId="50" applyFont="1" applyBorder="1" applyAlignment="1">
      <alignment horizontal="center" vertical="top" wrapText="1"/>
    </xf>
    <xf numFmtId="0" fontId="5" fillId="0" borderId="12" xfId="50" applyFont="1" applyBorder="1" applyAlignment="1">
      <alignment wrapText="1"/>
    </xf>
    <xf numFmtId="0" fontId="4" fillId="0" borderId="10" xfId="50" applyFont="1" applyBorder="1" applyAlignment="1">
      <alignment horizontal="center" vertical="top" wrapText="1"/>
    </xf>
    <xf numFmtId="0" fontId="4" fillId="0" borderId="10" xfId="50" applyFont="1" applyBorder="1" applyAlignment="1">
      <alignment wrapText="1"/>
    </xf>
    <xf numFmtId="168" fontId="4" fillId="0" borderId="10" xfId="50" applyNumberFormat="1" applyFont="1" applyBorder="1" applyAlignment="1">
      <alignment wrapText="1"/>
    </xf>
    <xf numFmtId="168" fontId="4" fillId="0" borderId="0" xfId="50" applyNumberFormat="1" applyFont="1" applyAlignment="1">
      <alignment wrapText="1"/>
    </xf>
    <xf numFmtId="0" fontId="4" fillId="0" borderId="13" xfId="50" applyFont="1" applyBorder="1" applyAlignment="1">
      <alignment horizontal="center" vertical="top" wrapText="1"/>
    </xf>
    <xf numFmtId="0" fontId="4" fillId="0" borderId="13" xfId="50" applyFont="1" applyBorder="1" applyAlignment="1">
      <alignment wrapText="1"/>
    </xf>
    <xf numFmtId="0" fontId="5" fillId="0" borderId="28" xfId="50" applyFont="1" applyBorder="1" applyAlignment="1">
      <alignment horizontal="left" vertical="center"/>
    </xf>
    <xf numFmtId="0" fontId="5" fillId="0" borderId="27" xfId="50" applyFont="1" applyBorder="1" applyAlignment="1">
      <alignment horizontal="left" vertical="center"/>
    </xf>
    <xf numFmtId="168" fontId="5" fillId="0" borderId="16" xfId="50" applyNumberFormat="1" applyFont="1" applyBorder="1" applyAlignment="1">
      <alignment vertical="center" wrapText="1"/>
    </xf>
    <xf numFmtId="168" fontId="5" fillId="0" borderId="0" xfId="50" applyNumberFormat="1" applyFont="1" applyAlignment="1">
      <alignment wrapText="1"/>
    </xf>
    <xf numFmtId="0" fontId="5" fillId="0" borderId="21" xfId="50" applyFont="1" applyBorder="1" applyAlignment="1">
      <alignment horizontal="left" vertical="top"/>
    </xf>
    <xf numFmtId="0" fontId="5" fillId="0" borderId="22" xfId="50" applyFont="1" applyBorder="1" applyAlignment="1">
      <alignment horizontal="left" vertical="top"/>
    </xf>
    <xf numFmtId="168" fontId="4" fillId="0" borderId="12" xfId="50" applyNumberFormat="1" applyFont="1" applyBorder="1" applyAlignment="1">
      <alignment wrapText="1"/>
    </xf>
    <xf numFmtId="0" fontId="5" fillId="0" borderId="14" xfId="50" applyFont="1" applyBorder="1" applyAlignment="1">
      <alignment horizontal="left" vertical="top"/>
    </xf>
    <xf numFmtId="0" fontId="5" fillId="0" borderId="24" xfId="50" applyFont="1" applyBorder="1" applyAlignment="1">
      <alignment horizontal="left" vertical="top"/>
    </xf>
    <xf numFmtId="168" fontId="5" fillId="0" borderId="10" xfId="50" applyNumberFormat="1" applyFont="1" applyBorder="1" applyAlignment="1">
      <alignment wrapText="1"/>
    </xf>
    <xf numFmtId="0" fontId="5" fillId="0" borderId="14" xfId="50" applyFont="1" applyBorder="1" applyAlignment="1">
      <alignment horizontal="center" vertical="top" wrapText="1"/>
    </xf>
    <xf numFmtId="0" fontId="5" fillId="0" borderId="24" xfId="50" applyFont="1" applyBorder="1" applyAlignment="1">
      <alignment horizontal="left" vertical="top" wrapText="1"/>
    </xf>
    <xf numFmtId="168" fontId="4" fillId="0" borderId="0" xfId="50" applyNumberFormat="1" applyFont="1" applyAlignment="1">
      <alignment horizontal="centerContinuous" wrapText="1"/>
    </xf>
    <xf numFmtId="0" fontId="5" fillId="0" borderId="19" xfId="50" applyFont="1" applyBorder="1" applyAlignment="1">
      <alignment horizontal="left" vertical="top"/>
    </xf>
    <xf numFmtId="0" fontId="5" fillId="0" borderId="20" xfId="50" applyFont="1" applyBorder="1" applyAlignment="1">
      <alignment horizontal="centerContinuous" vertical="top" wrapText="1"/>
    </xf>
    <xf numFmtId="168" fontId="4" fillId="0" borderId="13" xfId="50" applyNumberFormat="1" applyFont="1" applyBorder="1" applyAlignment="1">
      <alignment wrapText="1"/>
    </xf>
    <xf numFmtId="0" fontId="5" fillId="0" borderId="18" xfId="50" applyFont="1" applyBorder="1" applyAlignment="1">
      <alignment horizontal="left" vertical="center"/>
    </xf>
    <xf numFmtId="0" fontId="5" fillId="0" borderId="11" xfId="50" applyFont="1" applyBorder="1" applyAlignment="1">
      <alignment horizontal="left" vertical="center"/>
    </xf>
    <xf numFmtId="0" fontId="5" fillId="0" borderId="22" xfId="50" applyFont="1" applyBorder="1" applyAlignment="1">
      <alignment horizontal="centerContinuous" vertical="top" wrapText="1"/>
    </xf>
    <xf numFmtId="0" fontId="5" fillId="0" borderId="0" xfId="50" applyFont="1" applyAlignment="1">
      <alignment horizontal="left" vertical="top"/>
    </xf>
    <xf numFmtId="0" fontId="5" fillId="0" borderId="0" xfId="50" applyFont="1" applyAlignment="1">
      <alignment horizontal="centerContinuous" vertical="top" wrapText="1"/>
    </xf>
    <xf numFmtId="0" fontId="4" fillId="0" borderId="0" xfId="0" applyFont="1" applyAlignment="1">
      <alignment horizontal="left" vertical="top" wrapText="1"/>
    </xf>
    <xf numFmtId="175" fontId="4" fillId="0" borderId="0" xfId="50" applyNumberFormat="1" applyFont="1" applyAlignment="1">
      <alignment wrapText="1"/>
    </xf>
    <xf numFmtId="175" fontId="4" fillId="0" borderId="0" xfId="50" applyNumberFormat="1" applyFont="1" applyAlignment="1">
      <alignment horizontal="right" wrapText="1"/>
    </xf>
    <xf numFmtId="0" fontId="4" fillId="0" borderId="0" xfId="0" applyFont="1" applyAlignment="1">
      <alignment wrapText="1"/>
    </xf>
    <xf numFmtId="0" fontId="3" fillId="0" borderId="0" xfId="893" applyAlignment="1" applyProtection="1">
      <alignment vertical="center"/>
      <protection locked="0"/>
    </xf>
    <xf numFmtId="0" fontId="3" fillId="0" borderId="24" xfId="893" applyBorder="1" applyAlignment="1">
      <alignment vertical="center"/>
    </xf>
    <xf numFmtId="0" fontId="3" fillId="0" borderId="24" xfId="893" applyBorder="1" applyAlignment="1">
      <alignment horizontal="center" vertical="center"/>
    </xf>
    <xf numFmtId="0" fontId="3" fillId="0" borderId="0" xfId="893" applyAlignment="1">
      <alignment horizontal="left"/>
    </xf>
    <xf numFmtId="0" fontId="3" fillId="0" borderId="10" xfId="893" applyBorder="1" applyAlignment="1">
      <alignment horizontal="center" vertical="center"/>
    </xf>
    <xf numFmtId="3" fontId="3" fillId="0" borderId="10" xfId="29" applyFont="1" applyFill="1" applyBorder="1" applyAlignment="1" applyProtection="1">
      <alignment horizontal="center" vertical="center"/>
    </xf>
    <xf numFmtId="1" fontId="4" fillId="0" borderId="24" xfId="893" applyNumberFormat="1" applyFont="1" applyBorder="1" applyAlignment="1">
      <alignment horizontal="center" vertical="center"/>
    </xf>
    <xf numFmtId="1" fontId="4" fillId="0" borderId="10" xfId="893" applyNumberFormat="1" applyFont="1" applyBorder="1" applyAlignment="1">
      <alignment horizontal="center" vertical="center"/>
    </xf>
    <xf numFmtId="169" fontId="4" fillId="0" borderId="24" xfId="893" applyNumberFormat="1" applyFont="1" applyBorder="1" applyAlignment="1">
      <alignment horizontal="center" vertical="center"/>
    </xf>
    <xf numFmtId="4" fontId="4" fillId="0" borderId="10" xfId="893" applyNumberFormat="1" applyFont="1" applyBorder="1" applyAlignment="1">
      <alignment horizontal="center" vertical="center"/>
    </xf>
    <xf numFmtId="168" fontId="4" fillId="0" borderId="10" xfId="893" applyNumberFormat="1" applyFont="1" applyBorder="1" applyAlignment="1" applyProtection="1">
      <alignment horizontal="right"/>
      <protection locked="0"/>
    </xf>
    <xf numFmtId="168" fontId="4" fillId="0" borderId="10" xfId="893" applyNumberFormat="1" applyFont="1" applyBorder="1" applyProtection="1">
      <protection locked="0"/>
    </xf>
    <xf numFmtId="168" fontId="4" fillId="0" borderId="10" xfId="28" applyNumberFormat="1" applyFont="1" applyFill="1" applyBorder="1" applyProtection="1">
      <protection locked="0"/>
    </xf>
    <xf numFmtId="168" fontId="4" fillId="0" borderId="10" xfId="893" applyNumberFormat="1" applyFont="1" applyBorder="1" applyAlignment="1">
      <alignment horizontal="right" vertical="center"/>
    </xf>
    <xf numFmtId="168" fontId="4" fillId="0" borderId="10" xfId="28" applyNumberFormat="1" applyFont="1" applyFill="1" applyBorder="1" applyAlignment="1">
      <alignment horizontal="right" vertical="center"/>
    </xf>
    <xf numFmtId="168" fontId="4" fillId="0" borderId="0" xfId="893" applyNumberFormat="1" applyFont="1" applyAlignment="1">
      <alignment horizontal="center" vertical="center"/>
    </xf>
    <xf numFmtId="168" fontId="5" fillId="0" borderId="0" xfId="893" applyNumberFormat="1" applyFont="1" applyAlignment="1">
      <alignment horizontal="right" vertical="center"/>
    </xf>
    <xf numFmtId="168" fontId="4" fillId="0" borderId="12" xfId="893" applyNumberFormat="1" applyFont="1" applyBorder="1" applyAlignment="1">
      <alignment horizontal="center" vertical="center"/>
    </xf>
    <xf numFmtId="168" fontId="4" fillId="0" borderId="13" xfId="893" applyNumberFormat="1" applyFont="1" applyBorder="1" applyAlignment="1">
      <alignment horizontal="center" vertical="center"/>
    </xf>
    <xf numFmtId="168" fontId="10" fillId="0" borderId="0" xfId="893" applyNumberFormat="1" applyFont="1" applyAlignment="1">
      <alignment horizontal="right" vertical="center"/>
    </xf>
    <xf numFmtId="168" fontId="4" fillId="0" borderId="0" xfId="893" applyNumberFormat="1" applyFont="1" applyAlignment="1">
      <alignment vertical="center"/>
    </xf>
    <xf numFmtId="168" fontId="4" fillId="0" borderId="10" xfId="8708" applyNumberFormat="1" applyFont="1" applyFill="1" applyBorder="1" applyAlignment="1" applyProtection="1">
      <alignment horizontal="right"/>
      <protection locked="0"/>
    </xf>
    <xf numFmtId="0" fontId="5" fillId="0" borderId="15" xfId="893" applyFont="1" applyBorder="1" applyAlignment="1">
      <alignment vertical="center"/>
    </xf>
    <xf numFmtId="0" fontId="5" fillId="0" borderId="0" xfId="51" applyFont="1" applyAlignment="1">
      <alignment horizontal="left" vertical="center" wrapText="1"/>
    </xf>
    <xf numFmtId="0" fontId="4" fillId="0" borderId="0" xfId="51" applyFont="1" applyAlignment="1">
      <alignment vertical="center" wrapText="1"/>
    </xf>
    <xf numFmtId="0" fontId="4" fillId="0" borderId="12" xfId="51" applyFont="1" applyBorder="1" applyAlignment="1">
      <alignment horizontal="center" vertical="center" wrapText="1"/>
    </xf>
    <xf numFmtId="0" fontId="4" fillId="0" borderId="12" xfId="51" applyFont="1" applyBorder="1" applyAlignment="1">
      <alignment horizontal="left" vertical="center" wrapText="1"/>
    </xf>
    <xf numFmtId="0" fontId="4" fillId="0" borderId="10" xfId="51" applyFont="1" applyBorder="1" applyAlignment="1">
      <alignment horizontal="center" vertical="center" wrapText="1"/>
    </xf>
    <xf numFmtId="0" fontId="5" fillId="0" borderId="10" xfId="51" applyFont="1" applyBorder="1" applyAlignment="1">
      <alignment horizontal="left" vertical="center" wrapText="1"/>
    </xf>
    <xf numFmtId="0" fontId="4" fillId="0" borderId="10" xfId="51" applyFont="1" applyBorder="1" applyAlignment="1">
      <alignment horizontal="left" vertical="center" wrapText="1"/>
    </xf>
    <xf numFmtId="1" fontId="4" fillId="0" borderId="10" xfId="28" applyNumberFormat="1" applyFont="1" applyFill="1" applyBorder="1" applyAlignment="1">
      <alignment horizontal="center" vertical="center" wrapText="1"/>
    </xf>
    <xf numFmtId="168" fontId="4" fillId="0" borderId="10" xfId="51" applyNumberFormat="1" applyFont="1" applyBorder="1" applyAlignment="1">
      <alignment vertical="center" wrapText="1"/>
    </xf>
    <xf numFmtId="164" fontId="4" fillId="0" borderId="0" xfId="51" applyNumberFormat="1" applyFont="1" applyAlignment="1">
      <alignment vertical="center" wrapText="1"/>
    </xf>
    <xf numFmtId="164" fontId="4" fillId="0" borderId="10" xfId="51" applyNumberFormat="1" applyFont="1" applyBorder="1" applyAlignment="1">
      <alignment vertical="center" wrapText="1"/>
    </xf>
    <xf numFmtId="0" fontId="4" fillId="0" borderId="13" xfId="51" applyFont="1" applyBorder="1" applyAlignment="1">
      <alignment horizontal="center" vertical="center" wrapText="1"/>
    </xf>
    <xf numFmtId="0" fontId="4" fillId="0" borderId="13" xfId="51" applyFont="1" applyBorder="1" applyAlignment="1">
      <alignment horizontal="left" vertical="center" wrapText="1"/>
    </xf>
    <xf numFmtId="0" fontId="5" fillId="0" borderId="11" xfId="51" applyFont="1" applyBorder="1" applyAlignment="1">
      <alignment horizontal="left" vertical="center"/>
    </xf>
    <xf numFmtId="177" fontId="4" fillId="0" borderId="0" xfId="51" applyNumberFormat="1" applyFont="1" applyAlignment="1">
      <alignment vertical="center" wrapText="1"/>
    </xf>
    <xf numFmtId="0" fontId="5" fillId="0" borderId="0" xfId="51" applyFont="1" applyAlignment="1">
      <alignment horizontal="centerContinuous" vertical="center" wrapText="1"/>
    </xf>
    <xf numFmtId="176" fontId="4" fillId="0" borderId="0" xfId="51" applyNumberFormat="1" applyFont="1" applyAlignment="1">
      <alignment vertical="center" wrapText="1"/>
    </xf>
    <xf numFmtId="0" fontId="4" fillId="0" borderId="0" xfId="51" applyFont="1" applyAlignment="1">
      <alignment horizontal="center" vertical="center" wrapText="1"/>
    </xf>
    <xf numFmtId="0" fontId="5" fillId="0" borderId="14" xfId="893" applyFont="1" applyBorder="1"/>
    <xf numFmtId="0" fontId="4" fillId="0" borderId="14" xfId="893" applyFont="1" applyBorder="1" applyAlignment="1" applyProtection="1">
      <alignment vertical="center"/>
      <protection locked="0"/>
    </xf>
    <xf numFmtId="0" fontId="5" fillId="0" borderId="0" xfId="893" applyFont="1" applyAlignment="1">
      <alignment horizontal="left"/>
    </xf>
    <xf numFmtId="0" fontId="4" fillId="0" borderId="0" xfId="67" applyFont="1" applyAlignment="1">
      <alignment horizontal="center" vertical="top"/>
    </xf>
    <xf numFmtId="168" fontId="4" fillId="0" borderId="10" xfId="67" applyNumberFormat="1" applyFont="1" applyBorder="1" applyAlignment="1" applyProtection="1">
      <alignment horizontal="right"/>
      <protection locked="0"/>
    </xf>
    <xf numFmtId="0" fontId="4" fillId="0" borderId="24" xfId="893" applyFont="1" applyBorder="1" applyAlignment="1">
      <alignment horizontal="left"/>
    </xf>
    <xf numFmtId="0" fontId="4" fillId="0" borderId="0" xfId="67" applyFont="1" applyAlignment="1">
      <alignment horizontal="left" vertical="top"/>
    </xf>
    <xf numFmtId="0" fontId="4" fillId="0" borderId="24" xfId="0" applyFont="1" applyBorder="1" applyAlignment="1">
      <alignment horizontal="left"/>
    </xf>
    <xf numFmtId="0" fontId="4" fillId="0" borderId="14" xfId="893" applyFont="1" applyBorder="1" applyAlignment="1">
      <alignment horizontal="left" vertical="top"/>
    </xf>
    <xf numFmtId="0" fontId="4" fillId="0" borderId="0" xfId="893" applyFont="1" applyAlignment="1" applyProtection="1">
      <alignment vertical="top"/>
      <protection locked="0"/>
    </xf>
    <xf numFmtId="0" fontId="4" fillId="0" borderId="24" xfId="893" applyFont="1" applyBorder="1" applyAlignment="1">
      <alignment vertical="top"/>
    </xf>
    <xf numFmtId="0" fontId="4" fillId="0" borderId="24" xfId="893" applyFont="1" applyBorder="1" applyAlignment="1">
      <alignment horizontal="center" vertical="top"/>
    </xf>
    <xf numFmtId="0" fontId="4" fillId="0" borderId="14" xfId="0" applyFont="1" applyBorder="1" applyAlignment="1">
      <alignment horizontal="left" vertical="top"/>
    </xf>
    <xf numFmtId="0" fontId="4" fillId="0" borderId="0" xfId="0" applyFont="1" applyAlignment="1" applyProtection="1">
      <alignment vertical="top"/>
      <protection locked="0"/>
    </xf>
    <xf numFmtId="168" fontId="5" fillId="0" borderId="16" xfId="893" applyNumberFormat="1" applyFont="1" applyBorder="1" applyAlignment="1">
      <alignment horizontal="left" vertical="center"/>
    </xf>
    <xf numFmtId="4" fontId="4" fillId="0" borderId="10" xfId="893" applyNumberFormat="1" applyFont="1" applyBorder="1" applyAlignment="1">
      <alignment horizontal="left" vertical="center"/>
    </xf>
    <xf numFmtId="0" fontId="37" fillId="0" borderId="14" xfId="893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9" fillId="0" borderId="0" xfId="893" applyFont="1" applyAlignment="1">
      <alignment vertical="center"/>
    </xf>
    <xf numFmtId="0" fontId="7" fillId="0" borderId="0" xfId="893" applyFont="1" applyAlignment="1">
      <alignment vertical="center"/>
    </xf>
    <xf numFmtId="0" fontId="4" fillId="25" borderId="0" xfId="0" applyFont="1" applyFill="1" applyAlignment="1">
      <alignment vertical="center"/>
    </xf>
    <xf numFmtId="0" fontId="4" fillId="26" borderId="0" xfId="0" applyFont="1" applyFill="1" applyAlignment="1">
      <alignment vertical="center"/>
    </xf>
    <xf numFmtId="0" fontId="5" fillId="26" borderId="0" xfId="0" applyFont="1" applyFill="1" applyAlignment="1">
      <alignment horizontal="left" vertical="center"/>
    </xf>
    <xf numFmtId="0" fontId="4" fillId="26" borderId="0" xfId="0" applyFont="1" applyFill="1" applyAlignment="1">
      <alignment horizontal="left" vertical="center"/>
    </xf>
    <xf numFmtId="0" fontId="4" fillId="26" borderId="0" xfId="0" applyFont="1" applyFill="1" applyAlignment="1" applyProtection="1">
      <alignment vertical="center"/>
      <protection locked="0"/>
    </xf>
    <xf numFmtId="0" fontId="4" fillId="26" borderId="0" xfId="0" applyFont="1" applyFill="1" applyAlignment="1">
      <alignment horizontal="center" vertical="center"/>
    </xf>
    <xf numFmtId="0" fontId="4" fillId="26" borderId="17" xfId="0" applyFont="1" applyFill="1" applyBorder="1" applyAlignment="1">
      <alignment horizontal="left" vertical="center"/>
    </xf>
    <xf numFmtId="0" fontId="4" fillId="26" borderId="17" xfId="0" applyFont="1" applyFill="1" applyBorder="1" applyAlignment="1" applyProtection="1">
      <alignment vertical="center"/>
      <protection locked="0"/>
    </xf>
    <xf numFmtId="0" fontId="4" fillId="26" borderId="17" xfId="0" applyFont="1" applyFill="1" applyBorder="1" applyAlignment="1">
      <alignment vertical="center"/>
    </xf>
    <xf numFmtId="0" fontId="4" fillId="26" borderId="17" xfId="0" applyFont="1" applyFill="1" applyBorder="1" applyAlignment="1">
      <alignment horizontal="center" vertical="center"/>
    </xf>
    <xf numFmtId="0" fontId="4" fillId="26" borderId="21" xfId="0" applyFont="1" applyFill="1" applyBorder="1" applyAlignment="1">
      <alignment horizontal="center" vertical="center"/>
    </xf>
    <xf numFmtId="0" fontId="4" fillId="26" borderId="21" xfId="0" applyFont="1" applyFill="1" applyBorder="1" applyAlignment="1">
      <alignment horizontal="left" vertical="center"/>
    </xf>
    <xf numFmtId="0" fontId="4" fillId="26" borderId="23" xfId="0" applyFont="1" applyFill="1" applyBorder="1" applyAlignment="1" applyProtection="1">
      <alignment horizontal="center" vertical="center"/>
      <protection locked="0"/>
    </xf>
    <xf numFmtId="0" fontId="4" fillId="26" borderId="22" xfId="0" applyFont="1" applyFill="1" applyBorder="1" applyAlignment="1">
      <alignment horizontal="center" vertical="center"/>
    </xf>
    <xf numFmtId="168" fontId="4" fillId="26" borderId="12" xfId="0" applyNumberFormat="1" applyFont="1" applyFill="1" applyBorder="1" applyAlignment="1">
      <alignment horizontal="center" vertical="center"/>
    </xf>
    <xf numFmtId="4" fontId="4" fillId="26" borderId="12" xfId="0" applyNumberFormat="1" applyFont="1" applyFill="1" applyBorder="1" applyAlignment="1">
      <alignment horizontal="center" vertical="center"/>
    </xf>
    <xf numFmtId="0" fontId="4" fillId="26" borderId="19" xfId="0" applyFont="1" applyFill="1" applyBorder="1" applyAlignment="1">
      <alignment horizontal="center" vertical="center"/>
    </xf>
    <xf numFmtId="0" fontId="4" fillId="26" borderId="19" xfId="0" applyFont="1" applyFill="1" applyBorder="1" applyAlignment="1">
      <alignment horizontal="left" vertical="center"/>
    </xf>
    <xf numFmtId="0" fontId="4" fillId="26" borderId="17" xfId="0" applyFont="1" applyFill="1" applyBorder="1" applyAlignment="1" applyProtection="1">
      <alignment horizontal="center" vertical="center"/>
      <protection locked="0"/>
    </xf>
    <xf numFmtId="0" fontId="4" fillId="26" borderId="20" xfId="0" applyFont="1" applyFill="1" applyBorder="1" applyAlignment="1">
      <alignment horizontal="center" vertical="center"/>
    </xf>
    <xf numFmtId="168" fontId="4" fillId="26" borderId="13" xfId="0" applyNumberFormat="1" applyFont="1" applyFill="1" applyBorder="1" applyAlignment="1">
      <alignment horizontal="center" vertical="center"/>
    </xf>
    <xf numFmtId="4" fontId="4" fillId="26" borderId="13" xfId="0" applyNumberFormat="1" applyFont="1" applyFill="1" applyBorder="1" applyAlignment="1">
      <alignment horizontal="center" vertical="center"/>
    </xf>
    <xf numFmtId="0" fontId="4" fillId="26" borderId="23" xfId="0" applyFont="1" applyFill="1" applyBorder="1" applyAlignment="1" applyProtection="1">
      <alignment vertical="center"/>
      <protection locked="0"/>
    </xf>
    <xf numFmtId="0" fontId="4" fillId="26" borderId="22" xfId="0" applyFont="1" applyFill="1" applyBorder="1" applyAlignment="1">
      <alignment vertical="center"/>
    </xf>
    <xf numFmtId="0" fontId="5" fillId="26" borderId="14" xfId="0" applyFont="1" applyFill="1" applyBorder="1" applyAlignment="1">
      <alignment horizontal="center" vertical="center"/>
    </xf>
    <xf numFmtId="0" fontId="5" fillId="26" borderId="14" xfId="0" applyFont="1" applyFill="1" applyBorder="1" applyAlignment="1">
      <alignment horizontal="left" vertical="center"/>
    </xf>
    <xf numFmtId="0" fontId="5" fillId="26" borderId="0" xfId="0" applyFont="1" applyFill="1" applyAlignment="1" applyProtection="1">
      <alignment vertical="center"/>
      <protection locked="0"/>
    </xf>
    <xf numFmtId="0" fontId="5" fillId="26" borderId="24" xfId="0" applyFont="1" applyFill="1" applyBorder="1" applyAlignment="1">
      <alignment vertical="center"/>
    </xf>
    <xf numFmtId="0" fontId="4" fillId="26" borderId="24" xfId="0" applyFont="1" applyFill="1" applyBorder="1" applyAlignment="1">
      <alignment horizontal="center" vertical="center"/>
    </xf>
    <xf numFmtId="3" fontId="4" fillId="26" borderId="10" xfId="0" applyNumberFormat="1" applyFont="1" applyFill="1" applyBorder="1" applyAlignment="1">
      <alignment horizontal="center" vertical="center"/>
    </xf>
    <xf numFmtId="0" fontId="4" fillId="26" borderId="14" xfId="0" applyFont="1" applyFill="1" applyBorder="1" applyAlignment="1">
      <alignment horizontal="center" vertical="center"/>
    </xf>
    <xf numFmtId="0" fontId="4" fillId="26" borderId="10" xfId="0" applyFont="1" applyFill="1" applyBorder="1" applyAlignment="1">
      <alignment horizontal="center" vertical="center"/>
    </xf>
    <xf numFmtId="0" fontId="4" fillId="26" borderId="14" xfId="0" applyFont="1" applyFill="1" applyBorder="1" applyAlignment="1">
      <alignment vertical="center"/>
    </xf>
    <xf numFmtId="0" fontId="4" fillId="26" borderId="0" xfId="0" applyFont="1" applyFill="1" applyAlignment="1">
      <alignment vertical="center" wrapText="1"/>
    </xf>
    <xf numFmtId="0" fontId="4" fillId="26" borderId="0" xfId="0" applyFont="1" applyFill="1" applyAlignment="1">
      <alignment horizontal="left" vertical="center" wrapText="1"/>
    </xf>
    <xf numFmtId="168" fontId="4" fillId="26" borderId="10" xfId="51" applyNumberFormat="1" applyFont="1" applyFill="1" applyBorder="1" applyAlignment="1">
      <alignment vertical="center" wrapText="1"/>
    </xf>
    <xf numFmtId="0" fontId="4" fillId="26" borderId="14" xfId="0" applyFont="1" applyFill="1" applyBorder="1" applyAlignment="1">
      <alignment horizontal="left" vertical="center"/>
    </xf>
    <xf numFmtId="0" fontId="4" fillId="26" borderId="24" xfId="0" applyFont="1" applyFill="1" applyBorder="1" applyAlignment="1">
      <alignment vertical="center"/>
    </xf>
    <xf numFmtId="0" fontId="4" fillId="26" borderId="10" xfId="0" quotePrefix="1" applyFont="1" applyFill="1" applyBorder="1" applyAlignment="1">
      <alignment horizontal="center" vertical="center"/>
    </xf>
    <xf numFmtId="0" fontId="5" fillId="26" borderId="0" xfId="0" applyFont="1" applyFill="1" applyAlignment="1" applyProtection="1">
      <alignment horizontal="left" vertical="center"/>
      <protection locked="0"/>
    </xf>
    <xf numFmtId="168" fontId="4" fillId="26" borderId="0" xfId="0" applyNumberFormat="1" applyFont="1" applyFill="1" applyAlignment="1">
      <alignment horizontal="center" vertical="center"/>
    </xf>
    <xf numFmtId="4" fontId="4" fillId="26" borderId="0" xfId="0" applyNumberFormat="1" applyFont="1" applyFill="1" applyAlignment="1">
      <alignment horizontal="center" vertical="center"/>
    </xf>
    <xf numFmtId="0" fontId="5" fillId="26" borderId="17" xfId="0" applyFont="1" applyFill="1" applyBorder="1" applyAlignment="1">
      <alignment horizontal="center" vertical="center"/>
    </xf>
    <xf numFmtId="0" fontId="5" fillId="26" borderId="17" xfId="0" applyFont="1" applyFill="1" applyBorder="1" applyAlignment="1">
      <alignment horizontal="left" vertical="center"/>
    </xf>
    <xf numFmtId="0" fontId="5" fillId="26" borderId="17" xfId="0" applyFont="1" applyFill="1" applyBorder="1" applyAlignment="1" applyProtection="1">
      <alignment horizontal="left" vertical="center"/>
      <protection locked="0"/>
    </xf>
    <xf numFmtId="3" fontId="4" fillId="26" borderId="10" xfId="0" quotePrefix="1" applyNumberFormat="1" applyFont="1" applyFill="1" applyBorder="1" applyAlignment="1">
      <alignment horizontal="center" vertical="center"/>
    </xf>
    <xf numFmtId="0" fontId="4" fillId="26" borderId="14" xfId="0" applyFont="1" applyFill="1" applyBorder="1" applyAlignment="1">
      <alignment horizontal="center" vertical="center" wrapText="1"/>
    </xf>
    <xf numFmtId="0" fontId="4" fillId="26" borderId="24" xfId="0" applyFont="1" applyFill="1" applyBorder="1" applyAlignment="1">
      <alignment horizontal="center" vertical="center" wrapText="1"/>
    </xf>
    <xf numFmtId="0" fontId="4" fillId="26" borderId="0" xfId="0" applyFont="1" applyFill="1" applyAlignment="1" applyProtection="1">
      <alignment horizontal="left" vertical="center"/>
      <protection locked="0"/>
    </xf>
    <xf numFmtId="0" fontId="4" fillId="26" borderId="24" xfId="0" applyFont="1" applyFill="1" applyBorder="1" applyAlignment="1">
      <alignment horizontal="left" vertical="center"/>
    </xf>
    <xf numFmtId="0" fontId="5" fillId="26" borderId="18" xfId="0" applyFont="1" applyFill="1" applyBorder="1" applyAlignment="1">
      <alignment horizontal="center" vertical="center"/>
    </xf>
    <xf numFmtId="0" fontId="5" fillId="26" borderId="18" xfId="0" applyFont="1" applyFill="1" applyBorder="1" applyAlignment="1">
      <alignment horizontal="left" vertical="center"/>
    </xf>
    <xf numFmtId="0" fontId="5" fillId="26" borderId="15" xfId="0" applyFont="1" applyFill="1" applyBorder="1" applyAlignment="1" applyProtection="1">
      <alignment vertical="center"/>
      <protection locked="0"/>
    </xf>
    <xf numFmtId="0" fontId="5" fillId="26" borderId="15" xfId="0" applyFont="1" applyFill="1" applyBorder="1" applyAlignment="1">
      <alignment vertical="center"/>
    </xf>
    <xf numFmtId="0" fontId="4" fillId="26" borderId="15" xfId="0" applyFont="1" applyFill="1" applyBorder="1" applyAlignment="1">
      <alignment horizontal="center" vertical="center"/>
    </xf>
    <xf numFmtId="0" fontId="4" fillId="26" borderId="14" xfId="58" applyFont="1" applyFill="1" applyBorder="1" applyAlignment="1">
      <alignment horizontal="center" vertical="center"/>
    </xf>
    <xf numFmtId="0" fontId="4" fillId="26" borderId="14" xfId="58" applyFont="1" applyFill="1" applyBorder="1" applyAlignment="1">
      <alignment vertical="center"/>
    </xf>
    <xf numFmtId="0" fontId="4" fillId="26" borderId="0" xfId="58" applyFont="1" applyFill="1" applyAlignment="1">
      <alignment vertical="center"/>
    </xf>
    <xf numFmtId="0" fontId="4" fillId="26" borderId="24" xfId="58" applyFont="1" applyFill="1" applyBorder="1" applyAlignment="1">
      <alignment vertical="center"/>
    </xf>
    <xf numFmtId="0" fontId="4" fillId="26" borderId="24" xfId="58" applyFont="1" applyFill="1" applyBorder="1" applyAlignment="1">
      <alignment horizontal="center" vertical="center"/>
    </xf>
    <xf numFmtId="0" fontId="5" fillId="26" borderId="0" xfId="0" applyFont="1" applyFill="1" applyAlignment="1">
      <alignment vertical="center"/>
    </xf>
    <xf numFmtId="0" fontId="4" fillId="26" borderId="10" xfId="893" applyFont="1" applyFill="1" applyBorder="1" applyAlignment="1">
      <alignment horizontal="center" vertical="center"/>
    </xf>
    <xf numFmtId="0" fontId="4" fillId="26" borderId="0" xfId="893" applyFont="1" applyFill="1" applyAlignment="1">
      <alignment vertical="center"/>
    </xf>
    <xf numFmtId="0" fontId="4" fillId="26" borderId="10" xfId="67" applyFont="1" applyFill="1" applyBorder="1" applyAlignment="1">
      <alignment horizontal="center" vertical="center"/>
    </xf>
    <xf numFmtId="3" fontId="4" fillId="26" borderId="10" xfId="29" applyFont="1" applyFill="1" applyBorder="1" applyAlignment="1" applyProtection="1">
      <alignment horizontal="center" vertical="center"/>
    </xf>
    <xf numFmtId="0" fontId="4" fillId="26" borderId="14" xfId="893" applyFont="1" applyFill="1" applyBorder="1" applyAlignment="1">
      <alignment horizontal="center" vertical="center"/>
    </xf>
    <xf numFmtId="0" fontId="4" fillId="26" borderId="14" xfId="893" applyFont="1" applyFill="1" applyBorder="1" applyAlignment="1">
      <alignment vertical="center"/>
    </xf>
    <xf numFmtId="0" fontId="4" fillId="26" borderId="24" xfId="893" applyFont="1" applyFill="1" applyBorder="1" applyAlignment="1">
      <alignment horizontal="left" vertical="center"/>
    </xf>
    <xf numFmtId="0" fontId="4" fillId="26" borderId="14" xfId="67" applyFont="1" applyFill="1" applyBorder="1" applyAlignment="1">
      <alignment horizontal="center" vertical="center"/>
    </xf>
    <xf numFmtId="3" fontId="4" fillId="26" borderId="10" xfId="29" quotePrefix="1" applyFont="1" applyFill="1" applyBorder="1" applyAlignment="1" applyProtection="1">
      <alignment horizontal="center" vertical="center"/>
    </xf>
    <xf numFmtId="0" fontId="4" fillId="26" borderId="0" xfId="67" applyFont="1" applyFill="1" applyAlignment="1">
      <alignment horizontal="center" vertical="center"/>
    </xf>
    <xf numFmtId="0" fontId="4" fillId="26" borderId="24" xfId="893" applyFont="1" applyFill="1" applyBorder="1" applyAlignment="1">
      <alignment vertical="center"/>
    </xf>
    <xf numFmtId="0" fontId="4" fillId="26" borderId="10" xfId="893" quotePrefix="1" applyFont="1" applyFill="1" applyBorder="1" applyAlignment="1">
      <alignment horizontal="center" vertical="center"/>
    </xf>
    <xf numFmtId="0" fontId="4" fillId="26" borderId="24" xfId="893" applyFont="1" applyFill="1" applyBorder="1" applyAlignment="1">
      <alignment horizontal="center" vertical="center"/>
    </xf>
    <xf numFmtId="0" fontId="5" fillId="26" borderId="21" xfId="0" applyFont="1" applyFill="1" applyBorder="1" applyAlignment="1">
      <alignment horizontal="center" vertical="center"/>
    </xf>
    <xf numFmtId="0" fontId="5" fillId="26" borderId="21" xfId="0" applyFont="1" applyFill="1" applyBorder="1" applyAlignment="1">
      <alignment horizontal="left" vertical="center"/>
    </xf>
    <xf numFmtId="0" fontId="5" fillId="26" borderId="23" xfId="0" applyFont="1" applyFill="1" applyBorder="1" applyAlignment="1" applyProtection="1">
      <alignment vertical="center"/>
      <protection locked="0"/>
    </xf>
    <xf numFmtId="0" fontId="5" fillId="26" borderId="22" xfId="0" applyFont="1" applyFill="1" applyBorder="1" applyAlignment="1">
      <alignment vertical="center"/>
    </xf>
    <xf numFmtId="0" fontId="4" fillId="26" borderId="14" xfId="893" applyFont="1" applyFill="1" applyBorder="1" applyAlignment="1">
      <alignment horizontal="left" vertical="center"/>
    </xf>
    <xf numFmtId="0" fontId="4" fillId="26" borderId="0" xfId="893" applyFont="1" applyFill="1" applyAlignment="1" applyProtection="1">
      <alignment vertical="center"/>
      <protection locked="0"/>
    </xf>
    <xf numFmtId="168" fontId="4" fillId="26" borderId="10" xfId="0" applyNumberFormat="1" applyFont="1" applyFill="1" applyBorder="1" applyAlignment="1">
      <alignment horizontal="center" vertical="center"/>
    </xf>
    <xf numFmtId="4" fontId="4" fillId="26" borderId="10" xfId="0" applyNumberFormat="1" applyFont="1" applyFill="1" applyBorder="1" applyAlignment="1">
      <alignment horizontal="center" vertical="center"/>
    </xf>
    <xf numFmtId="0" fontId="4" fillId="26" borderId="14" xfId="0" applyFont="1" applyFill="1" applyBorder="1" applyAlignment="1">
      <alignment horizontal="left" vertical="center" wrapText="1"/>
    </xf>
    <xf numFmtId="3" fontId="4" fillId="26" borderId="24" xfId="29" applyFont="1" applyFill="1" applyBorder="1" applyAlignment="1" applyProtection="1">
      <alignment horizontal="center" vertical="center"/>
    </xf>
    <xf numFmtId="0" fontId="4" fillId="26" borderId="10" xfId="893" quotePrefix="1" applyFont="1" applyFill="1" applyBorder="1" applyAlignment="1">
      <alignment horizontal="left" vertical="center"/>
    </xf>
    <xf numFmtId="0" fontId="4" fillId="26" borderId="10" xfId="893" applyFont="1" applyFill="1" applyBorder="1" applyAlignment="1">
      <alignment horizontal="left" vertical="center"/>
    </xf>
    <xf numFmtId="0" fontId="4" fillId="26" borderId="10" xfId="893" applyFont="1" applyFill="1" applyBorder="1" applyAlignment="1">
      <alignment vertical="center"/>
    </xf>
    <xf numFmtId="3" fontId="4" fillId="26" borderId="10" xfId="235" applyFont="1" applyFill="1" applyBorder="1" applyAlignment="1" applyProtection="1">
      <alignment horizontal="center" vertical="center"/>
      <protection locked="0"/>
    </xf>
    <xf numFmtId="0" fontId="4" fillId="26" borderId="14" xfId="70" applyFont="1" applyFill="1" applyBorder="1" applyAlignment="1">
      <alignment horizontal="left" vertical="center"/>
    </xf>
    <xf numFmtId="0" fontId="4" fillId="26" borderId="14" xfId="12001" applyFont="1" applyFill="1" applyBorder="1" applyAlignment="1">
      <alignment horizontal="center" vertical="center"/>
    </xf>
    <xf numFmtId="0" fontId="4" fillId="26" borderId="14" xfId="12001" applyFont="1" applyFill="1" applyBorder="1" applyAlignment="1">
      <alignment horizontal="left" vertical="center"/>
    </xf>
    <xf numFmtId="0" fontId="4" fillId="26" borderId="0" xfId="12001" applyFont="1" applyFill="1" applyAlignment="1" applyProtection="1">
      <alignment vertical="center"/>
      <protection locked="0"/>
    </xf>
    <xf numFmtId="0" fontId="4" fillId="26" borderId="24" xfId="12001" applyFont="1" applyFill="1" applyBorder="1" applyAlignment="1">
      <alignment vertical="center"/>
    </xf>
    <xf numFmtId="0" fontId="4" fillId="26" borderId="24" xfId="12001" applyFont="1" applyFill="1" applyBorder="1" applyAlignment="1">
      <alignment horizontal="center" vertical="center"/>
    </xf>
    <xf numFmtId="0" fontId="4" fillId="26" borderId="14" xfId="0" quotePrefix="1" applyFont="1" applyFill="1" applyBorder="1" applyAlignment="1">
      <alignment horizontal="center" vertical="center"/>
    </xf>
    <xf numFmtId="0" fontId="4" fillId="26" borderId="0" xfId="7650" applyFont="1" applyFill="1" applyAlignment="1">
      <alignment vertical="center"/>
    </xf>
    <xf numFmtId="0" fontId="4" fillId="26" borderId="10" xfId="7650" applyFont="1" applyFill="1" applyBorder="1" applyAlignment="1">
      <alignment horizontal="center" vertical="center"/>
    </xf>
    <xf numFmtId="0" fontId="4" fillId="26" borderId="10" xfId="7650" applyFont="1" applyFill="1" applyBorder="1" applyAlignment="1">
      <alignment vertical="center"/>
    </xf>
    <xf numFmtId="0" fontId="4" fillId="26" borderId="25" xfId="7650" applyFont="1" applyFill="1" applyBorder="1" applyAlignment="1">
      <alignment vertical="center"/>
    </xf>
    <xf numFmtId="0" fontId="4" fillId="26" borderId="26" xfId="7650" applyFont="1" applyFill="1" applyBorder="1" applyAlignment="1">
      <alignment vertical="center"/>
    </xf>
    <xf numFmtId="0" fontId="4" fillId="26" borderId="14" xfId="998" applyFont="1" applyFill="1" applyBorder="1" applyAlignment="1">
      <alignment horizontal="center" vertical="center"/>
    </xf>
    <xf numFmtId="0" fontId="4" fillId="26" borderId="20" xfId="0" applyFont="1" applyFill="1" applyBorder="1" applyAlignment="1">
      <alignment vertical="center"/>
    </xf>
    <xf numFmtId="0" fontId="4" fillId="26" borderId="12" xfId="0" applyFont="1" applyFill="1" applyBorder="1" applyAlignment="1">
      <alignment horizontal="left" vertical="center"/>
    </xf>
    <xf numFmtId="0" fontId="5" fillId="26" borderId="10" xfId="0" applyFont="1" applyFill="1" applyBorder="1" applyAlignment="1">
      <alignment horizontal="center" vertical="center"/>
    </xf>
    <xf numFmtId="0" fontId="4" fillId="26" borderId="10" xfId="0" applyFont="1" applyFill="1" applyBorder="1" applyAlignment="1">
      <alignment horizontal="left" vertical="center"/>
    </xf>
    <xf numFmtId="0" fontId="4" fillId="26" borderId="10" xfId="7631" applyFont="1" applyFill="1" applyBorder="1" applyAlignment="1">
      <alignment horizontal="center" vertical="center"/>
    </xf>
    <xf numFmtId="0" fontId="4" fillId="26" borderId="14" xfId="7631" applyFont="1" applyFill="1" applyBorder="1" applyAlignment="1">
      <alignment vertical="center"/>
    </xf>
    <xf numFmtId="0" fontId="4" fillId="26" borderId="0" xfId="7631" applyFont="1" applyFill="1" applyAlignment="1">
      <alignment vertical="center"/>
    </xf>
    <xf numFmtId="0" fontId="4" fillId="26" borderId="0" xfId="7631" applyFont="1" applyFill="1" applyAlignment="1" applyProtection="1">
      <alignment vertical="center"/>
      <protection locked="0"/>
    </xf>
    <xf numFmtId="0" fontId="5" fillId="26" borderId="14" xfId="0" quotePrefix="1" applyFont="1" applyFill="1" applyBorder="1" applyAlignment="1">
      <alignment horizontal="center" vertical="center"/>
    </xf>
    <xf numFmtId="49" fontId="4" fillId="26" borderId="14" xfId="0" applyNumberFormat="1" applyFont="1" applyFill="1" applyBorder="1" applyAlignment="1">
      <alignment horizontal="center" vertical="center"/>
    </xf>
    <xf numFmtId="49" fontId="4" fillId="26" borderId="14" xfId="0" applyNumberFormat="1" applyFont="1" applyFill="1" applyBorder="1" applyAlignment="1">
      <alignment horizontal="left" vertical="center"/>
    </xf>
    <xf numFmtId="49" fontId="4" fillId="26" borderId="0" xfId="0" applyNumberFormat="1" applyFont="1" applyFill="1" applyAlignment="1" applyProtection="1">
      <alignment horizontal="left" vertical="center"/>
      <protection locked="0"/>
    </xf>
    <xf numFmtId="49" fontId="4" fillId="26" borderId="24" xfId="0" applyNumberFormat="1" applyFont="1" applyFill="1" applyBorder="1" applyAlignment="1">
      <alignment horizontal="left" vertical="center"/>
    </xf>
    <xf numFmtId="166" fontId="4" fillId="26" borderId="0" xfId="34" applyFont="1" applyFill="1" applyBorder="1" applyAlignment="1" applyProtection="1">
      <alignment vertical="center"/>
      <protection locked="0"/>
    </xf>
    <xf numFmtId="166" fontId="4" fillId="26" borderId="24" xfId="34" applyFont="1" applyFill="1" applyBorder="1" applyAlignment="1">
      <alignment vertical="center"/>
    </xf>
    <xf numFmtId="0" fontId="4" fillId="26" borderId="0" xfId="0" applyFont="1" applyFill="1" applyAlignment="1" applyProtection="1">
      <alignment horizontal="center" vertical="center"/>
      <protection locked="0"/>
    </xf>
    <xf numFmtId="0" fontId="4" fillId="26" borderId="0" xfId="893" applyFont="1" applyFill="1" applyAlignment="1" applyProtection="1">
      <alignment horizontal="left" vertical="center"/>
      <protection locked="0"/>
    </xf>
    <xf numFmtId="2" fontId="4" fillId="26" borderId="14" xfId="893" applyNumberFormat="1" applyFont="1" applyFill="1" applyBorder="1" applyAlignment="1">
      <alignment horizontal="center" vertical="center"/>
    </xf>
    <xf numFmtId="0" fontId="4" fillId="26" borderId="12" xfId="0" applyFont="1" applyFill="1" applyBorder="1" applyAlignment="1">
      <alignment horizontal="center" vertical="center"/>
    </xf>
    <xf numFmtId="0" fontId="4" fillId="26" borderId="13" xfId="0" applyFont="1" applyFill="1" applyBorder="1" applyAlignment="1">
      <alignment horizontal="center" vertical="center"/>
    </xf>
    <xf numFmtId="0" fontId="4" fillId="26" borderId="10" xfId="0" applyFont="1" applyFill="1" applyBorder="1" applyAlignment="1">
      <alignment horizontal="center" vertical="center" wrapText="1"/>
    </xf>
    <xf numFmtId="0" fontId="4" fillId="26" borderId="10" xfId="29" applyNumberFormat="1" applyFont="1" applyFill="1" applyBorder="1" applyAlignment="1" applyProtection="1">
      <alignment horizontal="center" vertical="center"/>
    </xf>
    <xf numFmtId="0" fontId="4" fillId="26" borderId="10" xfId="29" quotePrefix="1" applyNumberFormat="1" applyFont="1" applyFill="1" applyBorder="1" applyAlignment="1" applyProtection="1">
      <alignment horizontal="center" vertical="center"/>
    </xf>
    <xf numFmtId="0" fontId="4" fillId="26" borderId="10" xfId="12001" applyFont="1" applyFill="1" applyBorder="1" applyAlignment="1">
      <alignment horizontal="center" vertical="center"/>
    </xf>
    <xf numFmtId="0" fontId="4" fillId="26" borderId="10" xfId="69" applyFont="1" applyFill="1" applyBorder="1" applyAlignment="1">
      <alignment horizontal="center" vertical="center"/>
    </xf>
    <xf numFmtId="0" fontId="4" fillId="26" borderId="10" xfId="235" applyNumberFormat="1" applyFont="1" applyFill="1" applyBorder="1" applyAlignment="1" applyProtection="1">
      <alignment horizontal="center" vertical="center"/>
      <protection locked="0"/>
    </xf>
    <xf numFmtId="0" fontId="4" fillId="26" borderId="23" xfId="0" applyFont="1" applyFill="1" applyBorder="1" applyAlignment="1">
      <alignment horizontal="center" vertical="center"/>
    </xf>
    <xf numFmtId="44" fontId="4" fillId="0" borderId="0" xfId="0" applyNumberFormat="1" applyFont="1" applyAlignment="1">
      <alignment vertical="center"/>
    </xf>
    <xf numFmtId="0" fontId="4" fillId="26" borderId="0" xfId="893" applyFont="1" applyFill="1" applyAlignment="1">
      <alignment horizontal="left" vertical="center"/>
    </xf>
    <xf numFmtId="0" fontId="4" fillId="26" borderId="0" xfId="67" applyFont="1" applyFill="1" applyAlignment="1">
      <alignment horizontal="left" vertical="center"/>
    </xf>
    <xf numFmtId="1" fontId="4" fillId="26" borderId="10" xfId="0" applyNumberFormat="1" applyFont="1" applyFill="1" applyBorder="1" applyAlignment="1">
      <alignment horizontal="center" vertical="center"/>
    </xf>
    <xf numFmtId="0" fontId="4" fillId="26" borderId="14" xfId="893" quotePrefix="1" applyFont="1" applyFill="1" applyBorder="1" applyAlignment="1">
      <alignment horizontal="center" vertical="center"/>
    </xf>
    <xf numFmtId="0" fontId="5" fillId="26" borderId="14" xfId="893" applyFont="1" applyFill="1" applyBorder="1" applyAlignment="1">
      <alignment horizontal="center" vertical="center"/>
    </xf>
    <xf numFmtId="0" fontId="5" fillId="26" borderId="14" xfId="893" applyFont="1" applyFill="1" applyBorder="1" applyAlignment="1">
      <alignment horizontal="left" vertical="center"/>
    </xf>
    <xf numFmtId="0" fontId="5" fillId="26" borderId="0" xfId="893" applyFont="1" applyFill="1" applyAlignment="1" applyProtection="1">
      <alignment vertical="center"/>
      <protection locked="0"/>
    </xf>
    <xf numFmtId="0" fontId="5" fillId="26" borderId="24" xfId="893" applyFont="1" applyFill="1" applyBorder="1" applyAlignment="1">
      <alignment vertical="center"/>
    </xf>
    <xf numFmtId="0" fontId="5" fillId="26" borderId="10" xfId="893" applyFont="1" applyFill="1" applyBorder="1" applyAlignment="1">
      <alignment horizontal="center" vertical="center"/>
    </xf>
    <xf numFmtId="0" fontId="5" fillId="0" borderId="29" xfId="893" applyFont="1" applyBorder="1" applyAlignment="1">
      <alignment horizontal="center" vertical="center"/>
    </xf>
    <xf numFmtId="0" fontId="5" fillId="0" borderId="30" xfId="893" applyFont="1" applyBorder="1" applyAlignment="1">
      <alignment horizontal="left" vertical="center"/>
    </xf>
    <xf numFmtId="0" fontId="5" fillId="0" borderId="31" xfId="893" applyFont="1" applyBorder="1" applyAlignment="1" applyProtection="1">
      <alignment vertical="center"/>
      <protection locked="0"/>
    </xf>
    <xf numFmtId="0" fontId="5" fillId="0" borderId="31" xfId="893" applyFont="1" applyBorder="1" applyAlignment="1">
      <alignment vertical="center"/>
    </xf>
    <xf numFmtId="0" fontId="4" fillId="0" borderId="31" xfId="893" applyFont="1" applyBorder="1" applyAlignment="1">
      <alignment horizontal="center" vertical="center"/>
    </xf>
    <xf numFmtId="3" fontId="4" fillId="0" borderId="31" xfId="893" applyNumberFormat="1" applyFont="1" applyBorder="1" applyAlignment="1">
      <alignment horizontal="center" vertical="center"/>
    </xf>
    <xf numFmtId="168" fontId="5" fillId="0" borderId="32" xfId="893" applyNumberFormat="1" applyFont="1" applyBorder="1" applyAlignment="1">
      <alignment horizontal="right" vertical="center"/>
    </xf>
    <xf numFmtId="168" fontId="5" fillId="0" borderId="33" xfId="893" applyNumberFormat="1" applyFont="1" applyBorder="1" applyAlignment="1">
      <alignment horizontal="left" vertical="center"/>
    </xf>
    <xf numFmtId="0" fontId="4" fillId="0" borderId="34" xfId="893" applyFont="1" applyBorder="1" applyAlignment="1">
      <alignment horizontal="center" vertical="center"/>
    </xf>
    <xf numFmtId="0" fontId="4" fillId="0" borderId="35" xfId="893" applyFont="1" applyBorder="1" applyAlignment="1">
      <alignment horizontal="left" vertical="center"/>
    </xf>
    <xf numFmtId="0" fontId="4" fillId="0" borderId="36" xfId="893" applyFont="1" applyBorder="1" applyAlignment="1" applyProtection="1">
      <alignment horizontal="center" vertical="center"/>
      <protection locked="0"/>
    </xf>
    <xf numFmtId="0" fontId="4" fillId="0" borderId="37" xfId="893" applyFont="1" applyBorder="1" applyAlignment="1">
      <alignment horizontal="center" vertical="center"/>
    </xf>
    <xf numFmtId="3" fontId="4" fillId="0" borderId="38" xfId="893" applyNumberFormat="1" applyFont="1" applyBorder="1" applyAlignment="1">
      <alignment horizontal="center" vertical="center"/>
    </xf>
    <xf numFmtId="168" fontId="4" fillId="0" borderId="38" xfId="893" applyNumberFormat="1" applyFont="1" applyBorder="1" applyAlignment="1">
      <alignment horizontal="center" vertical="center"/>
    </xf>
    <xf numFmtId="168" fontId="4" fillId="0" borderId="39" xfId="893" applyNumberFormat="1" applyFont="1" applyBorder="1" applyAlignment="1">
      <alignment horizontal="center" vertical="center"/>
    </xf>
    <xf numFmtId="0" fontId="4" fillId="0" borderId="40" xfId="893" applyFont="1" applyBorder="1" applyAlignment="1">
      <alignment horizontal="center" vertical="center"/>
    </xf>
    <xf numFmtId="0" fontId="4" fillId="0" borderId="41" xfId="893" applyFont="1" applyBorder="1" applyAlignment="1">
      <alignment horizontal="left" vertical="center"/>
    </xf>
    <xf numFmtId="0" fontId="4" fillId="0" borderId="42" xfId="893" applyFont="1" applyBorder="1" applyAlignment="1" applyProtection="1">
      <alignment horizontal="center" vertical="center"/>
      <protection locked="0"/>
    </xf>
    <xf numFmtId="0" fontId="4" fillId="0" borderId="43" xfId="893" applyFont="1" applyBorder="1" applyAlignment="1">
      <alignment horizontal="center" vertical="center"/>
    </xf>
    <xf numFmtId="3" fontId="4" fillId="0" borderId="44" xfId="893" applyNumberFormat="1" applyFont="1" applyBorder="1" applyAlignment="1">
      <alignment horizontal="center" vertical="center"/>
    </xf>
    <xf numFmtId="168" fontId="4" fillId="0" borderId="44" xfId="893" applyNumberFormat="1" applyFont="1" applyBorder="1" applyAlignment="1">
      <alignment horizontal="center" vertical="center"/>
    </xf>
    <xf numFmtId="168" fontId="4" fillId="0" borderId="45" xfId="893" applyNumberFormat="1" applyFont="1" applyBorder="1" applyAlignment="1">
      <alignment horizontal="center" vertical="center"/>
    </xf>
    <xf numFmtId="0" fontId="5" fillId="0" borderId="0" xfId="893" applyFont="1" applyAlignment="1">
      <alignment horizontal="center" vertical="center"/>
    </xf>
    <xf numFmtId="0" fontId="5" fillId="0" borderId="46" xfId="893" applyFont="1" applyBorder="1" applyAlignment="1">
      <alignment horizontal="center" vertical="center"/>
    </xf>
    <xf numFmtId="168" fontId="4" fillId="0" borderId="47" xfId="893" applyNumberFormat="1" applyFont="1" applyBorder="1" applyAlignment="1">
      <alignment horizontal="right" vertical="center"/>
    </xf>
    <xf numFmtId="0" fontId="5" fillId="26" borderId="46" xfId="893" applyFont="1" applyFill="1" applyBorder="1" applyAlignment="1">
      <alignment horizontal="center" vertical="center"/>
    </xf>
    <xf numFmtId="0" fontId="4" fillId="26" borderId="46" xfId="893" applyFont="1" applyFill="1" applyBorder="1" applyAlignment="1">
      <alignment horizontal="center" vertical="center"/>
    </xf>
    <xf numFmtId="0" fontId="4" fillId="26" borderId="48" xfId="893" applyFont="1" applyFill="1" applyBorder="1" applyAlignment="1">
      <alignment horizontal="center" vertical="center"/>
    </xf>
    <xf numFmtId="168" fontId="4" fillId="26" borderId="47" xfId="51" applyNumberFormat="1" applyFont="1" applyFill="1" applyBorder="1" applyAlignment="1">
      <alignment vertical="center" wrapText="1"/>
    </xf>
    <xf numFmtId="0" fontId="4" fillId="0" borderId="46" xfId="893" applyFont="1" applyBorder="1" applyAlignment="1">
      <alignment horizontal="center" vertical="center"/>
    </xf>
    <xf numFmtId="0" fontId="5" fillId="26" borderId="48" xfId="893" applyFont="1" applyFill="1" applyBorder="1" applyAlignment="1">
      <alignment horizontal="center" vertical="center"/>
    </xf>
    <xf numFmtId="0" fontId="4" fillId="26" borderId="0" xfId="893" applyFont="1" applyFill="1" applyAlignment="1">
      <alignment vertical="center" wrapText="1"/>
    </xf>
    <xf numFmtId="0" fontId="4" fillId="26" borderId="0" xfId="893" applyFont="1" applyFill="1" applyAlignment="1">
      <alignment horizontal="left" vertical="center" wrapText="1"/>
    </xf>
    <xf numFmtId="0" fontId="4" fillId="0" borderId="46" xfId="893" applyFont="1" applyBorder="1"/>
    <xf numFmtId="168" fontId="4" fillId="0" borderId="47" xfId="68" applyNumberFormat="1" applyFont="1" applyBorder="1"/>
    <xf numFmtId="168" fontId="4" fillId="26" borderId="17" xfId="0" applyNumberFormat="1" applyFont="1" applyFill="1" applyBorder="1" applyAlignment="1">
      <alignment horizontal="center" vertical="center"/>
    </xf>
    <xf numFmtId="4" fontId="4" fillId="26" borderId="20" xfId="0" applyNumberFormat="1" applyFont="1" applyFill="1" applyBorder="1" applyAlignment="1">
      <alignment horizontal="center" vertical="center"/>
    </xf>
    <xf numFmtId="0" fontId="4" fillId="26" borderId="16" xfId="0" applyFont="1" applyFill="1" applyBorder="1" applyAlignment="1">
      <alignment horizontal="center" vertical="center"/>
    </xf>
    <xf numFmtId="0" fontId="4" fillId="0" borderId="10" xfId="893" applyFont="1" applyBorder="1" applyAlignment="1">
      <alignment vertical="center"/>
    </xf>
    <xf numFmtId="0" fontId="39" fillId="0" borderId="10" xfId="893" applyFont="1" applyBorder="1" applyAlignment="1">
      <alignment vertical="center"/>
    </xf>
    <xf numFmtId="0" fontId="7" fillId="0" borderId="10" xfId="893" applyFont="1" applyBorder="1" applyAlignment="1">
      <alignment vertical="center"/>
    </xf>
    <xf numFmtId="9" fontId="37" fillId="0" borderId="12" xfId="59" applyFont="1" applyFill="1" applyBorder="1" applyAlignment="1">
      <alignment horizontal="center" vertical="center"/>
    </xf>
    <xf numFmtId="4" fontId="37" fillId="26" borderId="13" xfId="0" applyNumberFormat="1" applyFont="1" applyFill="1" applyBorder="1" applyAlignment="1">
      <alignment horizontal="center" vertical="center"/>
    </xf>
    <xf numFmtId="168" fontId="4" fillId="26" borderId="10" xfId="51" applyNumberFormat="1" applyFont="1" applyFill="1" applyBorder="1" applyAlignment="1">
      <alignment horizontal="center" vertical="center" wrapText="1"/>
    </xf>
    <xf numFmtId="0" fontId="4" fillId="26" borderId="10" xfId="51" applyFont="1" applyFill="1" applyBorder="1" applyAlignment="1">
      <alignment horizontal="center" vertical="center" wrapText="1"/>
    </xf>
    <xf numFmtId="10" fontId="4" fillId="26" borderId="10" xfId="51" applyNumberFormat="1" applyFont="1" applyFill="1" applyBorder="1" applyAlignment="1">
      <alignment horizontal="center" vertical="center" wrapText="1"/>
    </xf>
    <xf numFmtId="168" fontId="4" fillId="26" borderId="10" xfId="0" applyNumberFormat="1" applyFont="1" applyFill="1" applyBorder="1" applyAlignment="1" applyProtection="1">
      <alignment horizontal="center" vertical="center"/>
      <protection locked="0"/>
    </xf>
    <xf numFmtId="168" fontId="5" fillId="26" borderId="11" xfId="0" applyNumberFormat="1" applyFont="1" applyFill="1" applyBorder="1" applyAlignment="1">
      <alignment horizontal="center" vertical="center"/>
    </xf>
    <xf numFmtId="168" fontId="5" fillId="26" borderId="16" xfId="51" applyNumberFormat="1" applyFont="1" applyFill="1" applyBorder="1" applyAlignment="1">
      <alignment horizontal="center" vertical="center" wrapText="1"/>
    </xf>
    <xf numFmtId="168" fontId="5" fillId="26" borderId="10" xfId="0" applyNumberFormat="1" applyFont="1" applyFill="1" applyBorder="1" applyAlignment="1">
      <alignment horizontal="center" vertical="center"/>
    </xf>
    <xf numFmtId="4" fontId="5" fillId="26" borderId="10" xfId="0" applyNumberFormat="1" applyFont="1" applyFill="1" applyBorder="1" applyAlignment="1">
      <alignment horizontal="center" vertical="center"/>
    </xf>
    <xf numFmtId="168" fontId="5" fillId="26" borderId="0" xfId="0" applyNumberFormat="1" applyFont="1" applyFill="1" applyAlignment="1">
      <alignment horizontal="center" vertical="center"/>
    </xf>
    <xf numFmtId="4" fontId="5" fillId="26" borderId="0" xfId="0" applyNumberFormat="1" applyFont="1" applyFill="1" applyAlignment="1">
      <alignment horizontal="center" vertical="center"/>
    </xf>
    <xf numFmtId="168" fontId="10" fillId="26" borderId="0" xfId="0" applyNumberFormat="1" applyFont="1" applyFill="1" applyAlignment="1">
      <alignment horizontal="center" vertical="center"/>
    </xf>
    <xf numFmtId="4" fontId="10" fillId="26" borderId="0" xfId="0" applyNumberFormat="1" applyFont="1" applyFill="1" applyAlignment="1">
      <alignment horizontal="center" vertical="center"/>
    </xf>
    <xf numFmtId="168" fontId="4" fillId="26" borderId="10" xfId="893" applyNumberFormat="1" applyFont="1" applyFill="1" applyBorder="1" applyAlignment="1" applyProtection="1">
      <alignment horizontal="center" vertical="center"/>
      <protection locked="0"/>
    </xf>
    <xf numFmtId="4" fontId="4" fillId="26" borderId="10" xfId="68" applyNumberFormat="1" applyFont="1" applyFill="1" applyBorder="1" applyAlignment="1">
      <alignment horizontal="center" vertical="center"/>
    </xf>
    <xf numFmtId="168" fontId="4" fillId="26" borderId="10" xfId="28" applyNumberFormat="1" applyFont="1" applyFill="1" applyBorder="1" applyAlignment="1" applyProtection="1">
      <alignment horizontal="center" vertical="center"/>
      <protection locked="0"/>
    </xf>
    <xf numFmtId="168" fontId="4" fillId="26" borderId="10" xfId="8708" applyNumberFormat="1" applyFont="1" applyFill="1" applyBorder="1" applyAlignment="1" applyProtection="1">
      <alignment horizontal="center" vertical="center"/>
      <protection locked="0"/>
    </xf>
    <xf numFmtId="168" fontId="4" fillId="26" borderId="11" xfId="0" applyNumberFormat="1" applyFont="1" applyFill="1" applyBorder="1" applyAlignment="1">
      <alignment horizontal="center" vertical="center"/>
    </xf>
    <xf numFmtId="168" fontId="4" fillId="26" borderId="16" xfId="51" applyNumberFormat="1" applyFont="1" applyFill="1" applyBorder="1" applyAlignment="1">
      <alignment horizontal="center" vertical="center" wrapText="1"/>
    </xf>
    <xf numFmtId="168" fontId="4" fillId="26" borderId="10" xfId="893" applyNumberFormat="1" applyFont="1" applyFill="1" applyBorder="1" applyAlignment="1">
      <alignment horizontal="center" vertical="center"/>
    </xf>
    <xf numFmtId="0" fontId="4" fillId="26" borderId="10" xfId="28" applyNumberFormat="1" applyFont="1" applyFill="1" applyBorder="1" applyAlignment="1" applyProtection="1">
      <alignment horizontal="center" vertical="center"/>
      <protection locked="0"/>
    </xf>
    <xf numFmtId="168" fontId="4" fillId="26" borderId="10" xfId="28" applyNumberFormat="1" applyFont="1" applyFill="1" applyBorder="1" applyAlignment="1">
      <alignment horizontal="center" vertical="center"/>
    </xf>
    <xf numFmtId="4" fontId="4" fillId="26" borderId="10" xfId="28" applyNumberFormat="1" applyFont="1" applyFill="1" applyBorder="1" applyAlignment="1">
      <alignment horizontal="center" vertical="center"/>
    </xf>
    <xf numFmtId="168" fontId="10" fillId="26" borderId="0" xfId="28" applyNumberFormat="1" applyFont="1" applyFill="1" applyBorder="1" applyAlignment="1">
      <alignment horizontal="center" vertical="center"/>
    </xf>
    <xf numFmtId="4" fontId="10" fillId="26" borderId="0" xfId="28" applyNumberFormat="1" applyFont="1" applyFill="1" applyBorder="1" applyAlignment="1">
      <alignment horizontal="center" vertical="center"/>
    </xf>
    <xf numFmtId="168" fontId="5" fillId="26" borderId="14" xfId="0" applyNumberFormat="1" applyFont="1" applyFill="1" applyBorder="1" applyAlignment="1">
      <alignment horizontal="center" vertical="center"/>
    </xf>
    <xf numFmtId="4" fontId="4" fillId="26" borderId="17" xfId="0" applyNumberFormat="1" applyFont="1" applyFill="1" applyBorder="1" applyAlignment="1">
      <alignment horizontal="center" vertical="center"/>
    </xf>
    <xf numFmtId="168" fontId="4" fillId="26" borderId="14" xfId="0" applyNumberFormat="1" applyFont="1" applyFill="1" applyBorder="1" applyAlignment="1">
      <alignment horizontal="center" vertical="center"/>
    </xf>
    <xf numFmtId="168" fontId="4" fillId="0" borderId="10" xfId="51" applyNumberFormat="1" applyFont="1" applyBorder="1" applyAlignment="1">
      <alignment horizontal="center" vertical="center" wrapText="1"/>
    </xf>
    <xf numFmtId="4" fontId="4" fillId="26" borderId="24" xfId="0" applyNumberFormat="1" applyFont="1" applyFill="1" applyBorder="1" applyAlignment="1">
      <alignment horizontal="center" vertical="center"/>
    </xf>
    <xf numFmtId="4" fontId="4" fillId="26" borderId="24" xfId="28" applyNumberFormat="1" applyFont="1" applyFill="1" applyBorder="1" applyAlignment="1">
      <alignment horizontal="center" vertical="center"/>
    </xf>
    <xf numFmtId="168" fontId="4" fillId="26" borderId="10" xfId="67" applyNumberFormat="1" applyFont="1" applyFill="1" applyBorder="1" applyAlignment="1" applyProtection="1">
      <alignment horizontal="center" vertical="center"/>
      <protection locked="0"/>
    </xf>
    <xf numFmtId="168" fontId="4" fillId="26" borderId="10" xfId="0" applyNumberFormat="1" applyFont="1" applyFill="1" applyBorder="1" applyAlignment="1">
      <alignment horizontal="center" vertical="center" wrapText="1"/>
    </xf>
    <xf numFmtId="168" fontId="5" fillId="26" borderId="23" xfId="0" applyNumberFormat="1" applyFont="1" applyFill="1" applyBorder="1" applyAlignment="1">
      <alignment horizontal="center" vertical="center"/>
    </xf>
    <xf numFmtId="4" fontId="5" fillId="26" borderId="23" xfId="0" applyNumberFormat="1" applyFont="1" applyFill="1" applyBorder="1" applyAlignment="1">
      <alignment horizontal="center" vertical="center"/>
    </xf>
    <xf numFmtId="168" fontId="10" fillId="26" borderId="17" xfId="0" applyNumberFormat="1" applyFont="1" applyFill="1" applyBorder="1" applyAlignment="1">
      <alignment horizontal="center" vertical="center"/>
    </xf>
    <xf numFmtId="4" fontId="10" fillId="26" borderId="17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4" fontId="4" fillId="0" borderId="1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8" fontId="37" fillId="26" borderId="10" xfId="51" applyNumberFormat="1" applyFont="1" applyFill="1" applyBorder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/>
    </xf>
    <xf numFmtId="44" fontId="37" fillId="26" borderId="10" xfId="51" applyNumberFormat="1" applyFont="1" applyFill="1" applyBorder="1" applyAlignment="1">
      <alignment horizontal="center" vertical="center" wrapText="1"/>
    </xf>
    <xf numFmtId="44" fontId="4" fillId="26" borderId="10" xfId="51" applyNumberFormat="1" applyFont="1" applyFill="1" applyBorder="1" applyAlignment="1">
      <alignment horizontal="center" vertical="center" wrapText="1"/>
    </xf>
    <xf numFmtId="44" fontId="4" fillId="26" borderId="10" xfId="0" applyNumberFormat="1" applyFont="1" applyFill="1" applyBorder="1" applyAlignment="1">
      <alignment horizontal="center" vertical="center"/>
    </xf>
    <xf numFmtId="44" fontId="5" fillId="26" borderId="16" xfId="51" applyNumberFormat="1" applyFont="1" applyFill="1" applyBorder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/>
    </xf>
    <xf numFmtId="168" fontId="4" fillId="0" borderId="10" xfId="893" applyNumberFormat="1" applyFont="1" applyBorder="1" applyAlignment="1">
      <alignment horizontal="center" vertical="center"/>
    </xf>
    <xf numFmtId="168" fontId="4" fillId="0" borderId="10" xfId="51" applyNumberFormat="1" applyFont="1" applyBorder="1" applyAlignment="1">
      <alignment horizontal="center" wrapText="1"/>
    </xf>
    <xf numFmtId="0" fontId="7" fillId="0" borderId="10" xfId="893" applyFont="1" applyBorder="1" applyAlignment="1">
      <alignment horizontal="center" vertical="center"/>
    </xf>
    <xf numFmtId="168" fontId="4" fillId="0" borderId="10" xfId="28" applyNumberFormat="1" applyFont="1" applyFill="1" applyBorder="1" applyAlignment="1">
      <alignment horizontal="center" vertical="center"/>
    </xf>
    <xf numFmtId="168" fontId="4" fillId="0" borderId="10" xfId="0" applyNumberFormat="1" applyFont="1" applyBorder="1" applyAlignment="1">
      <alignment horizontal="center" vertical="center"/>
    </xf>
    <xf numFmtId="168" fontId="5" fillId="0" borderId="11" xfId="893" applyNumberFormat="1" applyFont="1" applyBorder="1" applyAlignment="1">
      <alignment horizontal="center" vertical="center"/>
    </xf>
    <xf numFmtId="168" fontId="5" fillId="0" borderId="16" xfId="893" applyNumberFormat="1" applyFont="1" applyBorder="1" applyAlignment="1">
      <alignment horizontal="center" vertical="center"/>
    </xf>
    <xf numFmtId="168" fontId="5" fillId="0" borderId="0" xfId="893" applyNumberFormat="1" applyFont="1" applyAlignment="1">
      <alignment horizontal="center" vertical="center"/>
    </xf>
    <xf numFmtId="168" fontId="10" fillId="0" borderId="0" xfId="893" applyNumberFormat="1" applyFont="1" applyAlignment="1">
      <alignment horizontal="center" vertical="center"/>
    </xf>
    <xf numFmtId="168" fontId="4" fillId="0" borderId="10" xfId="893" applyNumberFormat="1" applyFont="1" applyBorder="1" applyAlignment="1" applyProtection="1">
      <alignment horizontal="center"/>
      <protection locked="0"/>
    </xf>
    <xf numFmtId="168" fontId="4" fillId="0" borderId="10" xfId="67" applyNumberFormat="1" applyFont="1" applyBorder="1" applyAlignment="1" applyProtection="1">
      <alignment horizontal="center"/>
      <protection locked="0"/>
    </xf>
    <xf numFmtId="168" fontId="4" fillId="0" borderId="10" xfId="28" applyNumberFormat="1" applyFont="1" applyFill="1" applyBorder="1" applyAlignment="1" applyProtection="1">
      <alignment horizontal="center"/>
      <protection locked="0"/>
    </xf>
    <xf numFmtId="168" fontId="4" fillId="0" borderId="10" xfId="8708" applyNumberFormat="1" applyFont="1" applyFill="1" applyBorder="1" applyAlignment="1" applyProtection="1">
      <alignment horizontal="center"/>
      <protection locked="0"/>
    </xf>
    <xf numFmtId="168" fontId="4" fillId="0" borderId="10" xfId="68" applyNumberFormat="1" applyFont="1" applyBorder="1" applyAlignment="1">
      <alignment horizontal="center"/>
    </xf>
    <xf numFmtId="0" fontId="4" fillId="0" borderId="12" xfId="893" applyFont="1" applyBorder="1" applyAlignment="1">
      <alignment horizontal="center" vertical="center"/>
    </xf>
    <xf numFmtId="0" fontId="4" fillId="0" borderId="13" xfId="893" applyFont="1" applyBorder="1" applyAlignment="1">
      <alignment horizontal="center" vertical="center"/>
    </xf>
    <xf numFmtId="44" fontId="4" fillId="0" borderId="10" xfId="893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3" fontId="37" fillId="0" borderId="10" xfId="893" applyNumberFormat="1" applyFont="1" applyBorder="1" applyAlignment="1">
      <alignment horizontal="center" vertical="center"/>
    </xf>
    <xf numFmtId="44" fontId="37" fillId="0" borderId="10" xfId="893" applyNumberFormat="1" applyFont="1" applyBorder="1" applyAlignment="1">
      <alignment horizontal="center" vertical="center"/>
    </xf>
    <xf numFmtId="0" fontId="4" fillId="0" borderId="22" xfId="893" applyFont="1" applyBorder="1" applyAlignment="1">
      <alignment vertical="center"/>
    </xf>
    <xf numFmtId="0" fontId="4" fillId="0" borderId="12" xfId="893" applyFont="1" applyBorder="1" applyAlignment="1">
      <alignment vertical="center"/>
    </xf>
    <xf numFmtId="0" fontId="39" fillId="0" borderId="24" xfId="893" applyFont="1" applyBorder="1" applyAlignment="1">
      <alignment vertical="center"/>
    </xf>
    <xf numFmtId="0" fontId="7" fillId="0" borderId="24" xfId="893" applyFont="1" applyBorder="1" applyAlignment="1">
      <alignment vertical="center"/>
    </xf>
    <xf numFmtId="44" fontId="4" fillId="0" borderId="10" xfId="893" applyNumberFormat="1" applyFont="1" applyBorder="1" applyAlignment="1">
      <alignment vertical="center"/>
    </xf>
    <xf numFmtId="44" fontId="4" fillId="0" borderId="24" xfId="893" applyNumberFormat="1" applyFont="1" applyBorder="1" applyAlignment="1">
      <alignment vertical="center"/>
    </xf>
    <xf numFmtId="0" fontId="5" fillId="0" borderId="49" xfId="893" applyFont="1" applyBorder="1" applyAlignment="1">
      <alignment horizontal="left" vertical="center"/>
    </xf>
    <xf numFmtId="0" fontId="5" fillId="0" borderId="31" xfId="893" applyFont="1" applyBorder="1" applyAlignment="1">
      <alignment horizontal="left" vertical="center"/>
    </xf>
    <xf numFmtId="0" fontId="5" fillId="0" borderId="32" xfId="893" applyFont="1" applyBorder="1" applyAlignment="1">
      <alignment vertical="center"/>
    </xf>
    <xf numFmtId="0" fontId="5" fillId="0" borderId="32" xfId="893" applyFont="1" applyBorder="1" applyAlignment="1">
      <alignment horizontal="center" vertical="center"/>
    </xf>
    <xf numFmtId="3" fontId="5" fillId="0" borderId="50" xfId="893" applyNumberFormat="1" applyFont="1" applyBorder="1" applyAlignment="1">
      <alignment horizontal="center" vertical="center"/>
    </xf>
    <xf numFmtId="168" fontId="5" fillId="0" borderId="50" xfId="893" applyNumberFormat="1" applyFont="1" applyBorder="1" applyAlignment="1">
      <alignment horizontal="right" vertical="center"/>
    </xf>
    <xf numFmtId="168" fontId="5" fillId="0" borderId="33" xfId="893" applyNumberFormat="1" applyFont="1" applyBorder="1" applyAlignment="1">
      <alignment horizontal="right" vertical="center"/>
    </xf>
    <xf numFmtId="0" fontId="5" fillId="0" borderId="50" xfId="893" applyFont="1" applyBorder="1" applyAlignment="1">
      <alignment vertical="center"/>
    </xf>
    <xf numFmtId="44" fontId="37" fillId="0" borderId="0" xfId="0" applyNumberFormat="1" applyFont="1" applyAlignment="1">
      <alignment horizontal="center" vertical="center"/>
    </xf>
    <xf numFmtId="0" fontId="37" fillId="26" borderId="10" xfId="51" applyFont="1" applyFill="1" applyBorder="1" applyAlignment="1">
      <alignment horizontal="center" vertical="center" wrapText="1"/>
    </xf>
    <xf numFmtId="44" fontId="37" fillId="26" borderId="10" xfId="0" quotePrefix="1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26" borderId="10" xfId="0" applyFont="1" applyFill="1" applyBorder="1" applyAlignment="1">
      <alignment horizontal="center" vertical="center"/>
    </xf>
    <xf numFmtId="168" fontId="37" fillId="26" borderId="10" xfId="0" applyNumberFormat="1" applyFont="1" applyFill="1" applyBorder="1" applyAlignment="1">
      <alignment horizontal="center" vertical="center"/>
    </xf>
    <xf numFmtId="9" fontId="37" fillId="0" borderId="0" xfId="0" applyNumberFormat="1" applyFont="1" applyAlignment="1">
      <alignment horizontal="center" vertical="center"/>
    </xf>
    <xf numFmtId="10" fontId="37" fillId="26" borderId="10" xfId="51" applyNumberFormat="1" applyFont="1" applyFill="1" applyBorder="1" applyAlignment="1">
      <alignment horizontal="center" vertical="center" wrapText="1"/>
    </xf>
    <xf numFmtId="177" fontId="37" fillId="0" borderId="0" xfId="51" applyNumberFormat="1" applyFont="1" applyAlignment="1">
      <alignment vertical="center" wrapText="1"/>
    </xf>
    <xf numFmtId="44" fontId="37" fillId="0" borderId="0" xfId="893" applyNumberFormat="1" applyFont="1" applyAlignment="1">
      <alignment horizontal="center" vertical="center"/>
    </xf>
    <xf numFmtId="175" fontId="37" fillId="0" borderId="0" xfId="50" applyNumberFormat="1" applyFont="1" applyAlignment="1">
      <alignment horizontal="right" wrapText="1"/>
    </xf>
    <xf numFmtId="175" fontId="37" fillId="0" borderId="0" xfId="50" applyNumberFormat="1" applyFont="1" applyAlignment="1">
      <alignment wrapText="1"/>
    </xf>
    <xf numFmtId="168" fontId="37" fillId="0" borderId="10" xfId="51" applyNumberFormat="1" applyFont="1" applyBorder="1" applyAlignment="1">
      <alignment vertical="center" wrapText="1"/>
    </xf>
    <xf numFmtId="44" fontId="4" fillId="0" borderId="0" xfId="51" applyNumberFormat="1" applyFont="1" applyAlignment="1">
      <alignment vertical="center" wrapText="1"/>
    </xf>
    <xf numFmtId="168" fontId="4" fillId="0" borderId="0" xfId="0" applyNumberFormat="1" applyFont="1" applyAlignment="1">
      <alignment vertical="center"/>
    </xf>
    <xf numFmtId="44" fontId="37" fillId="0" borderId="0" xfId="0" applyNumberFormat="1" applyFont="1" applyAlignment="1">
      <alignment vertical="center"/>
    </xf>
    <xf numFmtId="164" fontId="37" fillId="0" borderId="0" xfId="51" applyNumberFormat="1" applyFont="1" applyAlignment="1">
      <alignment vertical="center" wrapText="1"/>
    </xf>
    <xf numFmtId="168" fontId="40" fillId="0" borderId="16" xfId="51" applyNumberFormat="1" applyFont="1" applyBorder="1" applyAlignment="1">
      <alignment vertical="center" wrapText="1"/>
    </xf>
    <xf numFmtId="0" fontId="37" fillId="26" borderId="0" xfId="0" applyFont="1" applyFill="1" applyAlignment="1">
      <alignment vertical="center"/>
    </xf>
    <xf numFmtId="0" fontId="37" fillId="26" borderId="10" xfId="893" applyFont="1" applyFill="1" applyBorder="1" applyAlignment="1">
      <alignment horizontal="center" vertical="center"/>
    </xf>
    <xf numFmtId="0" fontId="37" fillId="26" borderId="0" xfId="893" applyFont="1" applyFill="1" applyAlignment="1">
      <alignment vertical="center"/>
    </xf>
    <xf numFmtId="0" fontId="37" fillId="26" borderId="0" xfId="893" applyFont="1" applyFill="1" applyAlignment="1">
      <alignment horizontal="left" vertical="center"/>
    </xf>
    <xf numFmtId="0" fontId="37" fillId="26" borderId="10" xfId="29" applyNumberFormat="1" applyFont="1" applyFill="1" applyBorder="1" applyAlignment="1" applyProtection="1">
      <alignment horizontal="center" vertical="center"/>
    </xf>
    <xf numFmtId="0" fontId="37" fillId="0" borderId="0" xfId="0" applyFont="1" applyAlignment="1">
      <alignment vertical="center"/>
    </xf>
    <xf numFmtId="0" fontId="37" fillId="26" borderId="10" xfId="67" applyFont="1" applyFill="1" applyBorder="1" applyAlignment="1">
      <alignment horizontal="center" vertical="center"/>
    </xf>
    <xf numFmtId="10" fontId="37" fillId="0" borderId="0" xfId="0" applyNumberFormat="1" applyFont="1" applyAlignment="1">
      <alignment horizontal="center" vertical="center"/>
    </xf>
    <xf numFmtId="0" fontId="37" fillId="26" borderId="14" xfId="0" applyFont="1" applyFill="1" applyBorder="1" applyAlignment="1">
      <alignment horizontal="center" vertical="center"/>
    </xf>
    <xf numFmtId="0" fontId="37" fillId="26" borderId="14" xfId="0" applyFont="1" applyFill="1" applyBorder="1" applyAlignment="1">
      <alignment horizontal="left" vertical="center"/>
    </xf>
    <xf numFmtId="0" fontId="37" fillId="26" borderId="0" xfId="0" applyFont="1" applyFill="1" applyAlignment="1" applyProtection="1">
      <alignment vertical="center"/>
      <protection locked="0"/>
    </xf>
    <xf numFmtId="0" fontId="37" fillId="26" borderId="24" xfId="0" applyFont="1" applyFill="1" applyBorder="1" applyAlignment="1">
      <alignment vertical="center"/>
    </xf>
    <xf numFmtId="0" fontId="37" fillId="26" borderId="24" xfId="0" applyFont="1" applyFill="1" applyBorder="1" applyAlignment="1">
      <alignment horizontal="center" vertical="center"/>
    </xf>
    <xf numFmtId="0" fontId="37" fillId="26" borderId="0" xfId="0" applyFont="1" applyFill="1" applyAlignment="1" applyProtection="1">
      <alignment horizontal="left" vertical="center"/>
      <protection locked="0"/>
    </xf>
    <xf numFmtId="0" fontId="37" fillId="26" borderId="24" xfId="0" applyFont="1" applyFill="1" applyBorder="1" applyAlignment="1">
      <alignment horizontal="left" vertical="center"/>
    </xf>
    <xf numFmtId="44" fontId="37" fillId="0" borderId="0" xfId="51" applyNumberFormat="1" applyFont="1" applyAlignment="1">
      <alignment vertical="center" wrapText="1"/>
    </xf>
    <xf numFmtId="0" fontId="37" fillId="26" borderId="14" xfId="67" applyFont="1" applyFill="1" applyBorder="1" applyAlignment="1">
      <alignment horizontal="center" vertical="center"/>
    </xf>
    <xf numFmtId="0" fontId="37" fillId="26" borderId="14" xfId="893" applyFont="1" applyFill="1" applyBorder="1" applyAlignment="1">
      <alignment vertical="center"/>
    </xf>
    <xf numFmtId="0" fontId="5" fillId="26" borderId="21" xfId="0" applyFont="1" applyFill="1" applyBorder="1" applyAlignment="1">
      <alignment horizontal="center" vertical="center"/>
    </xf>
    <xf numFmtId="0" fontId="5" fillId="26" borderId="23" xfId="0" applyFont="1" applyFill="1" applyBorder="1" applyAlignment="1">
      <alignment horizontal="center" vertical="center"/>
    </xf>
    <xf numFmtId="0" fontId="5" fillId="26" borderId="22" xfId="0" applyFont="1" applyFill="1" applyBorder="1" applyAlignment="1">
      <alignment horizontal="center" vertical="center"/>
    </xf>
    <xf numFmtId="0" fontId="4" fillId="26" borderId="0" xfId="0" applyFont="1" applyFill="1" applyAlignment="1">
      <alignment horizontal="left" vertical="center"/>
    </xf>
    <xf numFmtId="0" fontId="4" fillId="26" borderId="24" xfId="0" applyFont="1" applyFill="1" applyBorder="1" applyAlignment="1">
      <alignment horizontal="left" vertical="center"/>
    </xf>
    <xf numFmtId="0" fontId="4" fillId="26" borderId="0" xfId="893" applyFont="1" applyFill="1" applyAlignment="1">
      <alignment horizontal="left" vertical="center"/>
    </xf>
    <xf numFmtId="0" fontId="4" fillId="26" borderId="0" xfId="67" applyFont="1" applyFill="1" applyAlignment="1">
      <alignment horizontal="left" vertical="center"/>
    </xf>
    <xf numFmtId="0" fontId="4" fillId="26" borderId="24" xfId="67" applyFont="1" applyFill="1" applyBorder="1" applyAlignment="1">
      <alignment horizontal="left" vertical="center"/>
    </xf>
    <xf numFmtId="0" fontId="4" fillId="26" borderId="14" xfId="893" applyFont="1" applyFill="1" applyBorder="1" applyAlignment="1">
      <alignment horizontal="left" vertical="center"/>
    </xf>
    <xf numFmtId="0" fontId="4" fillId="26" borderId="24" xfId="893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0" xfId="51" applyFont="1" applyAlignment="1">
      <alignment horizontal="left" vertical="center" wrapText="1"/>
    </xf>
    <xf numFmtId="0" fontId="4" fillId="0" borderId="0" xfId="893" applyFont="1" applyAlignment="1">
      <alignment horizontal="left"/>
    </xf>
    <xf numFmtId="0" fontId="4" fillId="0" borderId="24" xfId="893" applyFont="1" applyBorder="1" applyAlignment="1">
      <alignment horizontal="left"/>
    </xf>
    <xf numFmtId="0" fontId="4" fillId="0" borderId="0" xfId="67" applyFont="1" applyAlignment="1">
      <alignment horizontal="left" vertical="top"/>
    </xf>
    <xf numFmtId="0" fontId="4" fillId="0" borderId="24" xfId="67" applyFont="1" applyBorder="1" applyAlignment="1">
      <alignment horizontal="left" vertical="top"/>
    </xf>
    <xf numFmtId="4" fontId="5" fillId="0" borderId="12" xfId="893" applyNumberFormat="1" applyFont="1" applyBorder="1" applyAlignment="1">
      <alignment horizontal="center" vertical="center"/>
    </xf>
    <xf numFmtId="4" fontId="5" fillId="0" borderId="13" xfId="893" applyNumberFormat="1" applyFont="1" applyBorder="1" applyAlignment="1">
      <alignment horizontal="center" vertical="center"/>
    </xf>
    <xf numFmtId="0" fontId="5" fillId="0" borderId="12" xfId="893" applyFont="1" applyBorder="1" applyAlignment="1">
      <alignment horizontal="center" vertical="center"/>
    </xf>
    <xf numFmtId="0" fontId="5" fillId="0" borderId="13" xfId="893" applyFont="1" applyBorder="1" applyAlignment="1">
      <alignment horizontal="center" vertical="center"/>
    </xf>
    <xf numFmtId="0" fontId="5" fillId="0" borderId="21" xfId="893" applyFont="1" applyBorder="1" applyAlignment="1">
      <alignment horizontal="center" vertical="center"/>
    </xf>
    <xf numFmtId="0" fontId="5" fillId="0" borderId="23" xfId="893" applyFont="1" applyBorder="1" applyAlignment="1">
      <alignment horizontal="center" vertical="center"/>
    </xf>
    <xf numFmtId="0" fontId="5" fillId="0" borderId="22" xfId="893" applyFont="1" applyBorder="1" applyAlignment="1">
      <alignment horizontal="center" vertical="center"/>
    </xf>
    <xf numFmtId="0" fontId="5" fillId="0" borderId="19" xfId="893" applyFont="1" applyBorder="1" applyAlignment="1">
      <alignment horizontal="center" vertical="center"/>
    </xf>
    <xf numFmtId="0" fontId="5" fillId="0" borderId="17" xfId="893" applyFont="1" applyBorder="1" applyAlignment="1">
      <alignment horizontal="center" vertical="center"/>
    </xf>
    <xf numFmtId="0" fontId="5" fillId="0" borderId="20" xfId="893" applyFont="1" applyBorder="1" applyAlignment="1">
      <alignment horizontal="center" vertical="center"/>
    </xf>
    <xf numFmtId="0" fontId="5" fillId="26" borderId="21" xfId="0" applyFont="1" applyFill="1" applyBorder="1" applyAlignment="1">
      <alignment horizontal="right" vertical="center"/>
    </xf>
    <xf numFmtId="0" fontId="5" fillId="26" borderId="23" xfId="0" applyFont="1" applyFill="1" applyBorder="1" applyAlignment="1">
      <alignment horizontal="right" vertical="center"/>
    </xf>
    <xf numFmtId="0" fontId="5" fillId="26" borderId="22" xfId="0" applyFont="1" applyFill="1" applyBorder="1" applyAlignment="1">
      <alignment horizontal="right" vertical="center"/>
    </xf>
    <xf numFmtId="0" fontId="5" fillId="0" borderId="0" xfId="5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4" xfId="50" applyFont="1" applyBorder="1" applyAlignment="1">
      <alignment horizontal="left" vertical="top"/>
    </xf>
    <xf numFmtId="0" fontId="4" fillId="0" borderId="24" xfId="0" applyFont="1" applyBorder="1" applyAlignment="1">
      <alignment vertical="top"/>
    </xf>
  </cellXfs>
  <cellStyles count="15105">
    <cellStyle name="20% - Accent1" xfId="1" builtinId="30" customBuiltin="1"/>
    <cellStyle name="20% - Accent1 10" xfId="1173" xr:uid="{00000000-0005-0000-0000-000001000000}"/>
    <cellStyle name="20% - Accent1 10 2" xfId="7937" xr:uid="{00000000-0005-0000-0000-000002000000}"/>
    <cellStyle name="20% - Accent1 10 3" xfId="4846" xr:uid="{00000000-0005-0000-0000-000003000000}"/>
    <cellStyle name="20% - Accent1 11" xfId="1174" xr:uid="{00000000-0005-0000-0000-000004000000}"/>
    <cellStyle name="20% - Accent1 11 2" xfId="7938" xr:uid="{00000000-0005-0000-0000-000005000000}"/>
    <cellStyle name="20% - Accent1 11 3" xfId="4735" xr:uid="{00000000-0005-0000-0000-000006000000}"/>
    <cellStyle name="20% - Accent1 2" xfId="71" xr:uid="{00000000-0005-0000-0000-000007000000}"/>
    <cellStyle name="20% - Accent1 2 2" xfId="72" xr:uid="{00000000-0005-0000-0000-000008000000}"/>
    <cellStyle name="20% - Accent1 2 2 2" xfId="1176" xr:uid="{00000000-0005-0000-0000-000009000000}"/>
    <cellStyle name="20% - Accent1 2 2 3" xfId="3602" xr:uid="{00000000-0005-0000-0000-00000A000000}"/>
    <cellStyle name="20% - Accent1 2 3" xfId="1177" xr:uid="{00000000-0005-0000-0000-00000B000000}"/>
    <cellStyle name="20% - Accent1 2 3 2" xfId="7939" xr:uid="{00000000-0005-0000-0000-00000C000000}"/>
    <cellStyle name="20% - Accent1 2 3 3" xfId="3601" xr:uid="{00000000-0005-0000-0000-00000D000000}"/>
    <cellStyle name="20% - Accent1 2 4" xfId="1178" xr:uid="{00000000-0005-0000-0000-00000E000000}"/>
    <cellStyle name="20% - Accent1 2 4 2" xfId="7940" xr:uid="{00000000-0005-0000-0000-00000F000000}"/>
    <cellStyle name="20% - Accent1 2 4 3" xfId="3600" xr:uid="{00000000-0005-0000-0000-000010000000}"/>
    <cellStyle name="20% - Accent1 2 5" xfId="1179" xr:uid="{00000000-0005-0000-0000-000011000000}"/>
    <cellStyle name="20% - Accent1 2 6" xfId="1180" xr:uid="{00000000-0005-0000-0000-000012000000}"/>
    <cellStyle name="20% - Accent1 2 7" xfId="1175" xr:uid="{00000000-0005-0000-0000-000013000000}"/>
    <cellStyle name="20% - Accent1 3" xfId="73" xr:uid="{00000000-0005-0000-0000-000014000000}"/>
    <cellStyle name="20% - Accent1 3 2" xfId="74" xr:uid="{00000000-0005-0000-0000-000015000000}"/>
    <cellStyle name="20% - Accent1 3 2 2" xfId="1182" xr:uid="{00000000-0005-0000-0000-000016000000}"/>
    <cellStyle name="20% - Accent1 3 2 3" xfId="3261" xr:uid="{00000000-0005-0000-0000-000017000000}"/>
    <cellStyle name="20% - Accent1 3 3" xfId="1183" xr:uid="{00000000-0005-0000-0000-000018000000}"/>
    <cellStyle name="20% - Accent1 3 3 2" xfId="7941" xr:uid="{00000000-0005-0000-0000-000019000000}"/>
    <cellStyle name="20% - Accent1 3 3 3" xfId="3252" xr:uid="{00000000-0005-0000-0000-00001A000000}"/>
    <cellStyle name="20% - Accent1 3 4" xfId="1184" xr:uid="{00000000-0005-0000-0000-00001B000000}"/>
    <cellStyle name="20% - Accent1 3 4 2" xfId="7942" xr:uid="{00000000-0005-0000-0000-00001C000000}"/>
    <cellStyle name="20% - Accent1 3 4 3" xfId="3107" xr:uid="{00000000-0005-0000-0000-00001D000000}"/>
    <cellStyle name="20% - Accent1 3 5" xfId="1185" xr:uid="{00000000-0005-0000-0000-00001E000000}"/>
    <cellStyle name="20% - Accent1 3 6" xfId="1186" xr:uid="{00000000-0005-0000-0000-00001F000000}"/>
    <cellStyle name="20% - Accent1 3 7" xfId="1181" xr:uid="{00000000-0005-0000-0000-000020000000}"/>
    <cellStyle name="20% - Accent1 4" xfId="75" xr:uid="{00000000-0005-0000-0000-000021000000}"/>
    <cellStyle name="20% - Accent1 4 2" xfId="76" xr:uid="{00000000-0005-0000-0000-000022000000}"/>
    <cellStyle name="20% - Accent1 4 2 2" xfId="1188" xr:uid="{00000000-0005-0000-0000-000023000000}"/>
    <cellStyle name="20% - Accent1 4 2 3" xfId="2957" xr:uid="{00000000-0005-0000-0000-000024000000}"/>
    <cellStyle name="20% - Accent1 4 3" xfId="1189" xr:uid="{00000000-0005-0000-0000-000025000000}"/>
    <cellStyle name="20% - Accent1 4 3 2" xfId="7943" xr:uid="{00000000-0005-0000-0000-000026000000}"/>
    <cellStyle name="20% - Accent1 4 3 3" xfId="2956" xr:uid="{00000000-0005-0000-0000-000027000000}"/>
    <cellStyle name="20% - Accent1 4 4" xfId="1190" xr:uid="{00000000-0005-0000-0000-000028000000}"/>
    <cellStyle name="20% - Accent1 4 4 2" xfId="7944" xr:uid="{00000000-0005-0000-0000-000029000000}"/>
    <cellStyle name="20% - Accent1 4 4 3" xfId="2947" xr:uid="{00000000-0005-0000-0000-00002A000000}"/>
    <cellStyle name="20% - Accent1 4 5" xfId="1191" xr:uid="{00000000-0005-0000-0000-00002B000000}"/>
    <cellStyle name="20% - Accent1 4 6" xfId="1192" xr:uid="{00000000-0005-0000-0000-00002C000000}"/>
    <cellStyle name="20% - Accent1 4 7" xfId="1187" xr:uid="{00000000-0005-0000-0000-00002D000000}"/>
    <cellStyle name="20% - Accent1 5" xfId="1193" xr:uid="{00000000-0005-0000-0000-00002E000000}"/>
    <cellStyle name="20% - Accent1 5 2" xfId="7945" xr:uid="{00000000-0005-0000-0000-00002F000000}"/>
    <cellStyle name="20% - Accent1 5 3" xfId="2802" xr:uid="{00000000-0005-0000-0000-000030000000}"/>
    <cellStyle name="20% - Accent1 6" xfId="1194" xr:uid="{00000000-0005-0000-0000-000031000000}"/>
    <cellStyle name="20% - Accent1 6 2" xfId="7946" xr:uid="{00000000-0005-0000-0000-000032000000}"/>
    <cellStyle name="20% - Accent1 6 3" xfId="2690" xr:uid="{00000000-0005-0000-0000-000033000000}"/>
    <cellStyle name="20% - Accent1 7" xfId="1195" xr:uid="{00000000-0005-0000-0000-000034000000}"/>
    <cellStyle name="20% - Accent1 7 2" xfId="7947" xr:uid="{00000000-0005-0000-0000-000035000000}"/>
    <cellStyle name="20% - Accent1 7 3" xfId="2689" xr:uid="{00000000-0005-0000-0000-000036000000}"/>
    <cellStyle name="20% - Accent1 8" xfId="1196" xr:uid="{00000000-0005-0000-0000-000037000000}"/>
    <cellStyle name="20% - Accent1 8 2" xfId="7948" xr:uid="{00000000-0005-0000-0000-000038000000}"/>
    <cellStyle name="20% - Accent1 8 3" xfId="2688" xr:uid="{00000000-0005-0000-0000-000039000000}"/>
    <cellStyle name="20% - Accent1 9" xfId="1197" xr:uid="{00000000-0005-0000-0000-00003A000000}"/>
    <cellStyle name="20% - Accent1 9 2" xfId="7949" xr:uid="{00000000-0005-0000-0000-00003B000000}"/>
    <cellStyle name="20% - Accent1 9 3" xfId="2544" xr:uid="{00000000-0005-0000-0000-00003C000000}"/>
    <cellStyle name="20% - Accent2" xfId="2" builtinId="34" customBuiltin="1"/>
    <cellStyle name="20% - Accent2 10" xfId="1198" xr:uid="{00000000-0005-0000-0000-00003E000000}"/>
    <cellStyle name="20% - Accent2 10 2" xfId="7950" xr:uid="{00000000-0005-0000-0000-00003F000000}"/>
    <cellStyle name="20% - Accent2 10 3" xfId="2433" xr:uid="{00000000-0005-0000-0000-000040000000}"/>
    <cellStyle name="20% - Accent2 11" xfId="1199" xr:uid="{00000000-0005-0000-0000-000041000000}"/>
    <cellStyle name="20% - Accent2 11 2" xfId="7951" xr:uid="{00000000-0005-0000-0000-000042000000}"/>
    <cellStyle name="20% - Accent2 11 3" xfId="2432" xr:uid="{00000000-0005-0000-0000-000043000000}"/>
    <cellStyle name="20% - Accent2 2" xfId="77" xr:uid="{00000000-0005-0000-0000-000044000000}"/>
    <cellStyle name="20% - Accent2 2 2" xfId="78" xr:uid="{00000000-0005-0000-0000-000045000000}"/>
    <cellStyle name="20% - Accent2 2 2 2" xfId="1201" xr:uid="{00000000-0005-0000-0000-000046000000}"/>
    <cellStyle name="20% - Accent2 2 2 3" xfId="2429" xr:uid="{00000000-0005-0000-0000-000047000000}"/>
    <cellStyle name="20% - Accent2 2 3" xfId="1202" xr:uid="{00000000-0005-0000-0000-000048000000}"/>
    <cellStyle name="20% - Accent2 2 3 2" xfId="7952" xr:uid="{00000000-0005-0000-0000-000049000000}"/>
    <cellStyle name="20% - Accent2 2 3 3" xfId="2428" xr:uid="{00000000-0005-0000-0000-00004A000000}"/>
    <cellStyle name="20% - Accent2 2 4" xfId="1203" xr:uid="{00000000-0005-0000-0000-00004B000000}"/>
    <cellStyle name="20% - Accent2 2 4 2" xfId="7953" xr:uid="{00000000-0005-0000-0000-00004C000000}"/>
    <cellStyle name="20% - Accent2 2 4 3" xfId="2419" xr:uid="{00000000-0005-0000-0000-00004D000000}"/>
    <cellStyle name="20% - Accent2 2 5" xfId="1204" xr:uid="{00000000-0005-0000-0000-00004E000000}"/>
    <cellStyle name="20% - Accent2 2 6" xfId="1205" xr:uid="{00000000-0005-0000-0000-00004F000000}"/>
    <cellStyle name="20% - Accent2 2 7" xfId="1200" xr:uid="{00000000-0005-0000-0000-000050000000}"/>
    <cellStyle name="20% - Accent2 3" xfId="79" xr:uid="{00000000-0005-0000-0000-000051000000}"/>
    <cellStyle name="20% - Accent2 3 2" xfId="80" xr:uid="{00000000-0005-0000-0000-000052000000}"/>
    <cellStyle name="20% - Accent2 3 2 2" xfId="1207" xr:uid="{00000000-0005-0000-0000-000053000000}"/>
    <cellStyle name="20% - Accent2 3 2 3" xfId="2161" xr:uid="{00000000-0005-0000-0000-000054000000}"/>
    <cellStyle name="20% - Accent2 3 3" xfId="1208" xr:uid="{00000000-0005-0000-0000-000055000000}"/>
    <cellStyle name="20% - Accent2 3 3 2" xfId="7954" xr:uid="{00000000-0005-0000-0000-000056000000}"/>
    <cellStyle name="20% - Accent2 3 3 3" xfId="2135" xr:uid="{00000000-0005-0000-0000-000057000000}"/>
    <cellStyle name="20% - Accent2 3 4" xfId="1209" xr:uid="{00000000-0005-0000-0000-000058000000}"/>
    <cellStyle name="20% - Accent2 3 4 2" xfId="7955" xr:uid="{00000000-0005-0000-0000-000059000000}"/>
    <cellStyle name="20% - Accent2 3 4 3" xfId="2134" xr:uid="{00000000-0005-0000-0000-00005A000000}"/>
    <cellStyle name="20% - Accent2 3 5" xfId="1210" xr:uid="{00000000-0005-0000-0000-00005B000000}"/>
    <cellStyle name="20% - Accent2 3 6" xfId="1211" xr:uid="{00000000-0005-0000-0000-00005C000000}"/>
    <cellStyle name="20% - Accent2 3 7" xfId="1206" xr:uid="{00000000-0005-0000-0000-00005D000000}"/>
    <cellStyle name="20% - Accent2 4" xfId="81" xr:uid="{00000000-0005-0000-0000-00005E000000}"/>
    <cellStyle name="20% - Accent2 4 2" xfId="82" xr:uid="{00000000-0005-0000-0000-00005F000000}"/>
    <cellStyle name="20% - Accent2 4 2 2" xfId="1213" xr:uid="{00000000-0005-0000-0000-000060000000}"/>
    <cellStyle name="20% - Accent2 4 2 3" xfId="2133" xr:uid="{00000000-0005-0000-0000-000061000000}"/>
    <cellStyle name="20% - Accent2 4 3" xfId="1214" xr:uid="{00000000-0005-0000-0000-000062000000}"/>
    <cellStyle name="20% - Accent2 4 3 2" xfId="7956" xr:uid="{00000000-0005-0000-0000-000063000000}"/>
    <cellStyle name="20% - Accent2 4 3 3" xfId="2132" xr:uid="{00000000-0005-0000-0000-000064000000}"/>
    <cellStyle name="20% - Accent2 4 4" xfId="1215" xr:uid="{00000000-0005-0000-0000-000065000000}"/>
    <cellStyle name="20% - Accent2 4 4 2" xfId="7957" xr:uid="{00000000-0005-0000-0000-000066000000}"/>
    <cellStyle name="20% - Accent2 4 4 3" xfId="2131" xr:uid="{00000000-0005-0000-0000-000067000000}"/>
    <cellStyle name="20% - Accent2 4 5" xfId="1216" xr:uid="{00000000-0005-0000-0000-000068000000}"/>
    <cellStyle name="20% - Accent2 4 6" xfId="1217" xr:uid="{00000000-0005-0000-0000-000069000000}"/>
    <cellStyle name="20% - Accent2 4 7" xfId="1212" xr:uid="{00000000-0005-0000-0000-00006A000000}"/>
    <cellStyle name="20% - Accent2 5" xfId="1218" xr:uid="{00000000-0005-0000-0000-00006B000000}"/>
    <cellStyle name="20% - Accent2 5 2" xfId="7958" xr:uid="{00000000-0005-0000-0000-00006C000000}"/>
    <cellStyle name="20% - Accent2 5 3" xfId="2128" xr:uid="{00000000-0005-0000-0000-00006D000000}"/>
    <cellStyle name="20% - Accent2 6" xfId="1219" xr:uid="{00000000-0005-0000-0000-00006E000000}"/>
    <cellStyle name="20% - Accent2 6 2" xfId="7959" xr:uid="{00000000-0005-0000-0000-00006F000000}"/>
    <cellStyle name="20% - Accent2 6 3" xfId="2127" xr:uid="{00000000-0005-0000-0000-000070000000}"/>
    <cellStyle name="20% - Accent2 7" xfId="1220" xr:uid="{00000000-0005-0000-0000-000071000000}"/>
    <cellStyle name="20% - Accent2 7 2" xfId="7960" xr:uid="{00000000-0005-0000-0000-000072000000}"/>
    <cellStyle name="20% - Accent2 7 3" xfId="2126" xr:uid="{00000000-0005-0000-0000-000073000000}"/>
    <cellStyle name="20% - Accent2 8" xfId="1221" xr:uid="{00000000-0005-0000-0000-000074000000}"/>
    <cellStyle name="20% - Accent2 8 2" xfId="7961" xr:uid="{00000000-0005-0000-0000-000075000000}"/>
    <cellStyle name="20% - Accent2 8 3" xfId="2125" xr:uid="{00000000-0005-0000-0000-000076000000}"/>
    <cellStyle name="20% - Accent2 9" xfId="1222" xr:uid="{00000000-0005-0000-0000-000077000000}"/>
    <cellStyle name="20% - Accent2 9 2" xfId="7962" xr:uid="{00000000-0005-0000-0000-000078000000}"/>
    <cellStyle name="20% - Accent2 9 3" xfId="2124" xr:uid="{00000000-0005-0000-0000-000079000000}"/>
    <cellStyle name="20% - Accent3" xfId="3" builtinId="38" customBuiltin="1"/>
    <cellStyle name="20% - Accent3 10" xfId="1223" xr:uid="{00000000-0005-0000-0000-00007B000000}"/>
    <cellStyle name="20% - Accent3 10 2" xfId="7963" xr:uid="{00000000-0005-0000-0000-00007C000000}"/>
    <cellStyle name="20% - Accent3 10 3" xfId="2123" xr:uid="{00000000-0005-0000-0000-00007D000000}"/>
    <cellStyle name="20% - Accent3 11" xfId="1224" xr:uid="{00000000-0005-0000-0000-00007E000000}"/>
    <cellStyle name="20% - Accent3 11 2" xfId="7964" xr:uid="{00000000-0005-0000-0000-00007F000000}"/>
    <cellStyle name="20% - Accent3 11 3" xfId="2088" xr:uid="{00000000-0005-0000-0000-000080000000}"/>
    <cellStyle name="20% - Accent3 2" xfId="83" xr:uid="{00000000-0005-0000-0000-000081000000}"/>
    <cellStyle name="20% - Accent3 2 2" xfId="84" xr:uid="{00000000-0005-0000-0000-000082000000}"/>
    <cellStyle name="20% - Accent3 2 2 2" xfId="1226" xr:uid="{00000000-0005-0000-0000-000083000000}"/>
    <cellStyle name="20% - Accent3 2 2 3" xfId="2067" xr:uid="{00000000-0005-0000-0000-000084000000}"/>
    <cellStyle name="20% - Accent3 2 3" xfId="1227" xr:uid="{00000000-0005-0000-0000-000085000000}"/>
    <cellStyle name="20% - Accent3 2 3 2" xfId="7965" xr:uid="{00000000-0005-0000-0000-000086000000}"/>
    <cellStyle name="20% - Accent3 2 3 3" xfId="2056" xr:uid="{00000000-0005-0000-0000-000087000000}"/>
    <cellStyle name="20% - Accent3 2 4" xfId="1228" xr:uid="{00000000-0005-0000-0000-000088000000}"/>
    <cellStyle name="20% - Accent3 2 4 2" xfId="7966" xr:uid="{00000000-0005-0000-0000-000089000000}"/>
    <cellStyle name="20% - Accent3 2 4 3" xfId="2045" xr:uid="{00000000-0005-0000-0000-00008A000000}"/>
    <cellStyle name="20% - Accent3 2 5" xfId="1229" xr:uid="{00000000-0005-0000-0000-00008B000000}"/>
    <cellStyle name="20% - Accent3 2 6" xfId="1230" xr:uid="{00000000-0005-0000-0000-00008C000000}"/>
    <cellStyle name="20% - Accent3 2 7" xfId="1225" xr:uid="{00000000-0005-0000-0000-00008D000000}"/>
    <cellStyle name="20% - Accent3 3" xfId="85" xr:uid="{00000000-0005-0000-0000-00008E000000}"/>
    <cellStyle name="20% - Accent3 3 2" xfId="86" xr:uid="{00000000-0005-0000-0000-00008F000000}"/>
    <cellStyle name="20% - Accent3 3 2 2" xfId="1232" xr:uid="{00000000-0005-0000-0000-000090000000}"/>
    <cellStyle name="20% - Accent3 3 2 3" xfId="1867" xr:uid="{00000000-0005-0000-0000-000091000000}"/>
    <cellStyle name="20% - Accent3 3 3" xfId="1233" xr:uid="{00000000-0005-0000-0000-000092000000}"/>
    <cellStyle name="20% - Accent3 3 3 2" xfId="7967" xr:uid="{00000000-0005-0000-0000-000093000000}"/>
    <cellStyle name="20% - Accent3 3 3 3" xfId="1866" xr:uid="{00000000-0005-0000-0000-000094000000}"/>
    <cellStyle name="20% - Accent3 3 4" xfId="1234" xr:uid="{00000000-0005-0000-0000-000095000000}"/>
    <cellStyle name="20% - Accent3 3 4 2" xfId="7968" xr:uid="{00000000-0005-0000-0000-000096000000}"/>
    <cellStyle name="20% - Accent3 3 4 3" xfId="1865" xr:uid="{00000000-0005-0000-0000-000097000000}"/>
    <cellStyle name="20% - Accent3 3 5" xfId="1235" xr:uid="{00000000-0005-0000-0000-000098000000}"/>
    <cellStyle name="20% - Accent3 3 6" xfId="1236" xr:uid="{00000000-0005-0000-0000-000099000000}"/>
    <cellStyle name="20% - Accent3 3 7" xfId="1231" xr:uid="{00000000-0005-0000-0000-00009A000000}"/>
    <cellStyle name="20% - Accent3 4" xfId="87" xr:uid="{00000000-0005-0000-0000-00009B000000}"/>
    <cellStyle name="20% - Accent3 4 2" xfId="88" xr:uid="{00000000-0005-0000-0000-00009C000000}"/>
    <cellStyle name="20% - Accent3 4 2 2" xfId="1238" xr:uid="{00000000-0005-0000-0000-00009D000000}"/>
    <cellStyle name="20% - Accent3 4 2 3" xfId="1864" xr:uid="{00000000-0005-0000-0000-00009E000000}"/>
    <cellStyle name="20% - Accent3 4 3" xfId="1239" xr:uid="{00000000-0005-0000-0000-00009F000000}"/>
    <cellStyle name="20% - Accent3 4 3 2" xfId="7969" xr:uid="{00000000-0005-0000-0000-0000A0000000}"/>
    <cellStyle name="20% - Accent3 4 3 3" xfId="1863" xr:uid="{00000000-0005-0000-0000-0000A1000000}"/>
    <cellStyle name="20% - Accent3 4 4" xfId="1240" xr:uid="{00000000-0005-0000-0000-0000A2000000}"/>
    <cellStyle name="20% - Accent3 4 4 2" xfId="7970" xr:uid="{00000000-0005-0000-0000-0000A3000000}"/>
    <cellStyle name="20% - Accent3 4 4 3" xfId="1862" xr:uid="{00000000-0005-0000-0000-0000A4000000}"/>
    <cellStyle name="20% - Accent3 4 5" xfId="1241" xr:uid="{00000000-0005-0000-0000-0000A5000000}"/>
    <cellStyle name="20% - Accent3 4 6" xfId="1242" xr:uid="{00000000-0005-0000-0000-0000A6000000}"/>
    <cellStyle name="20% - Accent3 4 7" xfId="1237" xr:uid="{00000000-0005-0000-0000-0000A7000000}"/>
    <cellStyle name="20% - Accent3 5" xfId="1243" xr:uid="{00000000-0005-0000-0000-0000A8000000}"/>
    <cellStyle name="20% - Accent3 5 2" xfId="7971" xr:uid="{00000000-0005-0000-0000-0000A9000000}"/>
    <cellStyle name="20% - Accent3 5 3" xfId="1861" xr:uid="{00000000-0005-0000-0000-0000AA000000}"/>
    <cellStyle name="20% - Accent3 6" xfId="1244" xr:uid="{00000000-0005-0000-0000-0000AB000000}"/>
    <cellStyle name="20% - Accent3 6 2" xfId="7972" xr:uid="{00000000-0005-0000-0000-0000AC000000}"/>
    <cellStyle name="20% - Accent3 6 3" xfId="1860" xr:uid="{00000000-0005-0000-0000-0000AD000000}"/>
    <cellStyle name="20% - Accent3 7" xfId="1245" xr:uid="{00000000-0005-0000-0000-0000AE000000}"/>
    <cellStyle name="20% - Accent3 7 2" xfId="7973" xr:uid="{00000000-0005-0000-0000-0000AF000000}"/>
    <cellStyle name="20% - Accent3 7 3" xfId="1853" xr:uid="{00000000-0005-0000-0000-0000B0000000}"/>
    <cellStyle name="20% - Accent3 8" xfId="1246" xr:uid="{00000000-0005-0000-0000-0000B1000000}"/>
    <cellStyle name="20% - Accent3 8 2" xfId="7974" xr:uid="{00000000-0005-0000-0000-0000B2000000}"/>
    <cellStyle name="20% - Accent3 8 3" xfId="7044" xr:uid="{00000000-0005-0000-0000-0000B3000000}"/>
    <cellStyle name="20% - Accent3 9" xfId="1247" xr:uid="{00000000-0005-0000-0000-0000B4000000}"/>
    <cellStyle name="20% - Accent3 9 2" xfId="7975" xr:uid="{00000000-0005-0000-0000-0000B5000000}"/>
    <cellStyle name="20% - Accent3 9 3" xfId="7045" xr:uid="{00000000-0005-0000-0000-0000B6000000}"/>
    <cellStyle name="20% - Accent4" xfId="4" builtinId="42" customBuiltin="1"/>
    <cellStyle name="20% - Accent4 10" xfId="1248" xr:uid="{00000000-0005-0000-0000-0000B8000000}"/>
    <cellStyle name="20% - Accent4 10 2" xfId="7976" xr:uid="{00000000-0005-0000-0000-0000B9000000}"/>
    <cellStyle name="20% - Accent4 10 3" xfId="7046" xr:uid="{00000000-0005-0000-0000-0000BA000000}"/>
    <cellStyle name="20% - Accent4 11" xfId="1249" xr:uid="{00000000-0005-0000-0000-0000BB000000}"/>
    <cellStyle name="20% - Accent4 11 2" xfId="7977" xr:uid="{00000000-0005-0000-0000-0000BC000000}"/>
    <cellStyle name="20% - Accent4 11 3" xfId="7047" xr:uid="{00000000-0005-0000-0000-0000BD000000}"/>
    <cellStyle name="20% - Accent4 2" xfId="89" xr:uid="{00000000-0005-0000-0000-0000BE000000}"/>
    <cellStyle name="20% - Accent4 2 2" xfId="90" xr:uid="{00000000-0005-0000-0000-0000BF000000}"/>
    <cellStyle name="20% - Accent4 2 2 2" xfId="1251" xr:uid="{00000000-0005-0000-0000-0000C0000000}"/>
    <cellStyle name="20% - Accent4 2 2 3" xfId="7048" xr:uid="{00000000-0005-0000-0000-0000C1000000}"/>
    <cellStyle name="20% - Accent4 2 3" xfId="1252" xr:uid="{00000000-0005-0000-0000-0000C2000000}"/>
    <cellStyle name="20% - Accent4 2 3 2" xfId="7978" xr:uid="{00000000-0005-0000-0000-0000C3000000}"/>
    <cellStyle name="20% - Accent4 2 3 3" xfId="7049" xr:uid="{00000000-0005-0000-0000-0000C4000000}"/>
    <cellStyle name="20% - Accent4 2 4" xfId="1253" xr:uid="{00000000-0005-0000-0000-0000C5000000}"/>
    <cellStyle name="20% - Accent4 2 4 2" xfId="7979" xr:uid="{00000000-0005-0000-0000-0000C6000000}"/>
    <cellStyle name="20% - Accent4 2 4 3" xfId="7050" xr:uid="{00000000-0005-0000-0000-0000C7000000}"/>
    <cellStyle name="20% - Accent4 2 5" xfId="1254" xr:uid="{00000000-0005-0000-0000-0000C8000000}"/>
    <cellStyle name="20% - Accent4 2 6" xfId="1255" xr:uid="{00000000-0005-0000-0000-0000C9000000}"/>
    <cellStyle name="20% - Accent4 2 7" xfId="1250" xr:uid="{00000000-0005-0000-0000-0000CA000000}"/>
    <cellStyle name="20% - Accent4 3" xfId="91" xr:uid="{00000000-0005-0000-0000-0000CB000000}"/>
    <cellStyle name="20% - Accent4 3 2" xfId="92" xr:uid="{00000000-0005-0000-0000-0000CC000000}"/>
    <cellStyle name="20% - Accent4 3 2 2" xfId="1257" xr:uid="{00000000-0005-0000-0000-0000CD000000}"/>
    <cellStyle name="20% - Accent4 3 2 3" xfId="7051" xr:uid="{00000000-0005-0000-0000-0000CE000000}"/>
    <cellStyle name="20% - Accent4 3 3" xfId="1258" xr:uid="{00000000-0005-0000-0000-0000CF000000}"/>
    <cellStyle name="20% - Accent4 3 3 2" xfId="7980" xr:uid="{00000000-0005-0000-0000-0000D0000000}"/>
    <cellStyle name="20% - Accent4 3 3 3" xfId="7052" xr:uid="{00000000-0005-0000-0000-0000D1000000}"/>
    <cellStyle name="20% - Accent4 3 4" xfId="1259" xr:uid="{00000000-0005-0000-0000-0000D2000000}"/>
    <cellStyle name="20% - Accent4 3 4 2" xfId="7981" xr:uid="{00000000-0005-0000-0000-0000D3000000}"/>
    <cellStyle name="20% - Accent4 3 4 3" xfId="7053" xr:uid="{00000000-0005-0000-0000-0000D4000000}"/>
    <cellStyle name="20% - Accent4 3 5" xfId="1260" xr:uid="{00000000-0005-0000-0000-0000D5000000}"/>
    <cellStyle name="20% - Accent4 3 6" xfId="1261" xr:uid="{00000000-0005-0000-0000-0000D6000000}"/>
    <cellStyle name="20% - Accent4 3 7" xfId="1256" xr:uid="{00000000-0005-0000-0000-0000D7000000}"/>
    <cellStyle name="20% - Accent4 4" xfId="93" xr:uid="{00000000-0005-0000-0000-0000D8000000}"/>
    <cellStyle name="20% - Accent4 4 2" xfId="94" xr:uid="{00000000-0005-0000-0000-0000D9000000}"/>
    <cellStyle name="20% - Accent4 4 2 2" xfId="1263" xr:uid="{00000000-0005-0000-0000-0000DA000000}"/>
    <cellStyle name="20% - Accent4 4 2 3" xfId="7054" xr:uid="{00000000-0005-0000-0000-0000DB000000}"/>
    <cellStyle name="20% - Accent4 4 3" xfId="1264" xr:uid="{00000000-0005-0000-0000-0000DC000000}"/>
    <cellStyle name="20% - Accent4 4 3 2" xfId="7982" xr:uid="{00000000-0005-0000-0000-0000DD000000}"/>
    <cellStyle name="20% - Accent4 4 3 3" xfId="7055" xr:uid="{00000000-0005-0000-0000-0000DE000000}"/>
    <cellStyle name="20% - Accent4 4 4" xfId="1265" xr:uid="{00000000-0005-0000-0000-0000DF000000}"/>
    <cellStyle name="20% - Accent4 4 4 2" xfId="7983" xr:uid="{00000000-0005-0000-0000-0000E0000000}"/>
    <cellStyle name="20% - Accent4 4 4 3" xfId="7056" xr:uid="{00000000-0005-0000-0000-0000E1000000}"/>
    <cellStyle name="20% - Accent4 4 5" xfId="1266" xr:uid="{00000000-0005-0000-0000-0000E2000000}"/>
    <cellStyle name="20% - Accent4 4 6" xfId="1267" xr:uid="{00000000-0005-0000-0000-0000E3000000}"/>
    <cellStyle name="20% - Accent4 4 7" xfId="1262" xr:uid="{00000000-0005-0000-0000-0000E4000000}"/>
    <cellStyle name="20% - Accent4 5" xfId="1268" xr:uid="{00000000-0005-0000-0000-0000E5000000}"/>
    <cellStyle name="20% - Accent4 5 2" xfId="7984" xr:uid="{00000000-0005-0000-0000-0000E6000000}"/>
    <cellStyle name="20% - Accent4 5 3" xfId="7057" xr:uid="{00000000-0005-0000-0000-0000E7000000}"/>
    <cellStyle name="20% - Accent4 6" xfId="1269" xr:uid="{00000000-0005-0000-0000-0000E8000000}"/>
    <cellStyle name="20% - Accent4 6 2" xfId="7985" xr:uid="{00000000-0005-0000-0000-0000E9000000}"/>
    <cellStyle name="20% - Accent4 6 3" xfId="7058" xr:uid="{00000000-0005-0000-0000-0000EA000000}"/>
    <cellStyle name="20% - Accent4 7" xfId="1270" xr:uid="{00000000-0005-0000-0000-0000EB000000}"/>
    <cellStyle name="20% - Accent4 7 2" xfId="7986" xr:uid="{00000000-0005-0000-0000-0000EC000000}"/>
    <cellStyle name="20% - Accent4 7 3" xfId="7059" xr:uid="{00000000-0005-0000-0000-0000ED000000}"/>
    <cellStyle name="20% - Accent4 8" xfId="1271" xr:uid="{00000000-0005-0000-0000-0000EE000000}"/>
    <cellStyle name="20% - Accent4 8 2" xfId="7987" xr:uid="{00000000-0005-0000-0000-0000EF000000}"/>
    <cellStyle name="20% - Accent4 8 3" xfId="7060" xr:uid="{00000000-0005-0000-0000-0000F0000000}"/>
    <cellStyle name="20% - Accent4 9" xfId="1272" xr:uid="{00000000-0005-0000-0000-0000F1000000}"/>
    <cellStyle name="20% - Accent4 9 2" xfId="7988" xr:uid="{00000000-0005-0000-0000-0000F2000000}"/>
    <cellStyle name="20% - Accent4 9 3" xfId="7061" xr:uid="{00000000-0005-0000-0000-0000F3000000}"/>
    <cellStyle name="20% - Accent5" xfId="5" builtinId="46" customBuiltin="1"/>
    <cellStyle name="20% - Accent5 10" xfId="1273" xr:uid="{00000000-0005-0000-0000-0000F5000000}"/>
    <cellStyle name="20% - Accent5 10 2" xfId="7989" xr:uid="{00000000-0005-0000-0000-0000F6000000}"/>
    <cellStyle name="20% - Accent5 10 3" xfId="7062" xr:uid="{00000000-0005-0000-0000-0000F7000000}"/>
    <cellStyle name="20% - Accent5 11" xfId="1274" xr:uid="{00000000-0005-0000-0000-0000F8000000}"/>
    <cellStyle name="20% - Accent5 11 2" xfId="7990" xr:uid="{00000000-0005-0000-0000-0000F9000000}"/>
    <cellStyle name="20% - Accent5 11 3" xfId="7063" xr:uid="{00000000-0005-0000-0000-0000FA000000}"/>
    <cellStyle name="20% - Accent5 2" xfId="95" xr:uid="{00000000-0005-0000-0000-0000FB000000}"/>
    <cellStyle name="20% - Accent5 2 2" xfId="96" xr:uid="{00000000-0005-0000-0000-0000FC000000}"/>
    <cellStyle name="20% - Accent5 2 2 2" xfId="1276" xr:uid="{00000000-0005-0000-0000-0000FD000000}"/>
    <cellStyle name="20% - Accent5 2 2 3" xfId="7064" xr:uid="{00000000-0005-0000-0000-0000FE000000}"/>
    <cellStyle name="20% - Accent5 2 3" xfId="1277" xr:uid="{00000000-0005-0000-0000-0000FF000000}"/>
    <cellStyle name="20% - Accent5 2 3 2" xfId="7991" xr:uid="{00000000-0005-0000-0000-000000010000}"/>
    <cellStyle name="20% - Accent5 2 3 3" xfId="7065" xr:uid="{00000000-0005-0000-0000-000001010000}"/>
    <cellStyle name="20% - Accent5 2 4" xfId="1278" xr:uid="{00000000-0005-0000-0000-000002010000}"/>
    <cellStyle name="20% - Accent5 2 4 2" xfId="7992" xr:uid="{00000000-0005-0000-0000-000003010000}"/>
    <cellStyle name="20% - Accent5 2 4 3" xfId="7066" xr:uid="{00000000-0005-0000-0000-000004010000}"/>
    <cellStyle name="20% - Accent5 2 5" xfId="1279" xr:uid="{00000000-0005-0000-0000-000005010000}"/>
    <cellStyle name="20% - Accent5 2 6" xfId="1280" xr:uid="{00000000-0005-0000-0000-000006010000}"/>
    <cellStyle name="20% - Accent5 2 7" xfId="1275" xr:uid="{00000000-0005-0000-0000-000007010000}"/>
    <cellStyle name="20% - Accent5 3" xfId="97" xr:uid="{00000000-0005-0000-0000-000008010000}"/>
    <cellStyle name="20% - Accent5 3 2" xfId="98" xr:uid="{00000000-0005-0000-0000-000009010000}"/>
    <cellStyle name="20% - Accent5 3 2 2" xfId="1282" xr:uid="{00000000-0005-0000-0000-00000A010000}"/>
    <cellStyle name="20% - Accent5 3 2 3" xfId="7067" xr:uid="{00000000-0005-0000-0000-00000B010000}"/>
    <cellStyle name="20% - Accent5 3 3" xfId="1283" xr:uid="{00000000-0005-0000-0000-00000C010000}"/>
    <cellStyle name="20% - Accent5 3 3 2" xfId="7993" xr:uid="{00000000-0005-0000-0000-00000D010000}"/>
    <cellStyle name="20% - Accent5 3 3 3" xfId="7068" xr:uid="{00000000-0005-0000-0000-00000E010000}"/>
    <cellStyle name="20% - Accent5 3 4" xfId="1284" xr:uid="{00000000-0005-0000-0000-00000F010000}"/>
    <cellStyle name="20% - Accent5 3 4 2" xfId="7994" xr:uid="{00000000-0005-0000-0000-000010010000}"/>
    <cellStyle name="20% - Accent5 3 4 3" xfId="7069" xr:uid="{00000000-0005-0000-0000-000011010000}"/>
    <cellStyle name="20% - Accent5 3 5" xfId="1285" xr:uid="{00000000-0005-0000-0000-000012010000}"/>
    <cellStyle name="20% - Accent5 3 6" xfId="1286" xr:uid="{00000000-0005-0000-0000-000013010000}"/>
    <cellStyle name="20% - Accent5 3 7" xfId="1281" xr:uid="{00000000-0005-0000-0000-000014010000}"/>
    <cellStyle name="20% - Accent5 4" xfId="99" xr:uid="{00000000-0005-0000-0000-000015010000}"/>
    <cellStyle name="20% - Accent5 4 2" xfId="100" xr:uid="{00000000-0005-0000-0000-000016010000}"/>
    <cellStyle name="20% - Accent5 4 2 2" xfId="1288" xr:uid="{00000000-0005-0000-0000-000017010000}"/>
    <cellStyle name="20% - Accent5 4 2 3" xfId="7070" xr:uid="{00000000-0005-0000-0000-000018010000}"/>
    <cellStyle name="20% - Accent5 4 3" xfId="1289" xr:uid="{00000000-0005-0000-0000-000019010000}"/>
    <cellStyle name="20% - Accent5 4 3 2" xfId="7995" xr:uid="{00000000-0005-0000-0000-00001A010000}"/>
    <cellStyle name="20% - Accent5 4 3 3" xfId="7071" xr:uid="{00000000-0005-0000-0000-00001B010000}"/>
    <cellStyle name="20% - Accent5 4 4" xfId="1290" xr:uid="{00000000-0005-0000-0000-00001C010000}"/>
    <cellStyle name="20% - Accent5 4 4 2" xfId="7996" xr:uid="{00000000-0005-0000-0000-00001D010000}"/>
    <cellStyle name="20% - Accent5 4 4 3" xfId="7072" xr:uid="{00000000-0005-0000-0000-00001E010000}"/>
    <cellStyle name="20% - Accent5 4 5" xfId="1291" xr:uid="{00000000-0005-0000-0000-00001F010000}"/>
    <cellStyle name="20% - Accent5 4 6" xfId="1292" xr:uid="{00000000-0005-0000-0000-000020010000}"/>
    <cellStyle name="20% - Accent5 4 7" xfId="1287" xr:uid="{00000000-0005-0000-0000-000021010000}"/>
    <cellStyle name="20% - Accent5 5" xfId="1293" xr:uid="{00000000-0005-0000-0000-000022010000}"/>
    <cellStyle name="20% - Accent5 5 2" xfId="7997" xr:uid="{00000000-0005-0000-0000-000023010000}"/>
    <cellStyle name="20% - Accent5 5 3" xfId="7073" xr:uid="{00000000-0005-0000-0000-000024010000}"/>
    <cellStyle name="20% - Accent5 6" xfId="1294" xr:uid="{00000000-0005-0000-0000-000025010000}"/>
    <cellStyle name="20% - Accent5 6 2" xfId="7998" xr:uid="{00000000-0005-0000-0000-000026010000}"/>
    <cellStyle name="20% - Accent5 6 3" xfId="7074" xr:uid="{00000000-0005-0000-0000-000027010000}"/>
    <cellStyle name="20% - Accent5 7" xfId="1295" xr:uid="{00000000-0005-0000-0000-000028010000}"/>
    <cellStyle name="20% - Accent5 7 2" xfId="7999" xr:uid="{00000000-0005-0000-0000-000029010000}"/>
    <cellStyle name="20% - Accent5 7 3" xfId="7075" xr:uid="{00000000-0005-0000-0000-00002A010000}"/>
    <cellStyle name="20% - Accent5 8" xfId="1296" xr:uid="{00000000-0005-0000-0000-00002B010000}"/>
    <cellStyle name="20% - Accent5 8 2" xfId="8000" xr:uid="{00000000-0005-0000-0000-00002C010000}"/>
    <cellStyle name="20% - Accent5 8 3" xfId="7076" xr:uid="{00000000-0005-0000-0000-00002D010000}"/>
    <cellStyle name="20% - Accent5 9" xfId="1297" xr:uid="{00000000-0005-0000-0000-00002E010000}"/>
    <cellStyle name="20% - Accent5 9 2" xfId="8001" xr:uid="{00000000-0005-0000-0000-00002F010000}"/>
    <cellStyle name="20% - Accent5 9 3" xfId="7077" xr:uid="{00000000-0005-0000-0000-000030010000}"/>
    <cellStyle name="20% - Accent6" xfId="6" builtinId="50" customBuiltin="1"/>
    <cellStyle name="20% - Accent6 10" xfId="1298" xr:uid="{00000000-0005-0000-0000-000032010000}"/>
    <cellStyle name="20% - Accent6 10 2" xfId="8002" xr:uid="{00000000-0005-0000-0000-000033010000}"/>
    <cellStyle name="20% - Accent6 10 3" xfId="7078" xr:uid="{00000000-0005-0000-0000-000034010000}"/>
    <cellStyle name="20% - Accent6 11" xfId="1299" xr:uid="{00000000-0005-0000-0000-000035010000}"/>
    <cellStyle name="20% - Accent6 11 2" xfId="8003" xr:uid="{00000000-0005-0000-0000-000036010000}"/>
    <cellStyle name="20% - Accent6 11 3" xfId="7079" xr:uid="{00000000-0005-0000-0000-000037010000}"/>
    <cellStyle name="20% - Accent6 2" xfId="101" xr:uid="{00000000-0005-0000-0000-000038010000}"/>
    <cellStyle name="20% - Accent6 2 2" xfId="102" xr:uid="{00000000-0005-0000-0000-000039010000}"/>
    <cellStyle name="20% - Accent6 2 2 2" xfId="1301" xr:uid="{00000000-0005-0000-0000-00003A010000}"/>
    <cellStyle name="20% - Accent6 2 2 3" xfId="7080" xr:uid="{00000000-0005-0000-0000-00003B010000}"/>
    <cellStyle name="20% - Accent6 2 3" xfId="1302" xr:uid="{00000000-0005-0000-0000-00003C010000}"/>
    <cellStyle name="20% - Accent6 2 3 2" xfId="8004" xr:uid="{00000000-0005-0000-0000-00003D010000}"/>
    <cellStyle name="20% - Accent6 2 3 3" xfId="7081" xr:uid="{00000000-0005-0000-0000-00003E010000}"/>
    <cellStyle name="20% - Accent6 2 4" xfId="1303" xr:uid="{00000000-0005-0000-0000-00003F010000}"/>
    <cellStyle name="20% - Accent6 2 4 2" xfId="8005" xr:uid="{00000000-0005-0000-0000-000040010000}"/>
    <cellStyle name="20% - Accent6 2 4 3" xfId="7082" xr:uid="{00000000-0005-0000-0000-000041010000}"/>
    <cellStyle name="20% - Accent6 2 5" xfId="1304" xr:uid="{00000000-0005-0000-0000-000042010000}"/>
    <cellStyle name="20% - Accent6 2 6" xfId="1305" xr:uid="{00000000-0005-0000-0000-000043010000}"/>
    <cellStyle name="20% - Accent6 2 7" xfId="1300" xr:uid="{00000000-0005-0000-0000-000044010000}"/>
    <cellStyle name="20% - Accent6 3" xfId="103" xr:uid="{00000000-0005-0000-0000-000045010000}"/>
    <cellStyle name="20% - Accent6 3 2" xfId="104" xr:uid="{00000000-0005-0000-0000-000046010000}"/>
    <cellStyle name="20% - Accent6 3 2 2" xfId="1307" xr:uid="{00000000-0005-0000-0000-000047010000}"/>
    <cellStyle name="20% - Accent6 3 2 3" xfId="7083" xr:uid="{00000000-0005-0000-0000-000048010000}"/>
    <cellStyle name="20% - Accent6 3 3" xfId="1308" xr:uid="{00000000-0005-0000-0000-000049010000}"/>
    <cellStyle name="20% - Accent6 3 3 2" xfId="8006" xr:uid="{00000000-0005-0000-0000-00004A010000}"/>
    <cellStyle name="20% - Accent6 3 3 3" xfId="7084" xr:uid="{00000000-0005-0000-0000-00004B010000}"/>
    <cellStyle name="20% - Accent6 3 4" xfId="1309" xr:uid="{00000000-0005-0000-0000-00004C010000}"/>
    <cellStyle name="20% - Accent6 3 4 2" xfId="8007" xr:uid="{00000000-0005-0000-0000-00004D010000}"/>
    <cellStyle name="20% - Accent6 3 4 3" xfId="7085" xr:uid="{00000000-0005-0000-0000-00004E010000}"/>
    <cellStyle name="20% - Accent6 3 5" xfId="1310" xr:uid="{00000000-0005-0000-0000-00004F010000}"/>
    <cellStyle name="20% - Accent6 3 6" xfId="1311" xr:uid="{00000000-0005-0000-0000-000050010000}"/>
    <cellStyle name="20% - Accent6 3 7" xfId="1306" xr:uid="{00000000-0005-0000-0000-000051010000}"/>
    <cellStyle name="20% - Accent6 4" xfId="105" xr:uid="{00000000-0005-0000-0000-000052010000}"/>
    <cellStyle name="20% - Accent6 4 2" xfId="106" xr:uid="{00000000-0005-0000-0000-000053010000}"/>
    <cellStyle name="20% - Accent6 4 2 2" xfId="1313" xr:uid="{00000000-0005-0000-0000-000054010000}"/>
    <cellStyle name="20% - Accent6 4 2 3" xfId="7086" xr:uid="{00000000-0005-0000-0000-000055010000}"/>
    <cellStyle name="20% - Accent6 4 3" xfId="1314" xr:uid="{00000000-0005-0000-0000-000056010000}"/>
    <cellStyle name="20% - Accent6 4 3 2" xfId="8008" xr:uid="{00000000-0005-0000-0000-000057010000}"/>
    <cellStyle name="20% - Accent6 4 3 3" xfId="7087" xr:uid="{00000000-0005-0000-0000-000058010000}"/>
    <cellStyle name="20% - Accent6 4 4" xfId="1315" xr:uid="{00000000-0005-0000-0000-000059010000}"/>
    <cellStyle name="20% - Accent6 4 4 2" xfId="8009" xr:uid="{00000000-0005-0000-0000-00005A010000}"/>
    <cellStyle name="20% - Accent6 4 4 3" xfId="7088" xr:uid="{00000000-0005-0000-0000-00005B010000}"/>
    <cellStyle name="20% - Accent6 4 5" xfId="1316" xr:uid="{00000000-0005-0000-0000-00005C010000}"/>
    <cellStyle name="20% - Accent6 4 6" xfId="1317" xr:uid="{00000000-0005-0000-0000-00005D010000}"/>
    <cellStyle name="20% - Accent6 4 7" xfId="1312" xr:uid="{00000000-0005-0000-0000-00005E010000}"/>
    <cellStyle name="20% - Accent6 5" xfId="1318" xr:uid="{00000000-0005-0000-0000-00005F010000}"/>
    <cellStyle name="20% - Accent6 5 2" xfId="8010" xr:uid="{00000000-0005-0000-0000-000060010000}"/>
    <cellStyle name="20% - Accent6 5 3" xfId="7089" xr:uid="{00000000-0005-0000-0000-000061010000}"/>
    <cellStyle name="20% - Accent6 6" xfId="1319" xr:uid="{00000000-0005-0000-0000-000062010000}"/>
    <cellStyle name="20% - Accent6 6 2" xfId="8011" xr:uid="{00000000-0005-0000-0000-000063010000}"/>
    <cellStyle name="20% - Accent6 6 3" xfId="7090" xr:uid="{00000000-0005-0000-0000-000064010000}"/>
    <cellStyle name="20% - Accent6 7" xfId="1320" xr:uid="{00000000-0005-0000-0000-000065010000}"/>
    <cellStyle name="20% - Accent6 7 2" xfId="8012" xr:uid="{00000000-0005-0000-0000-000066010000}"/>
    <cellStyle name="20% - Accent6 7 3" xfId="7091" xr:uid="{00000000-0005-0000-0000-000067010000}"/>
    <cellStyle name="20% - Accent6 8" xfId="1321" xr:uid="{00000000-0005-0000-0000-000068010000}"/>
    <cellStyle name="20% - Accent6 8 2" xfId="8013" xr:uid="{00000000-0005-0000-0000-000069010000}"/>
    <cellStyle name="20% - Accent6 8 3" xfId="7092" xr:uid="{00000000-0005-0000-0000-00006A010000}"/>
    <cellStyle name="20% - Accent6 9" xfId="1322" xr:uid="{00000000-0005-0000-0000-00006B010000}"/>
    <cellStyle name="20% - Accent6 9 2" xfId="8014" xr:uid="{00000000-0005-0000-0000-00006C010000}"/>
    <cellStyle name="20% - Accent6 9 3" xfId="7093" xr:uid="{00000000-0005-0000-0000-00006D010000}"/>
    <cellStyle name="40% - Accent1" xfId="7" builtinId="31" customBuiltin="1"/>
    <cellStyle name="40% - Accent1 10" xfId="1323" xr:uid="{00000000-0005-0000-0000-00006F010000}"/>
    <cellStyle name="40% - Accent1 10 2" xfId="8015" xr:uid="{00000000-0005-0000-0000-000070010000}"/>
    <cellStyle name="40% - Accent1 10 3" xfId="7094" xr:uid="{00000000-0005-0000-0000-000071010000}"/>
    <cellStyle name="40% - Accent1 11" xfId="1324" xr:uid="{00000000-0005-0000-0000-000072010000}"/>
    <cellStyle name="40% - Accent1 11 2" xfId="8016" xr:uid="{00000000-0005-0000-0000-000073010000}"/>
    <cellStyle name="40% - Accent1 11 3" xfId="7095" xr:uid="{00000000-0005-0000-0000-000074010000}"/>
    <cellStyle name="40% - Accent1 2" xfId="107" xr:uid="{00000000-0005-0000-0000-000075010000}"/>
    <cellStyle name="40% - Accent1 2 2" xfId="108" xr:uid="{00000000-0005-0000-0000-000076010000}"/>
    <cellStyle name="40% - Accent1 2 2 2" xfId="1326" xr:uid="{00000000-0005-0000-0000-000077010000}"/>
    <cellStyle name="40% - Accent1 2 2 3" xfId="7096" xr:uid="{00000000-0005-0000-0000-000078010000}"/>
    <cellStyle name="40% - Accent1 2 3" xfId="1327" xr:uid="{00000000-0005-0000-0000-000079010000}"/>
    <cellStyle name="40% - Accent1 2 3 2" xfId="8017" xr:uid="{00000000-0005-0000-0000-00007A010000}"/>
    <cellStyle name="40% - Accent1 2 3 3" xfId="7097" xr:uid="{00000000-0005-0000-0000-00007B010000}"/>
    <cellStyle name="40% - Accent1 2 4" xfId="1328" xr:uid="{00000000-0005-0000-0000-00007C010000}"/>
    <cellStyle name="40% - Accent1 2 4 2" xfId="8018" xr:uid="{00000000-0005-0000-0000-00007D010000}"/>
    <cellStyle name="40% - Accent1 2 4 3" xfId="7098" xr:uid="{00000000-0005-0000-0000-00007E010000}"/>
    <cellStyle name="40% - Accent1 2 5" xfId="1329" xr:uid="{00000000-0005-0000-0000-00007F010000}"/>
    <cellStyle name="40% - Accent1 2 6" xfId="1330" xr:uid="{00000000-0005-0000-0000-000080010000}"/>
    <cellStyle name="40% - Accent1 2 7" xfId="1325" xr:uid="{00000000-0005-0000-0000-000081010000}"/>
    <cellStyle name="40% - Accent1 3" xfId="109" xr:uid="{00000000-0005-0000-0000-000082010000}"/>
    <cellStyle name="40% - Accent1 3 2" xfId="110" xr:uid="{00000000-0005-0000-0000-000083010000}"/>
    <cellStyle name="40% - Accent1 3 2 2" xfId="1332" xr:uid="{00000000-0005-0000-0000-000084010000}"/>
    <cellStyle name="40% - Accent1 3 2 3" xfId="7099" xr:uid="{00000000-0005-0000-0000-000085010000}"/>
    <cellStyle name="40% - Accent1 3 3" xfId="1333" xr:uid="{00000000-0005-0000-0000-000086010000}"/>
    <cellStyle name="40% - Accent1 3 3 2" xfId="8019" xr:uid="{00000000-0005-0000-0000-000087010000}"/>
    <cellStyle name="40% - Accent1 3 3 3" xfId="7100" xr:uid="{00000000-0005-0000-0000-000088010000}"/>
    <cellStyle name="40% - Accent1 3 4" xfId="1334" xr:uid="{00000000-0005-0000-0000-000089010000}"/>
    <cellStyle name="40% - Accent1 3 4 2" xfId="8020" xr:uid="{00000000-0005-0000-0000-00008A010000}"/>
    <cellStyle name="40% - Accent1 3 4 3" xfId="7101" xr:uid="{00000000-0005-0000-0000-00008B010000}"/>
    <cellStyle name="40% - Accent1 3 5" xfId="1335" xr:uid="{00000000-0005-0000-0000-00008C010000}"/>
    <cellStyle name="40% - Accent1 3 6" xfId="1336" xr:uid="{00000000-0005-0000-0000-00008D010000}"/>
    <cellStyle name="40% - Accent1 3 7" xfId="1331" xr:uid="{00000000-0005-0000-0000-00008E010000}"/>
    <cellStyle name="40% - Accent1 4" xfId="111" xr:uid="{00000000-0005-0000-0000-00008F010000}"/>
    <cellStyle name="40% - Accent1 4 2" xfId="112" xr:uid="{00000000-0005-0000-0000-000090010000}"/>
    <cellStyle name="40% - Accent1 4 2 2" xfId="1338" xr:uid="{00000000-0005-0000-0000-000091010000}"/>
    <cellStyle name="40% - Accent1 4 2 3" xfId="7102" xr:uid="{00000000-0005-0000-0000-000092010000}"/>
    <cellStyle name="40% - Accent1 4 3" xfId="1339" xr:uid="{00000000-0005-0000-0000-000093010000}"/>
    <cellStyle name="40% - Accent1 4 3 2" xfId="8021" xr:uid="{00000000-0005-0000-0000-000094010000}"/>
    <cellStyle name="40% - Accent1 4 3 3" xfId="7103" xr:uid="{00000000-0005-0000-0000-000095010000}"/>
    <cellStyle name="40% - Accent1 4 4" xfId="1340" xr:uid="{00000000-0005-0000-0000-000096010000}"/>
    <cellStyle name="40% - Accent1 4 4 2" xfId="8022" xr:uid="{00000000-0005-0000-0000-000097010000}"/>
    <cellStyle name="40% - Accent1 4 4 3" xfId="7104" xr:uid="{00000000-0005-0000-0000-000098010000}"/>
    <cellStyle name="40% - Accent1 4 5" xfId="1341" xr:uid="{00000000-0005-0000-0000-000099010000}"/>
    <cellStyle name="40% - Accent1 4 6" xfId="1342" xr:uid="{00000000-0005-0000-0000-00009A010000}"/>
    <cellStyle name="40% - Accent1 4 7" xfId="1337" xr:uid="{00000000-0005-0000-0000-00009B010000}"/>
    <cellStyle name="40% - Accent1 5" xfId="1343" xr:uid="{00000000-0005-0000-0000-00009C010000}"/>
    <cellStyle name="40% - Accent1 5 2" xfId="8023" xr:uid="{00000000-0005-0000-0000-00009D010000}"/>
    <cellStyle name="40% - Accent1 5 3" xfId="7105" xr:uid="{00000000-0005-0000-0000-00009E010000}"/>
    <cellStyle name="40% - Accent1 6" xfId="1344" xr:uid="{00000000-0005-0000-0000-00009F010000}"/>
    <cellStyle name="40% - Accent1 6 2" xfId="8024" xr:uid="{00000000-0005-0000-0000-0000A0010000}"/>
    <cellStyle name="40% - Accent1 6 3" xfId="7106" xr:uid="{00000000-0005-0000-0000-0000A1010000}"/>
    <cellStyle name="40% - Accent1 7" xfId="1345" xr:uid="{00000000-0005-0000-0000-0000A2010000}"/>
    <cellStyle name="40% - Accent1 7 2" xfId="8025" xr:uid="{00000000-0005-0000-0000-0000A3010000}"/>
    <cellStyle name="40% - Accent1 7 3" xfId="7107" xr:uid="{00000000-0005-0000-0000-0000A4010000}"/>
    <cellStyle name="40% - Accent1 8" xfId="1346" xr:uid="{00000000-0005-0000-0000-0000A5010000}"/>
    <cellStyle name="40% - Accent1 8 2" xfId="8026" xr:uid="{00000000-0005-0000-0000-0000A6010000}"/>
    <cellStyle name="40% - Accent1 8 3" xfId="7108" xr:uid="{00000000-0005-0000-0000-0000A7010000}"/>
    <cellStyle name="40% - Accent1 9" xfId="1347" xr:uid="{00000000-0005-0000-0000-0000A8010000}"/>
    <cellStyle name="40% - Accent1 9 2" xfId="8027" xr:uid="{00000000-0005-0000-0000-0000A9010000}"/>
    <cellStyle name="40% - Accent1 9 3" xfId="7109" xr:uid="{00000000-0005-0000-0000-0000AA010000}"/>
    <cellStyle name="40% - Accent2" xfId="8" builtinId="35" customBuiltin="1"/>
    <cellStyle name="40% - Accent2 10" xfId="1348" xr:uid="{00000000-0005-0000-0000-0000AC010000}"/>
    <cellStyle name="40% - Accent2 10 2" xfId="8028" xr:uid="{00000000-0005-0000-0000-0000AD010000}"/>
    <cellStyle name="40% - Accent2 10 3" xfId="7110" xr:uid="{00000000-0005-0000-0000-0000AE010000}"/>
    <cellStyle name="40% - Accent2 11" xfId="1349" xr:uid="{00000000-0005-0000-0000-0000AF010000}"/>
    <cellStyle name="40% - Accent2 11 2" xfId="8029" xr:uid="{00000000-0005-0000-0000-0000B0010000}"/>
    <cellStyle name="40% - Accent2 11 3" xfId="7111" xr:uid="{00000000-0005-0000-0000-0000B1010000}"/>
    <cellStyle name="40% - Accent2 2" xfId="113" xr:uid="{00000000-0005-0000-0000-0000B2010000}"/>
    <cellStyle name="40% - Accent2 2 2" xfId="114" xr:uid="{00000000-0005-0000-0000-0000B3010000}"/>
    <cellStyle name="40% - Accent2 2 2 2" xfId="1351" xr:uid="{00000000-0005-0000-0000-0000B4010000}"/>
    <cellStyle name="40% - Accent2 2 2 3" xfId="7112" xr:uid="{00000000-0005-0000-0000-0000B5010000}"/>
    <cellStyle name="40% - Accent2 2 3" xfId="1352" xr:uid="{00000000-0005-0000-0000-0000B6010000}"/>
    <cellStyle name="40% - Accent2 2 3 2" xfId="8030" xr:uid="{00000000-0005-0000-0000-0000B7010000}"/>
    <cellStyle name="40% - Accent2 2 3 3" xfId="7113" xr:uid="{00000000-0005-0000-0000-0000B8010000}"/>
    <cellStyle name="40% - Accent2 2 4" xfId="1353" xr:uid="{00000000-0005-0000-0000-0000B9010000}"/>
    <cellStyle name="40% - Accent2 2 4 2" xfId="8031" xr:uid="{00000000-0005-0000-0000-0000BA010000}"/>
    <cellStyle name="40% - Accent2 2 4 3" xfId="7114" xr:uid="{00000000-0005-0000-0000-0000BB010000}"/>
    <cellStyle name="40% - Accent2 2 5" xfId="1354" xr:uid="{00000000-0005-0000-0000-0000BC010000}"/>
    <cellStyle name="40% - Accent2 2 6" xfId="1355" xr:uid="{00000000-0005-0000-0000-0000BD010000}"/>
    <cellStyle name="40% - Accent2 2 7" xfId="1350" xr:uid="{00000000-0005-0000-0000-0000BE010000}"/>
    <cellStyle name="40% - Accent2 3" xfId="115" xr:uid="{00000000-0005-0000-0000-0000BF010000}"/>
    <cellStyle name="40% - Accent2 3 2" xfId="116" xr:uid="{00000000-0005-0000-0000-0000C0010000}"/>
    <cellStyle name="40% - Accent2 3 2 2" xfId="1357" xr:uid="{00000000-0005-0000-0000-0000C1010000}"/>
    <cellStyle name="40% - Accent2 3 2 3" xfId="7115" xr:uid="{00000000-0005-0000-0000-0000C2010000}"/>
    <cellStyle name="40% - Accent2 3 3" xfId="1358" xr:uid="{00000000-0005-0000-0000-0000C3010000}"/>
    <cellStyle name="40% - Accent2 3 3 2" xfId="8032" xr:uid="{00000000-0005-0000-0000-0000C4010000}"/>
    <cellStyle name="40% - Accent2 3 3 3" xfId="7116" xr:uid="{00000000-0005-0000-0000-0000C5010000}"/>
    <cellStyle name="40% - Accent2 3 4" xfId="1359" xr:uid="{00000000-0005-0000-0000-0000C6010000}"/>
    <cellStyle name="40% - Accent2 3 4 2" xfId="8033" xr:uid="{00000000-0005-0000-0000-0000C7010000}"/>
    <cellStyle name="40% - Accent2 3 4 3" xfId="7117" xr:uid="{00000000-0005-0000-0000-0000C8010000}"/>
    <cellStyle name="40% - Accent2 3 5" xfId="1360" xr:uid="{00000000-0005-0000-0000-0000C9010000}"/>
    <cellStyle name="40% - Accent2 3 6" xfId="1361" xr:uid="{00000000-0005-0000-0000-0000CA010000}"/>
    <cellStyle name="40% - Accent2 3 7" xfId="1356" xr:uid="{00000000-0005-0000-0000-0000CB010000}"/>
    <cellStyle name="40% - Accent2 4" xfId="117" xr:uid="{00000000-0005-0000-0000-0000CC010000}"/>
    <cellStyle name="40% - Accent2 4 2" xfId="118" xr:uid="{00000000-0005-0000-0000-0000CD010000}"/>
    <cellStyle name="40% - Accent2 4 2 2" xfId="1363" xr:uid="{00000000-0005-0000-0000-0000CE010000}"/>
    <cellStyle name="40% - Accent2 4 2 3" xfId="7118" xr:uid="{00000000-0005-0000-0000-0000CF010000}"/>
    <cellStyle name="40% - Accent2 4 2 4" xfId="8709" xr:uid="{00000000-0005-0000-0000-0000D0010000}"/>
    <cellStyle name="40% - Accent2 4 3" xfId="1364" xr:uid="{00000000-0005-0000-0000-0000D1010000}"/>
    <cellStyle name="40% - Accent2 4 3 2" xfId="8034" xr:uid="{00000000-0005-0000-0000-0000D2010000}"/>
    <cellStyle name="40% - Accent2 4 3 3" xfId="7119" xr:uid="{00000000-0005-0000-0000-0000D3010000}"/>
    <cellStyle name="40% - Accent2 4 4" xfId="1365" xr:uid="{00000000-0005-0000-0000-0000D4010000}"/>
    <cellStyle name="40% - Accent2 4 4 2" xfId="8035" xr:uid="{00000000-0005-0000-0000-0000D5010000}"/>
    <cellStyle name="40% - Accent2 4 4 3" xfId="7120" xr:uid="{00000000-0005-0000-0000-0000D6010000}"/>
    <cellStyle name="40% - Accent2 4 5" xfId="1366" xr:uid="{00000000-0005-0000-0000-0000D7010000}"/>
    <cellStyle name="40% - Accent2 4 6" xfId="1367" xr:uid="{00000000-0005-0000-0000-0000D8010000}"/>
    <cellStyle name="40% - Accent2 4 7" xfId="1362" xr:uid="{00000000-0005-0000-0000-0000D9010000}"/>
    <cellStyle name="40% - Accent2 5" xfId="1368" xr:uid="{00000000-0005-0000-0000-0000DA010000}"/>
    <cellStyle name="40% - Accent2 5 2" xfId="8036" xr:uid="{00000000-0005-0000-0000-0000DB010000}"/>
    <cellStyle name="40% - Accent2 5 3" xfId="7121" xr:uid="{00000000-0005-0000-0000-0000DC010000}"/>
    <cellStyle name="40% - Accent2 6" xfId="1369" xr:uid="{00000000-0005-0000-0000-0000DD010000}"/>
    <cellStyle name="40% - Accent2 6 2" xfId="8037" xr:uid="{00000000-0005-0000-0000-0000DE010000}"/>
    <cellStyle name="40% - Accent2 6 3" xfId="7122" xr:uid="{00000000-0005-0000-0000-0000DF010000}"/>
    <cellStyle name="40% - Accent2 7" xfId="1370" xr:uid="{00000000-0005-0000-0000-0000E0010000}"/>
    <cellStyle name="40% - Accent2 7 2" xfId="8038" xr:uid="{00000000-0005-0000-0000-0000E1010000}"/>
    <cellStyle name="40% - Accent2 7 3" xfId="7123" xr:uid="{00000000-0005-0000-0000-0000E2010000}"/>
    <cellStyle name="40% - Accent2 8" xfId="1371" xr:uid="{00000000-0005-0000-0000-0000E3010000}"/>
    <cellStyle name="40% - Accent2 8 2" xfId="8039" xr:uid="{00000000-0005-0000-0000-0000E4010000}"/>
    <cellStyle name="40% - Accent2 8 3" xfId="7124" xr:uid="{00000000-0005-0000-0000-0000E5010000}"/>
    <cellStyle name="40% - Accent2 9" xfId="1372" xr:uid="{00000000-0005-0000-0000-0000E6010000}"/>
    <cellStyle name="40% - Accent2 9 2" xfId="8040" xr:uid="{00000000-0005-0000-0000-0000E7010000}"/>
    <cellStyle name="40% - Accent2 9 3" xfId="7125" xr:uid="{00000000-0005-0000-0000-0000E8010000}"/>
    <cellStyle name="40% - Accent3" xfId="9" builtinId="39" customBuiltin="1"/>
    <cellStyle name="40% - Accent3 10" xfId="1373" xr:uid="{00000000-0005-0000-0000-0000EA010000}"/>
    <cellStyle name="40% - Accent3 10 2" xfId="8041" xr:uid="{00000000-0005-0000-0000-0000EB010000}"/>
    <cellStyle name="40% - Accent3 10 3" xfId="7126" xr:uid="{00000000-0005-0000-0000-0000EC010000}"/>
    <cellStyle name="40% - Accent3 11" xfId="1374" xr:uid="{00000000-0005-0000-0000-0000ED010000}"/>
    <cellStyle name="40% - Accent3 11 2" xfId="8042" xr:uid="{00000000-0005-0000-0000-0000EE010000}"/>
    <cellStyle name="40% - Accent3 11 3" xfId="7127" xr:uid="{00000000-0005-0000-0000-0000EF010000}"/>
    <cellStyle name="40% - Accent3 2" xfId="119" xr:uid="{00000000-0005-0000-0000-0000F0010000}"/>
    <cellStyle name="40% - Accent3 2 2" xfId="120" xr:uid="{00000000-0005-0000-0000-0000F1010000}"/>
    <cellStyle name="40% - Accent3 2 2 2" xfId="1376" xr:uid="{00000000-0005-0000-0000-0000F2010000}"/>
    <cellStyle name="40% - Accent3 2 2 3" xfId="7128" xr:uid="{00000000-0005-0000-0000-0000F3010000}"/>
    <cellStyle name="40% - Accent3 2 2 4" xfId="8710" xr:uid="{00000000-0005-0000-0000-0000F4010000}"/>
    <cellStyle name="40% - Accent3 2 3" xfId="1377" xr:uid="{00000000-0005-0000-0000-0000F5010000}"/>
    <cellStyle name="40% - Accent3 2 3 2" xfId="8043" xr:uid="{00000000-0005-0000-0000-0000F6010000}"/>
    <cellStyle name="40% - Accent3 2 3 3" xfId="7129" xr:uid="{00000000-0005-0000-0000-0000F7010000}"/>
    <cellStyle name="40% - Accent3 2 4" xfId="1378" xr:uid="{00000000-0005-0000-0000-0000F8010000}"/>
    <cellStyle name="40% - Accent3 2 4 2" xfId="8044" xr:uid="{00000000-0005-0000-0000-0000F9010000}"/>
    <cellStyle name="40% - Accent3 2 4 3" xfId="7130" xr:uid="{00000000-0005-0000-0000-0000FA010000}"/>
    <cellStyle name="40% - Accent3 2 5" xfId="1379" xr:uid="{00000000-0005-0000-0000-0000FB010000}"/>
    <cellStyle name="40% - Accent3 2 6" xfId="1380" xr:uid="{00000000-0005-0000-0000-0000FC010000}"/>
    <cellStyle name="40% - Accent3 2 7" xfId="1375" xr:uid="{00000000-0005-0000-0000-0000FD010000}"/>
    <cellStyle name="40% - Accent3 3" xfId="121" xr:uid="{00000000-0005-0000-0000-0000FE010000}"/>
    <cellStyle name="40% - Accent3 3 2" xfId="122" xr:uid="{00000000-0005-0000-0000-0000FF010000}"/>
    <cellStyle name="40% - Accent3 3 2 2" xfId="1382" xr:uid="{00000000-0005-0000-0000-000000020000}"/>
    <cellStyle name="40% - Accent3 3 2 3" xfId="7131" xr:uid="{00000000-0005-0000-0000-000001020000}"/>
    <cellStyle name="40% - Accent3 3 2 4" xfId="8711" xr:uid="{00000000-0005-0000-0000-000002020000}"/>
    <cellStyle name="40% - Accent3 3 3" xfId="1383" xr:uid="{00000000-0005-0000-0000-000003020000}"/>
    <cellStyle name="40% - Accent3 3 3 2" xfId="8045" xr:uid="{00000000-0005-0000-0000-000004020000}"/>
    <cellStyle name="40% - Accent3 3 3 3" xfId="7132" xr:uid="{00000000-0005-0000-0000-000005020000}"/>
    <cellStyle name="40% - Accent3 3 4" xfId="1384" xr:uid="{00000000-0005-0000-0000-000006020000}"/>
    <cellStyle name="40% - Accent3 3 4 2" xfId="8046" xr:uid="{00000000-0005-0000-0000-000007020000}"/>
    <cellStyle name="40% - Accent3 3 4 3" xfId="7133" xr:uid="{00000000-0005-0000-0000-000008020000}"/>
    <cellStyle name="40% - Accent3 3 5" xfId="1385" xr:uid="{00000000-0005-0000-0000-000009020000}"/>
    <cellStyle name="40% - Accent3 3 6" xfId="1386" xr:uid="{00000000-0005-0000-0000-00000A020000}"/>
    <cellStyle name="40% - Accent3 3 7" xfId="1381" xr:uid="{00000000-0005-0000-0000-00000B020000}"/>
    <cellStyle name="40% - Accent3 4" xfId="123" xr:uid="{00000000-0005-0000-0000-00000C020000}"/>
    <cellStyle name="40% - Accent3 4 2" xfId="124" xr:uid="{00000000-0005-0000-0000-00000D020000}"/>
    <cellStyle name="40% - Accent3 4 2 2" xfId="1388" xr:uid="{00000000-0005-0000-0000-00000E020000}"/>
    <cellStyle name="40% - Accent3 4 2 3" xfId="7134" xr:uid="{00000000-0005-0000-0000-00000F020000}"/>
    <cellStyle name="40% - Accent3 4 2 4" xfId="8712" xr:uid="{00000000-0005-0000-0000-000010020000}"/>
    <cellStyle name="40% - Accent3 4 3" xfId="1389" xr:uid="{00000000-0005-0000-0000-000011020000}"/>
    <cellStyle name="40% - Accent3 4 3 2" xfId="8047" xr:uid="{00000000-0005-0000-0000-000012020000}"/>
    <cellStyle name="40% - Accent3 4 3 3" xfId="7135" xr:uid="{00000000-0005-0000-0000-000013020000}"/>
    <cellStyle name="40% - Accent3 4 4" xfId="1390" xr:uid="{00000000-0005-0000-0000-000014020000}"/>
    <cellStyle name="40% - Accent3 4 4 2" xfId="8048" xr:uid="{00000000-0005-0000-0000-000015020000}"/>
    <cellStyle name="40% - Accent3 4 4 3" xfId="7136" xr:uid="{00000000-0005-0000-0000-000016020000}"/>
    <cellStyle name="40% - Accent3 4 5" xfId="1391" xr:uid="{00000000-0005-0000-0000-000017020000}"/>
    <cellStyle name="40% - Accent3 4 6" xfId="1392" xr:uid="{00000000-0005-0000-0000-000018020000}"/>
    <cellStyle name="40% - Accent3 4 7" xfId="1387" xr:uid="{00000000-0005-0000-0000-000019020000}"/>
    <cellStyle name="40% - Accent3 5" xfId="1393" xr:uid="{00000000-0005-0000-0000-00001A020000}"/>
    <cellStyle name="40% - Accent3 5 2" xfId="8049" xr:uid="{00000000-0005-0000-0000-00001B020000}"/>
    <cellStyle name="40% - Accent3 5 3" xfId="7137" xr:uid="{00000000-0005-0000-0000-00001C020000}"/>
    <cellStyle name="40% - Accent3 6" xfId="1394" xr:uid="{00000000-0005-0000-0000-00001D020000}"/>
    <cellStyle name="40% - Accent3 6 2" xfId="8050" xr:uid="{00000000-0005-0000-0000-00001E020000}"/>
    <cellStyle name="40% - Accent3 6 3" xfId="7138" xr:uid="{00000000-0005-0000-0000-00001F020000}"/>
    <cellStyle name="40% - Accent3 7" xfId="1395" xr:uid="{00000000-0005-0000-0000-000020020000}"/>
    <cellStyle name="40% - Accent3 7 2" xfId="8051" xr:uid="{00000000-0005-0000-0000-000021020000}"/>
    <cellStyle name="40% - Accent3 7 3" xfId="7139" xr:uid="{00000000-0005-0000-0000-000022020000}"/>
    <cellStyle name="40% - Accent3 8" xfId="1396" xr:uid="{00000000-0005-0000-0000-000023020000}"/>
    <cellStyle name="40% - Accent3 8 2" xfId="8052" xr:uid="{00000000-0005-0000-0000-000024020000}"/>
    <cellStyle name="40% - Accent3 8 3" xfId="7140" xr:uid="{00000000-0005-0000-0000-000025020000}"/>
    <cellStyle name="40% - Accent3 9" xfId="1397" xr:uid="{00000000-0005-0000-0000-000026020000}"/>
    <cellStyle name="40% - Accent3 9 2" xfId="8053" xr:uid="{00000000-0005-0000-0000-000027020000}"/>
    <cellStyle name="40% - Accent3 9 3" xfId="7141" xr:uid="{00000000-0005-0000-0000-000028020000}"/>
    <cellStyle name="40% - Accent4" xfId="10" builtinId="43" customBuiltin="1"/>
    <cellStyle name="40% - Accent4 10" xfId="1398" xr:uid="{00000000-0005-0000-0000-00002A020000}"/>
    <cellStyle name="40% - Accent4 10 2" xfId="8054" xr:uid="{00000000-0005-0000-0000-00002B020000}"/>
    <cellStyle name="40% - Accent4 10 3" xfId="7142" xr:uid="{00000000-0005-0000-0000-00002C020000}"/>
    <cellStyle name="40% - Accent4 11" xfId="1399" xr:uid="{00000000-0005-0000-0000-00002D020000}"/>
    <cellStyle name="40% - Accent4 11 2" xfId="8055" xr:uid="{00000000-0005-0000-0000-00002E020000}"/>
    <cellStyle name="40% - Accent4 11 3" xfId="7143" xr:uid="{00000000-0005-0000-0000-00002F020000}"/>
    <cellStyle name="40% - Accent4 2" xfId="125" xr:uid="{00000000-0005-0000-0000-000030020000}"/>
    <cellStyle name="40% - Accent4 2 2" xfId="126" xr:uid="{00000000-0005-0000-0000-000031020000}"/>
    <cellStyle name="40% - Accent4 2 2 2" xfId="1401" xr:uid="{00000000-0005-0000-0000-000032020000}"/>
    <cellStyle name="40% - Accent4 2 2 3" xfId="7144" xr:uid="{00000000-0005-0000-0000-000033020000}"/>
    <cellStyle name="40% - Accent4 2 2 4" xfId="8713" xr:uid="{00000000-0005-0000-0000-000034020000}"/>
    <cellStyle name="40% - Accent4 2 3" xfId="1402" xr:uid="{00000000-0005-0000-0000-000035020000}"/>
    <cellStyle name="40% - Accent4 2 3 2" xfId="8056" xr:uid="{00000000-0005-0000-0000-000036020000}"/>
    <cellStyle name="40% - Accent4 2 3 3" xfId="7145" xr:uid="{00000000-0005-0000-0000-000037020000}"/>
    <cellStyle name="40% - Accent4 2 4" xfId="1403" xr:uid="{00000000-0005-0000-0000-000038020000}"/>
    <cellStyle name="40% - Accent4 2 4 2" xfId="8057" xr:uid="{00000000-0005-0000-0000-000039020000}"/>
    <cellStyle name="40% - Accent4 2 4 3" xfId="7146" xr:uid="{00000000-0005-0000-0000-00003A020000}"/>
    <cellStyle name="40% - Accent4 2 5" xfId="1404" xr:uid="{00000000-0005-0000-0000-00003B020000}"/>
    <cellStyle name="40% - Accent4 2 6" xfId="1405" xr:uid="{00000000-0005-0000-0000-00003C020000}"/>
    <cellStyle name="40% - Accent4 2 7" xfId="1400" xr:uid="{00000000-0005-0000-0000-00003D020000}"/>
    <cellStyle name="40% - Accent4 3" xfId="127" xr:uid="{00000000-0005-0000-0000-00003E020000}"/>
    <cellStyle name="40% - Accent4 3 2" xfId="128" xr:uid="{00000000-0005-0000-0000-00003F020000}"/>
    <cellStyle name="40% - Accent4 3 2 2" xfId="1407" xr:uid="{00000000-0005-0000-0000-000040020000}"/>
    <cellStyle name="40% - Accent4 3 2 3" xfId="7147" xr:uid="{00000000-0005-0000-0000-000041020000}"/>
    <cellStyle name="40% - Accent4 3 2 4" xfId="8714" xr:uid="{00000000-0005-0000-0000-000042020000}"/>
    <cellStyle name="40% - Accent4 3 3" xfId="1408" xr:uid="{00000000-0005-0000-0000-000043020000}"/>
    <cellStyle name="40% - Accent4 3 3 2" xfId="8058" xr:uid="{00000000-0005-0000-0000-000044020000}"/>
    <cellStyle name="40% - Accent4 3 3 3" xfId="7148" xr:uid="{00000000-0005-0000-0000-000045020000}"/>
    <cellStyle name="40% - Accent4 3 4" xfId="1409" xr:uid="{00000000-0005-0000-0000-000046020000}"/>
    <cellStyle name="40% - Accent4 3 4 2" xfId="8059" xr:uid="{00000000-0005-0000-0000-000047020000}"/>
    <cellStyle name="40% - Accent4 3 4 3" xfId="7149" xr:uid="{00000000-0005-0000-0000-000048020000}"/>
    <cellStyle name="40% - Accent4 3 5" xfId="1410" xr:uid="{00000000-0005-0000-0000-000049020000}"/>
    <cellStyle name="40% - Accent4 3 6" xfId="1411" xr:uid="{00000000-0005-0000-0000-00004A020000}"/>
    <cellStyle name="40% - Accent4 3 7" xfId="1406" xr:uid="{00000000-0005-0000-0000-00004B020000}"/>
    <cellStyle name="40% - Accent4 4" xfId="129" xr:uid="{00000000-0005-0000-0000-00004C020000}"/>
    <cellStyle name="40% - Accent4 4 2" xfId="130" xr:uid="{00000000-0005-0000-0000-00004D020000}"/>
    <cellStyle name="40% - Accent4 4 2 2" xfId="1413" xr:uid="{00000000-0005-0000-0000-00004E020000}"/>
    <cellStyle name="40% - Accent4 4 2 3" xfId="7150" xr:uid="{00000000-0005-0000-0000-00004F020000}"/>
    <cellStyle name="40% - Accent4 4 2 4" xfId="8715" xr:uid="{00000000-0005-0000-0000-000050020000}"/>
    <cellStyle name="40% - Accent4 4 3" xfId="1414" xr:uid="{00000000-0005-0000-0000-000051020000}"/>
    <cellStyle name="40% - Accent4 4 3 2" xfId="8060" xr:uid="{00000000-0005-0000-0000-000052020000}"/>
    <cellStyle name="40% - Accent4 4 3 3" xfId="7151" xr:uid="{00000000-0005-0000-0000-000053020000}"/>
    <cellStyle name="40% - Accent4 4 4" xfId="1415" xr:uid="{00000000-0005-0000-0000-000054020000}"/>
    <cellStyle name="40% - Accent4 4 4 2" xfId="8061" xr:uid="{00000000-0005-0000-0000-000055020000}"/>
    <cellStyle name="40% - Accent4 4 4 3" xfId="7152" xr:uid="{00000000-0005-0000-0000-000056020000}"/>
    <cellStyle name="40% - Accent4 4 5" xfId="1416" xr:uid="{00000000-0005-0000-0000-000057020000}"/>
    <cellStyle name="40% - Accent4 4 6" xfId="1417" xr:uid="{00000000-0005-0000-0000-000058020000}"/>
    <cellStyle name="40% - Accent4 4 7" xfId="1412" xr:uid="{00000000-0005-0000-0000-000059020000}"/>
    <cellStyle name="40% - Accent4 5" xfId="1418" xr:uid="{00000000-0005-0000-0000-00005A020000}"/>
    <cellStyle name="40% - Accent4 5 2" xfId="8062" xr:uid="{00000000-0005-0000-0000-00005B020000}"/>
    <cellStyle name="40% - Accent4 5 3" xfId="7153" xr:uid="{00000000-0005-0000-0000-00005C020000}"/>
    <cellStyle name="40% - Accent4 6" xfId="1419" xr:uid="{00000000-0005-0000-0000-00005D020000}"/>
    <cellStyle name="40% - Accent4 6 2" xfId="8063" xr:uid="{00000000-0005-0000-0000-00005E020000}"/>
    <cellStyle name="40% - Accent4 6 3" xfId="7154" xr:uid="{00000000-0005-0000-0000-00005F020000}"/>
    <cellStyle name="40% - Accent4 7" xfId="1420" xr:uid="{00000000-0005-0000-0000-000060020000}"/>
    <cellStyle name="40% - Accent4 7 2" xfId="8064" xr:uid="{00000000-0005-0000-0000-000061020000}"/>
    <cellStyle name="40% - Accent4 7 3" xfId="7155" xr:uid="{00000000-0005-0000-0000-000062020000}"/>
    <cellStyle name="40% - Accent4 8" xfId="1421" xr:uid="{00000000-0005-0000-0000-000063020000}"/>
    <cellStyle name="40% - Accent4 8 2" xfId="8065" xr:uid="{00000000-0005-0000-0000-000064020000}"/>
    <cellStyle name="40% - Accent4 8 3" xfId="7156" xr:uid="{00000000-0005-0000-0000-000065020000}"/>
    <cellStyle name="40% - Accent4 9" xfId="1422" xr:uid="{00000000-0005-0000-0000-000066020000}"/>
    <cellStyle name="40% - Accent4 9 2" xfId="8066" xr:uid="{00000000-0005-0000-0000-000067020000}"/>
    <cellStyle name="40% - Accent4 9 3" xfId="7157" xr:uid="{00000000-0005-0000-0000-000068020000}"/>
    <cellStyle name="40% - Accent5" xfId="11" builtinId="47" customBuiltin="1"/>
    <cellStyle name="40% - Accent5 10" xfId="1423" xr:uid="{00000000-0005-0000-0000-00006A020000}"/>
    <cellStyle name="40% - Accent5 10 2" xfId="8067" xr:uid="{00000000-0005-0000-0000-00006B020000}"/>
    <cellStyle name="40% - Accent5 10 3" xfId="7158" xr:uid="{00000000-0005-0000-0000-00006C020000}"/>
    <cellStyle name="40% - Accent5 11" xfId="1424" xr:uid="{00000000-0005-0000-0000-00006D020000}"/>
    <cellStyle name="40% - Accent5 11 2" xfId="8068" xr:uid="{00000000-0005-0000-0000-00006E020000}"/>
    <cellStyle name="40% - Accent5 11 3" xfId="7159" xr:uid="{00000000-0005-0000-0000-00006F020000}"/>
    <cellStyle name="40% - Accent5 2" xfId="131" xr:uid="{00000000-0005-0000-0000-000070020000}"/>
    <cellStyle name="40% - Accent5 2 2" xfId="132" xr:uid="{00000000-0005-0000-0000-000071020000}"/>
    <cellStyle name="40% - Accent5 2 2 2" xfId="1426" xr:uid="{00000000-0005-0000-0000-000072020000}"/>
    <cellStyle name="40% - Accent5 2 2 3" xfId="7160" xr:uid="{00000000-0005-0000-0000-000073020000}"/>
    <cellStyle name="40% - Accent5 2 2 4" xfId="8716" xr:uid="{00000000-0005-0000-0000-000074020000}"/>
    <cellStyle name="40% - Accent5 2 3" xfId="1427" xr:uid="{00000000-0005-0000-0000-000075020000}"/>
    <cellStyle name="40% - Accent5 2 3 2" xfId="8069" xr:uid="{00000000-0005-0000-0000-000076020000}"/>
    <cellStyle name="40% - Accent5 2 3 3" xfId="7161" xr:uid="{00000000-0005-0000-0000-000077020000}"/>
    <cellStyle name="40% - Accent5 2 4" xfId="1428" xr:uid="{00000000-0005-0000-0000-000078020000}"/>
    <cellStyle name="40% - Accent5 2 4 2" xfId="8070" xr:uid="{00000000-0005-0000-0000-000079020000}"/>
    <cellStyle name="40% - Accent5 2 4 3" xfId="7162" xr:uid="{00000000-0005-0000-0000-00007A020000}"/>
    <cellStyle name="40% - Accent5 2 5" xfId="1429" xr:uid="{00000000-0005-0000-0000-00007B020000}"/>
    <cellStyle name="40% - Accent5 2 6" xfId="1430" xr:uid="{00000000-0005-0000-0000-00007C020000}"/>
    <cellStyle name="40% - Accent5 2 7" xfId="1425" xr:uid="{00000000-0005-0000-0000-00007D020000}"/>
    <cellStyle name="40% - Accent5 3" xfId="133" xr:uid="{00000000-0005-0000-0000-00007E020000}"/>
    <cellStyle name="40% - Accent5 3 2" xfId="134" xr:uid="{00000000-0005-0000-0000-00007F020000}"/>
    <cellStyle name="40% - Accent5 3 2 2" xfId="1432" xr:uid="{00000000-0005-0000-0000-000080020000}"/>
    <cellStyle name="40% - Accent5 3 2 3" xfId="7163" xr:uid="{00000000-0005-0000-0000-000081020000}"/>
    <cellStyle name="40% - Accent5 3 2 4" xfId="8717" xr:uid="{00000000-0005-0000-0000-000082020000}"/>
    <cellStyle name="40% - Accent5 3 3" xfId="1433" xr:uid="{00000000-0005-0000-0000-000083020000}"/>
    <cellStyle name="40% - Accent5 3 3 2" xfId="8071" xr:uid="{00000000-0005-0000-0000-000084020000}"/>
    <cellStyle name="40% - Accent5 3 3 3" xfId="7164" xr:uid="{00000000-0005-0000-0000-000085020000}"/>
    <cellStyle name="40% - Accent5 3 4" xfId="1434" xr:uid="{00000000-0005-0000-0000-000086020000}"/>
    <cellStyle name="40% - Accent5 3 4 2" xfId="8072" xr:uid="{00000000-0005-0000-0000-000087020000}"/>
    <cellStyle name="40% - Accent5 3 4 3" xfId="7165" xr:uid="{00000000-0005-0000-0000-000088020000}"/>
    <cellStyle name="40% - Accent5 3 5" xfId="1435" xr:uid="{00000000-0005-0000-0000-000089020000}"/>
    <cellStyle name="40% - Accent5 3 6" xfId="1436" xr:uid="{00000000-0005-0000-0000-00008A020000}"/>
    <cellStyle name="40% - Accent5 3 7" xfId="1431" xr:uid="{00000000-0005-0000-0000-00008B020000}"/>
    <cellStyle name="40% - Accent5 4" xfId="135" xr:uid="{00000000-0005-0000-0000-00008C020000}"/>
    <cellStyle name="40% - Accent5 4 2" xfId="136" xr:uid="{00000000-0005-0000-0000-00008D020000}"/>
    <cellStyle name="40% - Accent5 4 2 2" xfId="1438" xr:uid="{00000000-0005-0000-0000-00008E020000}"/>
    <cellStyle name="40% - Accent5 4 2 3" xfId="7166" xr:uid="{00000000-0005-0000-0000-00008F020000}"/>
    <cellStyle name="40% - Accent5 4 2 4" xfId="8718" xr:uid="{00000000-0005-0000-0000-000090020000}"/>
    <cellStyle name="40% - Accent5 4 3" xfId="1439" xr:uid="{00000000-0005-0000-0000-000091020000}"/>
    <cellStyle name="40% - Accent5 4 3 2" xfId="8073" xr:uid="{00000000-0005-0000-0000-000092020000}"/>
    <cellStyle name="40% - Accent5 4 3 3" xfId="7167" xr:uid="{00000000-0005-0000-0000-000093020000}"/>
    <cellStyle name="40% - Accent5 4 4" xfId="1440" xr:uid="{00000000-0005-0000-0000-000094020000}"/>
    <cellStyle name="40% - Accent5 4 4 2" xfId="8074" xr:uid="{00000000-0005-0000-0000-000095020000}"/>
    <cellStyle name="40% - Accent5 4 4 3" xfId="7168" xr:uid="{00000000-0005-0000-0000-000096020000}"/>
    <cellStyle name="40% - Accent5 4 5" xfId="1441" xr:uid="{00000000-0005-0000-0000-000097020000}"/>
    <cellStyle name="40% - Accent5 4 6" xfId="1442" xr:uid="{00000000-0005-0000-0000-000098020000}"/>
    <cellStyle name="40% - Accent5 4 7" xfId="1437" xr:uid="{00000000-0005-0000-0000-000099020000}"/>
    <cellStyle name="40% - Accent5 5" xfId="1443" xr:uid="{00000000-0005-0000-0000-00009A020000}"/>
    <cellStyle name="40% - Accent5 5 2" xfId="8075" xr:uid="{00000000-0005-0000-0000-00009B020000}"/>
    <cellStyle name="40% - Accent5 5 3" xfId="7169" xr:uid="{00000000-0005-0000-0000-00009C020000}"/>
    <cellStyle name="40% - Accent5 6" xfId="1444" xr:uid="{00000000-0005-0000-0000-00009D020000}"/>
    <cellStyle name="40% - Accent5 6 2" xfId="8076" xr:uid="{00000000-0005-0000-0000-00009E020000}"/>
    <cellStyle name="40% - Accent5 6 3" xfId="7170" xr:uid="{00000000-0005-0000-0000-00009F020000}"/>
    <cellStyle name="40% - Accent5 7" xfId="1445" xr:uid="{00000000-0005-0000-0000-0000A0020000}"/>
    <cellStyle name="40% - Accent5 7 2" xfId="8077" xr:uid="{00000000-0005-0000-0000-0000A1020000}"/>
    <cellStyle name="40% - Accent5 7 3" xfId="7171" xr:uid="{00000000-0005-0000-0000-0000A2020000}"/>
    <cellStyle name="40% - Accent5 8" xfId="1446" xr:uid="{00000000-0005-0000-0000-0000A3020000}"/>
    <cellStyle name="40% - Accent5 8 2" xfId="8078" xr:uid="{00000000-0005-0000-0000-0000A4020000}"/>
    <cellStyle name="40% - Accent5 8 3" xfId="7172" xr:uid="{00000000-0005-0000-0000-0000A5020000}"/>
    <cellStyle name="40% - Accent5 9" xfId="1447" xr:uid="{00000000-0005-0000-0000-0000A6020000}"/>
    <cellStyle name="40% - Accent5 9 2" xfId="8079" xr:uid="{00000000-0005-0000-0000-0000A7020000}"/>
    <cellStyle name="40% - Accent5 9 3" xfId="7173" xr:uid="{00000000-0005-0000-0000-0000A8020000}"/>
    <cellStyle name="40% - Accent6" xfId="12" builtinId="51" customBuiltin="1"/>
    <cellStyle name="40% - Accent6 10" xfId="1448" xr:uid="{00000000-0005-0000-0000-0000AA020000}"/>
    <cellStyle name="40% - Accent6 10 2" xfId="8080" xr:uid="{00000000-0005-0000-0000-0000AB020000}"/>
    <cellStyle name="40% - Accent6 10 3" xfId="7174" xr:uid="{00000000-0005-0000-0000-0000AC020000}"/>
    <cellStyle name="40% - Accent6 11" xfId="1449" xr:uid="{00000000-0005-0000-0000-0000AD020000}"/>
    <cellStyle name="40% - Accent6 11 2" xfId="8081" xr:uid="{00000000-0005-0000-0000-0000AE020000}"/>
    <cellStyle name="40% - Accent6 11 3" xfId="7175" xr:uid="{00000000-0005-0000-0000-0000AF020000}"/>
    <cellStyle name="40% - Accent6 2" xfId="137" xr:uid="{00000000-0005-0000-0000-0000B0020000}"/>
    <cellStyle name="40% - Accent6 2 2" xfId="138" xr:uid="{00000000-0005-0000-0000-0000B1020000}"/>
    <cellStyle name="40% - Accent6 2 2 2" xfId="1451" xr:uid="{00000000-0005-0000-0000-0000B2020000}"/>
    <cellStyle name="40% - Accent6 2 2 3" xfId="7176" xr:uid="{00000000-0005-0000-0000-0000B3020000}"/>
    <cellStyle name="40% - Accent6 2 2 4" xfId="8719" xr:uid="{00000000-0005-0000-0000-0000B4020000}"/>
    <cellStyle name="40% - Accent6 2 3" xfId="1452" xr:uid="{00000000-0005-0000-0000-0000B5020000}"/>
    <cellStyle name="40% - Accent6 2 3 2" xfId="8082" xr:uid="{00000000-0005-0000-0000-0000B6020000}"/>
    <cellStyle name="40% - Accent6 2 3 3" xfId="7177" xr:uid="{00000000-0005-0000-0000-0000B7020000}"/>
    <cellStyle name="40% - Accent6 2 4" xfId="1453" xr:uid="{00000000-0005-0000-0000-0000B8020000}"/>
    <cellStyle name="40% - Accent6 2 4 2" xfId="8083" xr:uid="{00000000-0005-0000-0000-0000B9020000}"/>
    <cellStyle name="40% - Accent6 2 4 3" xfId="7178" xr:uid="{00000000-0005-0000-0000-0000BA020000}"/>
    <cellStyle name="40% - Accent6 2 5" xfId="1454" xr:uid="{00000000-0005-0000-0000-0000BB020000}"/>
    <cellStyle name="40% - Accent6 2 6" xfId="1455" xr:uid="{00000000-0005-0000-0000-0000BC020000}"/>
    <cellStyle name="40% - Accent6 2 7" xfId="1450" xr:uid="{00000000-0005-0000-0000-0000BD020000}"/>
    <cellStyle name="40% - Accent6 3" xfId="139" xr:uid="{00000000-0005-0000-0000-0000BE020000}"/>
    <cellStyle name="40% - Accent6 3 2" xfId="140" xr:uid="{00000000-0005-0000-0000-0000BF020000}"/>
    <cellStyle name="40% - Accent6 3 2 2" xfId="1457" xr:uid="{00000000-0005-0000-0000-0000C0020000}"/>
    <cellStyle name="40% - Accent6 3 2 3" xfId="7179" xr:uid="{00000000-0005-0000-0000-0000C1020000}"/>
    <cellStyle name="40% - Accent6 3 2 4" xfId="8720" xr:uid="{00000000-0005-0000-0000-0000C2020000}"/>
    <cellStyle name="40% - Accent6 3 3" xfId="1458" xr:uid="{00000000-0005-0000-0000-0000C3020000}"/>
    <cellStyle name="40% - Accent6 3 3 2" xfId="8084" xr:uid="{00000000-0005-0000-0000-0000C4020000}"/>
    <cellStyle name="40% - Accent6 3 3 3" xfId="7180" xr:uid="{00000000-0005-0000-0000-0000C5020000}"/>
    <cellStyle name="40% - Accent6 3 4" xfId="1459" xr:uid="{00000000-0005-0000-0000-0000C6020000}"/>
    <cellStyle name="40% - Accent6 3 4 2" xfId="8085" xr:uid="{00000000-0005-0000-0000-0000C7020000}"/>
    <cellStyle name="40% - Accent6 3 4 3" xfId="7181" xr:uid="{00000000-0005-0000-0000-0000C8020000}"/>
    <cellStyle name="40% - Accent6 3 5" xfId="1460" xr:uid="{00000000-0005-0000-0000-0000C9020000}"/>
    <cellStyle name="40% - Accent6 3 6" xfId="1461" xr:uid="{00000000-0005-0000-0000-0000CA020000}"/>
    <cellStyle name="40% - Accent6 3 7" xfId="1456" xr:uid="{00000000-0005-0000-0000-0000CB020000}"/>
    <cellStyle name="40% - Accent6 4" xfId="141" xr:uid="{00000000-0005-0000-0000-0000CC020000}"/>
    <cellStyle name="40% - Accent6 4 2" xfId="142" xr:uid="{00000000-0005-0000-0000-0000CD020000}"/>
    <cellStyle name="40% - Accent6 4 2 2" xfId="1463" xr:uid="{00000000-0005-0000-0000-0000CE020000}"/>
    <cellStyle name="40% - Accent6 4 2 3" xfId="7182" xr:uid="{00000000-0005-0000-0000-0000CF020000}"/>
    <cellStyle name="40% - Accent6 4 2 4" xfId="8721" xr:uid="{00000000-0005-0000-0000-0000D0020000}"/>
    <cellStyle name="40% - Accent6 4 3" xfId="1464" xr:uid="{00000000-0005-0000-0000-0000D1020000}"/>
    <cellStyle name="40% - Accent6 4 3 2" xfId="8086" xr:uid="{00000000-0005-0000-0000-0000D2020000}"/>
    <cellStyle name="40% - Accent6 4 3 3" xfId="7183" xr:uid="{00000000-0005-0000-0000-0000D3020000}"/>
    <cellStyle name="40% - Accent6 4 4" xfId="1465" xr:uid="{00000000-0005-0000-0000-0000D4020000}"/>
    <cellStyle name="40% - Accent6 4 4 2" xfId="8087" xr:uid="{00000000-0005-0000-0000-0000D5020000}"/>
    <cellStyle name="40% - Accent6 4 4 3" xfId="7184" xr:uid="{00000000-0005-0000-0000-0000D6020000}"/>
    <cellStyle name="40% - Accent6 4 5" xfId="1466" xr:uid="{00000000-0005-0000-0000-0000D7020000}"/>
    <cellStyle name="40% - Accent6 4 6" xfId="1467" xr:uid="{00000000-0005-0000-0000-0000D8020000}"/>
    <cellStyle name="40% - Accent6 4 7" xfId="1462" xr:uid="{00000000-0005-0000-0000-0000D9020000}"/>
    <cellStyle name="40% - Accent6 5" xfId="1468" xr:uid="{00000000-0005-0000-0000-0000DA020000}"/>
    <cellStyle name="40% - Accent6 5 2" xfId="8088" xr:uid="{00000000-0005-0000-0000-0000DB020000}"/>
    <cellStyle name="40% - Accent6 5 3" xfId="7185" xr:uid="{00000000-0005-0000-0000-0000DC020000}"/>
    <cellStyle name="40% - Accent6 6" xfId="1469" xr:uid="{00000000-0005-0000-0000-0000DD020000}"/>
    <cellStyle name="40% - Accent6 6 2" xfId="8089" xr:uid="{00000000-0005-0000-0000-0000DE020000}"/>
    <cellStyle name="40% - Accent6 6 3" xfId="7186" xr:uid="{00000000-0005-0000-0000-0000DF020000}"/>
    <cellStyle name="40% - Accent6 7" xfId="1470" xr:uid="{00000000-0005-0000-0000-0000E0020000}"/>
    <cellStyle name="40% - Accent6 7 2" xfId="8090" xr:uid="{00000000-0005-0000-0000-0000E1020000}"/>
    <cellStyle name="40% - Accent6 7 3" xfId="7187" xr:uid="{00000000-0005-0000-0000-0000E2020000}"/>
    <cellStyle name="40% - Accent6 8" xfId="1471" xr:uid="{00000000-0005-0000-0000-0000E3020000}"/>
    <cellStyle name="40% - Accent6 8 2" xfId="8091" xr:uid="{00000000-0005-0000-0000-0000E4020000}"/>
    <cellStyle name="40% - Accent6 8 3" xfId="7188" xr:uid="{00000000-0005-0000-0000-0000E5020000}"/>
    <cellStyle name="40% - Accent6 9" xfId="1472" xr:uid="{00000000-0005-0000-0000-0000E6020000}"/>
    <cellStyle name="40% - Accent6 9 2" xfId="8092" xr:uid="{00000000-0005-0000-0000-0000E7020000}"/>
    <cellStyle name="40% - Accent6 9 3" xfId="7189" xr:uid="{00000000-0005-0000-0000-0000E8020000}"/>
    <cellStyle name="60% - Accent1" xfId="13" builtinId="32" customBuiltin="1"/>
    <cellStyle name="60% - Accent1 10" xfId="1473" xr:uid="{00000000-0005-0000-0000-0000EA020000}"/>
    <cellStyle name="60% - Accent1 10 2" xfId="8093" xr:uid="{00000000-0005-0000-0000-0000EB020000}"/>
    <cellStyle name="60% - Accent1 10 3" xfId="7190" xr:uid="{00000000-0005-0000-0000-0000EC020000}"/>
    <cellStyle name="60% - Accent1 11" xfId="1474" xr:uid="{00000000-0005-0000-0000-0000ED020000}"/>
    <cellStyle name="60% - Accent1 11 2" xfId="8094" xr:uid="{00000000-0005-0000-0000-0000EE020000}"/>
    <cellStyle name="60% - Accent1 11 3" xfId="7191" xr:uid="{00000000-0005-0000-0000-0000EF020000}"/>
    <cellStyle name="60% - Accent1 2" xfId="143" xr:uid="{00000000-0005-0000-0000-0000F0020000}"/>
    <cellStyle name="60% - Accent1 2 2" xfId="144" xr:uid="{00000000-0005-0000-0000-0000F1020000}"/>
    <cellStyle name="60% - Accent1 2 2 2" xfId="1476" xr:uid="{00000000-0005-0000-0000-0000F2020000}"/>
    <cellStyle name="60% - Accent1 2 2 3" xfId="7192" xr:uid="{00000000-0005-0000-0000-0000F3020000}"/>
    <cellStyle name="60% - Accent1 2 2 4" xfId="8722" xr:uid="{00000000-0005-0000-0000-0000F4020000}"/>
    <cellStyle name="60% - Accent1 2 3" xfId="1477" xr:uid="{00000000-0005-0000-0000-0000F5020000}"/>
    <cellStyle name="60% - Accent1 2 3 2" xfId="8095" xr:uid="{00000000-0005-0000-0000-0000F6020000}"/>
    <cellStyle name="60% - Accent1 2 3 3" xfId="7193" xr:uid="{00000000-0005-0000-0000-0000F7020000}"/>
    <cellStyle name="60% - Accent1 2 4" xfId="1478" xr:uid="{00000000-0005-0000-0000-0000F8020000}"/>
    <cellStyle name="60% - Accent1 2 4 2" xfId="8096" xr:uid="{00000000-0005-0000-0000-0000F9020000}"/>
    <cellStyle name="60% - Accent1 2 4 3" xfId="7194" xr:uid="{00000000-0005-0000-0000-0000FA020000}"/>
    <cellStyle name="60% - Accent1 2 5" xfId="1479" xr:uid="{00000000-0005-0000-0000-0000FB020000}"/>
    <cellStyle name="60% - Accent1 2 6" xfId="1480" xr:uid="{00000000-0005-0000-0000-0000FC020000}"/>
    <cellStyle name="60% - Accent1 2 7" xfId="1475" xr:uid="{00000000-0005-0000-0000-0000FD020000}"/>
    <cellStyle name="60% - Accent1 3" xfId="145" xr:uid="{00000000-0005-0000-0000-0000FE020000}"/>
    <cellStyle name="60% - Accent1 3 2" xfId="146" xr:uid="{00000000-0005-0000-0000-0000FF020000}"/>
    <cellStyle name="60% - Accent1 3 2 2" xfId="1482" xr:uid="{00000000-0005-0000-0000-000000030000}"/>
    <cellStyle name="60% - Accent1 3 2 3" xfId="7195" xr:uid="{00000000-0005-0000-0000-000001030000}"/>
    <cellStyle name="60% - Accent1 3 2 4" xfId="8723" xr:uid="{00000000-0005-0000-0000-000002030000}"/>
    <cellStyle name="60% - Accent1 3 3" xfId="1483" xr:uid="{00000000-0005-0000-0000-000003030000}"/>
    <cellStyle name="60% - Accent1 3 3 2" xfId="8097" xr:uid="{00000000-0005-0000-0000-000004030000}"/>
    <cellStyle name="60% - Accent1 3 3 3" xfId="7196" xr:uid="{00000000-0005-0000-0000-000005030000}"/>
    <cellStyle name="60% - Accent1 3 4" xfId="1484" xr:uid="{00000000-0005-0000-0000-000006030000}"/>
    <cellStyle name="60% - Accent1 3 4 2" xfId="8098" xr:uid="{00000000-0005-0000-0000-000007030000}"/>
    <cellStyle name="60% - Accent1 3 4 3" xfId="7197" xr:uid="{00000000-0005-0000-0000-000008030000}"/>
    <cellStyle name="60% - Accent1 3 5" xfId="1485" xr:uid="{00000000-0005-0000-0000-000009030000}"/>
    <cellStyle name="60% - Accent1 3 6" xfId="1486" xr:uid="{00000000-0005-0000-0000-00000A030000}"/>
    <cellStyle name="60% - Accent1 3 7" xfId="1481" xr:uid="{00000000-0005-0000-0000-00000B030000}"/>
    <cellStyle name="60% - Accent1 4" xfId="147" xr:uid="{00000000-0005-0000-0000-00000C030000}"/>
    <cellStyle name="60% - Accent1 4 2" xfId="148" xr:uid="{00000000-0005-0000-0000-00000D030000}"/>
    <cellStyle name="60% - Accent1 4 2 2" xfId="1488" xr:uid="{00000000-0005-0000-0000-00000E030000}"/>
    <cellStyle name="60% - Accent1 4 2 3" xfId="7198" xr:uid="{00000000-0005-0000-0000-00000F030000}"/>
    <cellStyle name="60% - Accent1 4 2 4" xfId="8724" xr:uid="{00000000-0005-0000-0000-000010030000}"/>
    <cellStyle name="60% - Accent1 4 3" xfId="1489" xr:uid="{00000000-0005-0000-0000-000011030000}"/>
    <cellStyle name="60% - Accent1 4 3 2" xfId="8099" xr:uid="{00000000-0005-0000-0000-000012030000}"/>
    <cellStyle name="60% - Accent1 4 3 3" xfId="7199" xr:uid="{00000000-0005-0000-0000-000013030000}"/>
    <cellStyle name="60% - Accent1 4 4" xfId="1490" xr:uid="{00000000-0005-0000-0000-000014030000}"/>
    <cellStyle name="60% - Accent1 4 4 2" xfId="8100" xr:uid="{00000000-0005-0000-0000-000015030000}"/>
    <cellStyle name="60% - Accent1 4 4 3" xfId="7200" xr:uid="{00000000-0005-0000-0000-000016030000}"/>
    <cellStyle name="60% - Accent1 4 5" xfId="1491" xr:uid="{00000000-0005-0000-0000-000017030000}"/>
    <cellStyle name="60% - Accent1 4 6" xfId="1492" xr:uid="{00000000-0005-0000-0000-000018030000}"/>
    <cellStyle name="60% - Accent1 4 7" xfId="1487" xr:uid="{00000000-0005-0000-0000-000019030000}"/>
    <cellStyle name="60% - Accent1 5" xfId="1493" xr:uid="{00000000-0005-0000-0000-00001A030000}"/>
    <cellStyle name="60% - Accent1 5 2" xfId="8101" xr:uid="{00000000-0005-0000-0000-00001B030000}"/>
    <cellStyle name="60% - Accent1 5 3" xfId="7201" xr:uid="{00000000-0005-0000-0000-00001C030000}"/>
    <cellStyle name="60% - Accent1 6" xfId="1494" xr:uid="{00000000-0005-0000-0000-00001D030000}"/>
    <cellStyle name="60% - Accent1 6 2" xfId="8102" xr:uid="{00000000-0005-0000-0000-00001E030000}"/>
    <cellStyle name="60% - Accent1 6 3" xfId="7202" xr:uid="{00000000-0005-0000-0000-00001F030000}"/>
    <cellStyle name="60% - Accent1 7" xfId="1495" xr:uid="{00000000-0005-0000-0000-000020030000}"/>
    <cellStyle name="60% - Accent1 7 2" xfId="8103" xr:uid="{00000000-0005-0000-0000-000021030000}"/>
    <cellStyle name="60% - Accent1 7 3" xfId="7203" xr:uid="{00000000-0005-0000-0000-000022030000}"/>
    <cellStyle name="60% - Accent1 8" xfId="1496" xr:uid="{00000000-0005-0000-0000-000023030000}"/>
    <cellStyle name="60% - Accent1 8 2" xfId="8104" xr:uid="{00000000-0005-0000-0000-000024030000}"/>
    <cellStyle name="60% - Accent1 8 3" xfId="7204" xr:uid="{00000000-0005-0000-0000-000025030000}"/>
    <cellStyle name="60% - Accent1 9" xfId="1497" xr:uid="{00000000-0005-0000-0000-000026030000}"/>
    <cellStyle name="60% - Accent1 9 2" xfId="8105" xr:uid="{00000000-0005-0000-0000-000027030000}"/>
    <cellStyle name="60% - Accent1 9 3" xfId="7205" xr:uid="{00000000-0005-0000-0000-000028030000}"/>
    <cellStyle name="60% - Accent2" xfId="14" builtinId="36" customBuiltin="1"/>
    <cellStyle name="60% - Accent2 10" xfId="1498" xr:uid="{00000000-0005-0000-0000-00002A030000}"/>
    <cellStyle name="60% - Accent2 10 2" xfId="8106" xr:uid="{00000000-0005-0000-0000-00002B030000}"/>
    <cellStyle name="60% - Accent2 10 3" xfId="7206" xr:uid="{00000000-0005-0000-0000-00002C030000}"/>
    <cellStyle name="60% - Accent2 11" xfId="1499" xr:uid="{00000000-0005-0000-0000-00002D030000}"/>
    <cellStyle name="60% - Accent2 11 2" xfId="8107" xr:uid="{00000000-0005-0000-0000-00002E030000}"/>
    <cellStyle name="60% - Accent2 11 3" xfId="7207" xr:uid="{00000000-0005-0000-0000-00002F030000}"/>
    <cellStyle name="60% - Accent2 2" xfId="149" xr:uid="{00000000-0005-0000-0000-000030030000}"/>
    <cellStyle name="60% - Accent2 2 2" xfId="150" xr:uid="{00000000-0005-0000-0000-000031030000}"/>
    <cellStyle name="60% - Accent2 2 2 2" xfId="1501" xr:uid="{00000000-0005-0000-0000-000032030000}"/>
    <cellStyle name="60% - Accent2 2 2 3" xfId="7208" xr:uid="{00000000-0005-0000-0000-000033030000}"/>
    <cellStyle name="60% - Accent2 2 2 4" xfId="8725" xr:uid="{00000000-0005-0000-0000-000034030000}"/>
    <cellStyle name="60% - Accent2 2 3" xfId="1502" xr:uid="{00000000-0005-0000-0000-000035030000}"/>
    <cellStyle name="60% - Accent2 2 3 2" xfId="8108" xr:uid="{00000000-0005-0000-0000-000036030000}"/>
    <cellStyle name="60% - Accent2 2 3 3" xfId="7209" xr:uid="{00000000-0005-0000-0000-000037030000}"/>
    <cellStyle name="60% - Accent2 2 4" xfId="1503" xr:uid="{00000000-0005-0000-0000-000038030000}"/>
    <cellStyle name="60% - Accent2 2 4 2" xfId="8109" xr:uid="{00000000-0005-0000-0000-000039030000}"/>
    <cellStyle name="60% - Accent2 2 4 3" xfId="7210" xr:uid="{00000000-0005-0000-0000-00003A030000}"/>
    <cellStyle name="60% - Accent2 2 5" xfId="1504" xr:uid="{00000000-0005-0000-0000-00003B030000}"/>
    <cellStyle name="60% - Accent2 2 6" xfId="1505" xr:uid="{00000000-0005-0000-0000-00003C030000}"/>
    <cellStyle name="60% - Accent2 2 7" xfId="1500" xr:uid="{00000000-0005-0000-0000-00003D030000}"/>
    <cellStyle name="60% - Accent2 3" xfId="151" xr:uid="{00000000-0005-0000-0000-00003E030000}"/>
    <cellStyle name="60% - Accent2 3 2" xfId="152" xr:uid="{00000000-0005-0000-0000-00003F030000}"/>
    <cellStyle name="60% - Accent2 3 2 2" xfId="1507" xr:uid="{00000000-0005-0000-0000-000040030000}"/>
    <cellStyle name="60% - Accent2 3 2 3" xfId="7211" xr:uid="{00000000-0005-0000-0000-000041030000}"/>
    <cellStyle name="60% - Accent2 3 2 4" xfId="8726" xr:uid="{00000000-0005-0000-0000-000042030000}"/>
    <cellStyle name="60% - Accent2 3 3" xfId="1508" xr:uid="{00000000-0005-0000-0000-000043030000}"/>
    <cellStyle name="60% - Accent2 3 3 2" xfId="8110" xr:uid="{00000000-0005-0000-0000-000044030000}"/>
    <cellStyle name="60% - Accent2 3 3 3" xfId="7212" xr:uid="{00000000-0005-0000-0000-000045030000}"/>
    <cellStyle name="60% - Accent2 3 4" xfId="1509" xr:uid="{00000000-0005-0000-0000-000046030000}"/>
    <cellStyle name="60% - Accent2 3 4 2" xfId="8111" xr:uid="{00000000-0005-0000-0000-000047030000}"/>
    <cellStyle name="60% - Accent2 3 4 3" xfId="7213" xr:uid="{00000000-0005-0000-0000-000048030000}"/>
    <cellStyle name="60% - Accent2 3 5" xfId="1510" xr:uid="{00000000-0005-0000-0000-000049030000}"/>
    <cellStyle name="60% - Accent2 3 6" xfId="1511" xr:uid="{00000000-0005-0000-0000-00004A030000}"/>
    <cellStyle name="60% - Accent2 3 7" xfId="1506" xr:uid="{00000000-0005-0000-0000-00004B030000}"/>
    <cellStyle name="60% - Accent2 4" xfId="153" xr:uid="{00000000-0005-0000-0000-00004C030000}"/>
    <cellStyle name="60% - Accent2 4 2" xfId="154" xr:uid="{00000000-0005-0000-0000-00004D030000}"/>
    <cellStyle name="60% - Accent2 4 2 2" xfId="1513" xr:uid="{00000000-0005-0000-0000-00004E030000}"/>
    <cellStyle name="60% - Accent2 4 2 3" xfId="7214" xr:uid="{00000000-0005-0000-0000-00004F030000}"/>
    <cellStyle name="60% - Accent2 4 2 4" xfId="8727" xr:uid="{00000000-0005-0000-0000-000050030000}"/>
    <cellStyle name="60% - Accent2 4 3" xfId="1514" xr:uid="{00000000-0005-0000-0000-000051030000}"/>
    <cellStyle name="60% - Accent2 4 3 2" xfId="8112" xr:uid="{00000000-0005-0000-0000-000052030000}"/>
    <cellStyle name="60% - Accent2 4 3 3" xfId="7215" xr:uid="{00000000-0005-0000-0000-000053030000}"/>
    <cellStyle name="60% - Accent2 4 4" xfId="1515" xr:uid="{00000000-0005-0000-0000-000054030000}"/>
    <cellStyle name="60% - Accent2 4 4 2" xfId="8113" xr:uid="{00000000-0005-0000-0000-000055030000}"/>
    <cellStyle name="60% - Accent2 4 4 3" xfId="7216" xr:uid="{00000000-0005-0000-0000-000056030000}"/>
    <cellStyle name="60% - Accent2 4 5" xfId="1516" xr:uid="{00000000-0005-0000-0000-000057030000}"/>
    <cellStyle name="60% - Accent2 4 6" xfId="1517" xr:uid="{00000000-0005-0000-0000-000058030000}"/>
    <cellStyle name="60% - Accent2 4 7" xfId="1512" xr:uid="{00000000-0005-0000-0000-000059030000}"/>
    <cellStyle name="60% - Accent2 5" xfId="1518" xr:uid="{00000000-0005-0000-0000-00005A030000}"/>
    <cellStyle name="60% - Accent2 5 2" xfId="8114" xr:uid="{00000000-0005-0000-0000-00005B030000}"/>
    <cellStyle name="60% - Accent2 5 3" xfId="7217" xr:uid="{00000000-0005-0000-0000-00005C030000}"/>
    <cellStyle name="60% - Accent2 6" xfId="1519" xr:uid="{00000000-0005-0000-0000-00005D030000}"/>
    <cellStyle name="60% - Accent2 6 2" xfId="8115" xr:uid="{00000000-0005-0000-0000-00005E030000}"/>
    <cellStyle name="60% - Accent2 6 3" xfId="7218" xr:uid="{00000000-0005-0000-0000-00005F030000}"/>
    <cellStyle name="60% - Accent2 7" xfId="1520" xr:uid="{00000000-0005-0000-0000-000060030000}"/>
    <cellStyle name="60% - Accent2 7 2" xfId="8116" xr:uid="{00000000-0005-0000-0000-000061030000}"/>
    <cellStyle name="60% - Accent2 7 3" xfId="7219" xr:uid="{00000000-0005-0000-0000-000062030000}"/>
    <cellStyle name="60% - Accent2 8" xfId="1521" xr:uid="{00000000-0005-0000-0000-000063030000}"/>
    <cellStyle name="60% - Accent2 8 2" xfId="8117" xr:uid="{00000000-0005-0000-0000-000064030000}"/>
    <cellStyle name="60% - Accent2 8 3" xfId="7220" xr:uid="{00000000-0005-0000-0000-000065030000}"/>
    <cellStyle name="60% - Accent2 9" xfId="1522" xr:uid="{00000000-0005-0000-0000-000066030000}"/>
    <cellStyle name="60% - Accent2 9 2" xfId="8118" xr:uid="{00000000-0005-0000-0000-000067030000}"/>
    <cellStyle name="60% - Accent2 9 3" xfId="7221" xr:uid="{00000000-0005-0000-0000-000068030000}"/>
    <cellStyle name="60% - Accent3" xfId="15" builtinId="40" customBuiltin="1"/>
    <cellStyle name="60% - Accent3 10" xfId="1523" xr:uid="{00000000-0005-0000-0000-00006A030000}"/>
    <cellStyle name="60% - Accent3 10 2" xfId="8119" xr:uid="{00000000-0005-0000-0000-00006B030000}"/>
    <cellStyle name="60% - Accent3 10 3" xfId="7222" xr:uid="{00000000-0005-0000-0000-00006C030000}"/>
    <cellStyle name="60% - Accent3 11" xfId="1524" xr:uid="{00000000-0005-0000-0000-00006D030000}"/>
    <cellStyle name="60% - Accent3 11 2" xfId="8120" xr:uid="{00000000-0005-0000-0000-00006E030000}"/>
    <cellStyle name="60% - Accent3 11 3" xfId="7223" xr:uid="{00000000-0005-0000-0000-00006F030000}"/>
    <cellStyle name="60% - Accent3 2" xfId="155" xr:uid="{00000000-0005-0000-0000-000070030000}"/>
    <cellStyle name="60% - Accent3 2 2" xfId="156" xr:uid="{00000000-0005-0000-0000-000071030000}"/>
    <cellStyle name="60% - Accent3 2 2 2" xfId="1526" xr:uid="{00000000-0005-0000-0000-000072030000}"/>
    <cellStyle name="60% - Accent3 2 2 3" xfId="7224" xr:uid="{00000000-0005-0000-0000-000073030000}"/>
    <cellStyle name="60% - Accent3 2 2 4" xfId="8728" xr:uid="{00000000-0005-0000-0000-000074030000}"/>
    <cellStyle name="60% - Accent3 2 3" xfId="1527" xr:uid="{00000000-0005-0000-0000-000075030000}"/>
    <cellStyle name="60% - Accent3 2 3 2" xfId="8121" xr:uid="{00000000-0005-0000-0000-000076030000}"/>
    <cellStyle name="60% - Accent3 2 3 3" xfId="7225" xr:uid="{00000000-0005-0000-0000-000077030000}"/>
    <cellStyle name="60% - Accent3 2 4" xfId="1528" xr:uid="{00000000-0005-0000-0000-000078030000}"/>
    <cellStyle name="60% - Accent3 2 4 2" xfId="8122" xr:uid="{00000000-0005-0000-0000-000079030000}"/>
    <cellStyle name="60% - Accent3 2 4 3" xfId="7226" xr:uid="{00000000-0005-0000-0000-00007A030000}"/>
    <cellStyle name="60% - Accent3 2 5" xfId="1529" xr:uid="{00000000-0005-0000-0000-00007B030000}"/>
    <cellStyle name="60% - Accent3 2 6" xfId="1530" xr:uid="{00000000-0005-0000-0000-00007C030000}"/>
    <cellStyle name="60% - Accent3 2 7" xfId="1525" xr:uid="{00000000-0005-0000-0000-00007D030000}"/>
    <cellStyle name="60% - Accent3 3" xfId="157" xr:uid="{00000000-0005-0000-0000-00007E030000}"/>
    <cellStyle name="60% - Accent3 3 2" xfId="158" xr:uid="{00000000-0005-0000-0000-00007F030000}"/>
    <cellStyle name="60% - Accent3 3 2 2" xfId="1532" xr:uid="{00000000-0005-0000-0000-000080030000}"/>
    <cellStyle name="60% - Accent3 3 2 3" xfId="7227" xr:uid="{00000000-0005-0000-0000-000081030000}"/>
    <cellStyle name="60% - Accent3 3 2 4" xfId="8729" xr:uid="{00000000-0005-0000-0000-000082030000}"/>
    <cellStyle name="60% - Accent3 3 3" xfId="1533" xr:uid="{00000000-0005-0000-0000-000083030000}"/>
    <cellStyle name="60% - Accent3 3 3 2" xfId="8123" xr:uid="{00000000-0005-0000-0000-000084030000}"/>
    <cellStyle name="60% - Accent3 3 3 3" xfId="7228" xr:uid="{00000000-0005-0000-0000-000085030000}"/>
    <cellStyle name="60% - Accent3 3 4" xfId="1534" xr:uid="{00000000-0005-0000-0000-000086030000}"/>
    <cellStyle name="60% - Accent3 3 4 2" xfId="8124" xr:uid="{00000000-0005-0000-0000-000087030000}"/>
    <cellStyle name="60% - Accent3 3 4 3" xfId="7229" xr:uid="{00000000-0005-0000-0000-000088030000}"/>
    <cellStyle name="60% - Accent3 3 5" xfId="1535" xr:uid="{00000000-0005-0000-0000-000089030000}"/>
    <cellStyle name="60% - Accent3 3 6" xfId="1536" xr:uid="{00000000-0005-0000-0000-00008A030000}"/>
    <cellStyle name="60% - Accent3 3 7" xfId="1531" xr:uid="{00000000-0005-0000-0000-00008B030000}"/>
    <cellStyle name="60% - Accent3 4" xfId="159" xr:uid="{00000000-0005-0000-0000-00008C030000}"/>
    <cellStyle name="60% - Accent3 4 2" xfId="160" xr:uid="{00000000-0005-0000-0000-00008D030000}"/>
    <cellStyle name="60% - Accent3 4 2 2" xfId="1538" xr:uid="{00000000-0005-0000-0000-00008E030000}"/>
    <cellStyle name="60% - Accent3 4 2 3" xfId="7230" xr:uid="{00000000-0005-0000-0000-00008F030000}"/>
    <cellStyle name="60% - Accent3 4 2 4" xfId="8730" xr:uid="{00000000-0005-0000-0000-000090030000}"/>
    <cellStyle name="60% - Accent3 4 3" xfId="1539" xr:uid="{00000000-0005-0000-0000-000091030000}"/>
    <cellStyle name="60% - Accent3 4 3 2" xfId="8125" xr:uid="{00000000-0005-0000-0000-000092030000}"/>
    <cellStyle name="60% - Accent3 4 3 3" xfId="7231" xr:uid="{00000000-0005-0000-0000-000093030000}"/>
    <cellStyle name="60% - Accent3 4 4" xfId="1540" xr:uid="{00000000-0005-0000-0000-000094030000}"/>
    <cellStyle name="60% - Accent3 4 4 2" xfId="8126" xr:uid="{00000000-0005-0000-0000-000095030000}"/>
    <cellStyle name="60% - Accent3 4 4 3" xfId="7232" xr:uid="{00000000-0005-0000-0000-000096030000}"/>
    <cellStyle name="60% - Accent3 4 5" xfId="1541" xr:uid="{00000000-0005-0000-0000-000097030000}"/>
    <cellStyle name="60% - Accent3 4 6" xfId="1542" xr:uid="{00000000-0005-0000-0000-000098030000}"/>
    <cellStyle name="60% - Accent3 4 7" xfId="1537" xr:uid="{00000000-0005-0000-0000-000099030000}"/>
    <cellStyle name="60% - Accent3 5" xfId="1543" xr:uid="{00000000-0005-0000-0000-00009A030000}"/>
    <cellStyle name="60% - Accent3 5 2" xfId="8127" xr:uid="{00000000-0005-0000-0000-00009B030000}"/>
    <cellStyle name="60% - Accent3 5 3" xfId="7233" xr:uid="{00000000-0005-0000-0000-00009C030000}"/>
    <cellStyle name="60% - Accent3 6" xfId="1544" xr:uid="{00000000-0005-0000-0000-00009D030000}"/>
    <cellStyle name="60% - Accent3 6 2" xfId="8128" xr:uid="{00000000-0005-0000-0000-00009E030000}"/>
    <cellStyle name="60% - Accent3 6 3" xfId="7234" xr:uid="{00000000-0005-0000-0000-00009F030000}"/>
    <cellStyle name="60% - Accent3 7" xfId="1545" xr:uid="{00000000-0005-0000-0000-0000A0030000}"/>
    <cellStyle name="60% - Accent3 7 2" xfId="8129" xr:uid="{00000000-0005-0000-0000-0000A1030000}"/>
    <cellStyle name="60% - Accent3 7 3" xfId="7235" xr:uid="{00000000-0005-0000-0000-0000A2030000}"/>
    <cellStyle name="60% - Accent3 8" xfId="1546" xr:uid="{00000000-0005-0000-0000-0000A3030000}"/>
    <cellStyle name="60% - Accent3 8 2" xfId="8130" xr:uid="{00000000-0005-0000-0000-0000A4030000}"/>
    <cellStyle name="60% - Accent3 8 3" xfId="7236" xr:uid="{00000000-0005-0000-0000-0000A5030000}"/>
    <cellStyle name="60% - Accent3 9" xfId="1547" xr:uid="{00000000-0005-0000-0000-0000A6030000}"/>
    <cellStyle name="60% - Accent3 9 2" xfId="8131" xr:uid="{00000000-0005-0000-0000-0000A7030000}"/>
    <cellStyle name="60% - Accent3 9 3" xfId="7237" xr:uid="{00000000-0005-0000-0000-0000A8030000}"/>
    <cellStyle name="60% - Accent4" xfId="16" builtinId="44" customBuiltin="1"/>
    <cellStyle name="60% - Accent4 10" xfId="1548" xr:uid="{00000000-0005-0000-0000-0000AA030000}"/>
    <cellStyle name="60% - Accent4 10 2" xfId="8132" xr:uid="{00000000-0005-0000-0000-0000AB030000}"/>
    <cellStyle name="60% - Accent4 10 3" xfId="7238" xr:uid="{00000000-0005-0000-0000-0000AC030000}"/>
    <cellStyle name="60% - Accent4 11" xfId="1549" xr:uid="{00000000-0005-0000-0000-0000AD030000}"/>
    <cellStyle name="60% - Accent4 11 2" xfId="8133" xr:uid="{00000000-0005-0000-0000-0000AE030000}"/>
    <cellStyle name="60% - Accent4 11 3" xfId="7239" xr:uid="{00000000-0005-0000-0000-0000AF030000}"/>
    <cellStyle name="60% - Accent4 2" xfId="161" xr:uid="{00000000-0005-0000-0000-0000B0030000}"/>
    <cellStyle name="60% - Accent4 2 2" xfId="162" xr:uid="{00000000-0005-0000-0000-0000B1030000}"/>
    <cellStyle name="60% - Accent4 2 2 2" xfId="1551" xr:uid="{00000000-0005-0000-0000-0000B2030000}"/>
    <cellStyle name="60% - Accent4 2 2 3" xfId="7240" xr:uid="{00000000-0005-0000-0000-0000B3030000}"/>
    <cellStyle name="60% - Accent4 2 2 4" xfId="8731" xr:uid="{00000000-0005-0000-0000-0000B4030000}"/>
    <cellStyle name="60% - Accent4 2 3" xfId="1552" xr:uid="{00000000-0005-0000-0000-0000B5030000}"/>
    <cellStyle name="60% - Accent4 2 3 2" xfId="8134" xr:uid="{00000000-0005-0000-0000-0000B6030000}"/>
    <cellStyle name="60% - Accent4 2 3 3" xfId="7241" xr:uid="{00000000-0005-0000-0000-0000B7030000}"/>
    <cellStyle name="60% - Accent4 2 4" xfId="1553" xr:uid="{00000000-0005-0000-0000-0000B8030000}"/>
    <cellStyle name="60% - Accent4 2 4 2" xfId="8135" xr:uid="{00000000-0005-0000-0000-0000B9030000}"/>
    <cellStyle name="60% - Accent4 2 4 3" xfId="7242" xr:uid="{00000000-0005-0000-0000-0000BA030000}"/>
    <cellStyle name="60% - Accent4 2 5" xfId="1554" xr:uid="{00000000-0005-0000-0000-0000BB030000}"/>
    <cellStyle name="60% - Accent4 2 6" xfId="1555" xr:uid="{00000000-0005-0000-0000-0000BC030000}"/>
    <cellStyle name="60% - Accent4 2 7" xfId="1550" xr:uid="{00000000-0005-0000-0000-0000BD030000}"/>
    <cellStyle name="60% - Accent4 3" xfId="163" xr:uid="{00000000-0005-0000-0000-0000BE030000}"/>
    <cellStyle name="60% - Accent4 3 2" xfId="164" xr:uid="{00000000-0005-0000-0000-0000BF030000}"/>
    <cellStyle name="60% - Accent4 3 2 2" xfId="1557" xr:uid="{00000000-0005-0000-0000-0000C0030000}"/>
    <cellStyle name="60% - Accent4 3 2 3" xfId="7243" xr:uid="{00000000-0005-0000-0000-0000C1030000}"/>
    <cellStyle name="60% - Accent4 3 2 4" xfId="8732" xr:uid="{00000000-0005-0000-0000-0000C2030000}"/>
    <cellStyle name="60% - Accent4 3 3" xfId="1558" xr:uid="{00000000-0005-0000-0000-0000C3030000}"/>
    <cellStyle name="60% - Accent4 3 3 2" xfId="8136" xr:uid="{00000000-0005-0000-0000-0000C4030000}"/>
    <cellStyle name="60% - Accent4 3 3 3" xfId="7244" xr:uid="{00000000-0005-0000-0000-0000C5030000}"/>
    <cellStyle name="60% - Accent4 3 4" xfId="1559" xr:uid="{00000000-0005-0000-0000-0000C6030000}"/>
    <cellStyle name="60% - Accent4 3 4 2" xfId="8137" xr:uid="{00000000-0005-0000-0000-0000C7030000}"/>
    <cellStyle name="60% - Accent4 3 4 3" xfId="7245" xr:uid="{00000000-0005-0000-0000-0000C8030000}"/>
    <cellStyle name="60% - Accent4 3 5" xfId="1560" xr:uid="{00000000-0005-0000-0000-0000C9030000}"/>
    <cellStyle name="60% - Accent4 3 6" xfId="1561" xr:uid="{00000000-0005-0000-0000-0000CA030000}"/>
    <cellStyle name="60% - Accent4 3 7" xfId="1556" xr:uid="{00000000-0005-0000-0000-0000CB030000}"/>
    <cellStyle name="60% - Accent4 4" xfId="165" xr:uid="{00000000-0005-0000-0000-0000CC030000}"/>
    <cellStyle name="60% - Accent4 4 2" xfId="166" xr:uid="{00000000-0005-0000-0000-0000CD030000}"/>
    <cellStyle name="60% - Accent4 4 2 2" xfId="1563" xr:uid="{00000000-0005-0000-0000-0000CE030000}"/>
    <cellStyle name="60% - Accent4 4 2 3" xfId="7246" xr:uid="{00000000-0005-0000-0000-0000CF030000}"/>
    <cellStyle name="60% - Accent4 4 2 4" xfId="8733" xr:uid="{00000000-0005-0000-0000-0000D0030000}"/>
    <cellStyle name="60% - Accent4 4 3" xfId="1564" xr:uid="{00000000-0005-0000-0000-0000D1030000}"/>
    <cellStyle name="60% - Accent4 4 3 2" xfId="8138" xr:uid="{00000000-0005-0000-0000-0000D2030000}"/>
    <cellStyle name="60% - Accent4 4 3 3" xfId="7247" xr:uid="{00000000-0005-0000-0000-0000D3030000}"/>
    <cellStyle name="60% - Accent4 4 4" xfId="1565" xr:uid="{00000000-0005-0000-0000-0000D4030000}"/>
    <cellStyle name="60% - Accent4 4 4 2" xfId="8139" xr:uid="{00000000-0005-0000-0000-0000D5030000}"/>
    <cellStyle name="60% - Accent4 4 4 3" xfId="7248" xr:uid="{00000000-0005-0000-0000-0000D6030000}"/>
    <cellStyle name="60% - Accent4 4 5" xfId="1566" xr:uid="{00000000-0005-0000-0000-0000D7030000}"/>
    <cellStyle name="60% - Accent4 4 6" xfId="1567" xr:uid="{00000000-0005-0000-0000-0000D8030000}"/>
    <cellStyle name="60% - Accent4 4 7" xfId="1562" xr:uid="{00000000-0005-0000-0000-0000D9030000}"/>
    <cellStyle name="60% - Accent4 5" xfId="1568" xr:uid="{00000000-0005-0000-0000-0000DA030000}"/>
    <cellStyle name="60% - Accent4 5 2" xfId="8140" xr:uid="{00000000-0005-0000-0000-0000DB030000}"/>
    <cellStyle name="60% - Accent4 5 3" xfId="7249" xr:uid="{00000000-0005-0000-0000-0000DC030000}"/>
    <cellStyle name="60% - Accent4 6" xfId="1569" xr:uid="{00000000-0005-0000-0000-0000DD030000}"/>
    <cellStyle name="60% - Accent4 6 2" xfId="8141" xr:uid="{00000000-0005-0000-0000-0000DE030000}"/>
    <cellStyle name="60% - Accent4 6 3" xfId="7250" xr:uid="{00000000-0005-0000-0000-0000DF030000}"/>
    <cellStyle name="60% - Accent4 7" xfId="1570" xr:uid="{00000000-0005-0000-0000-0000E0030000}"/>
    <cellStyle name="60% - Accent4 7 2" xfId="8142" xr:uid="{00000000-0005-0000-0000-0000E1030000}"/>
    <cellStyle name="60% - Accent4 7 3" xfId="7251" xr:uid="{00000000-0005-0000-0000-0000E2030000}"/>
    <cellStyle name="60% - Accent4 8" xfId="1571" xr:uid="{00000000-0005-0000-0000-0000E3030000}"/>
    <cellStyle name="60% - Accent4 8 2" xfId="8143" xr:uid="{00000000-0005-0000-0000-0000E4030000}"/>
    <cellStyle name="60% - Accent4 8 3" xfId="7252" xr:uid="{00000000-0005-0000-0000-0000E5030000}"/>
    <cellStyle name="60% - Accent4 9" xfId="1572" xr:uid="{00000000-0005-0000-0000-0000E6030000}"/>
    <cellStyle name="60% - Accent4 9 2" xfId="8144" xr:uid="{00000000-0005-0000-0000-0000E7030000}"/>
    <cellStyle name="60% - Accent4 9 3" xfId="7253" xr:uid="{00000000-0005-0000-0000-0000E8030000}"/>
    <cellStyle name="60% - Accent5" xfId="17" builtinId="48" customBuiltin="1"/>
    <cellStyle name="60% - Accent5 10" xfId="1573" xr:uid="{00000000-0005-0000-0000-0000EA030000}"/>
    <cellStyle name="60% - Accent5 10 2" xfId="8145" xr:uid="{00000000-0005-0000-0000-0000EB030000}"/>
    <cellStyle name="60% - Accent5 10 3" xfId="7254" xr:uid="{00000000-0005-0000-0000-0000EC030000}"/>
    <cellStyle name="60% - Accent5 11" xfId="1574" xr:uid="{00000000-0005-0000-0000-0000ED030000}"/>
    <cellStyle name="60% - Accent5 11 2" xfId="8146" xr:uid="{00000000-0005-0000-0000-0000EE030000}"/>
    <cellStyle name="60% - Accent5 11 3" xfId="7255" xr:uid="{00000000-0005-0000-0000-0000EF030000}"/>
    <cellStyle name="60% - Accent5 2" xfId="167" xr:uid="{00000000-0005-0000-0000-0000F0030000}"/>
    <cellStyle name="60% - Accent5 2 2" xfId="168" xr:uid="{00000000-0005-0000-0000-0000F1030000}"/>
    <cellStyle name="60% - Accent5 2 2 2" xfId="1576" xr:uid="{00000000-0005-0000-0000-0000F2030000}"/>
    <cellStyle name="60% - Accent5 2 2 3" xfId="7256" xr:uid="{00000000-0005-0000-0000-0000F3030000}"/>
    <cellStyle name="60% - Accent5 2 2 4" xfId="8734" xr:uid="{00000000-0005-0000-0000-0000F4030000}"/>
    <cellStyle name="60% - Accent5 2 3" xfId="1577" xr:uid="{00000000-0005-0000-0000-0000F5030000}"/>
    <cellStyle name="60% - Accent5 2 3 2" xfId="8147" xr:uid="{00000000-0005-0000-0000-0000F6030000}"/>
    <cellStyle name="60% - Accent5 2 3 3" xfId="7257" xr:uid="{00000000-0005-0000-0000-0000F7030000}"/>
    <cellStyle name="60% - Accent5 2 4" xfId="1578" xr:uid="{00000000-0005-0000-0000-0000F8030000}"/>
    <cellStyle name="60% - Accent5 2 4 2" xfId="8148" xr:uid="{00000000-0005-0000-0000-0000F9030000}"/>
    <cellStyle name="60% - Accent5 2 4 3" xfId="7258" xr:uid="{00000000-0005-0000-0000-0000FA030000}"/>
    <cellStyle name="60% - Accent5 2 5" xfId="1579" xr:uid="{00000000-0005-0000-0000-0000FB030000}"/>
    <cellStyle name="60% - Accent5 2 6" xfId="1580" xr:uid="{00000000-0005-0000-0000-0000FC030000}"/>
    <cellStyle name="60% - Accent5 2 7" xfId="1575" xr:uid="{00000000-0005-0000-0000-0000FD030000}"/>
    <cellStyle name="60% - Accent5 3" xfId="169" xr:uid="{00000000-0005-0000-0000-0000FE030000}"/>
    <cellStyle name="60% - Accent5 3 2" xfId="170" xr:uid="{00000000-0005-0000-0000-0000FF030000}"/>
    <cellStyle name="60% - Accent5 3 2 2" xfId="1582" xr:uid="{00000000-0005-0000-0000-000000040000}"/>
    <cellStyle name="60% - Accent5 3 2 3" xfId="7259" xr:uid="{00000000-0005-0000-0000-000001040000}"/>
    <cellStyle name="60% - Accent5 3 2 4" xfId="8735" xr:uid="{00000000-0005-0000-0000-000002040000}"/>
    <cellStyle name="60% - Accent5 3 3" xfId="1583" xr:uid="{00000000-0005-0000-0000-000003040000}"/>
    <cellStyle name="60% - Accent5 3 3 2" xfId="8149" xr:uid="{00000000-0005-0000-0000-000004040000}"/>
    <cellStyle name="60% - Accent5 3 3 3" xfId="7260" xr:uid="{00000000-0005-0000-0000-000005040000}"/>
    <cellStyle name="60% - Accent5 3 4" xfId="1584" xr:uid="{00000000-0005-0000-0000-000006040000}"/>
    <cellStyle name="60% - Accent5 3 4 2" xfId="8150" xr:uid="{00000000-0005-0000-0000-000007040000}"/>
    <cellStyle name="60% - Accent5 3 4 3" xfId="7261" xr:uid="{00000000-0005-0000-0000-000008040000}"/>
    <cellStyle name="60% - Accent5 3 5" xfId="1585" xr:uid="{00000000-0005-0000-0000-000009040000}"/>
    <cellStyle name="60% - Accent5 3 6" xfId="1586" xr:uid="{00000000-0005-0000-0000-00000A040000}"/>
    <cellStyle name="60% - Accent5 3 7" xfId="1581" xr:uid="{00000000-0005-0000-0000-00000B040000}"/>
    <cellStyle name="60% - Accent5 4" xfId="171" xr:uid="{00000000-0005-0000-0000-00000C040000}"/>
    <cellStyle name="60% - Accent5 4 2" xfId="172" xr:uid="{00000000-0005-0000-0000-00000D040000}"/>
    <cellStyle name="60% - Accent5 4 2 2" xfId="1588" xr:uid="{00000000-0005-0000-0000-00000E040000}"/>
    <cellStyle name="60% - Accent5 4 2 3" xfId="7262" xr:uid="{00000000-0005-0000-0000-00000F040000}"/>
    <cellStyle name="60% - Accent5 4 2 4" xfId="8736" xr:uid="{00000000-0005-0000-0000-000010040000}"/>
    <cellStyle name="60% - Accent5 4 3" xfId="1589" xr:uid="{00000000-0005-0000-0000-000011040000}"/>
    <cellStyle name="60% - Accent5 4 3 2" xfId="8151" xr:uid="{00000000-0005-0000-0000-000012040000}"/>
    <cellStyle name="60% - Accent5 4 3 3" xfId="7263" xr:uid="{00000000-0005-0000-0000-000013040000}"/>
    <cellStyle name="60% - Accent5 4 4" xfId="1590" xr:uid="{00000000-0005-0000-0000-000014040000}"/>
    <cellStyle name="60% - Accent5 4 4 2" xfId="8152" xr:uid="{00000000-0005-0000-0000-000015040000}"/>
    <cellStyle name="60% - Accent5 4 4 3" xfId="7264" xr:uid="{00000000-0005-0000-0000-000016040000}"/>
    <cellStyle name="60% - Accent5 4 5" xfId="1591" xr:uid="{00000000-0005-0000-0000-000017040000}"/>
    <cellStyle name="60% - Accent5 4 6" xfId="1592" xr:uid="{00000000-0005-0000-0000-000018040000}"/>
    <cellStyle name="60% - Accent5 4 7" xfId="1587" xr:uid="{00000000-0005-0000-0000-000019040000}"/>
    <cellStyle name="60% - Accent5 5" xfId="1593" xr:uid="{00000000-0005-0000-0000-00001A040000}"/>
    <cellStyle name="60% - Accent5 5 2" xfId="8153" xr:uid="{00000000-0005-0000-0000-00001B040000}"/>
    <cellStyle name="60% - Accent5 5 3" xfId="7265" xr:uid="{00000000-0005-0000-0000-00001C040000}"/>
    <cellStyle name="60% - Accent5 6" xfId="1594" xr:uid="{00000000-0005-0000-0000-00001D040000}"/>
    <cellStyle name="60% - Accent5 6 2" xfId="8154" xr:uid="{00000000-0005-0000-0000-00001E040000}"/>
    <cellStyle name="60% - Accent5 6 3" xfId="7266" xr:uid="{00000000-0005-0000-0000-00001F040000}"/>
    <cellStyle name="60% - Accent5 7" xfId="1595" xr:uid="{00000000-0005-0000-0000-000020040000}"/>
    <cellStyle name="60% - Accent5 7 2" xfId="8155" xr:uid="{00000000-0005-0000-0000-000021040000}"/>
    <cellStyle name="60% - Accent5 7 3" xfId="7267" xr:uid="{00000000-0005-0000-0000-000022040000}"/>
    <cellStyle name="60% - Accent5 8" xfId="1596" xr:uid="{00000000-0005-0000-0000-000023040000}"/>
    <cellStyle name="60% - Accent5 8 2" xfId="8156" xr:uid="{00000000-0005-0000-0000-000024040000}"/>
    <cellStyle name="60% - Accent5 8 3" xfId="7268" xr:uid="{00000000-0005-0000-0000-000025040000}"/>
    <cellStyle name="60% - Accent5 9" xfId="1597" xr:uid="{00000000-0005-0000-0000-000026040000}"/>
    <cellStyle name="60% - Accent5 9 2" xfId="8157" xr:uid="{00000000-0005-0000-0000-000027040000}"/>
    <cellStyle name="60% - Accent5 9 3" xfId="7269" xr:uid="{00000000-0005-0000-0000-000028040000}"/>
    <cellStyle name="60% - Accent6" xfId="18" builtinId="52" customBuiltin="1"/>
    <cellStyle name="60% - Accent6 10" xfId="1598" xr:uid="{00000000-0005-0000-0000-00002A040000}"/>
    <cellStyle name="60% - Accent6 10 2" xfId="8158" xr:uid="{00000000-0005-0000-0000-00002B040000}"/>
    <cellStyle name="60% - Accent6 10 3" xfId="7270" xr:uid="{00000000-0005-0000-0000-00002C040000}"/>
    <cellStyle name="60% - Accent6 11" xfId="1599" xr:uid="{00000000-0005-0000-0000-00002D040000}"/>
    <cellStyle name="60% - Accent6 11 2" xfId="8159" xr:uid="{00000000-0005-0000-0000-00002E040000}"/>
    <cellStyle name="60% - Accent6 11 3" xfId="7271" xr:uid="{00000000-0005-0000-0000-00002F040000}"/>
    <cellStyle name="60% - Accent6 2" xfId="173" xr:uid="{00000000-0005-0000-0000-000030040000}"/>
    <cellStyle name="60% - Accent6 2 2" xfId="174" xr:uid="{00000000-0005-0000-0000-000031040000}"/>
    <cellStyle name="60% - Accent6 2 2 2" xfId="1601" xr:uid="{00000000-0005-0000-0000-000032040000}"/>
    <cellStyle name="60% - Accent6 2 2 3" xfId="7272" xr:uid="{00000000-0005-0000-0000-000033040000}"/>
    <cellStyle name="60% - Accent6 2 2 4" xfId="8737" xr:uid="{00000000-0005-0000-0000-000034040000}"/>
    <cellStyle name="60% - Accent6 2 3" xfId="1602" xr:uid="{00000000-0005-0000-0000-000035040000}"/>
    <cellStyle name="60% - Accent6 2 3 2" xfId="8160" xr:uid="{00000000-0005-0000-0000-000036040000}"/>
    <cellStyle name="60% - Accent6 2 3 3" xfId="7273" xr:uid="{00000000-0005-0000-0000-000037040000}"/>
    <cellStyle name="60% - Accent6 2 4" xfId="1603" xr:uid="{00000000-0005-0000-0000-000038040000}"/>
    <cellStyle name="60% - Accent6 2 4 2" xfId="8161" xr:uid="{00000000-0005-0000-0000-000039040000}"/>
    <cellStyle name="60% - Accent6 2 4 3" xfId="7274" xr:uid="{00000000-0005-0000-0000-00003A040000}"/>
    <cellStyle name="60% - Accent6 2 5" xfId="1604" xr:uid="{00000000-0005-0000-0000-00003B040000}"/>
    <cellStyle name="60% - Accent6 2 6" xfId="1605" xr:uid="{00000000-0005-0000-0000-00003C040000}"/>
    <cellStyle name="60% - Accent6 2 7" xfId="1600" xr:uid="{00000000-0005-0000-0000-00003D040000}"/>
    <cellStyle name="60% - Accent6 3" xfId="175" xr:uid="{00000000-0005-0000-0000-00003E040000}"/>
    <cellStyle name="60% - Accent6 3 2" xfId="176" xr:uid="{00000000-0005-0000-0000-00003F040000}"/>
    <cellStyle name="60% - Accent6 3 2 2" xfId="1607" xr:uid="{00000000-0005-0000-0000-000040040000}"/>
    <cellStyle name="60% - Accent6 3 2 3" xfId="7275" xr:uid="{00000000-0005-0000-0000-000041040000}"/>
    <cellStyle name="60% - Accent6 3 2 4" xfId="8738" xr:uid="{00000000-0005-0000-0000-000042040000}"/>
    <cellStyle name="60% - Accent6 3 3" xfId="1608" xr:uid="{00000000-0005-0000-0000-000043040000}"/>
    <cellStyle name="60% - Accent6 3 3 2" xfId="8162" xr:uid="{00000000-0005-0000-0000-000044040000}"/>
    <cellStyle name="60% - Accent6 3 3 3" xfId="7276" xr:uid="{00000000-0005-0000-0000-000045040000}"/>
    <cellStyle name="60% - Accent6 3 4" xfId="1609" xr:uid="{00000000-0005-0000-0000-000046040000}"/>
    <cellStyle name="60% - Accent6 3 4 2" xfId="8163" xr:uid="{00000000-0005-0000-0000-000047040000}"/>
    <cellStyle name="60% - Accent6 3 4 3" xfId="7277" xr:uid="{00000000-0005-0000-0000-000048040000}"/>
    <cellStyle name="60% - Accent6 3 5" xfId="1610" xr:uid="{00000000-0005-0000-0000-000049040000}"/>
    <cellStyle name="60% - Accent6 3 6" xfId="1611" xr:uid="{00000000-0005-0000-0000-00004A040000}"/>
    <cellStyle name="60% - Accent6 3 7" xfId="1606" xr:uid="{00000000-0005-0000-0000-00004B040000}"/>
    <cellStyle name="60% - Accent6 4" xfId="177" xr:uid="{00000000-0005-0000-0000-00004C040000}"/>
    <cellStyle name="60% - Accent6 4 2" xfId="178" xr:uid="{00000000-0005-0000-0000-00004D040000}"/>
    <cellStyle name="60% - Accent6 4 2 2" xfId="1613" xr:uid="{00000000-0005-0000-0000-00004E040000}"/>
    <cellStyle name="60% - Accent6 4 2 3" xfId="7278" xr:uid="{00000000-0005-0000-0000-00004F040000}"/>
    <cellStyle name="60% - Accent6 4 2 4" xfId="8739" xr:uid="{00000000-0005-0000-0000-000050040000}"/>
    <cellStyle name="60% - Accent6 4 3" xfId="1614" xr:uid="{00000000-0005-0000-0000-000051040000}"/>
    <cellStyle name="60% - Accent6 4 3 2" xfId="8164" xr:uid="{00000000-0005-0000-0000-000052040000}"/>
    <cellStyle name="60% - Accent6 4 3 3" xfId="7279" xr:uid="{00000000-0005-0000-0000-000053040000}"/>
    <cellStyle name="60% - Accent6 4 4" xfId="1615" xr:uid="{00000000-0005-0000-0000-000054040000}"/>
    <cellStyle name="60% - Accent6 4 4 2" xfId="8165" xr:uid="{00000000-0005-0000-0000-000055040000}"/>
    <cellStyle name="60% - Accent6 4 4 3" xfId="7280" xr:uid="{00000000-0005-0000-0000-000056040000}"/>
    <cellStyle name="60% - Accent6 4 5" xfId="1616" xr:uid="{00000000-0005-0000-0000-000057040000}"/>
    <cellStyle name="60% - Accent6 4 6" xfId="1617" xr:uid="{00000000-0005-0000-0000-000058040000}"/>
    <cellStyle name="60% - Accent6 4 7" xfId="1612" xr:uid="{00000000-0005-0000-0000-000059040000}"/>
    <cellStyle name="60% - Accent6 5" xfId="1618" xr:uid="{00000000-0005-0000-0000-00005A040000}"/>
    <cellStyle name="60% - Accent6 5 2" xfId="8166" xr:uid="{00000000-0005-0000-0000-00005B040000}"/>
    <cellStyle name="60% - Accent6 5 3" xfId="7281" xr:uid="{00000000-0005-0000-0000-00005C040000}"/>
    <cellStyle name="60% - Accent6 6" xfId="1619" xr:uid="{00000000-0005-0000-0000-00005D040000}"/>
    <cellStyle name="60% - Accent6 6 2" xfId="8167" xr:uid="{00000000-0005-0000-0000-00005E040000}"/>
    <cellStyle name="60% - Accent6 6 3" xfId="7282" xr:uid="{00000000-0005-0000-0000-00005F040000}"/>
    <cellStyle name="60% - Accent6 7" xfId="1620" xr:uid="{00000000-0005-0000-0000-000060040000}"/>
    <cellStyle name="60% - Accent6 7 2" xfId="8168" xr:uid="{00000000-0005-0000-0000-000061040000}"/>
    <cellStyle name="60% - Accent6 7 3" xfId="7283" xr:uid="{00000000-0005-0000-0000-000062040000}"/>
    <cellStyle name="60% - Accent6 8" xfId="1621" xr:uid="{00000000-0005-0000-0000-000063040000}"/>
    <cellStyle name="60% - Accent6 8 2" xfId="8169" xr:uid="{00000000-0005-0000-0000-000064040000}"/>
    <cellStyle name="60% - Accent6 8 3" xfId="7284" xr:uid="{00000000-0005-0000-0000-000065040000}"/>
    <cellStyle name="60% - Accent6 9" xfId="1622" xr:uid="{00000000-0005-0000-0000-000066040000}"/>
    <cellStyle name="60% - Accent6 9 2" xfId="8170" xr:uid="{00000000-0005-0000-0000-000067040000}"/>
    <cellStyle name="60% - Accent6 9 3" xfId="7285" xr:uid="{00000000-0005-0000-0000-000068040000}"/>
    <cellStyle name="Accent1" xfId="19" builtinId="29" customBuiltin="1"/>
    <cellStyle name="Accent1 10" xfId="1623" xr:uid="{00000000-0005-0000-0000-00006A040000}"/>
    <cellStyle name="Accent1 10 2" xfId="8171" xr:uid="{00000000-0005-0000-0000-00006B040000}"/>
    <cellStyle name="Accent1 10 3" xfId="7286" xr:uid="{00000000-0005-0000-0000-00006C040000}"/>
    <cellStyle name="Accent1 11" xfId="1624" xr:uid="{00000000-0005-0000-0000-00006D040000}"/>
    <cellStyle name="Accent1 11 2" xfId="8172" xr:uid="{00000000-0005-0000-0000-00006E040000}"/>
    <cellStyle name="Accent1 11 3" xfId="7287" xr:uid="{00000000-0005-0000-0000-00006F040000}"/>
    <cellStyle name="Accent1 2" xfId="179" xr:uid="{00000000-0005-0000-0000-000070040000}"/>
    <cellStyle name="Accent1 2 2" xfId="180" xr:uid="{00000000-0005-0000-0000-000071040000}"/>
    <cellStyle name="Accent1 2 2 2" xfId="1626" xr:uid="{00000000-0005-0000-0000-000072040000}"/>
    <cellStyle name="Accent1 2 2 3" xfId="7288" xr:uid="{00000000-0005-0000-0000-000073040000}"/>
    <cellStyle name="Accent1 2 2 4" xfId="8740" xr:uid="{00000000-0005-0000-0000-000074040000}"/>
    <cellStyle name="Accent1 2 3" xfId="1627" xr:uid="{00000000-0005-0000-0000-000075040000}"/>
    <cellStyle name="Accent1 2 3 2" xfId="8173" xr:uid="{00000000-0005-0000-0000-000076040000}"/>
    <cellStyle name="Accent1 2 3 3" xfId="7289" xr:uid="{00000000-0005-0000-0000-000077040000}"/>
    <cellStyle name="Accent1 2 4" xfId="1628" xr:uid="{00000000-0005-0000-0000-000078040000}"/>
    <cellStyle name="Accent1 2 4 2" xfId="8174" xr:uid="{00000000-0005-0000-0000-000079040000}"/>
    <cellStyle name="Accent1 2 4 3" xfId="7290" xr:uid="{00000000-0005-0000-0000-00007A040000}"/>
    <cellStyle name="Accent1 2 5" xfId="1629" xr:uid="{00000000-0005-0000-0000-00007B040000}"/>
    <cellStyle name="Accent1 2 6" xfId="1630" xr:uid="{00000000-0005-0000-0000-00007C040000}"/>
    <cellStyle name="Accent1 2 7" xfId="1625" xr:uid="{00000000-0005-0000-0000-00007D040000}"/>
    <cellStyle name="Accent1 3" xfId="181" xr:uid="{00000000-0005-0000-0000-00007E040000}"/>
    <cellStyle name="Accent1 3 2" xfId="182" xr:uid="{00000000-0005-0000-0000-00007F040000}"/>
    <cellStyle name="Accent1 3 2 2" xfId="1632" xr:uid="{00000000-0005-0000-0000-000080040000}"/>
    <cellStyle name="Accent1 3 2 3" xfId="7291" xr:uid="{00000000-0005-0000-0000-000081040000}"/>
    <cellStyle name="Accent1 3 2 4" xfId="8741" xr:uid="{00000000-0005-0000-0000-000082040000}"/>
    <cellStyle name="Accent1 3 3" xfId="1633" xr:uid="{00000000-0005-0000-0000-000083040000}"/>
    <cellStyle name="Accent1 3 3 2" xfId="8175" xr:uid="{00000000-0005-0000-0000-000084040000}"/>
    <cellStyle name="Accent1 3 3 3" xfId="7292" xr:uid="{00000000-0005-0000-0000-000085040000}"/>
    <cellStyle name="Accent1 3 4" xfId="1634" xr:uid="{00000000-0005-0000-0000-000086040000}"/>
    <cellStyle name="Accent1 3 4 2" xfId="8176" xr:uid="{00000000-0005-0000-0000-000087040000}"/>
    <cellStyle name="Accent1 3 4 3" xfId="7293" xr:uid="{00000000-0005-0000-0000-000088040000}"/>
    <cellStyle name="Accent1 3 5" xfId="1635" xr:uid="{00000000-0005-0000-0000-000089040000}"/>
    <cellStyle name="Accent1 3 6" xfId="1636" xr:uid="{00000000-0005-0000-0000-00008A040000}"/>
    <cellStyle name="Accent1 3 7" xfId="1631" xr:uid="{00000000-0005-0000-0000-00008B040000}"/>
    <cellStyle name="Accent1 4" xfId="183" xr:uid="{00000000-0005-0000-0000-00008C040000}"/>
    <cellStyle name="Accent1 4 2" xfId="184" xr:uid="{00000000-0005-0000-0000-00008D040000}"/>
    <cellStyle name="Accent1 4 2 2" xfId="1638" xr:uid="{00000000-0005-0000-0000-00008E040000}"/>
    <cellStyle name="Accent1 4 2 3" xfId="7294" xr:uid="{00000000-0005-0000-0000-00008F040000}"/>
    <cellStyle name="Accent1 4 2 4" xfId="8742" xr:uid="{00000000-0005-0000-0000-000090040000}"/>
    <cellStyle name="Accent1 4 3" xfId="1639" xr:uid="{00000000-0005-0000-0000-000091040000}"/>
    <cellStyle name="Accent1 4 3 2" xfId="8177" xr:uid="{00000000-0005-0000-0000-000092040000}"/>
    <cellStyle name="Accent1 4 3 3" xfId="7295" xr:uid="{00000000-0005-0000-0000-000093040000}"/>
    <cellStyle name="Accent1 4 4" xfId="1640" xr:uid="{00000000-0005-0000-0000-000094040000}"/>
    <cellStyle name="Accent1 4 4 2" xfId="8178" xr:uid="{00000000-0005-0000-0000-000095040000}"/>
    <cellStyle name="Accent1 4 4 3" xfId="7296" xr:uid="{00000000-0005-0000-0000-000096040000}"/>
    <cellStyle name="Accent1 4 5" xfId="1641" xr:uid="{00000000-0005-0000-0000-000097040000}"/>
    <cellStyle name="Accent1 4 6" xfId="1642" xr:uid="{00000000-0005-0000-0000-000098040000}"/>
    <cellStyle name="Accent1 4 7" xfId="1637" xr:uid="{00000000-0005-0000-0000-000099040000}"/>
    <cellStyle name="Accent1 5" xfId="1643" xr:uid="{00000000-0005-0000-0000-00009A040000}"/>
    <cellStyle name="Accent1 5 2" xfId="8179" xr:uid="{00000000-0005-0000-0000-00009B040000}"/>
    <cellStyle name="Accent1 5 3" xfId="7297" xr:uid="{00000000-0005-0000-0000-00009C040000}"/>
    <cellStyle name="Accent1 6" xfId="1644" xr:uid="{00000000-0005-0000-0000-00009D040000}"/>
    <cellStyle name="Accent1 6 2" xfId="8180" xr:uid="{00000000-0005-0000-0000-00009E040000}"/>
    <cellStyle name="Accent1 6 3" xfId="7298" xr:uid="{00000000-0005-0000-0000-00009F040000}"/>
    <cellStyle name="Accent1 7" xfId="1645" xr:uid="{00000000-0005-0000-0000-0000A0040000}"/>
    <cellStyle name="Accent1 7 2" xfId="8181" xr:uid="{00000000-0005-0000-0000-0000A1040000}"/>
    <cellStyle name="Accent1 7 3" xfId="7299" xr:uid="{00000000-0005-0000-0000-0000A2040000}"/>
    <cellStyle name="Accent1 8" xfId="1646" xr:uid="{00000000-0005-0000-0000-0000A3040000}"/>
    <cellStyle name="Accent1 8 2" xfId="8182" xr:uid="{00000000-0005-0000-0000-0000A4040000}"/>
    <cellStyle name="Accent1 8 3" xfId="7300" xr:uid="{00000000-0005-0000-0000-0000A5040000}"/>
    <cellStyle name="Accent1 9" xfId="1647" xr:uid="{00000000-0005-0000-0000-0000A6040000}"/>
    <cellStyle name="Accent1 9 2" xfId="8183" xr:uid="{00000000-0005-0000-0000-0000A7040000}"/>
    <cellStyle name="Accent1 9 3" xfId="7301" xr:uid="{00000000-0005-0000-0000-0000A8040000}"/>
    <cellStyle name="Accent2" xfId="20" builtinId="33" customBuiltin="1"/>
    <cellStyle name="Accent2 10" xfId="1648" xr:uid="{00000000-0005-0000-0000-0000AA040000}"/>
    <cellStyle name="Accent2 10 2" xfId="8184" xr:uid="{00000000-0005-0000-0000-0000AB040000}"/>
    <cellStyle name="Accent2 10 3" xfId="7302" xr:uid="{00000000-0005-0000-0000-0000AC040000}"/>
    <cellStyle name="Accent2 11" xfId="1649" xr:uid="{00000000-0005-0000-0000-0000AD040000}"/>
    <cellStyle name="Accent2 11 2" xfId="8185" xr:uid="{00000000-0005-0000-0000-0000AE040000}"/>
    <cellStyle name="Accent2 11 3" xfId="7303" xr:uid="{00000000-0005-0000-0000-0000AF040000}"/>
    <cellStyle name="Accent2 2" xfId="185" xr:uid="{00000000-0005-0000-0000-0000B0040000}"/>
    <cellStyle name="Accent2 2 2" xfId="186" xr:uid="{00000000-0005-0000-0000-0000B1040000}"/>
    <cellStyle name="Accent2 2 2 2" xfId="1651" xr:uid="{00000000-0005-0000-0000-0000B2040000}"/>
    <cellStyle name="Accent2 2 2 3" xfId="7304" xr:uid="{00000000-0005-0000-0000-0000B3040000}"/>
    <cellStyle name="Accent2 2 2 4" xfId="8743" xr:uid="{00000000-0005-0000-0000-0000B4040000}"/>
    <cellStyle name="Accent2 2 3" xfId="1652" xr:uid="{00000000-0005-0000-0000-0000B5040000}"/>
    <cellStyle name="Accent2 2 3 2" xfId="8186" xr:uid="{00000000-0005-0000-0000-0000B6040000}"/>
    <cellStyle name="Accent2 2 3 3" xfId="7305" xr:uid="{00000000-0005-0000-0000-0000B7040000}"/>
    <cellStyle name="Accent2 2 4" xfId="1653" xr:uid="{00000000-0005-0000-0000-0000B8040000}"/>
    <cellStyle name="Accent2 2 4 2" xfId="8187" xr:uid="{00000000-0005-0000-0000-0000B9040000}"/>
    <cellStyle name="Accent2 2 4 3" xfId="7306" xr:uid="{00000000-0005-0000-0000-0000BA040000}"/>
    <cellStyle name="Accent2 2 5" xfId="1654" xr:uid="{00000000-0005-0000-0000-0000BB040000}"/>
    <cellStyle name="Accent2 2 6" xfId="1655" xr:uid="{00000000-0005-0000-0000-0000BC040000}"/>
    <cellStyle name="Accent2 2 7" xfId="1650" xr:uid="{00000000-0005-0000-0000-0000BD040000}"/>
    <cellStyle name="Accent2 3" xfId="187" xr:uid="{00000000-0005-0000-0000-0000BE040000}"/>
    <cellStyle name="Accent2 3 2" xfId="188" xr:uid="{00000000-0005-0000-0000-0000BF040000}"/>
    <cellStyle name="Accent2 3 2 2" xfId="1657" xr:uid="{00000000-0005-0000-0000-0000C0040000}"/>
    <cellStyle name="Accent2 3 2 3" xfId="7307" xr:uid="{00000000-0005-0000-0000-0000C1040000}"/>
    <cellStyle name="Accent2 3 2 4" xfId="8744" xr:uid="{00000000-0005-0000-0000-0000C2040000}"/>
    <cellStyle name="Accent2 3 3" xfId="1658" xr:uid="{00000000-0005-0000-0000-0000C3040000}"/>
    <cellStyle name="Accent2 3 3 2" xfId="8188" xr:uid="{00000000-0005-0000-0000-0000C4040000}"/>
    <cellStyle name="Accent2 3 3 3" xfId="7308" xr:uid="{00000000-0005-0000-0000-0000C5040000}"/>
    <cellStyle name="Accent2 3 4" xfId="1659" xr:uid="{00000000-0005-0000-0000-0000C6040000}"/>
    <cellStyle name="Accent2 3 4 2" xfId="8189" xr:uid="{00000000-0005-0000-0000-0000C7040000}"/>
    <cellStyle name="Accent2 3 4 3" xfId="7309" xr:uid="{00000000-0005-0000-0000-0000C8040000}"/>
    <cellStyle name="Accent2 3 5" xfId="1660" xr:uid="{00000000-0005-0000-0000-0000C9040000}"/>
    <cellStyle name="Accent2 3 6" xfId="1661" xr:uid="{00000000-0005-0000-0000-0000CA040000}"/>
    <cellStyle name="Accent2 3 7" xfId="1656" xr:uid="{00000000-0005-0000-0000-0000CB040000}"/>
    <cellStyle name="Accent2 4" xfId="189" xr:uid="{00000000-0005-0000-0000-0000CC040000}"/>
    <cellStyle name="Accent2 4 2" xfId="190" xr:uid="{00000000-0005-0000-0000-0000CD040000}"/>
    <cellStyle name="Accent2 4 2 2" xfId="1663" xr:uid="{00000000-0005-0000-0000-0000CE040000}"/>
    <cellStyle name="Accent2 4 2 3" xfId="7310" xr:uid="{00000000-0005-0000-0000-0000CF040000}"/>
    <cellStyle name="Accent2 4 2 4" xfId="8745" xr:uid="{00000000-0005-0000-0000-0000D0040000}"/>
    <cellStyle name="Accent2 4 3" xfId="1664" xr:uid="{00000000-0005-0000-0000-0000D1040000}"/>
    <cellStyle name="Accent2 4 3 2" xfId="8190" xr:uid="{00000000-0005-0000-0000-0000D2040000}"/>
    <cellStyle name="Accent2 4 3 3" xfId="7311" xr:uid="{00000000-0005-0000-0000-0000D3040000}"/>
    <cellStyle name="Accent2 4 4" xfId="1665" xr:uid="{00000000-0005-0000-0000-0000D4040000}"/>
    <cellStyle name="Accent2 4 4 2" xfId="8191" xr:uid="{00000000-0005-0000-0000-0000D5040000}"/>
    <cellStyle name="Accent2 4 4 3" xfId="7312" xr:uid="{00000000-0005-0000-0000-0000D6040000}"/>
    <cellStyle name="Accent2 4 5" xfId="1666" xr:uid="{00000000-0005-0000-0000-0000D7040000}"/>
    <cellStyle name="Accent2 4 6" xfId="1667" xr:uid="{00000000-0005-0000-0000-0000D8040000}"/>
    <cellStyle name="Accent2 4 7" xfId="1662" xr:uid="{00000000-0005-0000-0000-0000D9040000}"/>
    <cellStyle name="Accent2 5" xfId="1668" xr:uid="{00000000-0005-0000-0000-0000DA040000}"/>
    <cellStyle name="Accent2 5 2" xfId="8192" xr:uid="{00000000-0005-0000-0000-0000DB040000}"/>
    <cellStyle name="Accent2 5 3" xfId="7313" xr:uid="{00000000-0005-0000-0000-0000DC040000}"/>
    <cellStyle name="Accent2 6" xfId="1669" xr:uid="{00000000-0005-0000-0000-0000DD040000}"/>
    <cellStyle name="Accent2 6 2" xfId="8193" xr:uid="{00000000-0005-0000-0000-0000DE040000}"/>
    <cellStyle name="Accent2 6 3" xfId="7314" xr:uid="{00000000-0005-0000-0000-0000DF040000}"/>
    <cellStyle name="Accent2 7" xfId="1670" xr:uid="{00000000-0005-0000-0000-0000E0040000}"/>
    <cellStyle name="Accent2 7 2" xfId="8194" xr:uid="{00000000-0005-0000-0000-0000E1040000}"/>
    <cellStyle name="Accent2 7 3" xfId="7315" xr:uid="{00000000-0005-0000-0000-0000E2040000}"/>
    <cellStyle name="Accent2 8" xfId="1671" xr:uid="{00000000-0005-0000-0000-0000E3040000}"/>
    <cellStyle name="Accent2 8 2" xfId="8195" xr:uid="{00000000-0005-0000-0000-0000E4040000}"/>
    <cellStyle name="Accent2 8 3" xfId="7316" xr:uid="{00000000-0005-0000-0000-0000E5040000}"/>
    <cellStyle name="Accent2 9" xfId="1672" xr:uid="{00000000-0005-0000-0000-0000E6040000}"/>
    <cellStyle name="Accent2 9 2" xfId="8196" xr:uid="{00000000-0005-0000-0000-0000E7040000}"/>
    <cellStyle name="Accent2 9 3" xfId="7317" xr:uid="{00000000-0005-0000-0000-0000E8040000}"/>
    <cellStyle name="Accent3" xfId="21" builtinId="37" customBuiltin="1"/>
    <cellStyle name="Accent3 10" xfId="1673" xr:uid="{00000000-0005-0000-0000-0000EA040000}"/>
    <cellStyle name="Accent3 10 2" xfId="8197" xr:uid="{00000000-0005-0000-0000-0000EB040000}"/>
    <cellStyle name="Accent3 10 3" xfId="7318" xr:uid="{00000000-0005-0000-0000-0000EC040000}"/>
    <cellStyle name="Accent3 11" xfId="1674" xr:uid="{00000000-0005-0000-0000-0000ED040000}"/>
    <cellStyle name="Accent3 11 2" xfId="8198" xr:uid="{00000000-0005-0000-0000-0000EE040000}"/>
    <cellStyle name="Accent3 11 3" xfId="7319" xr:uid="{00000000-0005-0000-0000-0000EF040000}"/>
    <cellStyle name="Accent3 2" xfId="191" xr:uid="{00000000-0005-0000-0000-0000F0040000}"/>
    <cellStyle name="Accent3 2 2" xfId="192" xr:uid="{00000000-0005-0000-0000-0000F1040000}"/>
    <cellStyle name="Accent3 2 2 2" xfId="1676" xr:uid="{00000000-0005-0000-0000-0000F2040000}"/>
    <cellStyle name="Accent3 2 2 3" xfId="7320" xr:uid="{00000000-0005-0000-0000-0000F3040000}"/>
    <cellStyle name="Accent3 2 2 4" xfId="8746" xr:uid="{00000000-0005-0000-0000-0000F4040000}"/>
    <cellStyle name="Accent3 2 3" xfId="1677" xr:uid="{00000000-0005-0000-0000-0000F5040000}"/>
    <cellStyle name="Accent3 2 3 2" xfId="8199" xr:uid="{00000000-0005-0000-0000-0000F6040000}"/>
    <cellStyle name="Accent3 2 3 3" xfId="7321" xr:uid="{00000000-0005-0000-0000-0000F7040000}"/>
    <cellStyle name="Accent3 2 4" xfId="1678" xr:uid="{00000000-0005-0000-0000-0000F8040000}"/>
    <cellStyle name="Accent3 2 4 2" xfId="8200" xr:uid="{00000000-0005-0000-0000-0000F9040000}"/>
    <cellStyle name="Accent3 2 4 3" xfId="7322" xr:uid="{00000000-0005-0000-0000-0000FA040000}"/>
    <cellStyle name="Accent3 2 5" xfId="1679" xr:uid="{00000000-0005-0000-0000-0000FB040000}"/>
    <cellStyle name="Accent3 2 6" xfId="1680" xr:uid="{00000000-0005-0000-0000-0000FC040000}"/>
    <cellStyle name="Accent3 2 7" xfId="1675" xr:uid="{00000000-0005-0000-0000-0000FD040000}"/>
    <cellStyle name="Accent3 3" xfId="193" xr:uid="{00000000-0005-0000-0000-0000FE040000}"/>
    <cellStyle name="Accent3 3 2" xfId="194" xr:uid="{00000000-0005-0000-0000-0000FF040000}"/>
    <cellStyle name="Accent3 3 2 2" xfId="1682" xr:uid="{00000000-0005-0000-0000-000000050000}"/>
    <cellStyle name="Accent3 3 2 3" xfId="7323" xr:uid="{00000000-0005-0000-0000-000001050000}"/>
    <cellStyle name="Accent3 3 2 4" xfId="8747" xr:uid="{00000000-0005-0000-0000-000002050000}"/>
    <cellStyle name="Accent3 3 3" xfId="1683" xr:uid="{00000000-0005-0000-0000-000003050000}"/>
    <cellStyle name="Accent3 3 3 2" xfId="8201" xr:uid="{00000000-0005-0000-0000-000004050000}"/>
    <cellStyle name="Accent3 3 3 3" xfId="7324" xr:uid="{00000000-0005-0000-0000-000005050000}"/>
    <cellStyle name="Accent3 3 4" xfId="1684" xr:uid="{00000000-0005-0000-0000-000006050000}"/>
    <cellStyle name="Accent3 3 4 2" xfId="8202" xr:uid="{00000000-0005-0000-0000-000007050000}"/>
    <cellStyle name="Accent3 3 4 3" xfId="7325" xr:uid="{00000000-0005-0000-0000-000008050000}"/>
    <cellStyle name="Accent3 3 5" xfId="1685" xr:uid="{00000000-0005-0000-0000-000009050000}"/>
    <cellStyle name="Accent3 3 6" xfId="1686" xr:uid="{00000000-0005-0000-0000-00000A050000}"/>
    <cellStyle name="Accent3 3 7" xfId="1681" xr:uid="{00000000-0005-0000-0000-00000B050000}"/>
    <cellStyle name="Accent3 4" xfId="195" xr:uid="{00000000-0005-0000-0000-00000C050000}"/>
    <cellStyle name="Accent3 4 2" xfId="196" xr:uid="{00000000-0005-0000-0000-00000D050000}"/>
    <cellStyle name="Accent3 4 2 2" xfId="1688" xr:uid="{00000000-0005-0000-0000-00000E050000}"/>
    <cellStyle name="Accent3 4 2 3" xfId="7326" xr:uid="{00000000-0005-0000-0000-00000F050000}"/>
    <cellStyle name="Accent3 4 2 4" xfId="8748" xr:uid="{00000000-0005-0000-0000-000010050000}"/>
    <cellStyle name="Accent3 4 3" xfId="1689" xr:uid="{00000000-0005-0000-0000-000011050000}"/>
    <cellStyle name="Accent3 4 3 2" xfId="8203" xr:uid="{00000000-0005-0000-0000-000012050000}"/>
    <cellStyle name="Accent3 4 3 3" xfId="7327" xr:uid="{00000000-0005-0000-0000-000013050000}"/>
    <cellStyle name="Accent3 4 4" xfId="1690" xr:uid="{00000000-0005-0000-0000-000014050000}"/>
    <cellStyle name="Accent3 4 4 2" xfId="8204" xr:uid="{00000000-0005-0000-0000-000015050000}"/>
    <cellStyle name="Accent3 4 4 3" xfId="7328" xr:uid="{00000000-0005-0000-0000-000016050000}"/>
    <cellStyle name="Accent3 4 5" xfId="1691" xr:uid="{00000000-0005-0000-0000-000017050000}"/>
    <cellStyle name="Accent3 4 6" xfId="1692" xr:uid="{00000000-0005-0000-0000-000018050000}"/>
    <cellStyle name="Accent3 4 7" xfId="1687" xr:uid="{00000000-0005-0000-0000-000019050000}"/>
    <cellStyle name="Accent3 5" xfId="1693" xr:uid="{00000000-0005-0000-0000-00001A050000}"/>
    <cellStyle name="Accent3 5 2" xfId="8205" xr:uid="{00000000-0005-0000-0000-00001B050000}"/>
    <cellStyle name="Accent3 5 3" xfId="7329" xr:uid="{00000000-0005-0000-0000-00001C050000}"/>
    <cellStyle name="Accent3 6" xfId="1694" xr:uid="{00000000-0005-0000-0000-00001D050000}"/>
    <cellStyle name="Accent3 6 2" xfId="8206" xr:uid="{00000000-0005-0000-0000-00001E050000}"/>
    <cellStyle name="Accent3 6 3" xfId="7330" xr:uid="{00000000-0005-0000-0000-00001F050000}"/>
    <cellStyle name="Accent3 7" xfId="1695" xr:uid="{00000000-0005-0000-0000-000020050000}"/>
    <cellStyle name="Accent3 7 2" xfId="8207" xr:uid="{00000000-0005-0000-0000-000021050000}"/>
    <cellStyle name="Accent3 7 3" xfId="7331" xr:uid="{00000000-0005-0000-0000-000022050000}"/>
    <cellStyle name="Accent3 8" xfId="1696" xr:uid="{00000000-0005-0000-0000-000023050000}"/>
    <cellStyle name="Accent3 8 2" xfId="8208" xr:uid="{00000000-0005-0000-0000-000024050000}"/>
    <cellStyle name="Accent3 8 3" xfId="7332" xr:uid="{00000000-0005-0000-0000-000025050000}"/>
    <cellStyle name="Accent3 9" xfId="1697" xr:uid="{00000000-0005-0000-0000-000026050000}"/>
    <cellStyle name="Accent3 9 2" xfId="8209" xr:uid="{00000000-0005-0000-0000-000027050000}"/>
    <cellStyle name="Accent3 9 3" xfId="7333" xr:uid="{00000000-0005-0000-0000-000028050000}"/>
    <cellStyle name="Accent4" xfId="22" builtinId="41" customBuiltin="1"/>
    <cellStyle name="Accent4 10" xfId="1698" xr:uid="{00000000-0005-0000-0000-00002A050000}"/>
    <cellStyle name="Accent4 10 2" xfId="8210" xr:uid="{00000000-0005-0000-0000-00002B050000}"/>
    <cellStyle name="Accent4 10 3" xfId="7334" xr:uid="{00000000-0005-0000-0000-00002C050000}"/>
    <cellStyle name="Accent4 11" xfId="1699" xr:uid="{00000000-0005-0000-0000-00002D050000}"/>
    <cellStyle name="Accent4 11 2" xfId="8211" xr:uid="{00000000-0005-0000-0000-00002E050000}"/>
    <cellStyle name="Accent4 11 3" xfId="7335" xr:uid="{00000000-0005-0000-0000-00002F050000}"/>
    <cellStyle name="Accent4 2" xfId="197" xr:uid="{00000000-0005-0000-0000-000030050000}"/>
    <cellStyle name="Accent4 2 2" xfId="198" xr:uid="{00000000-0005-0000-0000-000031050000}"/>
    <cellStyle name="Accent4 2 2 2" xfId="1701" xr:uid="{00000000-0005-0000-0000-000032050000}"/>
    <cellStyle name="Accent4 2 2 3" xfId="7336" xr:uid="{00000000-0005-0000-0000-000033050000}"/>
    <cellStyle name="Accent4 2 2 4" xfId="8749" xr:uid="{00000000-0005-0000-0000-000034050000}"/>
    <cellStyle name="Accent4 2 3" xfId="1702" xr:uid="{00000000-0005-0000-0000-000035050000}"/>
    <cellStyle name="Accent4 2 3 2" xfId="8212" xr:uid="{00000000-0005-0000-0000-000036050000}"/>
    <cellStyle name="Accent4 2 3 3" xfId="7337" xr:uid="{00000000-0005-0000-0000-000037050000}"/>
    <cellStyle name="Accent4 2 4" xfId="1703" xr:uid="{00000000-0005-0000-0000-000038050000}"/>
    <cellStyle name="Accent4 2 4 2" xfId="8213" xr:uid="{00000000-0005-0000-0000-000039050000}"/>
    <cellStyle name="Accent4 2 4 3" xfId="7338" xr:uid="{00000000-0005-0000-0000-00003A050000}"/>
    <cellStyle name="Accent4 2 5" xfId="1704" xr:uid="{00000000-0005-0000-0000-00003B050000}"/>
    <cellStyle name="Accent4 2 6" xfId="1705" xr:uid="{00000000-0005-0000-0000-00003C050000}"/>
    <cellStyle name="Accent4 2 7" xfId="1700" xr:uid="{00000000-0005-0000-0000-00003D050000}"/>
    <cellStyle name="Accent4 3" xfId="199" xr:uid="{00000000-0005-0000-0000-00003E050000}"/>
    <cellStyle name="Accent4 3 2" xfId="200" xr:uid="{00000000-0005-0000-0000-00003F050000}"/>
    <cellStyle name="Accent4 3 2 2" xfId="1707" xr:uid="{00000000-0005-0000-0000-000040050000}"/>
    <cellStyle name="Accent4 3 2 3" xfId="7339" xr:uid="{00000000-0005-0000-0000-000041050000}"/>
    <cellStyle name="Accent4 3 2 4" xfId="8750" xr:uid="{00000000-0005-0000-0000-000042050000}"/>
    <cellStyle name="Accent4 3 3" xfId="1708" xr:uid="{00000000-0005-0000-0000-000043050000}"/>
    <cellStyle name="Accent4 3 3 2" xfId="8214" xr:uid="{00000000-0005-0000-0000-000044050000}"/>
    <cellStyle name="Accent4 3 3 3" xfId="7340" xr:uid="{00000000-0005-0000-0000-000045050000}"/>
    <cellStyle name="Accent4 3 4" xfId="1709" xr:uid="{00000000-0005-0000-0000-000046050000}"/>
    <cellStyle name="Accent4 3 4 2" xfId="8215" xr:uid="{00000000-0005-0000-0000-000047050000}"/>
    <cellStyle name="Accent4 3 4 3" xfId="7341" xr:uid="{00000000-0005-0000-0000-000048050000}"/>
    <cellStyle name="Accent4 3 5" xfId="1710" xr:uid="{00000000-0005-0000-0000-000049050000}"/>
    <cellStyle name="Accent4 3 6" xfId="1711" xr:uid="{00000000-0005-0000-0000-00004A050000}"/>
    <cellStyle name="Accent4 3 7" xfId="1706" xr:uid="{00000000-0005-0000-0000-00004B050000}"/>
    <cellStyle name="Accent4 4" xfId="201" xr:uid="{00000000-0005-0000-0000-00004C050000}"/>
    <cellStyle name="Accent4 4 2" xfId="202" xr:uid="{00000000-0005-0000-0000-00004D050000}"/>
    <cellStyle name="Accent4 4 2 2" xfId="1713" xr:uid="{00000000-0005-0000-0000-00004E050000}"/>
    <cellStyle name="Accent4 4 2 3" xfId="7342" xr:uid="{00000000-0005-0000-0000-00004F050000}"/>
    <cellStyle name="Accent4 4 2 4" xfId="8751" xr:uid="{00000000-0005-0000-0000-000050050000}"/>
    <cellStyle name="Accent4 4 3" xfId="1714" xr:uid="{00000000-0005-0000-0000-000051050000}"/>
    <cellStyle name="Accent4 4 3 2" xfId="8216" xr:uid="{00000000-0005-0000-0000-000052050000}"/>
    <cellStyle name="Accent4 4 3 3" xfId="7343" xr:uid="{00000000-0005-0000-0000-000053050000}"/>
    <cellStyle name="Accent4 4 4" xfId="1715" xr:uid="{00000000-0005-0000-0000-000054050000}"/>
    <cellStyle name="Accent4 4 4 2" xfId="8217" xr:uid="{00000000-0005-0000-0000-000055050000}"/>
    <cellStyle name="Accent4 4 4 3" xfId="7344" xr:uid="{00000000-0005-0000-0000-000056050000}"/>
    <cellStyle name="Accent4 4 5" xfId="1716" xr:uid="{00000000-0005-0000-0000-000057050000}"/>
    <cellStyle name="Accent4 4 6" xfId="1717" xr:uid="{00000000-0005-0000-0000-000058050000}"/>
    <cellStyle name="Accent4 4 7" xfId="1712" xr:uid="{00000000-0005-0000-0000-000059050000}"/>
    <cellStyle name="Accent4 5" xfId="1718" xr:uid="{00000000-0005-0000-0000-00005A050000}"/>
    <cellStyle name="Accent4 5 2" xfId="8218" xr:uid="{00000000-0005-0000-0000-00005B050000}"/>
    <cellStyle name="Accent4 5 3" xfId="7345" xr:uid="{00000000-0005-0000-0000-00005C050000}"/>
    <cellStyle name="Accent4 6" xfId="1719" xr:uid="{00000000-0005-0000-0000-00005D050000}"/>
    <cellStyle name="Accent4 6 2" xfId="8219" xr:uid="{00000000-0005-0000-0000-00005E050000}"/>
    <cellStyle name="Accent4 6 3" xfId="7346" xr:uid="{00000000-0005-0000-0000-00005F050000}"/>
    <cellStyle name="Accent4 7" xfId="1720" xr:uid="{00000000-0005-0000-0000-000060050000}"/>
    <cellStyle name="Accent4 7 2" xfId="8220" xr:uid="{00000000-0005-0000-0000-000061050000}"/>
    <cellStyle name="Accent4 7 3" xfId="7347" xr:uid="{00000000-0005-0000-0000-000062050000}"/>
    <cellStyle name="Accent4 8" xfId="1721" xr:uid="{00000000-0005-0000-0000-000063050000}"/>
    <cellStyle name="Accent4 8 2" xfId="8221" xr:uid="{00000000-0005-0000-0000-000064050000}"/>
    <cellStyle name="Accent4 8 3" xfId="7348" xr:uid="{00000000-0005-0000-0000-000065050000}"/>
    <cellStyle name="Accent4 9" xfId="1722" xr:uid="{00000000-0005-0000-0000-000066050000}"/>
    <cellStyle name="Accent4 9 2" xfId="8222" xr:uid="{00000000-0005-0000-0000-000067050000}"/>
    <cellStyle name="Accent4 9 3" xfId="7349" xr:uid="{00000000-0005-0000-0000-000068050000}"/>
    <cellStyle name="Accent5" xfId="23" builtinId="45" customBuiltin="1"/>
    <cellStyle name="Accent5 10" xfId="1723" xr:uid="{00000000-0005-0000-0000-00006A050000}"/>
    <cellStyle name="Accent5 10 2" xfId="8223" xr:uid="{00000000-0005-0000-0000-00006B050000}"/>
    <cellStyle name="Accent5 10 3" xfId="7350" xr:uid="{00000000-0005-0000-0000-00006C050000}"/>
    <cellStyle name="Accent5 11" xfId="1724" xr:uid="{00000000-0005-0000-0000-00006D050000}"/>
    <cellStyle name="Accent5 11 2" xfId="8224" xr:uid="{00000000-0005-0000-0000-00006E050000}"/>
    <cellStyle name="Accent5 11 3" xfId="7351" xr:uid="{00000000-0005-0000-0000-00006F050000}"/>
    <cellStyle name="Accent5 2" xfId="203" xr:uid="{00000000-0005-0000-0000-000070050000}"/>
    <cellStyle name="Accent5 2 2" xfId="204" xr:uid="{00000000-0005-0000-0000-000071050000}"/>
    <cellStyle name="Accent5 2 2 2" xfId="1726" xr:uid="{00000000-0005-0000-0000-000072050000}"/>
    <cellStyle name="Accent5 2 2 3" xfId="7352" xr:uid="{00000000-0005-0000-0000-000073050000}"/>
    <cellStyle name="Accent5 2 2 4" xfId="8752" xr:uid="{00000000-0005-0000-0000-000074050000}"/>
    <cellStyle name="Accent5 2 3" xfId="1727" xr:uid="{00000000-0005-0000-0000-000075050000}"/>
    <cellStyle name="Accent5 2 3 2" xfId="8225" xr:uid="{00000000-0005-0000-0000-000076050000}"/>
    <cellStyle name="Accent5 2 3 3" xfId="7353" xr:uid="{00000000-0005-0000-0000-000077050000}"/>
    <cellStyle name="Accent5 2 4" xfId="1728" xr:uid="{00000000-0005-0000-0000-000078050000}"/>
    <cellStyle name="Accent5 2 4 2" xfId="8226" xr:uid="{00000000-0005-0000-0000-000079050000}"/>
    <cellStyle name="Accent5 2 4 3" xfId="7354" xr:uid="{00000000-0005-0000-0000-00007A050000}"/>
    <cellStyle name="Accent5 2 5" xfId="1729" xr:uid="{00000000-0005-0000-0000-00007B050000}"/>
    <cellStyle name="Accent5 2 6" xfId="1730" xr:uid="{00000000-0005-0000-0000-00007C050000}"/>
    <cellStyle name="Accent5 2 7" xfId="1725" xr:uid="{00000000-0005-0000-0000-00007D050000}"/>
    <cellStyle name="Accent5 3" xfId="205" xr:uid="{00000000-0005-0000-0000-00007E050000}"/>
    <cellStyle name="Accent5 3 2" xfId="206" xr:uid="{00000000-0005-0000-0000-00007F050000}"/>
    <cellStyle name="Accent5 3 2 2" xfId="1732" xr:uid="{00000000-0005-0000-0000-000080050000}"/>
    <cellStyle name="Accent5 3 2 3" xfId="7355" xr:uid="{00000000-0005-0000-0000-000081050000}"/>
    <cellStyle name="Accent5 3 2 4" xfId="8753" xr:uid="{00000000-0005-0000-0000-000082050000}"/>
    <cellStyle name="Accent5 3 3" xfId="1733" xr:uid="{00000000-0005-0000-0000-000083050000}"/>
    <cellStyle name="Accent5 3 3 2" xfId="8227" xr:uid="{00000000-0005-0000-0000-000084050000}"/>
    <cellStyle name="Accent5 3 3 3" xfId="7356" xr:uid="{00000000-0005-0000-0000-000085050000}"/>
    <cellStyle name="Accent5 3 4" xfId="1734" xr:uid="{00000000-0005-0000-0000-000086050000}"/>
    <cellStyle name="Accent5 3 4 2" xfId="8228" xr:uid="{00000000-0005-0000-0000-000087050000}"/>
    <cellStyle name="Accent5 3 4 3" xfId="7357" xr:uid="{00000000-0005-0000-0000-000088050000}"/>
    <cellStyle name="Accent5 3 5" xfId="1735" xr:uid="{00000000-0005-0000-0000-000089050000}"/>
    <cellStyle name="Accent5 3 6" xfId="1736" xr:uid="{00000000-0005-0000-0000-00008A050000}"/>
    <cellStyle name="Accent5 3 7" xfId="1731" xr:uid="{00000000-0005-0000-0000-00008B050000}"/>
    <cellStyle name="Accent5 4" xfId="207" xr:uid="{00000000-0005-0000-0000-00008C050000}"/>
    <cellStyle name="Accent5 4 2" xfId="208" xr:uid="{00000000-0005-0000-0000-00008D050000}"/>
    <cellStyle name="Accent5 4 2 2" xfId="1738" xr:uid="{00000000-0005-0000-0000-00008E050000}"/>
    <cellStyle name="Accent5 4 2 3" xfId="7358" xr:uid="{00000000-0005-0000-0000-00008F050000}"/>
    <cellStyle name="Accent5 4 2 4" xfId="8754" xr:uid="{00000000-0005-0000-0000-000090050000}"/>
    <cellStyle name="Accent5 4 3" xfId="1739" xr:uid="{00000000-0005-0000-0000-000091050000}"/>
    <cellStyle name="Accent5 4 3 2" xfId="8229" xr:uid="{00000000-0005-0000-0000-000092050000}"/>
    <cellStyle name="Accent5 4 3 3" xfId="7359" xr:uid="{00000000-0005-0000-0000-000093050000}"/>
    <cellStyle name="Accent5 4 4" xfId="1740" xr:uid="{00000000-0005-0000-0000-000094050000}"/>
    <cellStyle name="Accent5 4 4 2" xfId="8230" xr:uid="{00000000-0005-0000-0000-000095050000}"/>
    <cellStyle name="Accent5 4 4 3" xfId="7360" xr:uid="{00000000-0005-0000-0000-000096050000}"/>
    <cellStyle name="Accent5 4 5" xfId="1741" xr:uid="{00000000-0005-0000-0000-000097050000}"/>
    <cellStyle name="Accent5 4 6" xfId="1742" xr:uid="{00000000-0005-0000-0000-000098050000}"/>
    <cellStyle name="Accent5 4 7" xfId="1737" xr:uid="{00000000-0005-0000-0000-000099050000}"/>
    <cellStyle name="Accent5 5" xfId="1743" xr:uid="{00000000-0005-0000-0000-00009A050000}"/>
    <cellStyle name="Accent5 5 2" xfId="8231" xr:uid="{00000000-0005-0000-0000-00009B050000}"/>
    <cellStyle name="Accent5 5 3" xfId="7361" xr:uid="{00000000-0005-0000-0000-00009C050000}"/>
    <cellStyle name="Accent5 6" xfId="1744" xr:uid="{00000000-0005-0000-0000-00009D050000}"/>
    <cellStyle name="Accent5 6 2" xfId="8232" xr:uid="{00000000-0005-0000-0000-00009E050000}"/>
    <cellStyle name="Accent5 6 3" xfId="7362" xr:uid="{00000000-0005-0000-0000-00009F050000}"/>
    <cellStyle name="Accent5 7" xfId="1745" xr:uid="{00000000-0005-0000-0000-0000A0050000}"/>
    <cellStyle name="Accent5 7 2" xfId="8233" xr:uid="{00000000-0005-0000-0000-0000A1050000}"/>
    <cellStyle name="Accent5 7 3" xfId="7363" xr:uid="{00000000-0005-0000-0000-0000A2050000}"/>
    <cellStyle name="Accent5 8" xfId="1746" xr:uid="{00000000-0005-0000-0000-0000A3050000}"/>
    <cellStyle name="Accent5 8 2" xfId="8234" xr:uid="{00000000-0005-0000-0000-0000A4050000}"/>
    <cellStyle name="Accent5 8 3" xfId="7364" xr:uid="{00000000-0005-0000-0000-0000A5050000}"/>
    <cellStyle name="Accent5 9" xfId="1747" xr:uid="{00000000-0005-0000-0000-0000A6050000}"/>
    <cellStyle name="Accent5 9 2" xfId="8235" xr:uid="{00000000-0005-0000-0000-0000A7050000}"/>
    <cellStyle name="Accent5 9 3" xfId="7365" xr:uid="{00000000-0005-0000-0000-0000A8050000}"/>
    <cellStyle name="Accent6" xfId="24" builtinId="49" customBuiltin="1"/>
    <cellStyle name="Accent6 10" xfId="1748" xr:uid="{00000000-0005-0000-0000-0000AA050000}"/>
    <cellStyle name="Accent6 10 2" xfId="8236" xr:uid="{00000000-0005-0000-0000-0000AB050000}"/>
    <cellStyle name="Accent6 10 3" xfId="7366" xr:uid="{00000000-0005-0000-0000-0000AC050000}"/>
    <cellStyle name="Accent6 11" xfId="1749" xr:uid="{00000000-0005-0000-0000-0000AD050000}"/>
    <cellStyle name="Accent6 11 2" xfId="8237" xr:uid="{00000000-0005-0000-0000-0000AE050000}"/>
    <cellStyle name="Accent6 11 3" xfId="7367" xr:uid="{00000000-0005-0000-0000-0000AF050000}"/>
    <cellStyle name="Accent6 2" xfId="209" xr:uid="{00000000-0005-0000-0000-0000B0050000}"/>
    <cellStyle name="Accent6 2 2" xfId="210" xr:uid="{00000000-0005-0000-0000-0000B1050000}"/>
    <cellStyle name="Accent6 2 2 2" xfId="1751" xr:uid="{00000000-0005-0000-0000-0000B2050000}"/>
    <cellStyle name="Accent6 2 2 3" xfId="7368" xr:uid="{00000000-0005-0000-0000-0000B3050000}"/>
    <cellStyle name="Accent6 2 2 4" xfId="8755" xr:uid="{00000000-0005-0000-0000-0000B4050000}"/>
    <cellStyle name="Accent6 2 3" xfId="1752" xr:uid="{00000000-0005-0000-0000-0000B5050000}"/>
    <cellStyle name="Accent6 2 3 2" xfId="8238" xr:uid="{00000000-0005-0000-0000-0000B6050000}"/>
    <cellStyle name="Accent6 2 3 3" xfId="7369" xr:uid="{00000000-0005-0000-0000-0000B7050000}"/>
    <cellStyle name="Accent6 2 4" xfId="1753" xr:uid="{00000000-0005-0000-0000-0000B8050000}"/>
    <cellStyle name="Accent6 2 4 2" xfId="8239" xr:uid="{00000000-0005-0000-0000-0000B9050000}"/>
    <cellStyle name="Accent6 2 4 3" xfId="7370" xr:uid="{00000000-0005-0000-0000-0000BA050000}"/>
    <cellStyle name="Accent6 2 5" xfId="1754" xr:uid="{00000000-0005-0000-0000-0000BB050000}"/>
    <cellStyle name="Accent6 2 6" xfId="1755" xr:uid="{00000000-0005-0000-0000-0000BC050000}"/>
    <cellStyle name="Accent6 2 7" xfId="1750" xr:uid="{00000000-0005-0000-0000-0000BD050000}"/>
    <cellStyle name="Accent6 3" xfId="211" xr:uid="{00000000-0005-0000-0000-0000BE050000}"/>
    <cellStyle name="Accent6 3 2" xfId="212" xr:uid="{00000000-0005-0000-0000-0000BF050000}"/>
    <cellStyle name="Accent6 3 2 2" xfId="1757" xr:uid="{00000000-0005-0000-0000-0000C0050000}"/>
    <cellStyle name="Accent6 3 2 3" xfId="7371" xr:uid="{00000000-0005-0000-0000-0000C1050000}"/>
    <cellStyle name="Accent6 3 2 4" xfId="8756" xr:uid="{00000000-0005-0000-0000-0000C2050000}"/>
    <cellStyle name="Accent6 3 3" xfId="1758" xr:uid="{00000000-0005-0000-0000-0000C3050000}"/>
    <cellStyle name="Accent6 3 3 2" xfId="8240" xr:uid="{00000000-0005-0000-0000-0000C4050000}"/>
    <cellStyle name="Accent6 3 3 3" xfId="7372" xr:uid="{00000000-0005-0000-0000-0000C5050000}"/>
    <cellStyle name="Accent6 3 4" xfId="1759" xr:uid="{00000000-0005-0000-0000-0000C6050000}"/>
    <cellStyle name="Accent6 3 4 2" xfId="8241" xr:uid="{00000000-0005-0000-0000-0000C7050000}"/>
    <cellStyle name="Accent6 3 4 3" xfId="7373" xr:uid="{00000000-0005-0000-0000-0000C8050000}"/>
    <cellStyle name="Accent6 3 5" xfId="1760" xr:uid="{00000000-0005-0000-0000-0000C9050000}"/>
    <cellStyle name="Accent6 3 6" xfId="1761" xr:uid="{00000000-0005-0000-0000-0000CA050000}"/>
    <cellStyle name="Accent6 3 7" xfId="1756" xr:uid="{00000000-0005-0000-0000-0000CB050000}"/>
    <cellStyle name="Accent6 4" xfId="213" xr:uid="{00000000-0005-0000-0000-0000CC050000}"/>
    <cellStyle name="Accent6 4 2" xfId="214" xr:uid="{00000000-0005-0000-0000-0000CD050000}"/>
    <cellStyle name="Accent6 4 2 2" xfId="1763" xr:uid="{00000000-0005-0000-0000-0000CE050000}"/>
    <cellStyle name="Accent6 4 2 3" xfId="7374" xr:uid="{00000000-0005-0000-0000-0000CF050000}"/>
    <cellStyle name="Accent6 4 2 4" xfId="8757" xr:uid="{00000000-0005-0000-0000-0000D0050000}"/>
    <cellStyle name="Accent6 4 3" xfId="1764" xr:uid="{00000000-0005-0000-0000-0000D1050000}"/>
    <cellStyle name="Accent6 4 3 2" xfId="8242" xr:uid="{00000000-0005-0000-0000-0000D2050000}"/>
    <cellStyle name="Accent6 4 3 3" xfId="7375" xr:uid="{00000000-0005-0000-0000-0000D3050000}"/>
    <cellStyle name="Accent6 4 4" xfId="1765" xr:uid="{00000000-0005-0000-0000-0000D4050000}"/>
    <cellStyle name="Accent6 4 4 2" xfId="8243" xr:uid="{00000000-0005-0000-0000-0000D5050000}"/>
    <cellStyle name="Accent6 4 4 3" xfId="7376" xr:uid="{00000000-0005-0000-0000-0000D6050000}"/>
    <cellStyle name="Accent6 4 5" xfId="1766" xr:uid="{00000000-0005-0000-0000-0000D7050000}"/>
    <cellStyle name="Accent6 4 6" xfId="1767" xr:uid="{00000000-0005-0000-0000-0000D8050000}"/>
    <cellStyle name="Accent6 4 7" xfId="1762" xr:uid="{00000000-0005-0000-0000-0000D9050000}"/>
    <cellStyle name="Accent6 5" xfId="1768" xr:uid="{00000000-0005-0000-0000-0000DA050000}"/>
    <cellStyle name="Accent6 5 2" xfId="8244" xr:uid="{00000000-0005-0000-0000-0000DB050000}"/>
    <cellStyle name="Accent6 5 3" xfId="7377" xr:uid="{00000000-0005-0000-0000-0000DC050000}"/>
    <cellStyle name="Accent6 6" xfId="1769" xr:uid="{00000000-0005-0000-0000-0000DD050000}"/>
    <cellStyle name="Accent6 6 2" xfId="8245" xr:uid="{00000000-0005-0000-0000-0000DE050000}"/>
    <cellStyle name="Accent6 6 3" xfId="7378" xr:uid="{00000000-0005-0000-0000-0000DF050000}"/>
    <cellStyle name="Accent6 7" xfId="1770" xr:uid="{00000000-0005-0000-0000-0000E0050000}"/>
    <cellStyle name="Accent6 7 2" xfId="8246" xr:uid="{00000000-0005-0000-0000-0000E1050000}"/>
    <cellStyle name="Accent6 7 3" xfId="7379" xr:uid="{00000000-0005-0000-0000-0000E2050000}"/>
    <cellStyle name="Accent6 8" xfId="1771" xr:uid="{00000000-0005-0000-0000-0000E3050000}"/>
    <cellStyle name="Accent6 8 2" xfId="8247" xr:uid="{00000000-0005-0000-0000-0000E4050000}"/>
    <cellStyle name="Accent6 8 3" xfId="7380" xr:uid="{00000000-0005-0000-0000-0000E5050000}"/>
    <cellStyle name="Accent6 9" xfId="1772" xr:uid="{00000000-0005-0000-0000-0000E6050000}"/>
    <cellStyle name="Accent6 9 2" xfId="8248" xr:uid="{00000000-0005-0000-0000-0000E7050000}"/>
    <cellStyle name="Accent6 9 3" xfId="7381" xr:uid="{00000000-0005-0000-0000-0000E8050000}"/>
    <cellStyle name="Bad" xfId="25" builtinId="27" customBuiltin="1"/>
    <cellStyle name="Bad 10" xfId="1773" xr:uid="{00000000-0005-0000-0000-0000EA050000}"/>
    <cellStyle name="Bad 10 2" xfId="8249" xr:uid="{00000000-0005-0000-0000-0000EB050000}"/>
    <cellStyle name="Bad 10 3" xfId="7382" xr:uid="{00000000-0005-0000-0000-0000EC050000}"/>
    <cellStyle name="Bad 11" xfId="1774" xr:uid="{00000000-0005-0000-0000-0000ED050000}"/>
    <cellStyle name="Bad 11 2" xfId="8250" xr:uid="{00000000-0005-0000-0000-0000EE050000}"/>
    <cellStyle name="Bad 11 3" xfId="7383" xr:uid="{00000000-0005-0000-0000-0000EF050000}"/>
    <cellStyle name="Bad 2" xfId="215" xr:uid="{00000000-0005-0000-0000-0000F0050000}"/>
    <cellStyle name="Bad 2 2" xfId="216" xr:uid="{00000000-0005-0000-0000-0000F1050000}"/>
    <cellStyle name="Bad 2 2 2" xfId="1776" xr:uid="{00000000-0005-0000-0000-0000F2050000}"/>
    <cellStyle name="Bad 2 2 3" xfId="7384" xr:uid="{00000000-0005-0000-0000-0000F3050000}"/>
    <cellStyle name="Bad 2 2 4" xfId="8758" xr:uid="{00000000-0005-0000-0000-0000F4050000}"/>
    <cellStyle name="Bad 2 3" xfId="1777" xr:uid="{00000000-0005-0000-0000-0000F5050000}"/>
    <cellStyle name="Bad 2 3 2" xfId="8251" xr:uid="{00000000-0005-0000-0000-0000F6050000}"/>
    <cellStyle name="Bad 2 3 3" xfId="7385" xr:uid="{00000000-0005-0000-0000-0000F7050000}"/>
    <cellStyle name="Bad 2 4" xfId="1778" xr:uid="{00000000-0005-0000-0000-0000F8050000}"/>
    <cellStyle name="Bad 2 4 2" xfId="8252" xr:uid="{00000000-0005-0000-0000-0000F9050000}"/>
    <cellStyle name="Bad 2 4 3" xfId="7386" xr:uid="{00000000-0005-0000-0000-0000FA050000}"/>
    <cellStyle name="Bad 2 5" xfId="1779" xr:uid="{00000000-0005-0000-0000-0000FB050000}"/>
    <cellStyle name="Bad 2 6" xfId="1780" xr:uid="{00000000-0005-0000-0000-0000FC050000}"/>
    <cellStyle name="Bad 2 7" xfId="1775" xr:uid="{00000000-0005-0000-0000-0000FD050000}"/>
    <cellStyle name="Bad 3" xfId="217" xr:uid="{00000000-0005-0000-0000-0000FE050000}"/>
    <cellStyle name="Bad 3 2" xfId="218" xr:uid="{00000000-0005-0000-0000-0000FF050000}"/>
    <cellStyle name="Bad 3 2 2" xfId="1782" xr:uid="{00000000-0005-0000-0000-000000060000}"/>
    <cellStyle name="Bad 3 2 3" xfId="7387" xr:uid="{00000000-0005-0000-0000-000001060000}"/>
    <cellStyle name="Bad 3 2 4" xfId="8759" xr:uid="{00000000-0005-0000-0000-000002060000}"/>
    <cellStyle name="Bad 3 3" xfId="1783" xr:uid="{00000000-0005-0000-0000-000003060000}"/>
    <cellStyle name="Bad 3 3 2" xfId="8253" xr:uid="{00000000-0005-0000-0000-000004060000}"/>
    <cellStyle name="Bad 3 3 3" xfId="7388" xr:uid="{00000000-0005-0000-0000-000005060000}"/>
    <cellStyle name="Bad 3 4" xfId="1784" xr:uid="{00000000-0005-0000-0000-000006060000}"/>
    <cellStyle name="Bad 3 4 2" xfId="8254" xr:uid="{00000000-0005-0000-0000-000007060000}"/>
    <cellStyle name="Bad 3 4 3" xfId="7389" xr:uid="{00000000-0005-0000-0000-000008060000}"/>
    <cellStyle name="Bad 3 5" xfId="1785" xr:uid="{00000000-0005-0000-0000-000009060000}"/>
    <cellStyle name="Bad 3 6" xfId="1786" xr:uid="{00000000-0005-0000-0000-00000A060000}"/>
    <cellStyle name="Bad 3 7" xfId="1781" xr:uid="{00000000-0005-0000-0000-00000B060000}"/>
    <cellStyle name="Bad 4" xfId="219" xr:uid="{00000000-0005-0000-0000-00000C060000}"/>
    <cellStyle name="Bad 4 2" xfId="220" xr:uid="{00000000-0005-0000-0000-00000D060000}"/>
    <cellStyle name="Bad 4 2 2" xfId="1788" xr:uid="{00000000-0005-0000-0000-00000E060000}"/>
    <cellStyle name="Bad 4 2 3" xfId="7390" xr:uid="{00000000-0005-0000-0000-00000F060000}"/>
    <cellStyle name="Bad 4 2 4" xfId="8760" xr:uid="{00000000-0005-0000-0000-000010060000}"/>
    <cellStyle name="Bad 4 3" xfId="1789" xr:uid="{00000000-0005-0000-0000-000011060000}"/>
    <cellStyle name="Bad 4 3 2" xfId="8255" xr:uid="{00000000-0005-0000-0000-000012060000}"/>
    <cellStyle name="Bad 4 3 3" xfId="7391" xr:uid="{00000000-0005-0000-0000-000013060000}"/>
    <cellStyle name="Bad 4 4" xfId="1790" xr:uid="{00000000-0005-0000-0000-000014060000}"/>
    <cellStyle name="Bad 4 4 2" xfId="8256" xr:uid="{00000000-0005-0000-0000-000015060000}"/>
    <cellStyle name="Bad 4 4 3" xfId="7392" xr:uid="{00000000-0005-0000-0000-000016060000}"/>
    <cellStyle name="Bad 4 5" xfId="1791" xr:uid="{00000000-0005-0000-0000-000017060000}"/>
    <cellStyle name="Bad 4 6" xfId="1792" xr:uid="{00000000-0005-0000-0000-000018060000}"/>
    <cellStyle name="Bad 4 7" xfId="1787" xr:uid="{00000000-0005-0000-0000-000019060000}"/>
    <cellStyle name="Bad 5" xfId="1793" xr:uid="{00000000-0005-0000-0000-00001A060000}"/>
    <cellStyle name="Bad 5 2" xfId="8257" xr:uid="{00000000-0005-0000-0000-00001B060000}"/>
    <cellStyle name="Bad 5 3" xfId="7393" xr:uid="{00000000-0005-0000-0000-00001C060000}"/>
    <cellStyle name="Bad 6" xfId="1794" xr:uid="{00000000-0005-0000-0000-00001D060000}"/>
    <cellStyle name="Bad 6 2" xfId="8258" xr:uid="{00000000-0005-0000-0000-00001E060000}"/>
    <cellStyle name="Bad 6 3" xfId="7394" xr:uid="{00000000-0005-0000-0000-00001F060000}"/>
    <cellStyle name="Bad 7" xfId="1795" xr:uid="{00000000-0005-0000-0000-000020060000}"/>
    <cellStyle name="Bad 7 2" xfId="8259" xr:uid="{00000000-0005-0000-0000-000021060000}"/>
    <cellStyle name="Bad 7 3" xfId="7395" xr:uid="{00000000-0005-0000-0000-000022060000}"/>
    <cellStyle name="Bad 8" xfId="1796" xr:uid="{00000000-0005-0000-0000-000023060000}"/>
    <cellStyle name="Bad 8 2" xfId="8260" xr:uid="{00000000-0005-0000-0000-000024060000}"/>
    <cellStyle name="Bad 8 3" xfId="7396" xr:uid="{00000000-0005-0000-0000-000025060000}"/>
    <cellStyle name="Bad 9" xfId="1797" xr:uid="{00000000-0005-0000-0000-000026060000}"/>
    <cellStyle name="Bad 9 2" xfId="8261" xr:uid="{00000000-0005-0000-0000-000027060000}"/>
    <cellStyle name="Bad 9 3" xfId="7397" xr:uid="{00000000-0005-0000-0000-000028060000}"/>
    <cellStyle name="Calculation" xfId="26" builtinId="22" customBuiltin="1"/>
    <cellStyle name="Calculation 10" xfId="1798" xr:uid="{00000000-0005-0000-0000-00002A060000}"/>
    <cellStyle name="Calculation 10 2" xfId="8262" xr:uid="{00000000-0005-0000-0000-00002B060000}"/>
    <cellStyle name="Calculation 10 3" xfId="7398" xr:uid="{00000000-0005-0000-0000-00002C060000}"/>
    <cellStyle name="Calculation 11" xfId="1799" xr:uid="{00000000-0005-0000-0000-00002D060000}"/>
    <cellStyle name="Calculation 11 2" xfId="8263" xr:uid="{00000000-0005-0000-0000-00002E060000}"/>
    <cellStyle name="Calculation 11 3" xfId="7399" xr:uid="{00000000-0005-0000-0000-00002F060000}"/>
    <cellStyle name="Calculation 2" xfId="221" xr:uid="{00000000-0005-0000-0000-000030060000}"/>
    <cellStyle name="Calculation 2 2" xfId="222" xr:uid="{00000000-0005-0000-0000-000031060000}"/>
    <cellStyle name="Calculation 2 2 2" xfId="1801" xr:uid="{00000000-0005-0000-0000-000032060000}"/>
    <cellStyle name="Calculation 2 2 3" xfId="7400" xr:uid="{00000000-0005-0000-0000-000033060000}"/>
    <cellStyle name="Calculation 2 2 4" xfId="8761" xr:uid="{00000000-0005-0000-0000-000034060000}"/>
    <cellStyle name="Calculation 2 3" xfId="1802" xr:uid="{00000000-0005-0000-0000-000035060000}"/>
    <cellStyle name="Calculation 2 3 2" xfId="8264" xr:uid="{00000000-0005-0000-0000-000036060000}"/>
    <cellStyle name="Calculation 2 3 3" xfId="7401" xr:uid="{00000000-0005-0000-0000-000037060000}"/>
    <cellStyle name="Calculation 2 4" xfId="1803" xr:uid="{00000000-0005-0000-0000-000038060000}"/>
    <cellStyle name="Calculation 2 4 2" xfId="8265" xr:uid="{00000000-0005-0000-0000-000039060000}"/>
    <cellStyle name="Calculation 2 4 3" xfId="7402" xr:uid="{00000000-0005-0000-0000-00003A060000}"/>
    <cellStyle name="Calculation 2 5" xfId="1804" xr:uid="{00000000-0005-0000-0000-00003B060000}"/>
    <cellStyle name="Calculation 2 6" xfId="1805" xr:uid="{00000000-0005-0000-0000-00003C060000}"/>
    <cellStyle name="Calculation 2 7" xfId="1800" xr:uid="{00000000-0005-0000-0000-00003D060000}"/>
    <cellStyle name="Calculation 3" xfId="223" xr:uid="{00000000-0005-0000-0000-00003E060000}"/>
    <cellStyle name="Calculation 3 2" xfId="224" xr:uid="{00000000-0005-0000-0000-00003F060000}"/>
    <cellStyle name="Calculation 3 2 2" xfId="1807" xr:uid="{00000000-0005-0000-0000-000040060000}"/>
    <cellStyle name="Calculation 3 2 3" xfId="7403" xr:uid="{00000000-0005-0000-0000-000041060000}"/>
    <cellStyle name="Calculation 3 2 4" xfId="8762" xr:uid="{00000000-0005-0000-0000-000042060000}"/>
    <cellStyle name="Calculation 3 3" xfId="1808" xr:uid="{00000000-0005-0000-0000-000043060000}"/>
    <cellStyle name="Calculation 3 3 2" xfId="8266" xr:uid="{00000000-0005-0000-0000-000044060000}"/>
    <cellStyle name="Calculation 3 3 3" xfId="7404" xr:uid="{00000000-0005-0000-0000-000045060000}"/>
    <cellStyle name="Calculation 3 4" xfId="1809" xr:uid="{00000000-0005-0000-0000-000046060000}"/>
    <cellStyle name="Calculation 3 4 2" xfId="8267" xr:uid="{00000000-0005-0000-0000-000047060000}"/>
    <cellStyle name="Calculation 3 4 3" xfId="7405" xr:uid="{00000000-0005-0000-0000-000048060000}"/>
    <cellStyle name="Calculation 3 5" xfId="1810" xr:uid="{00000000-0005-0000-0000-000049060000}"/>
    <cellStyle name="Calculation 3 6" xfId="1811" xr:uid="{00000000-0005-0000-0000-00004A060000}"/>
    <cellStyle name="Calculation 3 7" xfId="1806" xr:uid="{00000000-0005-0000-0000-00004B060000}"/>
    <cellStyle name="Calculation 4" xfId="225" xr:uid="{00000000-0005-0000-0000-00004C060000}"/>
    <cellStyle name="Calculation 4 2" xfId="226" xr:uid="{00000000-0005-0000-0000-00004D060000}"/>
    <cellStyle name="Calculation 4 2 2" xfId="1813" xr:uid="{00000000-0005-0000-0000-00004E060000}"/>
    <cellStyle name="Calculation 4 2 3" xfId="7406" xr:uid="{00000000-0005-0000-0000-00004F060000}"/>
    <cellStyle name="Calculation 4 2 4" xfId="8763" xr:uid="{00000000-0005-0000-0000-000050060000}"/>
    <cellStyle name="Calculation 4 3" xfId="1814" xr:uid="{00000000-0005-0000-0000-000051060000}"/>
    <cellStyle name="Calculation 4 3 2" xfId="8268" xr:uid="{00000000-0005-0000-0000-000052060000}"/>
    <cellStyle name="Calculation 4 3 3" xfId="7407" xr:uid="{00000000-0005-0000-0000-000053060000}"/>
    <cellStyle name="Calculation 4 4" xfId="1815" xr:uid="{00000000-0005-0000-0000-000054060000}"/>
    <cellStyle name="Calculation 4 4 2" xfId="8269" xr:uid="{00000000-0005-0000-0000-000055060000}"/>
    <cellStyle name="Calculation 4 4 3" xfId="7408" xr:uid="{00000000-0005-0000-0000-000056060000}"/>
    <cellStyle name="Calculation 4 5" xfId="1816" xr:uid="{00000000-0005-0000-0000-000057060000}"/>
    <cellStyle name="Calculation 4 6" xfId="1817" xr:uid="{00000000-0005-0000-0000-000058060000}"/>
    <cellStyle name="Calculation 4 7" xfId="1812" xr:uid="{00000000-0005-0000-0000-000059060000}"/>
    <cellStyle name="Calculation 5" xfId="1818" xr:uid="{00000000-0005-0000-0000-00005A060000}"/>
    <cellStyle name="Calculation 5 2" xfId="8270" xr:uid="{00000000-0005-0000-0000-00005B060000}"/>
    <cellStyle name="Calculation 5 3" xfId="7409" xr:uid="{00000000-0005-0000-0000-00005C060000}"/>
    <cellStyle name="Calculation 6" xfId="1819" xr:uid="{00000000-0005-0000-0000-00005D060000}"/>
    <cellStyle name="Calculation 6 2" xfId="8271" xr:uid="{00000000-0005-0000-0000-00005E060000}"/>
    <cellStyle name="Calculation 6 3" xfId="7410" xr:uid="{00000000-0005-0000-0000-00005F060000}"/>
    <cellStyle name="Calculation 7" xfId="1820" xr:uid="{00000000-0005-0000-0000-000060060000}"/>
    <cellStyle name="Calculation 7 2" xfId="8272" xr:uid="{00000000-0005-0000-0000-000061060000}"/>
    <cellStyle name="Calculation 7 3" xfId="7411" xr:uid="{00000000-0005-0000-0000-000062060000}"/>
    <cellStyle name="Calculation 8" xfId="1821" xr:uid="{00000000-0005-0000-0000-000063060000}"/>
    <cellStyle name="Calculation 8 2" xfId="8273" xr:uid="{00000000-0005-0000-0000-000064060000}"/>
    <cellStyle name="Calculation 8 3" xfId="7412" xr:uid="{00000000-0005-0000-0000-000065060000}"/>
    <cellStyle name="Calculation 9" xfId="1822" xr:uid="{00000000-0005-0000-0000-000066060000}"/>
    <cellStyle name="Calculation 9 2" xfId="8274" xr:uid="{00000000-0005-0000-0000-000067060000}"/>
    <cellStyle name="Calculation 9 3" xfId="7413" xr:uid="{00000000-0005-0000-0000-000068060000}"/>
    <cellStyle name="Check Cell" xfId="27" builtinId="23" customBuiltin="1"/>
    <cellStyle name="Check Cell 10" xfId="1823" xr:uid="{00000000-0005-0000-0000-00006A060000}"/>
    <cellStyle name="Check Cell 10 2" xfId="8275" xr:uid="{00000000-0005-0000-0000-00006B060000}"/>
    <cellStyle name="Check Cell 10 3" xfId="7414" xr:uid="{00000000-0005-0000-0000-00006C060000}"/>
    <cellStyle name="Check Cell 11" xfId="1824" xr:uid="{00000000-0005-0000-0000-00006D060000}"/>
    <cellStyle name="Check Cell 11 2" xfId="8276" xr:uid="{00000000-0005-0000-0000-00006E060000}"/>
    <cellStyle name="Check Cell 11 3" xfId="7415" xr:uid="{00000000-0005-0000-0000-00006F060000}"/>
    <cellStyle name="Check Cell 2" xfId="227" xr:uid="{00000000-0005-0000-0000-000070060000}"/>
    <cellStyle name="Check Cell 2 2" xfId="228" xr:uid="{00000000-0005-0000-0000-000071060000}"/>
    <cellStyle name="Check Cell 2 2 2" xfId="1826" xr:uid="{00000000-0005-0000-0000-000072060000}"/>
    <cellStyle name="Check Cell 2 2 3" xfId="7416" xr:uid="{00000000-0005-0000-0000-000073060000}"/>
    <cellStyle name="Check Cell 2 2 4" xfId="8764" xr:uid="{00000000-0005-0000-0000-000074060000}"/>
    <cellStyle name="Check Cell 2 3" xfId="1827" xr:uid="{00000000-0005-0000-0000-000075060000}"/>
    <cellStyle name="Check Cell 2 3 2" xfId="8277" xr:uid="{00000000-0005-0000-0000-000076060000}"/>
    <cellStyle name="Check Cell 2 3 3" xfId="7417" xr:uid="{00000000-0005-0000-0000-000077060000}"/>
    <cellStyle name="Check Cell 2 4" xfId="1828" xr:uid="{00000000-0005-0000-0000-000078060000}"/>
    <cellStyle name="Check Cell 2 4 2" xfId="8278" xr:uid="{00000000-0005-0000-0000-000079060000}"/>
    <cellStyle name="Check Cell 2 4 3" xfId="7418" xr:uid="{00000000-0005-0000-0000-00007A060000}"/>
    <cellStyle name="Check Cell 2 5" xfId="1829" xr:uid="{00000000-0005-0000-0000-00007B060000}"/>
    <cellStyle name="Check Cell 2 6" xfId="1830" xr:uid="{00000000-0005-0000-0000-00007C060000}"/>
    <cellStyle name="Check Cell 2 7" xfId="1825" xr:uid="{00000000-0005-0000-0000-00007D060000}"/>
    <cellStyle name="Check Cell 3" xfId="229" xr:uid="{00000000-0005-0000-0000-00007E060000}"/>
    <cellStyle name="Check Cell 3 2" xfId="230" xr:uid="{00000000-0005-0000-0000-00007F060000}"/>
    <cellStyle name="Check Cell 3 2 2" xfId="1832" xr:uid="{00000000-0005-0000-0000-000080060000}"/>
    <cellStyle name="Check Cell 3 2 3" xfId="7419" xr:uid="{00000000-0005-0000-0000-000081060000}"/>
    <cellStyle name="Check Cell 3 2 4" xfId="8765" xr:uid="{00000000-0005-0000-0000-000082060000}"/>
    <cellStyle name="Check Cell 3 3" xfId="1833" xr:uid="{00000000-0005-0000-0000-000083060000}"/>
    <cellStyle name="Check Cell 3 3 2" xfId="8279" xr:uid="{00000000-0005-0000-0000-000084060000}"/>
    <cellStyle name="Check Cell 3 3 3" xfId="7420" xr:uid="{00000000-0005-0000-0000-000085060000}"/>
    <cellStyle name="Check Cell 3 4" xfId="1834" xr:uid="{00000000-0005-0000-0000-000086060000}"/>
    <cellStyle name="Check Cell 3 4 2" xfId="8280" xr:uid="{00000000-0005-0000-0000-000087060000}"/>
    <cellStyle name="Check Cell 3 4 3" xfId="7421" xr:uid="{00000000-0005-0000-0000-000088060000}"/>
    <cellStyle name="Check Cell 3 5" xfId="1835" xr:uid="{00000000-0005-0000-0000-000089060000}"/>
    <cellStyle name="Check Cell 3 6" xfId="1836" xr:uid="{00000000-0005-0000-0000-00008A060000}"/>
    <cellStyle name="Check Cell 3 7" xfId="1831" xr:uid="{00000000-0005-0000-0000-00008B060000}"/>
    <cellStyle name="Check Cell 4" xfId="231" xr:uid="{00000000-0005-0000-0000-00008C060000}"/>
    <cellStyle name="Check Cell 4 2" xfId="232" xr:uid="{00000000-0005-0000-0000-00008D060000}"/>
    <cellStyle name="Check Cell 4 2 2" xfId="1838" xr:uid="{00000000-0005-0000-0000-00008E060000}"/>
    <cellStyle name="Check Cell 4 2 3" xfId="7422" xr:uid="{00000000-0005-0000-0000-00008F060000}"/>
    <cellStyle name="Check Cell 4 2 4" xfId="8766" xr:uid="{00000000-0005-0000-0000-000090060000}"/>
    <cellStyle name="Check Cell 4 3" xfId="1839" xr:uid="{00000000-0005-0000-0000-000091060000}"/>
    <cellStyle name="Check Cell 4 3 2" xfId="8281" xr:uid="{00000000-0005-0000-0000-000092060000}"/>
    <cellStyle name="Check Cell 4 3 3" xfId="7423" xr:uid="{00000000-0005-0000-0000-000093060000}"/>
    <cellStyle name="Check Cell 4 4" xfId="1840" xr:uid="{00000000-0005-0000-0000-000094060000}"/>
    <cellStyle name="Check Cell 4 4 2" xfId="8282" xr:uid="{00000000-0005-0000-0000-000095060000}"/>
    <cellStyle name="Check Cell 4 4 3" xfId="7424" xr:uid="{00000000-0005-0000-0000-000096060000}"/>
    <cellStyle name="Check Cell 4 5" xfId="1841" xr:uid="{00000000-0005-0000-0000-000097060000}"/>
    <cellStyle name="Check Cell 4 6" xfId="1842" xr:uid="{00000000-0005-0000-0000-000098060000}"/>
    <cellStyle name="Check Cell 4 7" xfId="1837" xr:uid="{00000000-0005-0000-0000-000099060000}"/>
    <cellStyle name="Check Cell 5" xfId="1843" xr:uid="{00000000-0005-0000-0000-00009A060000}"/>
    <cellStyle name="Check Cell 5 2" xfId="8283" xr:uid="{00000000-0005-0000-0000-00009B060000}"/>
    <cellStyle name="Check Cell 5 3" xfId="7425" xr:uid="{00000000-0005-0000-0000-00009C060000}"/>
    <cellStyle name="Check Cell 6" xfId="1844" xr:uid="{00000000-0005-0000-0000-00009D060000}"/>
    <cellStyle name="Check Cell 6 2" xfId="8284" xr:uid="{00000000-0005-0000-0000-00009E060000}"/>
    <cellStyle name="Check Cell 6 3" xfId="7426" xr:uid="{00000000-0005-0000-0000-00009F060000}"/>
    <cellStyle name="Check Cell 7" xfId="1845" xr:uid="{00000000-0005-0000-0000-0000A0060000}"/>
    <cellStyle name="Check Cell 7 2" xfId="8285" xr:uid="{00000000-0005-0000-0000-0000A1060000}"/>
    <cellStyle name="Check Cell 7 3" xfId="7427" xr:uid="{00000000-0005-0000-0000-0000A2060000}"/>
    <cellStyle name="Check Cell 8" xfId="1846" xr:uid="{00000000-0005-0000-0000-0000A3060000}"/>
    <cellStyle name="Check Cell 8 2" xfId="8286" xr:uid="{00000000-0005-0000-0000-0000A4060000}"/>
    <cellStyle name="Check Cell 8 3" xfId="7428" xr:uid="{00000000-0005-0000-0000-0000A5060000}"/>
    <cellStyle name="Check Cell 9" xfId="1847" xr:uid="{00000000-0005-0000-0000-0000A6060000}"/>
    <cellStyle name="Check Cell 9 2" xfId="8287" xr:uid="{00000000-0005-0000-0000-0000A7060000}"/>
    <cellStyle name="Check Cell 9 3" xfId="7429" xr:uid="{00000000-0005-0000-0000-0000A8060000}"/>
    <cellStyle name="Comma" xfId="28" builtinId="3"/>
    <cellStyle name="Comma 13" xfId="8307" xr:uid="{00000000-0005-0000-0000-0000AA060000}"/>
    <cellStyle name="Comma 2" xfId="1848" xr:uid="{00000000-0005-0000-0000-0000AB060000}"/>
    <cellStyle name="Comma 2 2" xfId="8288" xr:uid="{00000000-0005-0000-0000-0000AC060000}"/>
    <cellStyle name="Comma 2 3" xfId="7430" xr:uid="{00000000-0005-0000-0000-0000AD060000}"/>
    <cellStyle name="Comma 2 4" xfId="9153" xr:uid="{00000000-0005-0000-0000-0000AE060000}"/>
    <cellStyle name="Comma 3" xfId="233" xr:uid="{00000000-0005-0000-0000-0000AF060000}"/>
    <cellStyle name="Comma 6 2" xfId="1849" xr:uid="{00000000-0005-0000-0000-0000B0060000}"/>
    <cellStyle name="Comma 6 3" xfId="1850" xr:uid="{00000000-0005-0000-0000-0000B1060000}"/>
    <cellStyle name="Comma 8 2" xfId="1851" xr:uid="{00000000-0005-0000-0000-0000B2060000}"/>
    <cellStyle name="Comma 8 3" xfId="1852" xr:uid="{00000000-0005-0000-0000-0000B3060000}"/>
    <cellStyle name="Comma0" xfId="29" xr:uid="{00000000-0005-0000-0000-0000B4060000}"/>
    <cellStyle name="Comma0 10" xfId="235" xr:uid="{00000000-0005-0000-0000-0000B5060000}"/>
    <cellStyle name="Comma0 10 2" xfId="236" xr:uid="{00000000-0005-0000-0000-0000B6060000}"/>
    <cellStyle name="Comma0 10 2 2" xfId="1855" xr:uid="{00000000-0005-0000-0000-0000B7060000}"/>
    <cellStyle name="Comma0 10 2 3" xfId="8767" xr:uid="{00000000-0005-0000-0000-0000B8060000}"/>
    <cellStyle name="Comma0 10 3" xfId="1856" xr:uid="{00000000-0005-0000-0000-0000B9060000}"/>
    <cellStyle name="Comma0 10 4" xfId="1857" xr:uid="{00000000-0005-0000-0000-0000BA060000}"/>
    <cellStyle name="Comma0 10 5" xfId="1858" xr:uid="{00000000-0005-0000-0000-0000BB060000}"/>
    <cellStyle name="Comma0 10 6" xfId="1859" xr:uid="{00000000-0005-0000-0000-0000BC060000}"/>
    <cellStyle name="Comma0 10 7" xfId="1854" xr:uid="{00000000-0005-0000-0000-0000BD060000}"/>
    <cellStyle name="Comma0 11" xfId="237" xr:uid="{00000000-0005-0000-0000-0000BE060000}"/>
    <cellStyle name="Comma0 11 2" xfId="238" xr:uid="{00000000-0005-0000-0000-0000BF060000}"/>
    <cellStyle name="Comma0 11 2 2" xfId="239" xr:uid="{00000000-0005-0000-0000-0000C0060000}"/>
    <cellStyle name="Comma0 11 2 2 2" xfId="8768" xr:uid="{00000000-0005-0000-0000-0000C1060000}"/>
    <cellStyle name="Comma0 11 3" xfId="240" xr:uid="{00000000-0005-0000-0000-0000C2060000}"/>
    <cellStyle name="Comma0 11 3 2" xfId="241" xr:uid="{00000000-0005-0000-0000-0000C3060000}"/>
    <cellStyle name="Comma0 11 3 2 2" xfId="8769" xr:uid="{00000000-0005-0000-0000-0000C4060000}"/>
    <cellStyle name="Comma0 11 4" xfId="242" xr:uid="{00000000-0005-0000-0000-0000C5060000}"/>
    <cellStyle name="Comma0 11 4 2" xfId="243" xr:uid="{00000000-0005-0000-0000-0000C6060000}"/>
    <cellStyle name="Comma0 11 4 2 2" xfId="8770" xr:uid="{00000000-0005-0000-0000-0000C7060000}"/>
    <cellStyle name="Comma0 11 5" xfId="244" xr:uid="{00000000-0005-0000-0000-0000C8060000}"/>
    <cellStyle name="Comma0 11 5 2" xfId="8771" xr:uid="{00000000-0005-0000-0000-0000C9060000}"/>
    <cellStyle name="Comma0 12" xfId="245" xr:uid="{00000000-0005-0000-0000-0000CA060000}"/>
    <cellStyle name="Comma0 12 2" xfId="246" xr:uid="{00000000-0005-0000-0000-0000CB060000}"/>
    <cellStyle name="Comma0 12 2 2" xfId="247" xr:uid="{00000000-0005-0000-0000-0000CC060000}"/>
    <cellStyle name="Comma0 12 2 2 2" xfId="8772" xr:uid="{00000000-0005-0000-0000-0000CD060000}"/>
    <cellStyle name="Comma0 12 3" xfId="248" xr:uid="{00000000-0005-0000-0000-0000CE060000}"/>
    <cellStyle name="Comma0 12 3 2" xfId="249" xr:uid="{00000000-0005-0000-0000-0000CF060000}"/>
    <cellStyle name="Comma0 12 3 2 2" xfId="8773" xr:uid="{00000000-0005-0000-0000-0000D0060000}"/>
    <cellStyle name="Comma0 12 4" xfId="250" xr:uid="{00000000-0005-0000-0000-0000D1060000}"/>
    <cellStyle name="Comma0 12 4 2" xfId="251" xr:uid="{00000000-0005-0000-0000-0000D2060000}"/>
    <cellStyle name="Comma0 12 4 2 2" xfId="8774" xr:uid="{00000000-0005-0000-0000-0000D3060000}"/>
    <cellStyle name="Comma0 12 5" xfId="252" xr:uid="{00000000-0005-0000-0000-0000D4060000}"/>
    <cellStyle name="Comma0 12 5 2" xfId="8775" xr:uid="{00000000-0005-0000-0000-0000D5060000}"/>
    <cellStyle name="Comma0 13" xfId="253" xr:uid="{00000000-0005-0000-0000-0000D6060000}"/>
    <cellStyle name="Comma0 13 2" xfId="254" xr:uid="{00000000-0005-0000-0000-0000D7060000}"/>
    <cellStyle name="Comma0 13 2 2" xfId="8776" xr:uid="{00000000-0005-0000-0000-0000D8060000}"/>
    <cellStyle name="Comma0 14" xfId="255" xr:uid="{00000000-0005-0000-0000-0000D9060000}"/>
    <cellStyle name="Comma0 14 2" xfId="8777" xr:uid="{00000000-0005-0000-0000-0000DA060000}"/>
    <cellStyle name="Comma0 15" xfId="234" xr:uid="{00000000-0005-0000-0000-0000DB060000}"/>
    <cellStyle name="Comma0 2" xfId="256" xr:uid="{00000000-0005-0000-0000-0000DC060000}"/>
    <cellStyle name="Comma0 2 10" xfId="1869" xr:uid="{00000000-0005-0000-0000-0000DD060000}"/>
    <cellStyle name="Comma0 2 100" xfId="1870" xr:uid="{00000000-0005-0000-0000-0000DE060000}"/>
    <cellStyle name="Comma0 2 101" xfId="1871" xr:uid="{00000000-0005-0000-0000-0000DF060000}"/>
    <cellStyle name="Comma0 2 102" xfId="1872" xr:uid="{00000000-0005-0000-0000-0000E0060000}"/>
    <cellStyle name="Comma0 2 103" xfId="1873" xr:uid="{00000000-0005-0000-0000-0000E1060000}"/>
    <cellStyle name="Comma0 2 104" xfId="1874" xr:uid="{00000000-0005-0000-0000-0000E2060000}"/>
    <cellStyle name="Comma0 2 105" xfId="1875" xr:uid="{00000000-0005-0000-0000-0000E3060000}"/>
    <cellStyle name="Comma0 2 106" xfId="1876" xr:uid="{00000000-0005-0000-0000-0000E4060000}"/>
    <cellStyle name="Comma0 2 107" xfId="1877" xr:uid="{00000000-0005-0000-0000-0000E5060000}"/>
    <cellStyle name="Comma0 2 108" xfId="1878" xr:uid="{00000000-0005-0000-0000-0000E6060000}"/>
    <cellStyle name="Comma0 2 109" xfId="1879" xr:uid="{00000000-0005-0000-0000-0000E7060000}"/>
    <cellStyle name="Comma0 2 11" xfId="1880" xr:uid="{00000000-0005-0000-0000-0000E8060000}"/>
    <cellStyle name="Comma0 2 110" xfId="1881" xr:uid="{00000000-0005-0000-0000-0000E9060000}"/>
    <cellStyle name="Comma0 2 111" xfId="1882" xr:uid="{00000000-0005-0000-0000-0000EA060000}"/>
    <cellStyle name="Comma0 2 112" xfId="1883" xr:uid="{00000000-0005-0000-0000-0000EB060000}"/>
    <cellStyle name="Comma0 2 113" xfId="1884" xr:uid="{00000000-0005-0000-0000-0000EC060000}"/>
    <cellStyle name="Comma0 2 114" xfId="1885" xr:uid="{00000000-0005-0000-0000-0000ED060000}"/>
    <cellStyle name="Comma0 2 115" xfId="1886" xr:uid="{00000000-0005-0000-0000-0000EE060000}"/>
    <cellStyle name="Comma0 2 116" xfId="1887" xr:uid="{00000000-0005-0000-0000-0000EF060000}"/>
    <cellStyle name="Comma0 2 117" xfId="1888" xr:uid="{00000000-0005-0000-0000-0000F0060000}"/>
    <cellStyle name="Comma0 2 118" xfId="1889" xr:uid="{00000000-0005-0000-0000-0000F1060000}"/>
    <cellStyle name="Comma0 2 119" xfId="1890" xr:uid="{00000000-0005-0000-0000-0000F2060000}"/>
    <cellStyle name="Comma0 2 12" xfId="1891" xr:uid="{00000000-0005-0000-0000-0000F3060000}"/>
    <cellStyle name="Comma0 2 120" xfId="1892" xr:uid="{00000000-0005-0000-0000-0000F4060000}"/>
    <cellStyle name="Comma0 2 121" xfId="1893" xr:uid="{00000000-0005-0000-0000-0000F5060000}"/>
    <cellStyle name="Comma0 2 122" xfId="1894" xr:uid="{00000000-0005-0000-0000-0000F6060000}"/>
    <cellStyle name="Comma0 2 123" xfId="1895" xr:uid="{00000000-0005-0000-0000-0000F7060000}"/>
    <cellStyle name="Comma0 2 124" xfId="1896" xr:uid="{00000000-0005-0000-0000-0000F8060000}"/>
    <cellStyle name="Comma0 2 125" xfId="1897" xr:uid="{00000000-0005-0000-0000-0000F9060000}"/>
    <cellStyle name="Comma0 2 126" xfId="1898" xr:uid="{00000000-0005-0000-0000-0000FA060000}"/>
    <cellStyle name="Comma0 2 127" xfId="1899" xr:uid="{00000000-0005-0000-0000-0000FB060000}"/>
    <cellStyle name="Comma0 2 128" xfId="1900" xr:uid="{00000000-0005-0000-0000-0000FC060000}"/>
    <cellStyle name="Comma0 2 129" xfId="1901" xr:uid="{00000000-0005-0000-0000-0000FD060000}"/>
    <cellStyle name="Comma0 2 13" xfId="1902" xr:uid="{00000000-0005-0000-0000-0000FE060000}"/>
    <cellStyle name="Comma0 2 130" xfId="1903" xr:uid="{00000000-0005-0000-0000-0000FF060000}"/>
    <cellStyle name="Comma0 2 131" xfId="1904" xr:uid="{00000000-0005-0000-0000-000000070000}"/>
    <cellStyle name="Comma0 2 132" xfId="1905" xr:uid="{00000000-0005-0000-0000-000001070000}"/>
    <cellStyle name="Comma0 2 133" xfId="1906" xr:uid="{00000000-0005-0000-0000-000002070000}"/>
    <cellStyle name="Comma0 2 134" xfId="1907" xr:uid="{00000000-0005-0000-0000-000003070000}"/>
    <cellStyle name="Comma0 2 135" xfId="1908" xr:uid="{00000000-0005-0000-0000-000004070000}"/>
    <cellStyle name="Comma0 2 136" xfId="1909" xr:uid="{00000000-0005-0000-0000-000005070000}"/>
    <cellStyle name="Comma0 2 137" xfId="1910" xr:uid="{00000000-0005-0000-0000-000006070000}"/>
    <cellStyle name="Comma0 2 138" xfId="1911" xr:uid="{00000000-0005-0000-0000-000007070000}"/>
    <cellStyle name="Comma0 2 139" xfId="1912" xr:uid="{00000000-0005-0000-0000-000008070000}"/>
    <cellStyle name="Comma0 2 14" xfId="1913" xr:uid="{00000000-0005-0000-0000-000009070000}"/>
    <cellStyle name="Comma0 2 140" xfId="1914" xr:uid="{00000000-0005-0000-0000-00000A070000}"/>
    <cellStyle name="Comma0 2 141" xfId="1915" xr:uid="{00000000-0005-0000-0000-00000B070000}"/>
    <cellStyle name="Comma0 2 142" xfId="1916" xr:uid="{00000000-0005-0000-0000-00000C070000}"/>
    <cellStyle name="Comma0 2 143" xfId="1917" xr:uid="{00000000-0005-0000-0000-00000D070000}"/>
    <cellStyle name="Comma0 2 144" xfId="1918" xr:uid="{00000000-0005-0000-0000-00000E070000}"/>
    <cellStyle name="Comma0 2 145" xfId="1919" xr:uid="{00000000-0005-0000-0000-00000F070000}"/>
    <cellStyle name="Comma0 2 146" xfId="1920" xr:uid="{00000000-0005-0000-0000-000010070000}"/>
    <cellStyle name="Comma0 2 147" xfId="1921" xr:uid="{00000000-0005-0000-0000-000011070000}"/>
    <cellStyle name="Comma0 2 148" xfId="1922" xr:uid="{00000000-0005-0000-0000-000012070000}"/>
    <cellStyle name="Comma0 2 149" xfId="1923" xr:uid="{00000000-0005-0000-0000-000013070000}"/>
    <cellStyle name="Comma0 2 15" xfId="1924" xr:uid="{00000000-0005-0000-0000-000014070000}"/>
    <cellStyle name="Comma0 2 150" xfId="1925" xr:uid="{00000000-0005-0000-0000-000015070000}"/>
    <cellStyle name="Comma0 2 151" xfId="1926" xr:uid="{00000000-0005-0000-0000-000016070000}"/>
    <cellStyle name="Comma0 2 152" xfId="1927" xr:uid="{00000000-0005-0000-0000-000017070000}"/>
    <cellStyle name="Comma0 2 153" xfId="1928" xr:uid="{00000000-0005-0000-0000-000018070000}"/>
    <cellStyle name="Comma0 2 154" xfId="1929" xr:uid="{00000000-0005-0000-0000-000019070000}"/>
    <cellStyle name="Comma0 2 155" xfId="1930" xr:uid="{00000000-0005-0000-0000-00001A070000}"/>
    <cellStyle name="Comma0 2 156" xfId="1931" xr:uid="{00000000-0005-0000-0000-00001B070000}"/>
    <cellStyle name="Comma0 2 157" xfId="1932" xr:uid="{00000000-0005-0000-0000-00001C070000}"/>
    <cellStyle name="Comma0 2 158" xfId="1933" xr:uid="{00000000-0005-0000-0000-00001D070000}"/>
    <cellStyle name="Comma0 2 159" xfId="1934" xr:uid="{00000000-0005-0000-0000-00001E070000}"/>
    <cellStyle name="Comma0 2 16" xfId="1935" xr:uid="{00000000-0005-0000-0000-00001F070000}"/>
    <cellStyle name="Comma0 2 160" xfId="1936" xr:uid="{00000000-0005-0000-0000-000020070000}"/>
    <cellStyle name="Comma0 2 161" xfId="1937" xr:uid="{00000000-0005-0000-0000-000021070000}"/>
    <cellStyle name="Comma0 2 162" xfId="1938" xr:uid="{00000000-0005-0000-0000-000022070000}"/>
    <cellStyle name="Comma0 2 163" xfId="1939" xr:uid="{00000000-0005-0000-0000-000023070000}"/>
    <cellStyle name="Comma0 2 164" xfId="1940" xr:uid="{00000000-0005-0000-0000-000024070000}"/>
    <cellStyle name="Comma0 2 165" xfId="1941" xr:uid="{00000000-0005-0000-0000-000025070000}"/>
    <cellStyle name="Comma0 2 166" xfId="1942" xr:uid="{00000000-0005-0000-0000-000026070000}"/>
    <cellStyle name="Comma0 2 167" xfId="1943" xr:uid="{00000000-0005-0000-0000-000027070000}"/>
    <cellStyle name="Comma0 2 168" xfId="1944" xr:uid="{00000000-0005-0000-0000-000028070000}"/>
    <cellStyle name="Comma0 2 169" xfId="1945" xr:uid="{00000000-0005-0000-0000-000029070000}"/>
    <cellStyle name="Comma0 2 17" xfId="1946" xr:uid="{00000000-0005-0000-0000-00002A070000}"/>
    <cellStyle name="Comma0 2 170" xfId="1947" xr:uid="{00000000-0005-0000-0000-00002B070000}"/>
    <cellStyle name="Comma0 2 171" xfId="1948" xr:uid="{00000000-0005-0000-0000-00002C070000}"/>
    <cellStyle name="Comma0 2 172" xfId="1949" xr:uid="{00000000-0005-0000-0000-00002D070000}"/>
    <cellStyle name="Comma0 2 173" xfId="1950" xr:uid="{00000000-0005-0000-0000-00002E070000}"/>
    <cellStyle name="Comma0 2 174" xfId="1951" xr:uid="{00000000-0005-0000-0000-00002F070000}"/>
    <cellStyle name="Comma0 2 175" xfId="1952" xr:uid="{00000000-0005-0000-0000-000030070000}"/>
    <cellStyle name="Comma0 2 176" xfId="1953" xr:uid="{00000000-0005-0000-0000-000031070000}"/>
    <cellStyle name="Comma0 2 177" xfId="1954" xr:uid="{00000000-0005-0000-0000-000032070000}"/>
    <cellStyle name="Comma0 2 178" xfId="1955" xr:uid="{00000000-0005-0000-0000-000033070000}"/>
    <cellStyle name="Comma0 2 179" xfId="1956" xr:uid="{00000000-0005-0000-0000-000034070000}"/>
    <cellStyle name="Comma0 2 18" xfId="1957" xr:uid="{00000000-0005-0000-0000-000035070000}"/>
    <cellStyle name="Comma0 2 180" xfId="1958" xr:uid="{00000000-0005-0000-0000-000036070000}"/>
    <cellStyle name="Comma0 2 181" xfId="1959" xr:uid="{00000000-0005-0000-0000-000037070000}"/>
    <cellStyle name="Comma0 2 182" xfId="1960" xr:uid="{00000000-0005-0000-0000-000038070000}"/>
    <cellStyle name="Comma0 2 183" xfId="1961" xr:uid="{00000000-0005-0000-0000-000039070000}"/>
    <cellStyle name="Comma0 2 184" xfId="1962" xr:uid="{00000000-0005-0000-0000-00003A070000}"/>
    <cellStyle name="Comma0 2 185" xfId="1963" xr:uid="{00000000-0005-0000-0000-00003B070000}"/>
    <cellStyle name="Comma0 2 186" xfId="1964" xr:uid="{00000000-0005-0000-0000-00003C070000}"/>
    <cellStyle name="Comma0 2 187" xfId="1965" xr:uid="{00000000-0005-0000-0000-00003D070000}"/>
    <cellStyle name="Comma0 2 188" xfId="1966" xr:uid="{00000000-0005-0000-0000-00003E070000}"/>
    <cellStyle name="Comma0 2 189" xfId="1967" xr:uid="{00000000-0005-0000-0000-00003F070000}"/>
    <cellStyle name="Comma0 2 19" xfId="1968" xr:uid="{00000000-0005-0000-0000-000040070000}"/>
    <cellStyle name="Comma0 2 190" xfId="1969" xr:uid="{00000000-0005-0000-0000-000041070000}"/>
    <cellStyle name="Comma0 2 191" xfId="1970" xr:uid="{00000000-0005-0000-0000-000042070000}"/>
    <cellStyle name="Comma0 2 192" xfId="1971" xr:uid="{00000000-0005-0000-0000-000043070000}"/>
    <cellStyle name="Comma0 2 193" xfId="1972" xr:uid="{00000000-0005-0000-0000-000044070000}"/>
    <cellStyle name="Comma0 2 194" xfId="1973" xr:uid="{00000000-0005-0000-0000-000045070000}"/>
    <cellStyle name="Comma0 2 195" xfId="1974" xr:uid="{00000000-0005-0000-0000-000046070000}"/>
    <cellStyle name="Comma0 2 196" xfId="1975" xr:uid="{00000000-0005-0000-0000-000047070000}"/>
    <cellStyle name="Comma0 2 197" xfId="1976" xr:uid="{00000000-0005-0000-0000-000048070000}"/>
    <cellStyle name="Comma0 2 198" xfId="1977" xr:uid="{00000000-0005-0000-0000-000049070000}"/>
    <cellStyle name="Comma0 2 199" xfId="1978" xr:uid="{00000000-0005-0000-0000-00004A070000}"/>
    <cellStyle name="Comma0 2 2" xfId="257" xr:uid="{00000000-0005-0000-0000-00004B070000}"/>
    <cellStyle name="Comma0 2 2 2" xfId="258" xr:uid="{00000000-0005-0000-0000-00004C070000}"/>
    <cellStyle name="Comma0 2 2 2 2" xfId="8778" xr:uid="{00000000-0005-0000-0000-00004D070000}"/>
    <cellStyle name="Comma0 2 20" xfId="1979" xr:uid="{00000000-0005-0000-0000-00004E070000}"/>
    <cellStyle name="Comma0 2 200" xfId="1980" xr:uid="{00000000-0005-0000-0000-00004F070000}"/>
    <cellStyle name="Comma0 2 201" xfId="1981" xr:uid="{00000000-0005-0000-0000-000050070000}"/>
    <cellStyle name="Comma0 2 202" xfId="1982" xr:uid="{00000000-0005-0000-0000-000051070000}"/>
    <cellStyle name="Comma0 2 203" xfId="1983" xr:uid="{00000000-0005-0000-0000-000052070000}"/>
    <cellStyle name="Comma0 2 204" xfId="1984" xr:uid="{00000000-0005-0000-0000-000053070000}"/>
    <cellStyle name="Comma0 2 205" xfId="1985" xr:uid="{00000000-0005-0000-0000-000054070000}"/>
    <cellStyle name="Comma0 2 206" xfId="1986" xr:uid="{00000000-0005-0000-0000-000055070000}"/>
    <cellStyle name="Comma0 2 207" xfId="1987" xr:uid="{00000000-0005-0000-0000-000056070000}"/>
    <cellStyle name="Comma0 2 208" xfId="1988" xr:uid="{00000000-0005-0000-0000-000057070000}"/>
    <cellStyle name="Comma0 2 209" xfId="1989" xr:uid="{00000000-0005-0000-0000-000058070000}"/>
    <cellStyle name="Comma0 2 21" xfId="1990" xr:uid="{00000000-0005-0000-0000-000059070000}"/>
    <cellStyle name="Comma0 2 210" xfId="1991" xr:uid="{00000000-0005-0000-0000-00005A070000}"/>
    <cellStyle name="Comma0 2 211" xfId="1992" xr:uid="{00000000-0005-0000-0000-00005B070000}"/>
    <cellStyle name="Comma0 2 212" xfId="1993" xr:uid="{00000000-0005-0000-0000-00005C070000}"/>
    <cellStyle name="Comma0 2 213" xfId="1994" xr:uid="{00000000-0005-0000-0000-00005D070000}"/>
    <cellStyle name="Comma0 2 214" xfId="1995" xr:uid="{00000000-0005-0000-0000-00005E070000}"/>
    <cellStyle name="Comma0 2 215" xfId="1996" xr:uid="{00000000-0005-0000-0000-00005F070000}"/>
    <cellStyle name="Comma0 2 216" xfId="1997" xr:uid="{00000000-0005-0000-0000-000060070000}"/>
    <cellStyle name="Comma0 2 217" xfId="1998" xr:uid="{00000000-0005-0000-0000-000061070000}"/>
    <cellStyle name="Comma0 2 218" xfId="1999" xr:uid="{00000000-0005-0000-0000-000062070000}"/>
    <cellStyle name="Comma0 2 219" xfId="2000" xr:uid="{00000000-0005-0000-0000-000063070000}"/>
    <cellStyle name="Comma0 2 22" xfId="2001" xr:uid="{00000000-0005-0000-0000-000064070000}"/>
    <cellStyle name="Comma0 2 220" xfId="2002" xr:uid="{00000000-0005-0000-0000-000065070000}"/>
    <cellStyle name="Comma0 2 221" xfId="2003" xr:uid="{00000000-0005-0000-0000-000066070000}"/>
    <cellStyle name="Comma0 2 222" xfId="2004" xr:uid="{00000000-0005-0000-0000-000067070000}"/>
    <cellStyle name="Comma0 2 223" xfId="2005" xr:uid="{00000000-0005-0000-0000-000068070000}"/>
    <cellStyle name="Comma0 2 224" xfId="2006" xr:uid="{00000000-0005-0000-0000-000069070000}"/>
    <cellStyle name="Comma0 2 225" xfId="2007" xr:uid="{00000000-0005-0000-0000-00006A070000}"/>
    <cellStyle name="Comma0 2 226" xfId="2008" xr:uid="{00000000-0005-0000-0000-00006B070000}"/>
    <cellStyle name="Comma0 2 227" xfId="2009" xr:uid="{00000000-0005-0000-0000-00006C070000}"/>
    <cellStyle name="Comma0 2 228" xfId="2010" xr:uid="{00000000-0005-0000-0000-00006D070000}"/>
    <cellStyle name="Comma0 2 229" xfId="2011" xr:uid="{00000000-0005-0000-0000-00006E070000}"/>
    <cellStyle name="Comma0 2 23" xfId="2012" xr:uid="{00000000-0005-0000-0000-00006F070000}"/>
    <cellStyle name="Comma0 2 230" xfId="2013" xr:uid="{00000000-0005-0000-0000-000070070000}"/>
    <cellStyle name="Comma0 2 231" xfId="2014" xr:uid="{00000000-0005-0000-0000-000071070000}"/>
    <cellStyle name="Comma0 2 232" xfId="2015" xr:uid="{00000000-0005-0000-0000-000072070000}"/>
    <cellStyle name="Comma0 2 233" xfId="2016" xr:uid="{00000000-0005-0000-0000-000073070000}"/>
    <cellStyle name="Comma0 2 234" xfId="2017" xr:uid="{00000000-0005-0000-0000-000074070000}"/>
    <cellStyle name="Comma0 2 235" xfId="2018" xr:uid="{00000000-0005-0000-0000-000075070000}"/>
    <cellStyle name="Comma0 2 236" xfId="2019" xr:uid="{00000000-0005-0000-0000-000076070000}"/>
    <cellStyle name="Comma0 2 237" xfId="2020" xr:uid="{00000000-0005-0000-0000-000077070000}"/>
    <cellStyle name="Comma0 2 238" xfId="2021" xr:uid="{00000000-0005-0000-0000-000078070000}"/>
    <cellStyle name="Comma0 2 239" xfId="2022" xr:uid="{00000000-0005-0000-0000-000079070000}"/>
    <cellStyle name="Comma0 2 24" xfId="2023" xr:uid="{00000000-0005-0000-0000-00007A070000}"/>
    <cellStyle name="Comma0 2 240" xfId="2024" xr:uid="{00000000-0005-0000-0000-00007B070000}"/>
    <cellStyle name="Comma0 2 241" xfId="2025" xr:uid="{00000000-0005-0000-0000-00007C070000}"/>
    <cellStyle name="Comma0 2 242" xfId="2026" xr:uid="{00000000-0005-0000-0000-00007D070000}"/>
    <cellStyle name="Comma0 2 243" xfId="2027" xr:uid="{00000000-0005-0000-0000-00007E070000}"/>
    <cellStyle name="Comma0 2 244" xfId="2028" xr:uid="{00000000-0005-0000-0000-00007F070000}"/>
    <cellStyle name="Comma0 2 245" xfId="2029" xr:uid="{00000000-0005-0000-0000-000080070000}"/>
    <cellStyle name="Comma0 2 246" xfId="2030" xr:uid="{00000000-0005-0000-0000-000081070000}"/>
    <cellStyle name="Comma0 2 247" xfId="2031" xr:uid="{00000000-0005-0000-0000-000082070000}"/>
    <cellStyle name="Comma0 2 248" xfId="2032" xr:uid="{00000000-0005-0000-0000-000083070000}"/>
    <cellStyle name="Comma0 2 249" xfId="2033" xr:uid="{00000000-0005-0000-0000-000084070000}"/>
    <cellStyle name="Comma0 2 25" xfId="2034" xr:uid="{00000000-0005-0000-0000-000085070000}"/>
    <cellStyle name="Comma0 2 250" xfId="2035" xr:uid="{00000000-0005-0000-0000-000086070000}"/>
    <cellStyle name="Comma0 2 251" xfId="2036" xr:uid="{00000000-0005-0000-0000-000087070000}"/>
    <cellStyle name="Comma0 2 252" xfId="2037" xr:uid="{00000000-0005-0000-0000-000088070000}"/>
    <cellStyle name="Comma0 2 253" xfId="2038" xr:uid="{00000000-0005-0000-0000-000089070000}"/>
    <cellStyle name="Comma0 2 254" xfId="2039" xr:uid="{00000000-0005-0000-0000-00008A070000}"/>
    <cellStyle name="Comma0 2 255" xfId="2040" xr:uid="{00000000-0005-0000-0000-00008B070000}"/>
    <cellStyle name="Comma0 2 256" xfId="1868" xr:uid="{00000000-0005-0000-0000-00008C070000}"/>
    <cellStyle name="Comma0 2 26" xfId="2041" xr:uid="{00000000-0005-0000-0000-00008D070000}"/>
    <cellStyle name="Comma0 2 27" xfId="2042" xr:uid="{00000000-0005-0000-0000-00008E070000}"/>
    <cellStyle name="Comma0 2 28" xfId="2043" xr:uid="{00000000-0005-0000-0000-00008F070000}"/>
    <cellStyle name="Comma0 2 29" xfId="2044" xr:uid="{00000000-0005-0000-0000-000090070000}"/>
    <cellStyle name="Comma0 2 3" xfId="259" xr:uid="{00000000-0005-0000-0000-000091070000}"/>
    <cellStyle name="Comma0 2 3 2" xfId="260" xr:uid="{00000000-0005-0000-0000-000092070000}"/>
    <cellStyle name="Comma0 2 3 2 2" xfId="8779" xr:uid="{00000000-0005-0000-0000-000093070000}"/>
    <cellStyle name="Comma0 2 30" xfId="2046" xr:uid="{00000000-0005-0000-0000-000094070000}"/>
    <cellStyle name="Comma0 2 31" xfId="2047" xr:uid="{00000000-0005-0000-0000-000095070000}"/>
    <cellStyle name="Comma0 2 32" xfId="2048" xr:uid="{00000000-0005-0000-0000-000096070000}"/>
    <cellStyle name="Comma0 2 33" xfId="2049" xr:uid="{00000000-0005-0000-0000-000097070000}"/>
    <cellStyle name="Comma0 2 34" xfId="2050" xr:uid="{00000000-0005-0000-0000-000098070000}"/>
    <cellStyle name="Comma0 2 35" xfId="2051" xr:uid="{00000000-0005-0000-0000-000099070000}"/>
    <cellStyle name="Comma0 2 36" xfId="2052" xr:uid="{00000000-0005-0000-0000-00009A070000}"/>
    <cellStyle name="Comma0 2 37" xfId="2053" xr:uid="{00000000-0005-0000-0000-00009B070000}"/>
    <cellStyle name="Comma0 2 38" xfId="2054" xr:uid="{00000000-0005-0000-0000-00009C070000}"/>
    <cellStyle name="Comma0 2 39" xfId="2055" xr:uid="{00000000-0005-0000-0000-00009D070000}"/>
    <cellStyle name="Comma0 2 4" xfId="261" xr:uid="{00000000-0005-0000-0000-00009E070000}"/>
    <cellStyle name="Comma0 2 4 2" xfId="262" xr:uid="{00000000-0005-0000-0000-00009F070000}"/>
    <cellStyle name="Comma0 2 4 2 2" xfId="8780" xr:uid="{00000000-0005-0000-0000-0000A0070000}"/>
    <cellStyle name="Comma0 2 40" xfId="2057" xr:uid="{00000000-0005-0000-0000-0000A1070000}"/>
    <cellStyle name="Comma0 2 41" xfId="2058" xr:uid="{00000000-0005-0000-0000-0000A2070000}"/>
    <cellStyle name="Comma0 2 42" xfId="2059" xr:uid="{00000000-0005-0000-0000-0000A3070000}"/>
    <cellStyle name="Comma0 2 43" xfId="2060" xr:uid="{00000000-0005-0000-0000-0000A4070000}"/>
    <cellStyle name="Comma0 2 44" xfId="2061" xr:uid="{00000000-0005-0000-0000-0000A5070000}"/>
    <cellStyle name="Comma0 2 45" xfId="2062" xr:uid="{00000000-0005-0000-0000-0000A6070000}"/>
    <cellStyle name="Comma0 2 46" xfId="2063" xr:uid="{00000000-0005-0000-0000-0000A7070000}"/>
    <cellStyle name="Comma0 2 47" xfId="2064" xr:uid="{00000000-0005-0000-0000-0000A8070000}"/>
    <cellStyle name="Comma0 2 48" xfId="2065" xr:uid="{00000000-0005-0000-0000-0000A9070000}"/>
    <cellStyle name="Comma0 2 49" xfId="2066" xr:uid="{00000000-0005-0000-0000-0000AA070000}"/>
    <cellStyle name="Comma0 2 5" xfId="263" xr:uid="{00000000-0005-0000-0000-0000AB070000}"/>
    <cellStyle name="Comma0 2 5 2" xfId="264" xr:uid="{00000000-0005-0000-0000-0000AC070000}"/>
    <cellStyle name="Comma0 2 5 2 2" xfId="8781" xr:uid="{00000000-0005-0000-0000-0000AD070000}"/>
    <cellStyle name="Comma0 2 50" xfId="2068" xr:uid="{00000000-0005-0000-0000-0000AE070000}"/>
    <cellStyle name="Comma0 2 51" xfId="2069" xr:uid="{00000000-0005-0000-0000-0000AF070000}"/>
    <cellStyle name="Comma0 2 52" xfId="2070" xr:uid="{00000000-0005-0000-0000-0000B0070000}"/>
    <cellStyle name="Comma0 2 53" xfId="2071" xr:uid="{00000000-0005-0000-0000-0000B1070000}"/>
    <cellStyle name="Comma0 2 54" xfId="2072" xr:uid="{00000000-0005-0000-0000-0000B2070000}"/>
    <cellStyle name="Comma0 2 55" xfId="2073" xr:uid="{00000000-0005-0000-0000-0000B3070000}"/>
    <cellStyle name="Comma0 2 56" xfId="2074" xr:uid="{00000000-0005-0000-0000-0000B4070000}"/>
    <cellStyle name="Comma0 2 57" xfId="2075" xr:uid="{00000000-0005-0000-0000-0000B5070000}"/>
    <cellStyle name="Comma0 2 58" xfId="2076" xr:uid="{00000000-0005-0000-0000-0000B6070000}"/>
    <cellStyle name="Comma0 2 59" xfId="2077" xr:uid="{00000000-0005-0000-0000-0000B7070000}"/>
    <cellStyle name="Comma0 2 6" xfId="265" xr:uid="{00000000-0005-0000-0000-0000B8070000}"/>
    <cellStyle name="Comma0 2 6 2" xfId="266" xr:uid="{00000000-0005-0000-0000-0000B9070000}"/>
    <cellStyle name="Comma0 2 6 2 2" xfId="8782" xr:uid="{00000000-0005-0000-0000-0000BA070000}"/>
    <cellStyle name="Comma0 2 60" xfId="2078" xr:uid="{00000000-0005-0000-0000-0000BB070000}"/>
    <cellStyle name="Comma0 2 61" xfId="2079" xr:uid="{00000000-0005-0000-0000-0000BC070000}"/>
    <cellStyle name="Comma0 2 62" xfId="2080" xr:uid="{00000000-0005-0000-0000-0000BD070000}"/>
    <cellStyle name="Comma0 2 63" xfId="2081" xr:uid="{00000000-0005-0000-0000-0000BE070000}"/>
    <cellStyle name="Comma0 2 64" xfId="2082" xr:uid="{00000000-0005-0000-0000-0000BF070000}"/>
    <cellStyle name="Comma0 2 65" xfId="2083" xr:uid="{00000000-0005-0000-0000-0000C0070000}"/>
    <cellStyle name="Comma0 2 66" xfId="2084" xr:uid="{00000000-0005-0000-0000-0000C1070000}"/>
    <cellStyle name="Comma0 2 67" xfId="2085" xr:uid="{00000000-0005-0000-0000-0000C2070000}"/>
    <cellStyle name="Comma0 2 68" xfId="2086" xr:uid="{00000000-0005-0000-0000-0000C3070000}"/>
    <cellStyle name="Comma0 2 69" xfId="2087" xr:uid="{00000000-0005-0000-0000-0000C4070000}"/>
    <cellStyle name="Comma0 2 7" xfId="267" xr:uid="{00000000-0005-0000-0000-0000C5070000}"/>
    <cellStyle name="Comma0 2 7 2" xfId="268" xr:uid="{00000000-0005-0000-0000-0000C6070000}"/>
    <cellStyle name="Comma0 2 7 2 2" xfId="8783" xr:uid="{00000000-0005-0000-0000-0000C7070000}"/>
    <cellStyle name="Comma0 2 70" xfId="2089" xr:uid="{00000000-0005-0000-0000-0000C8070000}"/>
    <cellStyle name="Comma0 2 71" xfId="2090" xr:uid="{00000000-0005-0000-0000-0000C9070000}"/>
    <cellStyle name="Comma0 2 72" xfId="2091" xr:uid="{00000000-0005-0000-0000-0000CA070000}"/>
    <cellStyle name="Comma0 2 73" xfId="2092" xr:uid="{00000000-0005-0000-0000-0000CB070000}"/>
    <cellStyle name="Comma0 2 74" xfId="2093" xr:uid="{00000000-0005-0000-0000-0000CC070000}"/>
    <cellStyle name="Comma0 2 75" xfId="2094" xr:uid="{00000000-0005-0000-0000-0000CD070000}"/>
    <cellStyle name="Comma0 2 76" xfId="2095" xr:uid="{00000000-0005-0000-0000-0000CE070000}"/>
    <cellStyle name="Comma0 2 77" xfId="2096" xr:uid="{00000000-0005-0000-0000-0000CF070000}"/>
    <cellStyle name="Comma0 2 78" xfId="2097" xr:uid="{00000000-0005-0000-0000-0000D0070000}"/>
    <cellStyle name="Comma0 2 79" xfId="2098" xr:uid="{00000000-0005-0000-0000-0000D1070000}"/>
    <cellStyle name="Comma0 2 8" xfId="269" xr:uid="{00000000-0005-0000-0000-0000D2070000}"/>
    <cellStyle name="Comma0 2 8 2" xfId="2099" xr:uid="{00000000-0005-0000-0000-0000D3070000}"/>
    <cellStyle name="Comma0 2 8 3" xfId="8784" xr:uid="{00000000-0005-0000-0000-0000D4070000}"/>
    <cellStyle name="Comma0 2 80" xfId="2100" xr:uid="{00000000-0005-0000-0000-0000D5070000}"/>
    <cellStyle name="Comma0 2 81" xfId="2101" xr:uid="{00000000-0005-0000-0000-0000D6070000}"/>
    <cellStyle name="Comma0 2 82" xfId="2102" xr:uid="{00000000-0005-0000-0000-0000D7070000}"/>
    <cellStyle name="Comma0 2 83" xfId="2103" xr:uid="{00000000-0005-0000-0000-0000D8070000}"/>
    <cellStyle name="Comma0 2 84" xfId="2104" xr:uid="{00000000-0005-0000-0000-0000D9070000}"/>
    <cellStyle name="Comma0 2 85" xfId="2105" xr:uid="{00000000-0005-0000-0000-0000DA070000}"/>
    <cellStyle name="Comma0 2 86" xfId="2106" xr:uid="{00000000-0005-0000-0000-0000DB070000}"/>
    <cellStyle name="Comma0 2 87" xfId="2107" xr:uid="{00000000-0005-0000-0000-0000DC070000}"/>
    <cellStyle name="Comma0 2 88" xfId="2108" xr:uid="{00000000-0005-0000-0000-0000DD070000}"/>
    <cellStyle name="Comma0 2 89" xfId="2109" xr:uid="{00000000-0005-0000-0000-0000DE070000}"/>
    <cellStyle name="Comma0 2 9" xfId="2110" xr:uid="{00000000-0005-0000-0000-0000DF070000}"/>
    <cellStyle name="Comma0 2 90" xfId="2111" xr:uid="{00000000-0005-0000-0000-0000E0070000}"/>
    <cellStyle name="Comma0 2 91" xfId="2112" xr:uid="{00000000-0005-0000-0000-0000E1070000}"/>
    <cellStyle name="Comma0 2 92" xfId="2113" xr:uid="{00000000-0005-0000-0000-0000E2070000}"/>
    <cellStyle name="Comma0 2 93" xfId="2114" xr:uid="{00000000-0005-0000-0000-0000E3070000}"/>
    <cellStyle name="Comma0 2 94" xfId="2115" xr:uid="{00000000-0005-0000-0000-0000E4070000}"/>
    <cellStyle name="Comma0 2 95" xfId="2116" xr:uid="{00000000-0005-0000-0000-0000E5070000}"/>
    <cellStyle name="Comma0 2 96" xfId="2117" xr:uid="{00000000-0005-0000-0000-0000E6070000}"/>
    <cellStyle name="Comma0 2 97" xfId="2118" xr:uid="{00000000-0005-0000-0000-0000E7070000}"/>
    <cellStyle name="Comma0 2 98" xfId="2119" xr:uid="{00000000-0005-0000-0000-0000E8070000}"/>
    <cellStyle name="Comma0 2 99" xfId="2120" xr:uid="{00000000-0005-0000-0000-0000E9070000}"/>
    <cellStyle name="Comma0 3" xfId="270" xr:uid="{00000000-0005-0000-0000-0000EA070000}"/>
    <cellStyle name="Comma0 3 10" xfId="2122" xr:uid="{00000000-0005-0000-0000-0000EB070000}"/>
    <cellStyle name="Comma0 3 11" xfId="2121" xr:uid="{00000000-0005-0000-0000-0000EC070000}"/>
    <cellStyle name="Comma0 3 2" xfId="271" xr:uid="{00000000-0005-0000-0000-0000ED070000}"/>
    <cellStyle name="Comma0 3 2 2" xfId="272" xr:uid="{00000000-0005-0000-0000-0000EE070000}"/>
    <cellStyle name="Comma0 3 2 2 2" xfId="8785" xr:uid="{00000000-0005-0000-0000-0000EF070000}"/>
    <cellStyle name="Comma0 3 3" xfId="273" xr:uid="{00000000-0005-0000-0000-0000F0070000}"/>
    <cellStyle name="Comma0 3 3 2" xfId="274" xr:uid="{00000000-0005-0000-0000-0000F1070000}"/>
    <cellStyle name="Comma0 3 3 2 2" xfId="8786" xr:uid="{00000000-0005-0000-0000-0000F2070000}"/>
    <cellStyle name="Comma0 3 4" xfId="275" xr:uid="{00000000-0005-0000-0000-0000F3070000}"/>
    <cellStyle name="Comma0 3 4 2" xfId="276" xr:uid="{00000000-0005-0000-0000-0000F4070000}"/>
    <cellStyle name="Comma0 3 4 2 2" xfId="8787" xr:uid="{00000000-0005-0000-0000-0000F5070000}"/>
    <cellStyle name="Comma0 3 5" xfId="277" xr:uid="{00000000-0005-0000-0000-0000F6070000}"/>
    <cellStyle name="Comma0 3 5 2" xfId="278" xr:uid="{00000000-0005-0000-0000-0000F7070000}"/>
    <cellStyle name="Comma0 3 5 2 2" xfId="8788" xr:uid="{00000000-0005-0000-0000-0000F8070000}"/>
    <cellStyle name="Comma0 3 6" xfId="279" xr:uid="{00000000-0005-0000-0000-0000F9070000}"/>
    <cellStyle name="Comma0 3 6 2" xfId="280" xr:uid="{00000000-0005-0000-0000-0000FA070000}"/>
    <cellStyle name="Comma0 3 6 2 2" xfId="8789" xr:uid="{00000000-0005-0000-0000-0000FB070000}"/>
    <cellStyle name="Comma0 3 7" xfId="281" xr:uid="{00000000-0005-0000-0000-0000FC070000}"/>
    <cellStyle name="Comma0 3 7 2" xfId="282" xr:uid="{00000000-0005-0000-0000-0000FD070000}"/>
    <cellStyle name="Comma0 3 7 2 2" xfId="8790" xr:uid="{00000000-0005-0000-0000-0000FE070000}"/>
    <cellStyle name="Comma0 3 8" xfId="283" xr:uid="{00000000-0005-0000-0000-0000FF070000}"/>
    <cellStyle name="Comma0 3 8 2" xfId="2129" xr:uid="{00000000-0005-0000-0000-000000080000}"/>
    <cellStyle name="Comma0 3 8 3" xfId="8791" xr:uid="{00000000-0005-0000-0000-000001080000}"/>
    <cellStyle name="Comma0 3 9" xfId="2130" xr:uid="{00000000-0005-0000-0000-000002080000}"/>
    <cellStyle name="Comma0 4" xfId="284" xr:uid="{00000000-0005-0000-0000-000003080000}"/>
    <cellStyle name="Comma0 4 2" xfId="285" xr:uid="{00000000-0005-0000-0000-000004080000}"/>
    <cellStyle name="Comma0 4 2 2" xfId="286" xr:uid="{00000000-0005-0000-0000-000005080000}"/>
    <cellStyle name="Comma0 4 2 2 2" xfId="8792" xr:uid="{00000000-0005-0000-0000-000006080000}"/>
    <cellStyle name="Comma0 4 3" xfId="287" xr:uid="{00000000-0005-0000-0000-000007080000}"/>
    <cellStyle name="Comma0 4 3 2" xfId="288" xr:uid="{00000000-0005-0000-0000-000008080000}"/>
    <cellStyle name="Comma0 4 3 2 2" xfId="8793" xr:uid="{00000000-0005-0000-0000-000009080000}"/>
    <cellStyle name="Comma0 4 4" xfId="289" xr:uid="{00000000-0005-0000-0000-00000A080000}"/>
    <cellStyle name="Comma0 4 4 2" xfId="290" xr:uid="{00000000-0005-0000-0000-00000B080000}"/>
    <cellStyle name="Comma0 4 4 2 2" xfId="8794" xr:uid="{00000000-0005-0000-0000-00000C080000}"/>
    <cellStyle name="Comma0 4 5" xfId="291" xr:uid="{00000000-0005-0000-0000-00000D080000}"/>
    <cellStyle name="Comma0 4 5 2" xfId="292" xr:uid="{00000000-0005-0000-0000-00000E080000}"/>
    <cellStyle name="Comma0 4 5 2 2" xfId="8795" xr:uid="{00000000-0005-0000-0000-00000F080000}"/>
    <cellStyle name="Comma0 4 6" xfId="293" xr:uid="{00000000-0005-0000-0000-000010080000}"/>
    <cellStyle name="Comma0 4 6 2" xfId="294" xr:uid="{00000000-0005-0000-0000-000011080000}"/>
    <cellStyle name="Comma0 4 6 2 2" xfId="8796" xr:uid="{00000000-0005-0000-0000-000012080000}"/>
    <cellStyle name="Comma0 4 7" xfId="295" xr:uid="{00000000-0005-0000-0000-000013080000}"/>
    <cellStyle name="Comma0 4 7 2" xfId="8797" xr:uid="{00000000-0005-0000-0000-000014080000}"/>
    <cellStyle name="Comma0 5" xfId="296" xr:uid="{00000000-0005-0000-0000-000015080000}"/>
    <cellStyle name="Comma0 5 2" xfId="297" xr:uid="{00000000-0005-0000-0000-000016080000}"/>
    <cellStyle name="Comma0 5 2 2" xfId="2137" xr:uid="{00000000-0005-0000-0000-000017080000}"/>
    <cellStyle name="Comma0 5 2 3" xfId="8798" xr:uid="{00000000-0005-0000-0000-000018080000}"/>
    <cellStyle name="Comma0 5 3" xfId="2138" xr:uid="{00000000-0005-0000-0000-000019080000}"/>
    <cellStyle name="Comma0 5 4" xfId="2139" xr:uid="{00000000-0005-0000-0000-00001A080000}"/>
    <cellStyle name="Comma0 5 5" xfId="2140" xr:uid="{00000000-0005-0000-0000-00001B080000}"/>
    <cellStyle name="Comma0 5 6" xfId="2136" xr:uid="{00000000-0005-0000-0000-00001C080000}"/>
    <cellStyle name="Comma0 6" xfId="298" xr:uid="{00000000-0005-0000-0000-00001D080000}"/>
    <cellStyle name="Comma0 6 2" xfId="299" xr:uid="{00000000-0005-0000-0000-00001E080000}"/>
    <cellStyle name="Comma0 6 2 2" xfId="2142" xr:uid="{00000000-0005-0000-0000-00001F080000}"/>
    <cellStyle name="Comma0 6 2 3" xfId="8799" xr:uid="{00000000-0005-0000-0000-000020080000}"/>
    <cellStyle name="Comma0 6 3" xfId="2143" xr:uid="{00000000-0005-0000-0000-000021080000}"/>
    <cellStyle name="Comma0 6 4" xfId="2144" xr:uid="{00000000-0005-0000-0000-000022080000}"/>
    <cellStyle name="Comma0 6 5" xfId="2145" xr:uid="{00000000-0005-0000-0000-000023080000}"/>
    <cellStyle name="Comma0 6 6" xfId="2141" xr:uid="{00000000-0005-0000-0000-000024080000}"/>
    <cellStyle name="Comma0 7" xfId="300" xr:uid="{00000000-0005-0000-0000-000025080000}"/>
    <cellStyle name="Comma0 7 2" xfId="301" xr:uid="{00000000-0005-0000-0000-000026080000}"/>
    <cellStyle name="Comma0 7 2 2" xfId="2147" xr:uid="{00000000-0005-0000-0000-000027080000}"/>
    <cellStyle name="Comma0 7 2 3" xfId="8800" xr:uid="{00000000-0005-0000-0000-000028080000}"/>
    <cellStyle name="Comma0 7 3" xfId="2148" xr:uid="{00000000-0005-0000-0000-000029080000}"/>
    <cellStyle name="Comma0 7 4" xfId="2149" xr:uid="{00000000-0005-0000-0000-00002A080000}"/>
    <cellStyle name="Comma0 7 5" xfId="2150" xr:uid="{00000000-0005-0000-0000-00002B080000}"/>
    <cellStyle name="Comma0 7 6" xfId="2146" xr:uid="{00000000-0005-0000-0000-00002C080000}"/>
    <cellStyle name="Comma0 8" xfId="302" xr:uid="{00000000-0005-0000-0000-00002D080000}"/>
    <cellStyle name="Comma0 8 2" xfId="303" xr:uid="{00000000-0005-0000-0000-00002E080000}"/>
    <cellStyle name="Comma0 8 2 2" xfId="2152" xr:uid="{00000000-0005-0000-0000-00002F080000}"/>
    <cellStyle name="Comma0 8 2 3" xfId="8801" xr:uid="{00000000-0005-0000-0000-000030080000}"/>
    <cellStyle name="Comma0 8 3" xfId="2153" xr:uid="{00000000-0005-0000-0000-000031080000}"/>
    <cellStyle name="Comma0 8 4" xfId="2154" xr:uid="{00000000-0005-0000-0000-000032080000}"/>
    <cellStyle name="Comma0 8 5" xfId="2155" xr:uid="{00000000-0005-0000-0000-000033080000}"/>
    <cellStyle name="Comma0 8 6" xfId="2151" xr:uid="{00000000-0005-0000-0000-000034080000}"/>
    <cellStyle name="Comma0 9" xfId="304" xr:uid="{00000000-0005-0000-0000-000035080000}"/>
    <cellStyle name="Comma0 9 2" xfId="305" xr:uid="{00000000-0005-0000-0000-000036080000}"/>
    <cellStyle name="Comma0 9 2 2" xfId="2157" xr:uid="{00000000-0005-0000-0000-000037080000}"/>
    <cellStyle name="Comma0 9 2 3" xfId="8802" xr:uid="{00000000-0005-0000-0000-000038080000}"/>
    <cellStyle name="Comma0 9 3" xfId="2158" xr:uid="{00000000-0005-0000-0000-000039080000}"/>
    <cellStyle name="Comma0 9 4" xfId="2159" xr:uid="{00000000-0005-0000-0000-00003A080000}"/>
    <cellStyle name="Comma0 9 5" xfId="2160" xr:uid="{00000000-0005-0000-0000-00003B080000}"/>
    <cellStyle name="Comma0 9 6" xfId="2156" xr:uid="{00000000-0005-0000-0000-00003C080000}"/>
    <cellStyle name="Comma0_Bridges estimate" xfId="30" xr:uid="{00000000-0005-0000-0000-00003D080000}"/>
    <cellStyle name="Comma0_N3 Hs 4 draft BOQ estimate_rev 5 Tender N3TCrev3 priced" xfId="68" xr:uid="{00000000-0005-0000-0000-00003E080000}"/>
    <cellStyle name="Comma1" xfId="31" xr:uid="{00000000-0005-0000-0000-00003F080000}"/>
    <cellStyle name="Comma1 10" xfId="2162" xr:uid="{00000000-0005-0000-0000-000040080000}"/>
    <cellStyle name="Comma1 11" xfId="2163" xr:uid="{00000000-0005-0000-0000-000041080000}"/>
    <cellStyle name="Comma1 12" xfId="306" xr:uid="{00000000-0005-0000-0000-000042080000}"/>
    <cellStyle name="Comma1 2" xfId="307" xr:uid="{00000000-0005-0000-0000-000043080000}"/>
    <cellStyle name="Comma1 2 10" xfId="2165" xr:uid="{00000000-0005-0000-0000-000044080000}"/>
    <cellStyle name="Comma1 2 100" xfId="2166" xr:uid="{00000000-0005-0000-0000-000045080000}"/>
    <cellStyle name="Comma1 2 101" xfId="2167" xr:uid="{00000000-0005-0000-0000-000046080000}"/>
    <cellStyle name="Comma1 2 102" xfId="2168" xr:uid="{00000000-0005-0000-0000-000047080000}"/>
    <cellStyle name="Comma1 2 103" xfId="2169" xr:uid="{00000000-0005-0000-0000-000048080000}"/>
    <cellStyle name="Comma1 2 104" xfId="2170" xr:uid="{00000000-0005-0000-0000-000049080000}"/>
    <cellStyle name="Comma1 2 105" xfId="2171" xr:uid="{00000000-0005-0000-0000-00004A080000}"/>
    <cellStyle name="Comma1 2 106" xfId="2172" xr:uid="{00000000-0005-0000-0000-00004B080000}"/>
    <cellStyle name="Comma1 2 107" xfId="2173" xr:uid="{00000000-0005-0000-0000-00004C080000}"/>
    <cellStyle name="Comma1 2 108" xfId="2174" xr:uid="{00000000-0005-0000-0000-00004D080000}"/>
    <cellStyle name="Comma1 2 109" xfId="2175" xr:uid="{00000000-0005-0000-0000-00004E080000}"/>
    <cellStyle name="Comma1 2 11" xfId="2176" xr:uid="{00000000-0005-0000-0000-00004F080000}"/>
    <cellStyle name="Comma1 2 110" xfId="2177" xr:uid="{00000000-0005-0000-0000-000050080000}"/>
    <cellStyle name="Comma1 2 111" xfId="2178" xr:uid="{00000000-0005-0000-0000-000051080000}"/>
    <cellStyle name="Comma1 2 112" xfId="2179" xr:uid="{00000000-0005-0000-0000-000052080000}"/>
    <cellStyle name="Comma1 2 113" xfId="2180" xr:uid="{00000000-0005-0000-0000-000053080000}"/>
    <cellStyle name="Comma1 2 114" xfId="2181" xr:uid="{00000000-0005-0000-0000-000054080000}"/>
    <cellStyle name="Comma1 2 115" xfId="2182" xr:uid="{00000000-0005-0000-0000-000055080000}"/>
    <cellStyle name="Comma1 2 116" xfId="2183" xr:uid="{00000000-0005-0000-0000-000056080000}"/>
    <cellStyle name="Comma1 2 117" xfId="2184" xr:uid="{00000000-0005-0000-0000-000057080000}"/>
    <cellStyle name="Comma1 2 118" xfId="2185" xr:uid="{00000000-0005-0000-0000-000058080000}"/>
    <cellStyle name="Comma1 2 119" xfId="2186" xr:uid="{00000000-0005-0000-0000-000059080000}"/>
    <cellStyle name="Comma1 2 12" xfId="2187" xr:uid="{00000000-0005-0000-0000-00005A080000}"/>
    <cellStyle name="Comma1 2 120" xfId="2188" xr:uid="{00000000-0005-0000-0000-00005B080000}"/>
    <cellStyle name="Comma1 2 121" xfId="2189" xr:uid="{00000000-0005-0000-0000-00005C080000}"/>
    <cellStyle name="Comma1 2 122" xfId="2190" xr:uid="{00000000-0005-0000-0000-00005D080000}"/>
    <cellStyle name="Comma1 2 123" xfId="2191" xr:uid="{00000000-0005-0000-0000-00005E080000}"/>
    <cellStyle name="Comma1 2 124" xfId="2192" xr:uid="{00000000-0005-0000-0000-00005F080000}"/>
    <cellStyle name="Comma1 2 125" xfId="2193" xr:uid="{00000000-0005-0000-0000-000060080000}"/>
    <cellStyle name="Comma1 2 126" xfId="2194" xr:uid="{00000000-0005-0000-0000-000061080000}"/>
    <cellStyle name="Comma1 2 127" xfId="2195" xr:uid="{00000000-0005-0000-0000-000062080000}"/>
    <cellStyle name="Comma1 2 128" xfId="2196" xr:uid="{00000000-0005-0000-0000-000063080000}"/>
    <cellStyle name="Comma1 2 129" xfId="2197" xr:uid="{00000000-0005-0000-0000-000064080000}"/>
    <cellStyle name="Comma1 2 13" xfId="2198" xr:uid="{00000000-0005-0000-0000-000065080000}"/>
    <cellStyle name="Comma1 2 130" xfId="2199" xr:uid="{00000000-0005-0000-0000-000066080000}"/>
    <cellStyle name="Comma1 2 131" xfId="2200" xr:uid="{00000000-0005-0000-0000-000067080000}"/>
    <cellStyle name="Comma1 2 132" xfId="2201" xr:uid="{00000000-0005-0000-0000-000068080000}"/>
    <cellStyle name="Comma1 2 133" xfId="2202" xr:uid="{00000000-0005-0000-0000-000069080000}"/>
    <cellStyle name="Comma1 2 134" xfId="2203" xr:uid="{00000000-0005-0000-0000-00006A080000}"/>
    <cellStyle name="Comma1 2 135" xfId="2204" xr:uid="{00000000-0005-0000-0000-00006B080000}"/>
    <cellStyle name="Comma1 2 136" xfId="2205" xr:uid="{00000000-0005-0000-0000-00006C080000}"/>
    <cellStyle name="Comma1 2 137" xfId="2206" xr:uid="{00000000-0005-0000-0000-00006D080000}"/>
    <cellStyle name="Comma1 2 138" xfId="2207" xr:uid="{00000000-0005-0000-0000-00006E080000}"/>
    <cellStyle name="Comma1 2 139" xfId="2208" xr:uid="{00000000-0005-0000-0000-00006F080000}"/>
    <cellStyle name="Comma1 2 14" xfId="2209" xr:uid="{00000000-0005-0000-0000-000070080000}"/>
    <cellStyle name="Comma1 2 140" xfId="2210" xr:uid="{00000000-0005-0000-0000-000071080000}"/>
    <cellStyle name="Comma1 2 141" xfId="2211" xr:uid="{00000000-0005-0000-0000-000072080000}"/>
    <cellStyle name="Comma1 2 142" xfId="2212" xr:uid="{00000000-0005-0000-0000-000073080000}"/>
    <cellStyle name="Comma1 2 143" xfId="2213" xr:uid="{00000000-0005-0000-0000-000074080000}"/>
    <cellStyle name="Comma1 2 144" xfId="2214" xr:uid="{00000000-0005-0000-0000-000075080000}"/>
    <cellStyle name="Comma1 2 145" xfId="2215" xr:uid="{00000000-0005-0000-0000-000076080000}"/>
    <cellStyle name="Comma1 2 146" xfId="2216" xr:uid="{00000000-0005-0000-0000-000077080000}"/>
    <cellStyle name="Comma1 2 147" xfId="2217" xr:uid="{00000000-0005-0000-0000-000078080000}"/>
    <cellStyle name="Comma1 2 148" xfId="2218" xr:uid="{00000000-0005-0000-0000-000079080000}"/>
    <cellStyle name="Comma1 2 149" xfId="2219" xr:uid="{00000000-0005-0000-0000-00007A080000}"/>
    <cellStyle name="Comma1 2 15" xfId="2220" xr:uid="{00000000-0005-0000-0000-00007B080000}"/>
    <cellStyle name="Comma1 2 150" xfId="2221" xr:uid="{00000000-0005-0000-0000-00007C080000}"/>
    <cellStyle name="Comma1 2 151" xfId="2222" xr:uid="{00000000-0005-0000-0000-00007D080000}"/>
    <cellStyle name="Comma1 2 152" xfId="2223" xr:uid="{00000000-0005-0000-0000-00007E080000}"/>
    <cellStyle name="Comma1 2 153" xfId="2224" xr:uid="{00000000-0005-0000-0000-00007F080000}"/>
    <cellStyle name="Comma1 2 154" xfId="2225" xr:uid="{00000000-0005-0000-0000-000080080000}"/>
    <cellStyle name="Comma1 2 155" xfId="2226" xr:uid="{00000000-0005-0000-0000-000081080000}"/>
    <cellStyle name="Comma1 2 156" xfId="2227" xr:uid="{00000000-0005-0000-0000-000082080000}"/>
    <cellStyle name="Comma1 2 157" xfId="2228" xr:uid="{00000000-0005-0000-0000-000083080000}"/>
    <cellStyle name="Comma1 2 158" xfId="2229" xr:uid="{00000000-0005-0000-0000-000084080000}"/>
    <cellStyle name="Comma1 2 159" xfId="2230" xr:uid="{00000000-0005-0000-0000-000085080000}"/>
    <cellStyle name="Comma1 2 16" xfId="2231" xr:uid="{00000000-0005-0000-0000-000086080000}"/>
    <cellStyle name="Comma1 2 160" xfId="2232" xr:uid="{00000000-0005-0000-0000-000087080000}"/>
    <cellStyle name="Comma1 2 161" xfId="2233" xr:uid="{00000000-0005-0000-0000-000088080000}"/>
    <cellStyle name="Comma1 2 162" xfId="2234" xr:uid="{00000000-0005-0000-0000-000089080000}"/>
    <cellStyle name="Comma1 2 163" xfId="2235" xr:uid="{00000000-0005-0000-0000-00008A080000}"/>
    <cellStyle name="Comma1 2 164" xfId="2236" xr:uid="{00000000-0005-0000-0000-00008B080000}"/>
    <cellStyle name="Comma1 2 165" xfId="2237" xr:uid="{00000000-0005-0000-0000-00008C080000}"/>
    <cellStyle name="Comma1 2 166" xfId="2238" xr:uid="{00000000-0005-0000-0000-00008D080000}"/>
    <cellStyle name="Comma1 2 167" xfId="2239" xr:uid="{00000000-0005-0000-0000-00008E080000}"/>
    <cellStyle name="Comma1 2 168" xfId="2240" xr:uid="{00000000-0005-0000-0000-00008F080000}"/>
    <cellStyle name="Comma1 2 169" xfId="2241" xr:uid="{00000000-0005-0000-0000-000090080000}"/>
    <cellStyle name="Comma1 2 17" xfId="2242" xr:uid="{00000000-0005-0000-0000-000091080000}"/>
    <cellStyle name="Comma1 2 170" xfId="2243" xr:uid="{00000000-0005-0000-0000-000092080000}"/>
    <cellStyle name="Comma1 2 171" xfId="2244" xr:uid="{00000000-0005-0000-0000-000093080000}"/>
    <cellStyle name="Comma1 2 172" xfId="2245" xr:uid="{00000000-0005-0000-0000-000094080000}"/>
    <cellStyle name="Comma1 2 173" xfId="2246" xr:uid="{00000000-0005-0000-0000-000095080000}"/>
    <cellStyle name="Comma1 2 174" xfId="2247" xr:uid="{00000000-0005-0000-0000-000096080000}"/>
    <cellStyle name="Comma1 2 175" xfId="2248" xr:uid="{00000000-0005-0000-0000-000097080000}"/>
    <cellStyle name="Comma1 2 176" xfId="2249" xr:uid="{00000000-0005-0000-0000-000098080000}"/>
    <cellStyle name="Comma1 2 177" xfId="2250" xr:uid="{00000000-0005-0000-0000-000099080000}"/>
    <cellStyle name="Comma1 2 178" xfId="2251" xr:uid="{00000000-0005-0000-0000-00009A080000}"/>
    <cellStyle name="Comma1 2 179" xfId="2252" xr:uid="{00000000-0005-0000-0000-00009B080000}"/>
    <cellStyle name="Comma1 2 18" xfId="2253" xr:uid="{00000000-0005-0000-0000-00009C080000}"/>
    <cellStyle name="Comma1 2 180" xfId="2254" xr:uid="{00000000-0005-0000-0000-00009D080000}"/>
    <cellStyle name="Comma1 2 181" xfId="2255" xr:uid="{00000000-0005-0000-0000-00009E080000}"/>
    <cellStyle name="Comma1 2 182" xfId="2256" xr:uid="{00000000-0005-0000-0000-00009F080000}"/>
    <cellStyle name="Comma1 2 183" xfId="2257" xr:uid="{00000000-0005-0000-0000-0000A0080000}"/>
    <cellStyle name="Comma1 2 184" xfId="2258" xr:uid="{00000000-0005-0000-0000-0000A1080000}"/>
    <cellStyle name="Comma1 2 185" xfId="2259" xr:uid="{00000000-0005-0000-0000-0000A2080000}"/>
    <cellStyle name="Comma1 2 186" xfId="2260" xr:uid="{00000000-0005-0000-0000-0000A3080000}"/>
    <cellStyle name="Comma1 2 187" xfId="2261" xr:uid="{00000000-0005-0000-0000-0000A4080000}"/>
    <cellStyle name="Comma1 2 188" xfId="2262" xr:uid="{00000000-0005-0000-0000-0000A5080000}"/>
    <cellStyle name="Comma1 2 189" xfId="2263" xr:uid="{00000000-0005-0000-0000-0000A6080000}"/>
    <cellStyle name="Comma1 2 19" xfId="2264" xr:uid="{00000000-0005-0000-0000-0000A7080000}"/>
    <cellStyle name="Comma1 2 190" xfId="2265" xr:uid="{00000000-0005-0000-0000-0000A8080000}"/>
    <cellStyle name="Comma1 2 191" xfId="2266" xr:uid="{00000000-0005-0000-0000-0000A9080000}"/>
    <cellStyle name="Comma1 2 192" xfId="2267" xr:uid="{00000000-0005-0000-0000-0000AA080000}"/>
    <cellStyle name="Comma1 2 193" xfId="2268" xr:uid="{00000000-0005-0000-0000-0000AB080000}"/>
    <cellStyle name="Comma1 2 194" xfId="2269" xr:uid="{00000000-0005-0000-0000-0000AC080000}"/>
    <cellStyle name="Comma1 2 195" xfId="2270" xr:uid="{00000000-0005-0000-0000-0000AD080000}"/>
    <cellStyle name="Comma1 2 196" xfId="2271" xr:uid="{00000000-0005-0000-0000-0000AE080000}"/>
    <cellStyle name="Comma1 2 197" xfId="2272" xr:uid="{00000000-0005-0000-0000-0000AF080000}"/>
    <cellStyle name="Comma1 2 198" xfId="2273" xr:uid="{00000000-0005-0000-0000-0000B0080000}"/>
    <cellStyle name="Comma1 2 199" xfId="2274" xr:uid="{00000000-0005-0000-0000-0000B1080000}"/>
    <cellStyle name="Comma1 2 2" xfId="308" xr:uid="{00000000-0005-0000-0000-0000B2080000}"/>
    <cellStyle name="Comma1 2 2 2" xfId="309" xr:uid="{00000000-0005-0000-0000-0000B3080000}"/>
    <cellStyle name="Comma1 2 2 2 2" xfId="8803" xr:uid="{00000000-0005-0000-0000-0000B4080000}"/>
    <cellStyle name="Comma1 2 20" xfId="2275" xr:uid="{00000000-0005-0000-0000-0000B5080000}"/>
    <cellStyle name="Comma1 2 200" xfId="2276" xr:uid="{00000000-0005-0000-0000-0000B6080000}"/>
    <cellStyle name="Comma1 2 201" xfId="2277" xr:uid="{00000000-0005-0000-0000-0000B7080000}"/>
    <cellStyle name="Comma1 2 202" xfId="2278" xr:uid="{00000000-0005-0000-0000-0000B8080000}"/>
    <cellStyle name="Comma1 2 203" xfId="2279" xr:uid="{00000000-0005-0000-0000-0000B9080000}"/>
    <cellStyle name="Comma1 2 204" xfId="2280" xr:uid="{00000000-0005-0000-0000-0000BA080000}"/>
    <cellStyle name="Comma1 2 205" xfId="2281" xr:uid="{00000000-0005-0000-0000-0000BB080000}"/>
    <cellStyle name="Comma1 2 206" xfId="2282" xr:uid="{00000000-0005-0000-0000-0000BC080000}"/>
    <cellStyle name="Comma1 2 207" xfId="2283" xr:uid="{00000000-0005-0000-0000-0000BD080000}"/>
    <cellStyle name="Comma1 2 208" xfId="2284" xr:uid="{00000000-0005-0000-0000-0000BE080000}"/>
    <cellStyle name="Comma1 2 209" xfId="2285" xr:uid="{00000000-0005-0000-0000-0000BF080000}"/>
    <cellStyle name="Comma1 2 21" xfId="2286" xr:uid="{00000000-0005-0000-0000-0000C0080000}"/>
    <cellStyle name="Comma1 2 210" xfId="2287" xr:uid="{00000000-0005-0000-0000-0000C1080000}"/>
    <cellStyle name="Comma1 2 211" xfId="2288" xr:uid="{00000000-0005-0000-0000-0000C2080000}"/>
    <cellStyle name="Comma1 2 212" xfId="2289" xr:uid="{00000000-0005-0000-0000-0000C3080000}"/>
    <cellStyle name="Comma1 2 213" xfId="2290" xr:uid="{00000000-0005-0000-0000-0000C4080000}"/>
    <cellStyle name="Comma1 2 214" xfId="2291" xr:uid="{00000000-0005-0000-0000-0000C5080000}"/>
    <cellStyle name="Comma1 2 215" xfId="2292" xr:uid="{00000000-0005-0000-0000-0000C6080000}"/>
    <cellStyle name="Comma1 2 216" xfId="2293" xr:uid="{00000000-0005-0000-0000-0000C7080000}"/>
    <cellStyle name="Comma1 2 217" xfId="2294" xr:uid="{00000000-0005-0000-0000-0000C8080000}"/>
    <cellStyle name="Comma1 2 218" xfId="2295" xr:uid="{00000000-0005-0000-0000-0000C9080000}"/>
    <cellStyle name="Comma1 2 219" xfId="2296" xr:uid="{00000000-0005-0000-0000-0000CA080000}"/>
    <cellStyle name="Comma1 2 22" xfId="2297" xr:uid="{00000000-0005-0000-0000-0000CB080000}"/>
    <cellStyle name="Comma1 2 220" xfId="2298" xr:uid="{00000000-0005-0000-0000-0000CC080000}"/>
    <cellStyle name="Comma1 2 221" xfId="2299" xr:uid="{00000000-0005-0000-0000-0000CD080000}"/>
    <cellStyle name="Comma1 2 222" xfId="2300" xr:uid="{00000000-0005-0000-0000-0000CE080000}"/>
    <cellStyle name="Comma1 2 223" xfId="2301" xr:uid="{00000000-0005-0000-0000-0000CF080000}"/>
    <cellStyle name="Comma1 2 224" xfId="2302" xr:uid="{00000000-0005-0000-0000-0000D0080000}"/>
    <cellStyle name="Comma1 2 225" xfId="2303" xr:uid="{00000000-0005-0000-0000-0000D1080000}"/>
    <cellStyle name="Comma1 2 226" xfId="2304" xr:uid="{00000000-0005-0000-0000-0000D2080000}"/>
    <cellStyle name="Comma1 2 227" xfId="2305" xr:uid="{00000000-0005-0000-0000-0000D3080000}"/>
    <cellStyle name="Comma1 2 228" xfId="2306" xr:uid="{00000000-0005-0000-0000-0000D4080000}"/>
    <cellStyle name="Comma1 2 229" xfId="2307" xr:uid="{00000000-0005-0000-0000-0000D5080000}"/>
    <cellStyle name="Comma1 2 23" xfId="2308" xr:uid="{00000000-0005-0000-0000-0000D6080000}"/>
    <cellStyle name="Comma1 2 230" xfId="2309" xr:uid="{00000000-0005-0000-0000-0000D7080000}"/>
    <cellStyle name="Comma1 2 231" xfId="2310" xr:uid="{00000000-0005-0000-0000-0000D8080000}"/>
    <cellStyle name="Comma1 2 232" xfId="2311" xr:uid="{00000000-0005-0000-0000-0000D9080000}"/>
    <cellStyle name="Comma1 2 233" xfId="2312" xr:uid="{00000000-0005-0000-0000-0000DA080000}"/>
    <cellStyle name="Comma1 2 234" xfId="2313" xr:uid="{00000000-0005-0000-0000-0000DB080000}"/>
    <cellStyle name="Comma1 2 235" xfId="2314" xr:uid="{00000000-0005-0000-0000-0000DC080000}"/>
    <cellStyle name="Comma1 2 236" xfId="2315" xr:uid="{00000000-0005-0000-0000-0000DD080000}"/>
    <cellStyle name="Comma1 2 237" xfId="2316" xr:uid="{00000000-0005-0000-0000-0000DE080000}"/>
    <cellStyle name="Comma1 2 238" xfId="2317" xr:uid="{00000000-0005-0000-0000-0000DF080000}"/>
    <cellStyle name="Comma1 2 239" xfId="2318" xr:uid="{00000000-0005-0000-0000-0000E0080000}"/>
    <cellStyle name="Comma1 2 24" xfId="2319" xr:uid="{00000000-0005-0000-0000-0000E1080000}"/>
    <cellStyle name="Comma1 2 240" xfId="2320" xr:uid="{00000000-0005-0000-0000-0000E2080000}"/>
    <cellStyle name="Comma1 2 241" xfId="2321" xr:uid="{00000000-0005-0000-0000-0000E3080000}"/>
    <cellStyle name="Comma1 2 242" xfId="2322" xr:uid="{00000000-0005-0000-0000-0000E4080000}"/>
    <cellStyle name="Comma1 2 243" xfId="2323" xr:uid="{00000000-0005-0000-0000-0000E5080000}"/>
    <cellStyle name="Comma1 2 244" xfId="2324" xr:uid="{00000000-0005-0000-0000-0000E6080000}"/>
    <cellStyle name="Comma1 2 245" xfId="2325" xr:uid="{00000000-0005-0000-0000-0000E7080000}"/>
    <cellStyle name="Comma1 2 246" xfId="2326" xr:uid="{00000000-0005-0000-0000-0000E8080000}"/>
    <cellStyle name="Comma1 2 247" xfId="2327" xr:uid="{00000000-0005-0000-0000-0000E9080000}"/>
    <cellStyle name="Comma1 2 248" xfId="2328" xr:uid="{00000000-0005-0000-0000-0000EA080000}"/>
    <cellStyle name="Comma1 2 249" xfId="2329" xr:uid="{00000000-0005-0000-0000-0000EB080000}"/>
    <cellStyle name="Comma1 2 25" xfId="2330" xr:uid="{00000000-0005-0000-0000-0000EC080000}"/>
    <cellStyle name="Comma1 2 250" xfId="2331" xr:uid="{00000000-0005-0000-0000-0000ED080000}"/>
    <cellStyle name="Comma1 2 251" xfId="2332" xr:uid="{00000000-0005-0000-0000-0000EE080000}"/>
    <cellStyle name="Comma1 2 252" xfId="2333" xr:uid="{00000000-0005-0000-0000-0000EF080000}"/>
    <cellStyle name="Comma1 2 253" xfId="2334" xr:uid="{00000000-0005-0000-0000-0000F0080000}"/>
    <cellStyle name="Comma1 2 254" xfId="2335" xr:uid="{00000000-0005-0000-0000-0000F1080000}"/>
    <cellStyle name="Comma1 2 255" xfId="2336" xr:uid="{00000000-0005-0000-0000-0000F2080000}"/>
    <cellStyle name="Comma1 2 256" xfId="2164" xr:uid="{00000000-0005-0000-0000-0000F3080000}"/>
    <cellStyle name="Comma1 2 257" xfId="7431" xr:uid="{00000000-0005-0000-0000-0000F4080000}"/>
    <cellStyle name="Comma1 2 26" xfId="2337" xr:uid="{00000000-0005-0000-0000-0000F5080000}"/>
    <cellStyle name="Comma1 2 27" xfId="2338" xr:uid="{00000000-0005-0000-0000-0000F6080000}"/>
    <cellStyle name="Comma1 2 28" xfId="2339" xr:uid="{00000000-0005-0000-0000-0000F7080000}"/>
    <cellStyle name="Comma1 2 29" xfId="2340" xr:uid="{00000000-0005-0000-0000-0000F8080000}"/>
    <cellStyle name="Comma1 2 3" xfId="310" xr:uid="{00000000-0005-0000-0000-0000F9080000}"/>
    <cellStyle name="Comma1 2 3 2" xfId="2341" xr:uid="{00000000-0005-0000-0000-0000FA080000}"/>
    <cellStyle name="Comma1 2 3 3" xfId="8804" xr:uid="{00000000-0005-0000-0000-0000FB080000}"/>
    <cellStyle name="Comma1 2 30" xfId="2342" xr:uid="{00000000-0005-0000-0000-0000FC080000}"/>
    <cellStyle name="Comma1 2 31" xfId="2343" xr:uid="{00000000-0005-0000-0000-0000FD080000}"/>
    <cellStyle name="Comma1 2 32" xfId="2344" xr:uid="{00000000-0005-0000-0000-0000FE080000}"/>
    <cellStyle name="Comma1 2 33" xfId="2345" xr:uid="{00000000-0005-0000-0000-0000FF080000}"/>
    <cellStyle name="Comma1 2 34" xfId="2346" xr:uid="{00000000-0005-0000-0000-000000090000}"/>
    <cellStyle name="Comma1 2 35" xfId="2347" xr:uid="{00000000-0005-0000-0000-000001090000}"/>
    <cellStyle name="Comma1 2 36" xfId="2348" xr:uid="{00000000-0005-0000-0000-000002090000}"/>
    <cellStyle name="Comma1 2 37" xfId="2349" xr:uid="{00000000-0005-0000-0000-000003090000}"/>
    <cellStyle name="Comma1 2 38" xfId="2350" xr:uid="{00000000-0005-0000-0000-000004090000}"/>
    <cellStyle name="Comma1 2 39" xfId="2351" xr:uid="{00000000-0005-0000-0000-000005090000}"/>
    <cellStyle name="Comma1 2 4" xfId="2352" xr:uid="{00000000-0005-0000-0000-000006090000}"/>
    <cellStyle name="Comma1 2 40" xfId="2353" xr:uid="{00000000-0005-0000-0000-000007090000}"/>
    <cellStyle name="Comma1 2 41" xfId="2354" xr:uid="{00000000-0005-0000-0000-000008090000}"/>
    <cellStyle name="Comma1 2 42" xfId="2355" xr:uid="{00000000-0005-0000-0000-000009090000}"/>
    <cellStyle name="Comma1 2 43" xfId="2356" xr:uid="{00000000-0005-0000-0000-00000A090000}"/>
    <cellStyle name="Comma1 2 44" xfId="2357" xr:uid="{00000000-0005-0000-0000-00000B090000}"/>
    <cellStyle name="Comma1 2 45" xfId="2358" xr:uid="{00000000-0005-0000-0000-00000C090000}"/>
    <cellStyle name="Comma1 2 46" xfId="2359" xr:uid="{00000000-0005-0000-0000-00000D090000}"/>
    <cellStyle name="Comma1 2 47" xfId="2360" xr:uid="{00000000-0005-0000-0000-00000E090000}"/>
    <cellStyle name="Comma1 2 48" xfId="2361" xr:uid="{00000000-0005-0000-0000-00000F090000}"/>
    <cellStyle name="Comma1 2 49" xfId="2362" xr:uid="{00000000-0005-0000-0000-000010090000}"/>
    <cellStyle name="Comma1 2 5" xfId="2363" xr:uid="{00000000-0005-0000-0000-000011090000}"/>
    <cellStyle name="Comma1 2 50" xfId="2364" xr:uid="{00000000-0005-0000-0000-000012090000}"/>
    <cellStyle name="Comma1 2 51" xfId="2365" xr:uid="{00000000-0005-0000-0000-000013090000}"/>
    <cellStyle name="Comma1 2 52" xfId="2366" xr:uid="{00000000-0005-0000-0000-000014090000}"/>
    <cellStyle name="Comma1 2 53" xfId="2367" xr:uid="{00000000-0005-0000-0000-000015090000}"/>
    <cellStyle name="Comma1 2 54" xfId="2368" xr:uid="{00000000-0005-0000-0000-000016090000}"/>
    <cellStyle name="Comma1 2 55" xfId="2369" xr:uid="{00000000-0005-0000-0000-000017090000}"/>
    <cellStyle name="Comma1 2 56" xfId="2370" xr:uid="{00000000-0005-0000-0000-000018090000}"/>
    <cellStyle name="Comma1 2 57" xfId="2371" xr:uid="{00000000-0005-0000-0000-000019090000}"/>
    <cellStyle name="Comma1 2 58" xfId="2372" xr:uid="{00000000-0005-0000-0000-00001A090000}"/>
    <cellStyle name="Comma1 2 59" xfId="2373" xr:uid="{00000000-0005-0000-0000-00001B090000}"/>
    <cellStyle name="Comma1 2 6" xfId="2374" xr:uid="{00000000-0005-0000-0000-00001C090000}"/>
    <cellStyle name="Comma1 2 60" xfId="2375" xr:uid="{00000000-0005-0000-0000-00001D090000}"/>
    <cellStyle name="Comma1 2 61" xfId="2376" xr:uid="{00000000-0005-0000-0000-00001E090000}"/>
    <cellStyle name="Comma1 2 62" xfId="2377" xr:uid="{00000000-0005-0000-0000-00001F090000}"/>
    <cellStyle name="Comma1 2 63" xfId="2378" xr:uid="{00000000-0005-0000-0000-000020090000}"/>
    <cellStyle name="Comma1 2 64" xfId="2379" xr:uid="{00000000-0005-0000-0000-000021090000}"/>
    <cellStyle name="Comma1 2 65" xfId="2380" xr:uid="{00000000-0005-0000-0000-000022090000}"/>
    <cellStyle name="Comma1 2 66" xfId="2381" xr:uid="{00000000-0005-0000-0000-000023090000}"/>
    <cellStyle name="Comma1 2 67" xfId="2382" xr:uid="{00000000-0005-0000-0000-000024090000}"/>
    <cellStyle name="Comma1 2 68" xfId="2383" xr:uid="{00000000-0005-0000-0000-000025090000}"/>
    <cellStyle name="Comma1 2 69" xfId="2384" xr:uid="{00000000-0005-0000-0000-000026090000}"/>
    <cellStyle name="Comma1 2 7" xfId="2385" xr:uid="{00000000-0005-0000-0000-000027090000}"/>
    <cellStyle name="Comma1 2 70" xfId="2386" xr:uid="{00000000-0005-0000-0000-000028090000}"/>
    <cellStyle name="Comma1 2 71" xfId="2387" xr:uid="{00000000-0005-0000-0000-000029090000}"/>
    <cellStyle name="Comma1 2 72" xfId="2388" xr:uid="{00000000-0005-0000-0000-00002A090000}"/>
    <cellStyle name="Comma1 2 73" xfId="2389" xr:uid="{00000000-0005-0000-0000-00002B090000}"/>
    <cellStyle name="Comma1 2 74" xfId="2390" xr:uid="{00000000-0005-0000-0000-00002C090000}"/>
    <cellStyle name="Comma1 2 75" xfId="2391" xr:uid="{00000000-0005-0000-0000-00002D090000}"/>
    <cellStyle name="Comma1 2 76" xfId="2392" xr:uid="{00000000-0005-0000-0000-00002E090000}"/>
    <cellStyle name="Comma1 2 77" xfId="2393" xr:uid="{00000000-0005-0000-0000-00002F090000}"/>
    <cellStyle name="Comma1 2 78" xfId="2394" xr:uid="{00000000-0005-0000-0000-000030090000}"/>
    <cellStyle name="Comma1 2 79" xfId="2395" xr:uid="{00000000-0005-0000-0000-000031090000}"/>
    <cellStyle name="Comma1 2 8" xfId="2396" xr:uid="{00000000-0005-0000-0000-000032090000}"/>
    <cellStyle name="Comma1 2 80" xfId="2397" xr:uid="{00000000-0005-0000-0000-000033090000}"/>
    <cellStyle name="Comma1 2 81" xfId="2398" xr:uid="{00000000-0005-0000-0000-000034090000}"/>
    <cellStyle name="Comma1 2 82" xfId="2399" xr:uid="{00000000-0005-0000-0000-000035090000}"/>
    <cellStyle name="Comma1 2 83" xfId="2400" xr:uid="{00000000-0005-0000-0000-000036090000}"/>
    <cellStyle name="Comma1 2 84" xfId="2401" xr:uid="{00000000-0005-0000-0000-000037090000}"/>
    <cellStyle name="Comma1 2 85" xfId="2402" xr:uid="{00000000-0005-0000-0000-000038090000}"/>
    <cellStyle name="Comma1 2 86" xfId="2403" xr:uid="{00000000-0005-0000-0000-000039090000}"/>
    <cellStyle name="Comma1 2 87" xfId="2404" xr:uid="{00000000-0005-0000-0000-00003A090000}"/>
    <cellStyle name="Comma1 2 88" xfId="2405" xr:uid="{00000000-0005-0000-0000-00003B090000}"/>
    <cellStyle name="Comma1 2 89" xfId="2406" xr:uid="{00000000-0005-0000-0000-00003C090000}"/>
    <cellStyle name="Comma1 2 9" xfId="2407" xr:uid="{00000000-0005-0000-0000-00003D090000}"/>
    <cellStyle name="Comma1 2 90" xfId="2408" xr:uid="{00000000-0005-0000-0000-00003E090000}"/>
    <cellStyle name="Comma1 2 91" xfId="2409" xr:uid="{00000000-0005-0000-0000-00003F090000}"/>
    <cellStyle name="Comma1 2 92" xfId="2410" xr:uid="{00000000-0005-0000-0000-000040090000}"/>
    <cellStyle name="Comma1 2 93" xfId="2411" xr:uid="{00000000-0005-0000-0000-000041090000}"/>
    <cellStyle name="Comma1 2 94" xfId="2412" xr:uid="{00000000-0005-0000-0000-000042090000}"/>
    <cellStyle name="Comma1 2 95" xfId="2413" xr:uid="{00000000-0005-0000-0000-000043090000}"/>
    <cellStyle name="Comma1 2 96" xfId="2414" xr:uid="{00000000-0005-0000-0000-000044090000}"/>
    <cellStyle name="Comma1 2 97" xfId="2415" xr:uid="{00000000-0005-0000-0000-000045090000}"/>
    <cellStyle name="Comma1 2 98" xfId="2416" xr:uid="{00000000-0005-0000-0000-000046090000}"/>
    <cellStyle name="Comma1 2 99" xfId="2417" xr:uid="{00000000-0005-0000-0000-000047090000}"/>
    <cellStyle name="Comma1 3" xfId="311" xr:uid="{00000000-0005-0000-0000-000048090000}"/>
    <cellStyle name="Comma1 3 2" xfId="312" xr:uid="{00000000-0005-0000-0000-000049090000}"/>
    <cellStyle name="Comma1 3 2 2" xfId="313" xr:uid="{00000000-0005-0000-0000-00004A090000}"/>
    <cellStyle name="Comma1 3 2 2 2" xfId="8805" xr:uid="{00000000-0005-0000-0000-00004B090000}"/>
    <cellStyle name="Comma1 3 3" xfId="314" xr:uid="{00000000-0005-0000-0000-00004C090000}"/>
    <cellStyle name="Comma1 3 3 2" xfId="2420" xr:uid="{00000000-0005-0000-0000-00004D090000}"/>
    <cellStyle name="Comma1 3 3 3" xfId="8806" xr:uid="{00000000-0005-0000-0000-00004E090000}"/>
    <cellStyle name="Comma1 3 4" xfId="2421" xr:uid="{00000000-0005-0000-0000-00004F090000}"/>
    <cellStyle name="Comma1 3 5" xfId="2422" xr:uid="{00000000-0005-0000-0000-000050090000}"/>
    <cellStyle name="Comma1 3 6" xfId="2418" xr:uid="{00000000-0005-0000-0000-000051090000}"/>
    <cellStyle name="Comma1 3 7" xfId="7432" xr:uid="{00000000-0005-0000-0000-000052090000}"/>
    <cellStyle name="Comma1 4" xfId="315" xr:uid="{00000000-0005-0000-0000-000053090000}"/>
    <cellStyle name="Comma1 4 2" xfId="316" xr:uid="{00000000-0005-0000-0000-000054090000}"/>
    <cellStyle name="Comma1 4 2 2" xfId="2424" xr:uid="{00000000-0005-0000-0000-000055090000}"/>
    <cellStyle name="Comma1 4 2 3" xfId="8807" xr:uid="{00000000-0005-0000-0000-000056090000}"/>
    <cellStyle name="Comma1 4 3" xfId="2425" xr:uid="{00000000-0005-0000-0000-000057090000}"/>
    <cellStyle name="Comma1 4 4" xfId="2426" xr:uid="{00000000-0005-0000-0000-000058090000}"/>
    <cellStyle name="Comma1 4 5" xfId="2427" xr:uid="{00000000-0005-0000-0000-000059090000}"/>
    <cellStyle name="Comma1 4 6" xfId="2423" xr:uid="{00000000-0005-0000-0000-00005A090000}"/>
    <cellStyle name="Comma1 5" xfId="317" xr:uid="{00000000-0005-0000-0000-00005B090000}"/>
    <cellStyle name="Comma1 5 2" xfId="318" xr:uid="{00000000-0005-0000-0000-00005C090000}"/>
    <cellStyle name="Comma1 5 2 2" xfId="8808" xr:uid="{00000000-0005-0000-0000-00005D090000}"/>
    <cellStyle name="Comma1 6" xfId="319" xr:uid="{00000000-0005-0000-0000-00005E090000}"/>
    <cellStyle name="Comma1 6 2" xfId="320" xr:uid="{00000000-0005-0000-0000-00005F090000}"/>
    <cellStyle name="Comma1 6 2 2" xfId="8809" xr:uid="{00000000-0005-0000-0000-000060090000}"/>
    <cellStyle name="Comma1 7" xfId="321" xr:uid="{00000000-0005-0000-0000-000061090000}"/>
    <cellStyle name="Comma1 8" xfId="322" xr:uid="{00000000-0005-0000-0000-000062090000}"/>
    <cellStyle name="Comma1 8 2" xfId="2430" xr:uid="{00000000-0005-0000-0000-000063090000}"/>
    <cellStyle name="Comma1 8 3" xfId="8810" xr:uid="{00000000-0005-0000-0000-000064090000}"/>
    <cellStyle name="Comma1 9" xfId="2431" xr:uid="{00000000-0005-0000-0000-000065090000}"/>
    <cellStyle name="Comma2" xfId="32" xr:uid="{00000000-0005-0000-0000-000066090000}"/>
    <cellStyle name="Comma2 2" xfId="323" xr:uid="{00000000-0005-0000-0000-000067090000}"/>
    <cellStyle name="Comma2 2 10" xfId="2434" xr:uid="{00000000-0005-0000-0000-000068090000}"/>
    <cellStyle name="Comma2 2 100" xfId="2435" xr:uid="{00000000-0005-0000-0000-000069090000}"/>
    <cellStyle name="Comma2 2 101" xfId="2436" xr:uid="{00000000-0005-0000-0000-00006A090000}"/>
    <cellStyle name="Comma2 2 102" xfId="2437" xr:uid="{00000000-0005-0000-0000-00006B090000}"/>
    <cellStyle name="Comma2 2 103" xfId="2438" xr:uid="{00000000-0005-0000-0000-00006C090000}"/>
    <cellStyle name="Comma2 2 104" xfId="2439" xr:uid="{00000000-0005-0000-0000-00006D090000}"/>
    <cellStyle name="Comma2 2 105" xfId="2440" xr:uid="{00000000-0005-0000-0000-00006E090000}"/>
    <cellStyle name="Comma2 2 106" xfId="2441" xr:uid="{00000000-0005-0000-0000-00006F090000}"/>
    <cellStyle name="Comma2 2 107" xfId="2442" xr:uid="{00000000-0005-0000-0000-000070090000}"/>
    <cellStyle name="Comma2 2 108" xfId="2443" xr:uid="{00000000-0005-0000-0000-000071090000}"/>
    <cellStyle name="Comma2 2 109" xfId="2444" xr:uid="{00000000-0005-0000-0000-000072090000}"/>
    <cellStyle name="Comma2 2 11" xfId="2445" xr:uid="{00000000-0005-0000-0000-000073090000}"/>
    <cellStyle name="Comma2 2 110" xfId="2446" xr:uid="{00000000-0005-0000-0000-000074090000}"/>
    <cellStyle name="Comma2 2 111" xfId="2447" xr:uid="{00000000-0005-0000-0000-000075090000}"/>
    <cellStyle name="Comma2 2 112" xfId="2448" xr:uid="{00000000-0005-0000-0000-000076090000}"/>
    <cellStyle name="Comma2 2 113" xfId="2449" xr:uid="{00000000-0005-0000-0000-000077090000}"/>
    <cellStyle name="Comma2 2 114" xfId="2450" xr:uid="{00000000-0005-0000-0000-000078090000}"/>
    <cellStyle name="Comma2 2 115" xfId="2451" xr:uid="{00000000-0005-0000-0000-000079090000}"/>
    <cellStyle name="Comma2 2 116" xfId="2452" xr:uid="{00000000-0005-0000-0000-00007A090000}"/>
    <cellStyle name="Comma2 2 117" xfId="2453" xr:uid="{00000000-0005-0000-0000-00007B090000}"/>
    <cellStyle name="Comma2 2 118" xfId="2454" xr:uid="{00000000-0005-0000-0000-00007C090000}"/>
    <cellStyle name="Comma2 2 119" xfId="2455" xr:uid="{00000000-0005-0000-0000-00007D090000}"/>
    <cellStyle name="Comma2 2 12" xfId="2456" xr:uid="{00000000-0005-0000-0000-00007E090000}"/>
    <cellStyle name="Comma2 2 120" xfId="2457" xr:uid="{00000000-0005-0000-0000-00007F090000}"/>
    <cellStyle name="Comma2 2 121" xfId="2458" xr:uid="{00000000-0005-0000-0000-000080090000}"/>
    <cellStyle name="Comma2 2 122" xfId="2459" xr:uid="{00000000-0005-0000-0000-000081090000}"/>
    <cellStyle name="Comma2 2 123" xfId="2460" xr:uid="{00000000-0005-0000-0000-000082090000}"/>
    <cellStyle name="Comma2 2 124" xfId="2461" xr:uid="{00000000-0005-0000-0000-000083090000}"/>
    <cellStyle name="Comma2 2 125" xfId="2462" xr:uid="{00000000-0005-0000-0000-000084090000}"/>
    <cellStyle name="Comma2 2 126" xfId="2463" xr:uid="{00000000-0005-0000-0000-000085090000}"/>
    <cellStyle name="Comma2 2 127" xfId="2464" xr:uid="{00000000-0005-0000-0000-000086090000}"/>
    <cellStyle name="Comma2 2 128" xfId="2465" xr:uid="{00000000-0005-0000-0000-000087090000}"/>
    <cellStyle name="Comma2 2 129" xfId="2466" xr:uid="{00000000-0005-0000-0000-000088090000}"/>
    <cellStyle name="Comma2 2 13" xfId="2467" xr:uid="{00000000-0005-0000-0000-000089090000}"/>
    <cellStyle name="Comma2 2 130" xfId="2468" xr:uid="{00000000-0005-0000-0000-00008A090000}"/>
    <cellStyle name="Comma2 2 131" xfId="2469" xr:uid="{00000000-0005-0000-0000-00008B090000}"/>
    <cellStyle name="Comma2 2 132" xfId="2470" xr:uid="{00000000-0005-0000-0000-00008C090000}"/>
    <cellStyle name="Comma2 2 133" xfId="2471" xr:uid="{00000000-0005-0000-0000-00008D090000}"/>
    <cellStyle name="Comma2 2 134" xfId="2472" xr:uid="{00000000-0005-0000-0000-00008E090000}"/>
    <cellStyle name="Comma2 2 135" xfId="2473" xr:uid="{00000000-0005-0000-0000-00008F090000}"/>
    <cellStyle name="Comma2 2 136" xfId="2474" xr:uid="{00000000-0005-0000-0000-000090090000}"/>
    <cellStyle name="Comma2 2 137" xfId="2475" xr:uid="{00000000-0005-0000-0000-000091090000}"/>
    <cellStyle name="Comma2 2 138" xfId="2476" xr:uid="{00000000-0005-0000-0000-000092090000}"/>
    <cellStyle name="Comma2 2 139" xfId="2477" xr:uid="{00000000-0005-0000-0000-000093090000}"/>
    <cellStyle name="Comma2 2 14" xfId="2478" xr:uid="{00000000-0005-0000-0000-000094090000}"/>
    <cellStyle name="Comma2 2 140" xfId="2479" xr:uid="{00000000-0005-0000-0000-000095090000}"/>
    <cellStyle name="Comma2 2 141" xfId="2480" xr:uid="{00000000-0005-0000-0000-000096090000}"/>
    <cellStyle name="Comma2 2 142" xfId="2481" xr:uid="{00000000-0005-0000-0000-000097090000}"/>
    <cellStyle name="Comma2 2 143" xfId="2482" xr:uid="{00000000-0005-0000-0000-000098090000}"/>
    <cellStyle name="Comma2 2 144" xfId="2483" xr:uid="{00000000-0005-0000-0000-000099090000}"/>
    <cellStyle name="Comma2 2 145" xfId="2484" xr:uid="{00000000-0005-0000-0000-00009A090000}"/>
    <cellStyle name="Comma2 2 146" xfId="2485" xr:uid="{00000000-0005-0000-0000-00009B090000}"/>
    <cellStyle name="Comma2 2 147" xfId="2486" xr:uid="{00000000-0005-0000-0000-00009C090000}"/>
    <cellStyle name="Comma2 2 148" xfId="2487" xr:uid="{00000000-0005-0000-0000-00009D090000}"/>
    <cellStyle name="Comma2 2 149" xfId="2488" xr:uid="{00000000-0005-0000-0000-00009E090000}"/>
    <cellStyle name="Comma2 2 15" xfId="2489" xr:uid="{00000000-0005-0000-0000-00009F090000}"/>
    <cellStyle name="Comma2 2 150" xfId="2490" xr:uid="{00000000-0005-0000-0000-0000A0090000}"/>
    <cellStyle name="Comma2 2 151" xfId="2491" xr:uid="{00000000-0005-0000-0000-0000A1090000}"/>
    <cellStyle name="Comma2 2 152" xfId="2492" xr:uid="{00000000-0005-0000-0000-0000A2090000}"/>
    <cellStyle name="Comma2 2 153" xfId="2493" xr:uid="{00000000-0005-0000-0000-0000A3090000}"/>
    <cellStyle name="Comma2 2 154" xfId="2494" xr:uid="{00000000-0005-0000-0000-0000A4090000}"/>
    <cellStyle name="Comma2 2 155" xfId="2495" xr:uid="{00000000-0005-0000-0000-0000A5090000}"/>
    <cellStyle name="Comma2 2 156" xfId="2496" xr:uid="{00000000-0005-0000-0000-0000A6090000}"/>
    <cellStyle name="Comma2 2 157" xfId="2497" xr:uid="{00000000-0005-0000-0000-0000A7090000}"/>
    <cellStyle name="Comma2 2 158" xfId="2498" xr:uid="{00000000-0005-0000-0000-0000A8090000}"/>
    <cellStyle name="Comma2 2 159" xfId="2499" xr:uid="{00000000-0005-0000-0000-0000A9090000}"/>
    <cellStyle name="Comma2 2 16" xfId="2500" xr:uid="{00000000-0005-0000-0000-0000AA090000}"/>
    <cellStyle name="Comma2 2 160" xfId="2501" xr:uid="{00000000-0005-0000-0000-0000AB090000}"/>
    <cellStyle name="Comma2 2 161" xfId="2502" xr:uid="{00000000-0005-0000-0000-0000AC090000}"/>
    <cellStyle name="Comma2 2 162" xfId="2503" xr:uid="{00000000-0005-0000-0000-0000AD090000}"/>
    <cellStyle name="Comma2 2 163" xfId="2504" xr:uid="{00000000-0005-0000-0000-0000AE090000}"/>
    <cellStyle name="Comma2 2 164" xfId="2505" xr:uid="{00000000-0005-0000-0000-0000AF090000}"/>
    <cellStyle name="Comma2 2 165" xfId="2506" xr:uid="{00000000-0005-0000-0000-0000B0090000}"/>
    <cellStyle name="Comma2 2 166" xfId="2507" xr:uid="{00000000-0005-0000-0000-0000B1090000}"/>
    <cellStyle name="Comma2 2 167" xfId="2508" xr:uid="{00000000-0005-0000-0000-0000B2090000}"/>
    <cellStyle name="Comma2 2 168" xfId="2509" xr:uid="{00000000-0005-0000-0000-0000B3090000}"/>
    <cellStyle name="Comma2 2 169" xfId="2510" xr:uid="{00000000-0005-0000-0000-0000B4090000}"/>
    <cellStyle name="Comma2 2 17" xfId="2511" xr:uid="{00000000-0005-0000-0000-0000B5090000}"/>
    <cellStyle name="Comma2 2 170" xfId="2512" xr:uid="{00000000-0005-0000-0000-0000B6090000}"/>
    <cellStyle name="Comma2 2 171" xfId="2513" xr:uid="{00000000-0005-0000-0000-0000B7090000}"/>
    <cellStyle name="Comma2 2 172" xfId="2514" xr:uid="{00000000-0005-0000-0000-0000B8090000}"/>
    <cellStyle name="Comma2 2 173" xfId="2515" xr:uid="{00000000-0005-0000-0000-0000B9090000}"/>
    <cellStyle name="Comma2 2 174" xfId="2516" xr:uid="{00000000-0005-0000-0000-0000BA090000}"/>
    <cellStyle name="Comma2 2 175" xfId="2517" xr:uid="{00000000-0005-0000-0000-0000BB090000}"/>
    <cellStyle name="Comma2 2 176" xfId="2518" xr:uid="{00000000-0005-0000-0000-0000BC090000}"/>
    <cellStyle name="Comma2 2 177" xfId="2519" xr:uid="{00000000-0005-0000-0000-0000BD090000}"/>
    <cellStyle name="Comma2 2 178" xfId="2520" xr:uid="{00000000-0005-0000-0000-0000BE090000}"/>
    <cellStyle name="Comma2 2 179" xfId="2521" xr:uid="{00000000-0005-0000-0000-0000BF090000}"/>
    <cellStyle name="Comma2 2 18" xfId="2522" xr:uid="{00000000-0005-0000-0000-0000C0090000}"/>
    <cellStyle name="Comma2 2 180" xfId="2523" xr:uid="{00000000-0005-0000-0000-0000C1090000}"/>
    <cellStyle name="Comma2 2 181" xfId="2524" xr:uid="{00000000-0005-0000-0000-0000C2090000}"/>
    <cellStyle name="Comma2 2 182" xfId="2525" xr:uid="{00000000-0005-0000-0000-0000C3090000}"/>
    <cellStyle name="Comma2 2 183" xfId="2526" xr:uid="{00000000-0005-0000-0000-0000C4090000}"/>
    <cellStyle name="Comma2 2 184" xfId="2527" xr:uid="{00000000-0005-0000-0000-0000C5090000}"/>
    <cellStyle name="Comma2 2 185" xfId="2528" xr:uid="{00000000-0005-0000-0000-0000C6090000}"/>
    <cellStyle name="Comma2 2 186" xfId="2529" xr:uid="{00000000-0005-0000-0000-0000C7090000}"/>
    <cellStyle name="Comma2 2 187" xfId="2530" xr:uid="{00000000-0005-0000-0000-0000C8090000}"/>
    <cellStyle name="Comma2 2 188" xfId="2531" xr:uid="{00000000-0005-0000-0000-0000C9090000}"/>
    <cellStyle name="Comma2 2 189" xfId="2532" xr:uid="{00000000-0005-0000-0000-0000CA090000}"/>
    <cellStyle name="Comma2 2 19" xfId="2533" xr:uid="{00000000-0005-0000-0000-0000CB090000}"/>
    <cellStyle name="Comma2 2 190" xfId="2534" xr:uid="{00000000-0005-0000-0000-0000CC090000}"/>
    <cellStyle name="Comma2 2 191" xfId="2535" xr:uid="{00000000-0005-0000-0000-0000CD090000}"/>
    <cellStyle name="Comma2 2 192" xfId="2536" xr:uid="{00000000-0005-0000-0000-0000CE090000}"/>
    <cellStyle name="Comma2 2 193" xfId="2537" xr:uid="{00000000-0005-0000-0000-0000CF090000}"/>
    <cellStyle name="Comma2 2 194" xfId="2538" xr:uid="{00000000-0005-0000-0000-0000D0090000}"/>
    <cellStyle name="Comma2 2 195" xfId="2539" xr:uid="{00000000-0005-0000-0000-0000D1090000}"/>
    <cellStyle name="Comma2 2 196" xfId="2540" xr:uid="{00000000-0005-0000-0000-0000D2090000}"/>
    <cellStyle name="Comma2 2 197" xfId="2541" xr:uid="{00000000-0005-0000-0000-0000D3090000}"/>
    <cellStyle name="Comma2 2 198" xfId="2542" xr:uid="{00000000-0005-0000-0000-0000D4090000}"/>
    <cellStyle name="Comma2 2 199" xfId="2543" xr:uid="{00000000-0005-0000-0000-0000D5090000}"/>
    <cellStyle name="Comma2 2 2" xfId="324" xr:uid="{00000000-0005-0000-0000-0000D6090000}"/>
    <cellStyle name="Comma2 2 2 2" xfId="325" xr:uid="{00000000-0005-0000-0000-0000D7090000}"/>
    <cellStyle name="Comma2 2 2 2 2" xfId="8811" xr:uid="{00000000-0005-0000-0000-0000D8090000}"/>
    <cellStyle name="Comma2 2 20" xfId="2545" xr:uid="{00000000-0005-0000-0000-0000D9090000}"/>
    <cellStyle name="Comma2 2 200" xfId="2546" xr:uid="{00000000-0005-0000-0000-0000DA090000}"/>
    <cellStyle name="Comma2 2 201" xfId="2547" xr:uid="{00000000-0005-0000-0000-0000DB090000}"/>
    <cellStyle name="Comma2 2 202" xfId="2548" xr:uid="{00000000-0005-0000-0000-0000DC090000}"/>
    <cellStyle name="Comma2 2 203" xfId="2549" xr:uid="{00000000-0005-0000-0000-0000DD090000}"/>
    <cellStyle name="Comma2 2 204" xfId="2550" xr:uid="{00000000-0005-0000-0000-0000DE090000}"/>
    <cellStyle name="Comma2 2 205" xfId="2551" xr:uid="{00000000-0005-0000-0000-0000DF090000}"/>
    <cellStyle name="Comma2 2 206" xfId="2552" xr:uid="{00000000-0005-0000-0000-0000E0090000}"/>
    <cellStyle name="Comma2 2 207" xfId="2553" xr:uid="{00000000-0005-0000-0000-0000E1090000}"/>
    <cellStyle name="Comma2 2 208" xfId="2554" xr:uid="{00000000-0005-0000-0000-0000E2090000}"/>
    <cellStyle name="Comma2 2 209" xfId="2555" xr:uid="{00000000-0005-0000-0000-0000E3090000}"/>
    <cellStyle name="Comma2 2 21" xfId="2556" xr:uid="{00000000-0005-0000-0000-0000E4090000}"/>
    <cellStyle name="Comma2 2 210" xfId="2557" xr:uid="{00000000-0005-0000-0000-0000E5090000}"/>
    <cellStyle name="Comma2 2 211" xfId="2558" xr:uid="{00000000-0005-0000-0000-0000E6090000}"/>
    <cellStyle name="Comma2 2 212" xfId="2559" xr:uid="{00000000-0005-0000-0000-0000E7090000}"/>
    <cellStyle name="Comma2 2 213" xfId="2560" xr:uid="{00000000-0005-0000-0000-0000E8090000}"/>
    <cellStyle name="Comma2 2 214" xfId="2561" xr:uid="{00000000-0005-0000-0000-0000E9090000}"/>
    <cellStyle name="Comma2 2 215" xfId="2562" xr:uid="{00000000-0005-0000-0000-0000EA090000}"/>
    <cellStyle name="Comma2 2 216" xfId="2563" xr:uid="{00000000-0005-0000-0000-0000EB090000}"/>
    <cellStyle name="Comma2 2 217" xfId="2564" xr:uid="{00000000-0005-0000-0000-0000EC090000}"/>
    <cellStyle name="Comma2 2 218" xfId="2565" xr:uid="{00000000-0005-0000-0000-0000ED090000}"/>
    <cellStyle name="Comma2 2 219" xfId="2566" xr:uid="{00000000-0005-0000-0000-0000EE090000}"/>
    <cellStyle name="Comma2 2 22" xfId="2567" xr:uid="{00000000-0005-0000-0000-0000EF090000}"/>
    <cellStyle name="Comma2 2 220" xfId="2568" xr:uid="{00000000-0005-0000-0000-0000F0090000}"/>
    <cellStyle name="Comma2 2 221" xfId="2569" xr:uid="{00000000-0005-0000-0000-0000F1090000}"/>
    <cellStyle name="Comma2 2 222" xfId="2570" xr:uid="{00000000-0005-0000-0000-0000F2090000}"/>
    <cellStyle name="Comma2 2 223" xfId="2571" xr:uid="{00000000-0005-0000-0000-0000F3090000}"/>
    <cellStyle name="Comma2 2 224" xfId="2572" xr:uid="{00000000-0005-0000-0000-0000F4090000}"/>
    <cellStyle name="Comma2 2 225" xfId="2573" xr:uid="{00000000-0005-0000-0000-0000F5090000}"/>
    <cellStyle name="Comma2 2 226" xfId="2574" xr:uid="{00000000-0005-0000-0000-0000F6090000}"/>
    <cellStyle name="Comma2 2 227" xfId="2575" xr:uid="{00000000-0005-0000-0000-0000F7090000}"/>
    <cellStyle name="Comma2 2 228" xfId="2576" xr:uid="{00000000-0005-0000-0000-0000F8090000}"/>
    <cellStyle name="Comma2 2 229" xfId="2577" xr:uid="{00000000-0005-0000-0000-0000F9090000}"/>
    <cellStyle name="Comma2 2 23" xfId="2578" xr:uid="{00000000-0005-0000-0000-0000FA090000}"/>
    <cellStyle name="Comma2 2 230" xfId="2579" xr:uid="{00000000-0005-0000-0000-0000FB090000}"/>
    <cellStyle name="Comma2 2 231" xfId="2580" xr:uid="{00000000-0005-0000-0000-0000FC090000}"/>
    <cellStyle name="Comma2 2 232" xfId="2581" xr:uid="{00000000-0005-0000-0000-0000FD090000}"/>
    <cellStyle name="Comma2 2 233" xfId="2582" xr:uid="{00000000-0005-0000-0000-0000FE090000}"/>
    <cellStyle name="Comma2 2 234" xfId="2583" xr:uid="{00000000-0005-0000-0000-0000FF090000}"/>
    <cellStyle name="Comma2 2 235" xfId="2584" xr:uid="{00000000-0005-0000-0000-0000000A0000}"/>
    <cellStyle name="Comma2 2 236" xfId="2585" xr:uid="{00000000-0005-0000-0000-0000010A0000}"/>
    <cellStyle name="Comma2 2 237" xfId="2586" xr:uid="{00000000-0005-0000-0000-0000020A0000}"/>
    <cellStyle name="Comma2 2 238" xfId="2587" xr:uid="{00000000-0005-0000-0000-0000030A0000}"/>
    <cellStyle name="Comma2 2 239" xfId="2588" xr:uid="{00000000-0005-0000-0000-0000040A0000}"/>
    <cellStyle name="Comma2 2 24" xfId="2589" xr:uid="{00000000-0005-0000-0000-0000050A0000}"/>
    <cellStyle name="Comma2 2 240" xfId="2590" xr:uid="{00000000-0005-0000-0000-0000060A0000}"/>
    <cellStyle name="Comma2 2 241" xfId="2591" xr:uid="{00000000-0005-0000-0000-0000070A0000}"/>
    <cellStyle name="Comma2 2 242" xfId="2592" xr:uid="{00000000-0005-0000-0000-0000080A0000}"/>
    <cellStyle name="Comma2 2 243" xfId="2593" xr:uid="{00000000-0005-0000-0000-0000090A0000}"/>
    <cellStyle name="Comma2 2 244" xfId="2594" xr:uid="{00000000-0005-0000-0000-00000A0A0000}"/>
    <cellStyle name="Comma2 2 245" xfId="2595" xr:uid="{00000000-0005-0000-0000-00000B0A0000}"/>
    <cellStyle name="Comma2 2 246" xfId="2596" xr:uid="{00000000-0005-0000-0000-00000C0A0000}"/>
    <cellStyle name="Comma2 2 247" xfId="2597" xr:uid="{00000000-0005-0000-0000-00000D0A0000}"/>
    <cellStyle name="Comma2 2 248" xfId="2598" xr:uid="{00000000-0005-0000-0000-00000E0A0000}"/>
    <cellStyle name="Comma2 2 249" xfId="2599" xr:uid="{00000000-0005-0000-0000-00000F0A0000}"/>
    <cellStyle name="Comma2 2 25" xfId="2600" xr:uid="{00000000-0005-0000-0000-0000100A0000}"/>
    <cellStyle name="Comma2 2 250" xfId="2601" xr:uid="{00000000-0005-0000-0000-0000110A0000}"/>
    <cellStyle name="Comma2 2 251" xfId="2602" xr:uid="{00000000-0005-0000-0000-0000120A0000}"/>
    <cellStyle name="Comma2 2 252" xfId="2603" xr:uid="{00000000-0005-0000-0000-0000130A0000}"/>
    <cellStyle name="Comma2 2 253" xfId="2604" xr:uid="{00000000-0005-0000-0000-0000140A0000}"/>
    <cellStyle name="Comma2 2 254" xfId="2605" xr:uid="{00000000-0005-0000-0000-0000150A0000}"/>
    <cellStyle name="Comma2 2 255" xfId="2606" xr:uid="{00000000-0005-0000-0000-0000160A0000}"/>
    <cellStyle name="Comma2 2 26" xfId="2607" xr:uid="{00000000-0005-0000-0000-0000170A0000}"/>
    <cellStyle name="Comma2 2 27" xfId="2608" xr:uid="{00000000-0005-0000-0000-0000180A0000}"/>
    <cellStyle name="Comma2 2 28" xfId="2609" xr:uid="{00000000-0005-0000-0000-0000190A0000}"/>
    <cellStyle name="Comma2 2 29" xfId="2610" xr:uid="{00000000-0005-0000-0000-00001A0A0000}"/>
    <cellStyle name="Comma2 2 3" xfId="326" xr:uid="{00000000-0005-0000-0000-00001B0A0000}"/>
    <cellStyle name="Comma2 2 3 2" xfId="2611" xr:uid="{00000000-0005-0000-0000-00001C0A0000}"/>
    <cellStyle name="Comma2 2 3 3" xfId="8812" xr:uid="{00000000-0005-0000-0000-00001D0A0000}"/>
    <cellStyle name="Comma2 2 30" xfId="2612" xr:uid="{00000000-0005-0000-0000-00001E0A0000}"/>
    <cellStyle name="Comma2 2 31" xfId="2613" xr:uid="{00000000-0005-0000-0000-00001F0A0000}"/>
    <cellStyle name="Comma2 2 32" xfId="2614" xr:uid="{00000000-0005-0000-0000-0000200A0000}"/>
    <cellStyle name="Comma2 2 33" xfId="2615" xr:uid="{00000000-0005-0000-0000-0000210A0000}"/>
    <cellStyle name="Comma2 2 34" xfId="2616" xr:uid="{00000000-0005-0000-0000-0000220A0000}"/>
    <cellStyle name="Comma2 2 35" xfId="2617" xr:uid="{00000000-0005-0000-0000-0000230A0000}"/>
    <cellStyle name="Comma2 2 36" xfId="2618" xr:uid="{00000000-0005-0000-0000-0000240A0000}"/>
    <cellStyle name="Comma2 2 37" xfId="2619" xr:uid="{00000000-0005-0000-0000-0000250A0000}"/>
    <cellStyle name="Comma2 2 38" xfId="2620" xr:uid="{00000000-0005-0000-0000-0000260A0000}"/>
    <cellStyle name="Comma2 2 39" xfId="2621" xr:uid="{00000000-0005-0000-0000-0000270A0000}"/>
    <cellStyle name="Comma2 2 4" xfId="2622" xr:uid="{00000000-0005-0000-0000-0000280A0000}"/>
    <cellStyle name="Comma2 2 40" xfId="2623" xr:uid="{00000000-0005-0000-0000-0000290A0000}"/>
    <cellStyle name="Comma2 2 41" xfId="2624" xr:uid="{00000000-0005-0000-0000-00002A0A0000}"/>
    <cellStyle name="Comma2 2 42" xfId="2625" xr:uid="{00000000-0005-0000-0000-00002B0A0000}"/>
    <cellStyle name="Comma2 2 43" xfId="2626" xr:uid="{00000000-0005-0000-0000-00002C0A0000}"/>
    <cellStyle name="Comma2 2 44" xfId="2627" xr:uid="{00000000-0005-0000-0000-00002D0A0000}"/>
    <cellStyle name="Comma2 2 45" xfId="2628" xr:uid="{00000000-0005-0000-0000-00002E0A0000}"/>
    <cellStyle name="Comma2 2 46" xfId="2629" xr:uid="{00000000-0005-0000-0000-00002F0A0000}"/>
    <cellStyle name="Comma2 2 47" xfId="2630" xr:uid="{00000000-0005-0000-0000-0000300A0000}"/>
    <cellStyle name="Comma2 2 48" xfId="2631" xr:uid="{00000000-0005-0000-0000-0000310A0000}"/>
    <cellStyle name="Comma2 2 49" xfId="2632" xr:uid="{00000000-0005-0000-0000-0000320A0000}"/>
    <cellStyle name="Comma2 2 5" xfId="2633" xr:uid="{00000000-0005-0000-0000-0000330A0000}"/>
    <cellStyle name="Comma2 2 50" xfId="2634" xr:uid="{00000000-0005-0000-0000-0000340A0000}"/>
    <cellStyle name="Comma2 2 51" xfId="2635" xr:uid="{00000000-0005-0000-0000-0000350A0000}"/>
    <cellStyle name="Comma2 2 52" xfId="2636" xr:uid="{00000000-0005-0000-0000-0000360A0000}"/>
    <cellStyle name="Comma2 2 53" xfId="2637" xr:uid="{00000000-0005-0000-0000-0000370A0000}"/>
    <cellStyle name="Comma2 2 54" xfId="2638" xr:uid="{00000000-0005-0000-0000-0000380A0000}"/>
    <cellStyle name="Comma2 2 55" xfId="2639" xr:uid="{00000000-0005-0000-0000-0000390A0000}"/>
    <cellStyle name="Comma2 2 56" xfId="2640" xr:uid="{00000000-0005-0000-0000-00003A0A0000}"/>
    <cellStyle name="Comma2 2 57" xfId="2641" xr:uid="{00000000-0005-0000-0000-00003B0A0000}"/>
    <cellStyle name="Comma2 2 58" xfId="2642" xr:uid="{00000000-0005-0000-0000-00003C0A0000}"/>
    <cellStyle name="Comma2 2 59" xfId="2643" xr:uid="{00000000-0005-0000-0000-00003D0A0000}"/>
    <cellStyle name="Comma2 2 6" xfId="2644" xr:uid="{00000000-0005-0000-0000-00003E0A0000}"/>
    <cellStyle name="Comma2 2 60" xfId="2645" xr:uid="{00000000-0005-0000-0000-00003F0A0000}"/>
    <cellStyle name="Comma2 2 61" xfId="2646" xr:uid="{00000000-0005-0000-0000-0000400A0000}"/>
    <cellStyle name="Comma2 2 62" xfId="2647" xr:uid="{00000000-0005-0000-0000-0000410A0000}"/>
    <cellStyle name="Comma2 2 63" xfId="2648" xr:uid="{00000000-0005-0000-0000-0000420A0000}"/>
    <cellStyle name="Comma2 2 64" xfId="2649" xr:uid="{00000000-0005-0000-0000-0000430A0000}"/>
    <cellStyle name="Comma2 2 65" xfId="2650" xr:uid="{00000000-0005-0000-0000-0000440A0000}"/>
    <cellStyle name="Comma2 2 66" xfId="2651" xr:uid="{00000000-0005-0000-0000-0000450A0000}"/>
    <cellStyle name="Comma2 2 67" xfId="2652" xr:uid="{00000000-0005-0000-0000-0000460A0000}"/>
    <cellStyle name="Comma2 2 68" xfId="2653" xr:uid="{00000000-0005-0000-0000-0000470A0000}"/>
    <cellStyle name="Comma2 2 69" xfId="2654" xr:uid="{00000000-0005-0000-0000-0000480A0000}"/>
    <cellStyle name="Comma2 2 7" xfId="2655" xr:uid="{00000000-0005-0000-0000-0000490A0000}"/>
    <cellStyle name="Comma2 2 70" xfId="2656" xr:uid="{00000000-0005-0000-0000-00004A0A0000}"/>
    <cellStyle name="Comma2 2 71" xfId="2657" xr:uid="{00000000-0005-0000-0000-00004B0A0000}"/>
    <cellStyle name="Comma2 2 72" xfId="2658" xr:uid="{00000000-0005-0000-0000-00004C0A0000}"/>
    <cellStyle name="Comma2 2 73" xfId="2659" xr:uid="{00000000-0005-0000-0000-00004D0A0000}"/>
    <cellStyle name="Comma2 2 74" xfId="2660" xr:uid="{00000000-0005-0000-0000-00004E0A0000}"/>
    <cellStyle name="Comma2 2 75" xfId="2661" xr:uid="{00000000-0005-0000-0000-00004F0A0000}"/>
    <cellStyle name="Comma2 2 76" xfId="2662" xr:uid="{00000000-0005-0000-0000-0000500A0000}"/>
    <cellStyle name="Comma2 2 77" xfId="2663" xr:uid="{00000000-0005-0000-0000-0000510A0000}"/>
    <cellStyle name="Comma2 2 78" xfId="2664" xr:uid="{00000000-0005-0000-0000-0000520A0000}"/>
    <cellStyle name="Comma2 2 79" xfId="2665" xr:uid="{00000000-0005-0000-0000-0000530A0000}"/>
    <cellStyle name="Comma2 2 8" xfId="2666" xr:uid="{00000000-0005-0000-0000-0000540A0000}"/>
    <cellStyle name="Comma2 2 80" xfId="2667" xr:uid="{00000000-0005-0000-0000-0000550A0000}"/>
    <cellStyle name="Comma2 2 81" xfId="2668" xr:uid="{00000000-0005-0000-0000-0000560A0000}"/>
    <cellStyle name="Comma2 2 82" xfId="2669" xr:uid="{00000000-0005-0000-0000-0000570A0000}"/>
    <cellStyle name="Comma2 2 83" xfId="2670" xr:uid="{00000000-0005-0000-0000-0000580A0000}"/>
    <cellStyle name="Comma2 2 84" xfId="2671" xr:uid="{00000000-0005-0000-0000-0000590A0000}"/>
    <cellStyle name="Comma2 2 85" xfId="2672" xr:uid="{00000000-0005-0000-0000-00005A0A0000}"/>
    <cellStyle name="Comma2 2 86" xfId="2673" xr:uid="{00000000-0005-0000-0000-00005B0A0000}"/>
    <cellStyle name="Comma2 2 87" xfId="2674" xr:uid="{00000000-0005-0000-0000-00005C0A0000}"/>
    <cellStyle name="Comma2 2 88" xfId="2675" xr:uid="{00000000-0005-0000-0000-00005D0A0000}"/>
    <cellStyle name="Comma2 2 89" xfId="2676" xr:uid="{00000000-0005-0000-0000-00005E0A0000}"/>
    <cellStyle name="Comma2 2 9" xfId="2677" xr:uid="{00000000-0005-0000-0000-00005F0A0000}"/>
    <cellStyle name="Comma2 2 90" xfId="2678" xr:uid="{00000000-0005-0000-0000-0000600A0000}"/>
    <cellStyle name="Comma2 2 91" xfId="2679" xr:uid="{00000000-0005-0000-0000-0000610A0000}"/>
    <cellStyle name="Comma2 2 92" xfId="2680" xr:uid="{00000000-0005-0000-0000-0000620A0000}"/>
    <cellStyle name="Comma2 2 93" xfId="2681" xr:uid="{00000000-0005-0000-0000-0000630A0000}"/>
    <cellStyle name="Comma2 2 94" xfId="2682" xr:uid="{00000000-0005-0000-0000-0000640A0000}"/>
    <cellStyle name="Comma2 2 95" xfId="2683" xr:uid="{00000000-0005-0000-0000-0000650A0000}"/>
    <cellStyle name="Comma2 2 96" xfId="2684" xr:uid="{00000000-0005-0000-0000-0000660A0000}"/>
    <cellStyle name="Comma2 2 97" xfId="2685" xr:uid="{00000000-0005-0000-0000-0000670A0000}"/>
    <cellStyle name="Comma2 2 98" xfId="2686" xr:uid="{00000000-0005-0000-0000-0000680A0000}"/>
    <cellStyle name="Comma2 2 99" xfId="2687" xr:uid="{00000000-0005-0000-0000-0000690A0000}"/>
    <cellStyle name="Comma2 3" xfId="327" xr:uid="{00000000-0005-0000-0000-00006A0A0000}"/>
    <cellStyle name="Comma2 3 2" xfId="328" xr:uid="{00000000-0005-0000-0000-00006B0A0000}"/>
    <cellStyle name="Comma2 3 2 2" xfId="329" xr:uid="{00000000-0005-0000-0000-00006C0A0000}"/>
    <cellStyle name="Comma2 3 2 2 2" xfId="8813" xr:uid="{00000000-0005-0000-0000-00006D0A0000}"/>
    <cellStyle name="Comma2 3 3" xfId="330" xr:uid="{00000000-0005-0000-0000-00006E0A0000}"/>
    <cellStyle name="Comma2 3 3 2" xfId="8814" xr:uid="{00000000-0005-0000-0000-00006F0A0000}"/>
    <cellStyle name="Comma2 4" xfId="331" xr:uid="{00000000-0005-0000-0000-0000700A0000}"/>
    <cellStyle name="Comma2 4 2" xfId="8815" xr:uid="{00000000-0005-0000-0000-0000710A0000}"/>
    <cellStyle name="Comma3" xfId="33" xr:uid="{00000000-0005-0000-0000-0000720A0000}"/>
    <cellStyle name="Comma3 2" xfId="332" xr:uid="{00000000-0005-0000-0000-0000730A0000}"/>
    <cellStyle name="Comma3 2 10" xfId="2692" xr:uid="{00000000-0005-0000-0000-0000740A0000}"/>
    <cellStyle name="Comma3 2 100" xfId="2693" xr:uid="{00000000-0005-0000-0000-0000750A0000}"/>
    <cellStyle name="Comma3 2 101" xfId="2694" xr:uid="{00000000-0005-0000-0000-0000760A0000}"/>
    <cellStyle name="Comma3 2 102" xfId="2695" xr:uid="{00000000-0005-0000-0000-0000770A0000}"/>
    <cellStyle name="Comma3 2 103" xfId="2696" xr:uid="{00000000-0005-0000-0000-0000780A0000}"/>
    <cellStyle name="Comma3 2 104" xfId="2697" xr:uid="{00000000-0005-0000-0000-0000790A0000}"/>
    <cellStyle name="Comma3 2 105" xfId="2698" xr:uid="{00000000-0005-0000-0000-00007A0A0000}"/>
    <cellStyle name="Comma3 2 106" xfId="2699" xr:uid="{00000000-0005-0000-0000-00007B0A0000}"/>
    <cellStyle name="Comma3 2 107" xfId="2700" xr:uid="{00000000-0005-0000-0000-00007C0A0000}"/>
    <cellStyle name="Comma3 2 108" xfId="2701" xr:uid="{00000000-0005-0000-0000-00007D0A0000}"/>
    <cellStyle name="Comma3 2 109" xfId="2702" xr:uid="{00000000-0005-0000-0000-00007E0A0000}"/>
    <cellStyle name="Comma3 2 11" xfId="2703" xr:uid="{00000000-0005-0000-0000-00007F0A0000}"/>
    <cellStyle name="Comma3 2 110" xfId="2704" xr:uid="{00000000-0005-0000-0000-0000800A0000}"/>
    <cellStyle name="Comma3 2 111" xfId="2705" xr:uid="{00000000-0005-0000-0000-0000810A0000}"/>
    <cellStyle name="Comma3 2 112" xfId="2706" xr:uid="{00000000-0005-0000-0000-0000820A0000}"/>
    <cellStyle name="Comma3 2 113" xfId="2707" xr:uid="{00000000-0005-0000-0000-0000830A0000}"/>
    <cellStyle name="Comma3 2 114" xfId="2708" xr:uid="{00000000-0005-0000-0000-0000840A0000}"/>
    <cellStyle name="Comma3 2 115" xfId="2709" xr:uid="{00000000-0005-0000-0000-0000850A0000}"/>
    <cellStyle name="Comma3 2 116" xfId="2710" xr:uid="{00000000-0005-0000-0000-0000860A0000}"/>
    <cellStyle name="Comma3 2 117" xfId="2711" xr:uid="{00000000-0005-0000-0000-0000870A0000}"/>
    <cellStyle name="Comma3 2 118" xfId="2712" xr:uid="{00000000-0005-0000-0000-0000880A0000}"/>
    <cellStyle name="Comma3 2 119" xfId="2713" xr:uid="{00000000-0005-0000-0000-0000890A0000}"/>
    <cellStyle name="Comma3 2 12" xfId="2714" xr:uid="{00000000-0005-0000-0000-00008A0A0000}"/>
    <cellStyle name="Comma3 2 120" xfId="2715" xr:uid="{00000000-0005-0000-0000-00008B0A0000}"/>
    <cellStyle name="Comma3 2 121" xfId="2716" xr:uid="{00000000-0005-0000-0000-00008C0A0000}"/>
    <cellStyle name="Comma3 2 122" xfId="2717" xr:uid="{00000000-0005-0000-0000-00008D0A0000}"/>
    <cellStyle name="Comma3 2 123" xfId="2718" xr:uid="{00000000-0005-0000-0000-00008E0A0000}"/>
    <cellStyle name="Comma3 2 124" xfId="2719" xr:uid="{00000000-0005-0000-0000-00008F0A0000}"/>
    <cellStyle name="Comma3 2 125" xfId="2720" xr:uid="{00000000-0005-0000-0000-0000900A0000}"/>
    <cellStyle name="Comma3 2 126" xfId="2721" xr:uid="{00000000-0005-0000-0000-0000910A0000}"/>
    <cellStyle name="Comma3 2 127" xfId="2722" xr:uid="{00000000-0005-0000-0000-0000920A0000}"/>
    <cellStyle name="Comma3 2 128" xfId="2723" xr:uid="{00000000-0005-0000-0000-0000930A0000}"/>
    <cellStyle name="Comma3 2 129" xfId="2724" xr:uid="{00000000-0005-0000-0000-0000940A0000}"/>
    <cellStyle name="Comma3 2 13" xfId="2725" xr:uid="{00000000-0005-0000-0000-0000950A0000}"/>
    <cellStyle name="Comma3 2 130" xfId="2726" xr:uid="{00000000-0005-0000-0000-0000960A0000}"/>
    <cellStyle name="Comma3 2 131" xfId="2727" xr:uid="{00000000-0005-0000-0000-0000970A0000}"/>
    <cellStyle name="Comma3 2 132" xfId="2728" xr:uid="{00000000-0005-0000-0000-0000980A0000}"/>
    <cellStyle name="Comma3 2 133" xfId="2729" xr:uid="{00000000-0005-0000-0000-0000990A0000}"/>
    <cellStyle name="Comma3 2 134" xfId="2730" xr:uid="{00000000-0005-0000-0000-00009A0A0000}"/>
    <cellStyle name="Comma3 2 135" xfId="2731" xr:uid="{00000000-0005-0000-0000-00009B0A0000}"/>
    <cellStyle name="Comma3 2 136" xfId="2732" xr:uid="{00000000-0005-0000-0000-00009C0A0000}"/>
    <cellStyle name="Comma3 2 137" xfId="2733" xr:uid="{00000000-0005-0000-0000-00009D0A0000}"/>
    <cellStyle name="Comma3 2 138" xfId="2734" xr:uid="{00000000-0005-0000-0000-00009E0A0000}"/>
    <cellStyle name="Comma3 2 139" xfId="2735" xr:uid="{00000000-0005-0000-0000-00009F0A0000}"/>
    <cellStyle name="Comma3 2 14" xfId="2736" xr:uid="{00000000-0005-0000-0000-0000A00A0000}"/>
    <cellStyle name="Comma3 2 140" xfId="2737" xr:uid="{00000000-0005-0000-0000-0000A10A0000}"/>
    <cellStyle name="Comma3 2 141" xfId="2738" xr:uid="{00000000-0005-0000-0000-0000A20A0000}"/>
    <cellStyle name="Comma3 2 142" xfId="2739" xr:uid="{00000000-0005-0000-0000-0000A30A0000}"/>
    <cellStyle name="Comma3 2 143" xfId="2740" xr:uid="{00000000-0005-0000-0000-0000A40A0000}"/>
    <cellStyle name="Comma3 2 144" xfId="2741" xr:uid="{00000000-0005-0000-0000-0000A50A0000}"/>
    <cellStyle name="Comma3 2 145" xfId="2742" xr:uid="{00000000-0005-0000-0000-0000A60A0000}"/>
    <cellStyle name="Comma3 2 146" xfId="2743" xr:uid="{00000000-0005-0000-0000-0000A70A0000}"/>
    <cellStyle name="Comma3 2 147" xfId="2744" xr:uid="{00000000-0005-0000-0000-0000A80A0000}"/>
    <cellStyle name="Comma3 2 148" xfId="2745" xr:uid="{00000000-0005-0000-0000-0000A90A0000}"/>
    <cellStyle name="Comma3 2 149" xfId="2746" xr:uid="{00000000-0005-0000-0000-0000AA0A0000}"/>
    <cellStyle name="Comma3 2 15" xfId="2747" xr:uid="{00000000-0005-0000-0000-0000AB0A0000}"/>
    <cellStyle name="Comma3 2 150" xfId="2748" xr:uid="{00000000-0005-0000-0000-0000AC0A0000}"/>
    <cellStyle name="Comma3 2 151" xfId="2749" xr:uid="{00000000-0005-0000-0000-0000AD0A0000}"/>
    <cellStyle name="Comma3 2 152" xfId="2750" xr:uid="{00000000-0005-0000-0000-0000AE0A0000}"/>
    <cellStyle name="Comma3 2 153" xfId="2751" xr:uid="{00000000-0005-0000-0000-0000AF0A0000}"/>
    <cellStyle name="Comma3 2 154" xfId="2752" xr:uid="{00000000-0005-0000-0000-0000B00A0000}"/>
    <cellStyle name="Comma3 2 155" xfId="2753" xr:uid="{00000000-0005-0000-0000-0000B10A0000}"/>
    <cellStyle name="Comma3 2 156" xfId="2754" xr:uid="{00000000-0005-0000-0000-0000B20A0000}"/>
    <cellStyle name="Comma3 2 157" xfId="2755" xr:uid="{00000000-0005-0000-0000-0000B30A0000}"/>
    <cellStyle name="Comma3 2 158" xfId="2756" xr:uid="{00000000-0005-0000-0000-0000B40A0000}"/>
    <cellStyle name="Comma3 2 159" xfId="2757" xr:uid="{00000000-0005-0000-0000-0000B50A0000}"/>
    <cellStyle name="Comma3 2 16" xfId="2758" xr:uid="{00000000-0005-0000-0000-0000B60A0000}"/>
    <cellStyle name="Comma3 2 160" xfId="2759" xr:uid="{00000000-0005-0000-0000-0000B70A0000}"/>
    <cellStyle name="Comma3 2 161" xfId="2760" xr:uid="{00000000-0005-0000-0000-0000B80A0000}"/>
    <cellStyle name="Comma3 2 162" xfId="2761" xr:uid="{00000000-0005-0000-0000-0000B90A0000}"/>
    <cellStyle name="Comma3 2 163" xfId="2762" xr:uid="{00000000-0005-0000-0000-0000BA0A0000}"/>
    <cellStyle name="Comma3 2 164" xfId="2763" xr:uid="{00000000-0005-0000-0000-0000BB0A0000}"/>
    <cellStyle name="Comma3 2 165" xfId="2764" xr:uid="{00000000-0005-0000-0000-0000BC0A0000}"/>
    <cellStyle name="Comma3 2 166" xfId="2765" xr:uid="{00000000-0005-0000-0000-0000BD0A0000}"/>
    <cellStyle name="Comma3 2 167" xfId="2766" xr:uid="{00000000-0005-0000-0000-0000BE0A0000}"/>
    <cellStyle name="Comma3 2 168" xfId="2767" xr:uid="{00000000-0005-0000-0000-0000BF0A0000}"/>
    <cellStyle name="Comma3 2 169" xfId="2768" xr:uid="{00000000-0005-0000-0000-0000C00A0000}"/>
    <cellStyle name="Comma3 2 17" xfId="2769" xr:uid="{00000000-0005-0000-0000-0000C10A0000}"/>
    <cellStyle name="Comma3 2 170" xfId="2770" xr:uid="{00000000-0005-0000-0000-0000C20A0000}"/>
    <cellStyle name="Comma3 2 171" xfId="2771" xr:uid="{00000000-0005-0000-0000-0000C30A0000}"/>
    <cellStyle name="Comma3 2 172" xfId="2772" xr:uid="{00000000-0005-0000-0000-0000C40A0000}"/>
    <cellStyle name="Comma3 2 173" xfId="2773" xr:uid="{00000000-0005-0000-0000-0000C50A0000}"/>
    <cellStyle name="Comma3 2 174" xfId="2774" xr:uid="{00000000-0005-0000-0000-0000C60A0000}"/>
    <cellStyle name="Comma3 2 175" xfId="2775" xr:uid="{00000000-0005-0000-0000-0000C70A0000}"/>
    <cellStyle name="Comma3 2 176" xfId="2776" xr:uid="{00000000-0005-0000-0000-0000C80A0000}"/>
    <cellStyle name="Comma3 2 177" xfId="2777" xr:uid="{00000000-0005-0000-0000-0000C90A0000}"/>
    <cellStyle name="Comma3 2 178" xfId="2778" xr:uid="{00000000-0005-0000-0000-0000CA0A0000}"/>
    <cellStyle name="Comma3 2 179" xfId="2779" xr:uid="{00000000-0005-0000-0000-0000CB0A0000}"/>
    <cellStyle name="Comma3 2 18" xfId="2780" xr:uid="{00000000-0005-0000-0000-0000CC0A0000}"/>
    <cellStyle name="Comma3 2 180" xfId="2781" xr:uid="{00000000-0005-0000-0000-0000CD0A0000}"/>
    <cellStyle name="Comma3 2 181" xfId="2782" xr:uid="{00000000-0005-0000-0000-0000CE0A0000}"/>
    <cellStyle name="Comma3 2 182" xfId="2783" xr:uid="{00000000-0005-0000-0000-0000CF0A0000}"/>
    <cellStyle name="Comma3 2 183" xfId="2784" xr:uid="{00000000-0005-0000-0000-0000D00A0000}"/>
    <cellStyle name="Comma3 2 184" xfId="2785" xr:uid="{00000000-0005-0000-0000-0000D10A0000}"/>
    <cellStyle name="Comma3 2 185" xfId="2786" xr:uid="{00000000-0005-0000-0000-0000D20A0000}"/>
    <cellStyle name="Comma3 2 186" xfId="2787" xr:uid="{00000000-0005-0000-0000-0000D30A0000}"/>
    <cellStyle name="Comma3 2 187" xfId="2788" xr:uid="{00000000-0005-0000-0000-0000D40A0000}"/>
    <cellStyle name="Comma3 2 188" xfId="2789" xr:uid="{00000000-0005-0000-0000-0000D50A0000}"/>
    <cellStyle name="Comma3 2 189" xfId="2790" xr:uid="{00000000-0005-0000-0000-0000D60A0000}"/>
    <cellStyle name="Comma3 2 19" xfId="2791" xr:uid="{00000000-0005-0000-0000-0000D70A0000}"/>
    <cellStyle name="Comma3 2 190" xfId="2792" xr:uid="{00000000-0005-0000-0000-0000D80A0000}"/>
    <cellStyle name="Comma3 2 191" xfId="2793" xr:uid="{00000000-0005-0000-0000-0000D90A0000}"/>
    <cellStyle name="Comma3 2 192" xfId="2794" xr:uid="{00000000-0005-0000-0000-0000DA0A0000}"/>
    <cellStyle name="Comma3 2 193" xfId="2795" xr:uid="{00000000-0005-0000-0000-0000DB0A0000}"/>
    <cellStyle name="Comma3 2 194" xfId="2796" xr:uid="{00000000-0005-0000-0000-0000DC0A0000}"/>
    <cellStyle name="Comma3 2 195" xfId="2797" xr:uid="{00000000-0005-0000-0000-0000DD0A0000}"/>
    <cellStyle name="Comma3 2 196" xfId="2798" xr:uid="{00000000-0005-0000-0000-0000DE0A0000}"/>
    <cellStyle name="Comma3 2 197" xfId="2799" xr:uid="{00000000-0005-0000-0000-0000DF0A0000}"/>
    <cellStyle name="Comma3 2 198" xfId="2800" xr:uid="{00000000-0005-0000-0000-0000E00A0000}"/>
    <cellStyle name="Comma3 2 199" xfId="2801" xr:uid="{00000000-0005-0000-0000-0000E10A0000}"/>
    <cellStyle name="Comma3 2 2" xfId="333" xr:uid="{00000000-0005-0000-0000-0000E20A0000}"/>
    <cellStyle name="Comma3 2 2 2" xfId="334" xr:uid="{00000000-0005-0000-0000-0000E30A0000}"/>
    <cellStyle name="Comma3 2 2 2 2" xfId="8816" xr:uid="{00000000-0005-0000-0000-0000E40A0000}"/>
    <cellStyle name="Comma3 2 20" xfId="2803" xr:uid="{00000000-0005-0000-0000-0000E50A0000}"/>
    <cellStyle name="Comma3 2 200" xfId="2804" xr:uid="{00000000-0005-0000-0000-0000E60A0000}"/>
    <cellStyle name="Comma3 2 201" xfId="2805" xr:uid="{00000000-0005-0000-0000-0000E70A0000}"/>
    <cellStyle name="Comma3 2 202" xfId="2806" xr:uid="{00000000-0005-0000-0000-0000E80A0000}"/>
    <cellStyle name="Comma3 2 203" xfId="2807" xr:uid="{00000000-0005-0000-0000-0000E90A0000}"/>
    <cellStyle name="Comma3 2 204" xfId="2808" xr:uid="{00000000-0005-0000-0000-0000EA0A0000}"/>
    <cellStyle name="Comma3 2 205" xfId="2809" xr:uid="{00000000-0005-0000-0000-0000EB0A0000}"/>
    <cellStyle name="Comma3 2 206" xfId="2810" xr:uid="{00000000-0005-0000-0000-0000EC0A0000}"/>
    <cellStyle name="Comma3 2 207" xfId="2811" xr:uid="{00000000-0005-0000-0000-0000ED0A0000}"/>
    <cellStyle name="Comma3 2 208" xfId="2812" xr:uid="{00000000-0005-0000-0000-0000EE0A0000}"/>
    <cellStyle name="Comma3 2 209" xfId="2813" xr:uid="{00000000-0005-0000-0000-0000EF0A0000}"/>
    <cellStyle name="Comma3 2 21" xfId="2814" xr:uid="{00000000-0005-0000-0000-0000F00A0000}"/>
    <cellStyle name="Comma3 2 210" xfId="2815" xr:uid="{00000000-0005-0000-0000-0000F10A0000}"/>
    <cellStyle name="Comma3 2 211" xfId="2816" xr:uid="{00000000-0005-0000-0000-0000F20A0000}"/>
    <cellStyle name="Comma3 2 212" xfId="2817" xr:uid="{00000000-0005-0000-0000-0000F30A0000}"/>
    <cellStyle name="Comma3 2 213" xfId="2818" xr:uid="{00000000-0005-0000-0000-0000F40A0000}"/>
    <cellStyle name="Comma3 2 214" xfId="2819" xr:uid="{00000000-0005-0000-0000-0000F50A0000}"/>
    <cellStyle name="Comma3 2 215" xfId="2820" xr:uid="{00000000-0005-0000-0000-0000F60A0000}"/>
    <cellStyle name="Comma3 2 216" xfId="2821" xr:uid="{00000000-0005-0000-0000-0000F70A0000}"/>
    <cellStyle name="Comma3 2 217" xfId="2822" xr:uid="{00000000-0005-0000-0000-0000F80A0000}"/>
    <cellStyle name="Comma3 2 218" xfId="2823" xr:uid="{00000000-0005-0000-0000-0000F90A0000}"/>
    <cellStyle name="Comma3 2 219" xfId="2824" xr:uid="{00000000-0005-0000-0000-0000FA0A0000}"/>
    <cellStyle name="Comma3 2 22" xfId="2825" xr:uid="{00000000-0005-0000-0000-0000FB0A0000}"/>
    <cellStyle name="Comma3 2 220" xfId="2826" xr:uid="{00000000-0005-0000-0000-0000FC0A0000}"/>
    <cellStyle name="Comma3 2 221" xfId="2827" xr:uid="{00000000-0005-0000-0000-0000FD0A0000}"/>
    <cellStyle name="Comma3 2 222" xfId="2828" xr:uid="{00000000-0005-0000-0000-0000FE0A0000}"/>
    <cellStyle name="Comma3 2 223" xfId="2829" xr:uid="{00000000-0005-0000-0000-0000FF0A0000}"/>
    <cellStyle name="Comma3 2 224" xfId="2830" xr:uid="{00000000-0005-0000-0000-0000000B0000}"/>
    <cellStyle name="Comma3 2 225" xfId="2831" xr:uid="{00000000-0005-0000-0000-0000010B0000}"/>
    <cellStyle name="Comma3 2 226" xfId="2832" xr:uid="{00000000-0005-0000-0000-0000020B0000}"/>
    <cellStyle name="Comma3 2 227" xfId="2833" xr:uid="{00000000-0005-0000-0000-0000030B0000}"/>
    <cellStyle name="Comma3 2 228" xfId="2834" xr:uid="{00000000-0005-0000-0000-0000040B0000}"/>
    <cellStyle name="Comma3 2 229" xfId="2835" xr:uid="{00000000-0005-0000-0000-0000050B0000}"/>
    <cellStyle name="Comma3 2 23" xfId="2836" xr:uid="{00000000-0005-0000-0000-0000060B0000}"/>
    <cellStyle name="Comma3 2 230" xfId="2837" xr:uid="{00000000-0005-0000-0000-0000070B0000}"/>
    <cellStyle name="Comma3 2 231" xfId="2838" xr:uid="{00000000-0005-0000-0000-0000080B0000}"/>
    <cellStyle name="Comma3 2 232" xfId="2839" xr:uid="{00000000-0005-0000-0000-0000090B0000}"/>
    <cellStyle name="Comma3 2 233" xfId="2840" xr:uid="{00000000-0005-0000-0000-00000A0B0000}"/>
    <cellStyle name="Comma3 2 234" xfId="2841" xr:uid="{00000000-0005-0000-0000-00000B0B0000}"/>
    <cellStyle name="Comma3 2 235" xfId="2842" xr:uid="{00000000-0005-0000-0000-00000C0B0000}"/>
    <cellStyle name="Comma3 2 236" xfId="2843" xr:uid="{00000000-0005-0000-0000-00000D0B0000}"/>
    <cellStyle name="Comma3 2 237" xfId="2844" xr:uid="{00000000-0005-0000-0000-00000E0B0000}"/>
    <cellStyle name="Comma3 2 238" xfId="2845" xr:uid="{00000000-0005-0000-0000-00000F0B0000}"/>
    <cellStyle name="Comma3 2 239" xfId="2846" xr:uid="{00000000-0005-0000-0000-0000100B0000}"/>
    <cellStyle name="Comma3 2 24" xfId="2847" xr:uid="{00000000-0005-0000-0000-0000110B0000}"/>
    <cellStyle name="Comma3 2 240" xfId="2848" xr:uid="{00000000-0005-0000-0000-0000120B0000}"/>
    <cellStyle name="Comma3 2 241" xfId="2849" xr:uid="{00000000-0005-0000-0000-0000130B0000}"/>
    <cellStyle name="Comma3 2 242" xfId="2850" xr:uid="{00000000-0005-0000-0000-0000140B0000}"/>
    <cellStyle name="Comma3 2 243" xfId="2851" xr:uid="{00000000-0005-0000-0000-0000150B0000}"/>
    <cellStyle name="Comma3 2 244" xfId="2852" xr:uid="{00000000-0005-0000-0000-0000160B0000}"/>
    <cellStyle name="Comma3 2 245" xfId="2853" xr:uid="{00000000-0005-0000-0000-0000170B0000}"/>
    <cellStyle name="Comma3 2 246" xfId="2854" xr:uid="{00000000-0005-0000-0000-0000180B0000}"/>
    <cellStyle name="Comma3 2 247" xfId="2855" xr:uid="{00000000-0005-0000-0000-0000190B0000}"/>
    <cellStyle name="Comma3 2 248" xfId="2856" xr:uid="{00000000-0005-0000-0000-00001A0B0000}"/>
    <cellStyle name="Comma3 2 249" xfId="2857" xr:uid="{00000000-0005-0000-0000-00001B0B0000}"/>
    <cellStyle name="Comma3 2 25" xfId="2858" xr:uid="{00000000-0005-0000-0000-00001C0B0000}"/>
    <cellStyle name="Comma3 2 250" xfId="2859" xr:uid="{00000000-0005-0000-0000-00001D0B0000}"/>
    <cellStyle name="Comma3 2 251" xfId="2860" xr:uid="{00000000-0005-0000-0000-00001E0B0000}"/>
    <cellStyle name="Comma3 2 252" xfId="2861" xr:uid="{00000000-0005-0000-0000-00001F0B0000}"/>
    <cellStyle name="Comma3 2 253" xfId="2862" xr:uid="{00000000-0005-0000-0000-0000200B0000}"/>
    <cellStyle name="Comma3 2 254" xfId="2863" xr:uid="{00000000-0005-0000-0000-0000210B0000}"/>
    <cellStyle name="Comma3 2 255" xfId="2864" xr:uid="{00000000-0005-0000-0000-0000220B0000}"/>
    <cellStyle name="Comma3 2 256" xfId="2691" xr:uid="{00000000-0005-0000-0000-0000230B0000}"/>
    <cellStyle name="Comma3 2 26" xfId="2865" xr:uid="{00000000-0005-0000-0000-0000240B0000}"/>
    <cellStyle name="Comma3 2 27" xfId="2866" xr:uid="{00000000-0005-0000-0000-0000250B0000}"/>
    <cellStyle name="Comma3 2 28" xfId="2867" xr:uid="{00000000-0005-0000-0000-0000260B0000}"/>
    <cellStyle name="Comma3 2 29" xfId="2868" xr:uid="{00000000-0005-0000-0000-0000270B0000}"/>
    <cellStyle name="Comma3 2 3" xfId="335" xr:uid="{00000000-0005-0000-0000-0000280B0000}"/>
    <cellStyle name="Comma3 2 3 2" xfId="2869" xr:uid="{00000000-0005-0000-0000-0000290B0000}"/>
    <cellStyle name="Comma3 2 3 3" xfId="8817" xr:uid="{00000000-0005-0000-0000-00002A0B0000}"/>
    <cellStyle name="Comma3 2 30" xfId="2870" xr:uid="{00000000-0005-0000-0000-00002B0B0000}"/>
    <cellStyle name="Comma3 2 31" xfId="2871" xr:uid="{00000000-0005-0000-0000-00002C0B0000}"/>
    <cellStyle name="Comma3 2 32" xfId="2872" xr:uid="{00000000-0005-0000-0000-00002D0B0000}"/>
    <cellStyle name="Comma3 2 33" xfId="2873" xr:uid="{00000000-0005-0000-0000-00002E0B0000}"/>
    <cellStyle name="Comma3 2 34" xfId="2874" xr:uid="{00000000-0005-0000-0000-00002F0B0000}"/>
    <cellStyle name="Comma3 2 35" xfId="2875" xr:uid="{00000000-0005-0000-0000-0000300B0000}"/>
    <cellStyle name="Comma3 2 36" xfId="2876" xr:uid="{00000000-0005-0000-0000-0000310B0000}"/>
    <cellStyle name="Comma3 2 37" xfId="2877" xr:uid="{00000000-0005-0000-0000-0000320B0000}"/>
    <cellStyle name="Comma3 2 38" xfId="2878" xr:uid="{00000000-0005-0000-0000-0000330B0000}"/>
    <cellStyle name="Comma3 2 39" xfId="2879" xr:uid="{00000000-0005-0000-0000-0000340B0000}"/>
    <cellStyle name="Comma3 2 4" xfId="2880" xr:uid="{00000000-0005-0000-0000-0000350B0000}"/>
    <cellStyle name="Comma3 2 40" xfId="2881" xr:uid="{00000000-0005-0000-0000-0000360B0000}"/>
    <cellStyle name="Comma3 2 41" xfId="2882" xr:uid="{00000000-0005-0000-0000-0000370B0000}"/>
    <cellStyle name="Comma3 2 42" xfId="2883" xr:uid="{00000000-0005-0000-0000-0000380B0000}"/>
    <cellStyle name="Comma3 2 43" xfId="2884" xr:uid="{00000000-0005-0000-0000-0000390B0000}"/>
    <cellStyle name="Comma3 2 44" xfId="2885" xr:uid="{00000000-0005-0000-0000-00003A0B0000}"/>
    <cellStyle name="Comma3 2 45" xfId="2886" xr:uid="{00000000-0005-0000-0000-00003B0B0000}"/>
    <cellStyle name="Comma3 2 46" xfId="2887" xr:uid="{00000000-0005-0000-0000-00003C0B0000}"/>
    <cellStyle name="Comma3 2 47" xfId="2888" xr:uid="{00000000-0005-0000-0000-00003D0B0000}"/>
    <cellStyle name="Comma3 2 48" xfId="2889" xr:uid="{00000000-0005-0000-0000-00003E0B0000}"/>
    <cellStyle name="Comma3 2 49" xfId="2890" xr:uid="{00000000-0005-0000-0000-00003F0B0000}"/>
    <cellStyle name="Comma3 2 5" xfId="2891" xr:uid="{00000000-0005-0000-0000-0000400B0000}"/>
    <cellStyle name="Comma3 2 50" xfId="2892" xr:uid="{00000000-0005-0000-0000-0000410B0000}"/>
    <cellStyle name="Comma3 2 51" xfId="2893" xr:uid="{00000000-0005-0000-0000-0000420B0000}"/>
    <cellStyle name="Comma3 2 52" xfId="2894" xr:uid="{00000000-0005-0000-0000-0000430B0000}"/>
    <cellStyle name="Comma3 2 53" xfId="2895" xr:uid="{00000000-0005-0000-0000-0000440B0000}"/>
    <cellStyle name="Comma3 2 54" xfId="2896" xr:uid="{00000000-0005-0000-0000-0000450B0000}"/>
    <cellStyle name="Comma3 2 55" xfId="2897" xr:uid="{00000000-0005-0000-0000-0000460B0000}"/>
    <cellStyle name="Comma3 2 56" xfId="2898" xr:uid="{00000000-0005-0000-0000-0000470B0000}"/>
    <cellStyle name="Comma3 2 57" xfId="2899" xr:uid="{00000000-0005-0000-0000-0000480B0000}"/>
    <cellStyle name="Comma3 2 58" xfId="2900" xr:uid="{00000000-0005-0000-0000-0000490B0000}"/>
    <cellStyle name="Comma3 2 59" xfId="2901" xr:uid="{00000000-0005-0000-0000-00004A0B0000}"/>
    <cellStyle name="Comma3 2 6" xfId="2902" xr:uid="{00000000-0005-0000-0000-00004B0B0000}"/>
    <cellStyle name="Comma3 2 60" xfId="2903" xr:uid="{00000000-0005-0000-0000-00004C0B0000}"/>
    <cellStyle name="Comma3 2 61" xfId="2904" xr:uid="{00000000-0005-0000-0000-00004D0B0000}"/>
    <cellStyle name="Comma3 2 62" xfId="2905" xr:uid="{00000000-0005-0000-0000-00004E0B0000}"/>
    <cellStyle name="Comma3 2 63" xfId="2906" xr:uid="{00000000-0005-0000-0000-00004F0B0000}"/>
    <cellStyle name="Comma3 2 64" xfId="2907" xr:uid="{00000000-0005-0000-0000-0000500B0000}"/>
    <cellStyle name="Comma3 2 65" xfId="2908" xr:uid="{00000000-0005-0000-0000-0000510B0000}"/>
    <cellStyle name="Comma3 2 66" xfId="2909" xr:uid="{00000000-0005-0000-0000-0000520B0000}"/>
    <cellStyle name="Comma3 2 67" xfId="2910" xr:uid="{00000000-0005-0000-0000-0000530B0000}"/>
    <cellStyle name="Comma3 2 68" xfId="2911" xr:uid="{00000000-0005-0000-0000-0000540B0000}"/>
    <cellStyle name="Comma3 2 69" xfId="2912" xr:uid="{00000000-0005-0000-0000-0000550B0000}"/>
    <cellStyle name="Comma3 2 7" xfId="2913" xr:uid="{00000000-0005-0000-0000-0000560B0000}"/>
    <cellStyle name="Comma3 2 70" xfId="2914" xr:uid="{00000000-0005-0000-0000-0000570B0000}"/>
    <cellStyle name="Comma3 2 71" xfId="2915" xr:uid="{00000000-0005-0000-0000-0000580B0000}"/>
    <cellStyle name="Comma3 2 72" xfId="2916" xr:uid="{00000000-0005-0000-0000-0000590B0000}"/>
    <cellStyle name="Comma3 2 73" xfId="2917" xr:uid="{00000000-0005-0000-0000-00005A0B0000}"/>
    <cellStyle name="Comma3 2 74" xfId="2918" xr:uid="{00000000-0005-0000-0000-00005B0B0000}"/>
    <cellStyle name="Comma3 2 75" xfId="2919" xr:uid="{00000000-0005-0000-0000-00005C0B0000}"/>
    <cellStyle name="Comma3 2 76" xfId="2920" xr:uid="{00000000-0005-0000-0000-00005D0B0000}"/>
    <cellStyle name="Comma3 2 77" xfId="2921" xr:uid="{00000000-0005-0000-0000-00005E0B0000}"/>
    <cellStyle name="Comma3 2 78" xfId="2922" xr:uid="{00000000-0005-0000-0000-00005F0B0000}"/>
    <cellStyle name="Comma3 2 79" xfId="2923" xr:uid="{00000000-0005-0000-0000-0000600B0000}"/>
    <cellStyle name="Comma3 2 8" xfId="2924" xr:uid="{00000000-0005-0000-0000-0000610B0000}"/>
    <cellStyle name="Comma3 2 80" xfId="2925" xr:uid="{00000000-0005-0000-0000-0000620B0000}"/>
    <cellStyle name="Comma3 2 81" xfId="2926" xr:uid="{00000000-0005-0000-0000-0000630B0000}"/>
    <cellStyle name="Comma3 2 82" xfId="2927" xr:uid="{00000000-0005-0000-0000-0000640B0000}"/>
    <cellStyle name="Comma3 2 83" xfId="2928" xr:uid="{00000000-0005-0000-0000-0000650B0000}"/>
    <cellStyle name="Comma3 2 84" xfId="2929" xr:uid="{00000000-0005-0000-0000-0000660B0000}"/>
    <cellStyle name="Comma3 2 85" xfId="2930" xr:uid="{00000000-0005-0000-0000-0000670B0000}"/>
    <cellStyle name="Comma3 2 86" xfId="2931" xr:uid="{00000000-0005-0000-0000-0000680B0000}"/>
    <cellStyle name="Comma3 2 87" xfId="2932" xr:uid="{00000000-0005-0000-0000-0000690B0000}"/>
    <cellStyle name="Comma3 2 88" xfId="2933" xr:uid="{00000000-0005-0000-0000-00006A0B0000}"/>
    <cellStyle name="Comma3 2 89" xfId="2934" xr:uid="{00000000-0005-0000-0000-00006B0B0000}"/>
    <cellStyle name="Comma3 2 9" xfId="2935" xr:uid="{00000000-0005-0000-0000-00006C0B0000}"/>
    <cellStyle name="Comma3 2 90" xfId="2936" xr:uid="{00000000-0005-0000-0000-00006D0B0000}"/>
    <cellStyle name="Comma3 2 91" xfId="2937" xr:uid="{00000000-0005-0000-0000-00006E0B0000}"/>
    <cellStyle name="Comma3 2 92" xfId="2938" xr:uid="{00000000-0005-0000-0000-00006F0B0000}"/>
    <cellStyle name="Comma3 2 93" xfId="2939" xr:uid="{00000000-0005-0000-0000-0000700B0000}"/>
    <cellStyle name="Comma3 2 94" xfId="2940" xr:uid="{00000000-0005-0000-0000-0000710B0000}"/>
    <cellStyle name="Comma3 2 95" xfId="2941" xr:uid="{00000000-0005-0000-0000-0000720B0000}"/>
    <cellStyle name="Comma3 2 96" xfId="2942" xr:uid="{00000000-0005-0000-0000-0000730B0000}"/>
    <cellStyle name="Comma3 2 97" xfId="2943" xr:uid="{00000000-0005-0000-0000-0000740B0000}"/>
    <cellStyle name="Comma3 2 98" xfId="2944" xr:uid="{00000000-0005-0000-0000-0000750B0000}"/>
    <cellStyle name="Comma3 2 99" xfId="2945" xr:uid="{00000000-0005-0000-0000-0000760B0000}"/>
    <cellStyle name="Comma3 3" xfId="336" xr:uid="{00000000-0005-0000-0000-0000770B0000}"/>
    <cellStyle name="Comma3 3 2" xfId="337" xr:uid="{00000000-0005-0000-0000-0000780B0000}"/>
    <cellStyle name="Comma3 3 2 2" xfId="338" xr:uid="{00000000-0005-0000-0000-0000790B0000}"/>
    <cellStyle name="Comma3 3 2 2 2" xfId="8818" xr:uid="{00000000-0005-0000-0000-00007A0B0000}"/>
    <cellStyle name="Comma3 3 3" xfId="339" xr:uid="{00000000-0005-0000-0000-00007B0B0000}"/>
    <cellStyle name="Comma3 3 3 2" xfId="2948" xr:uid="{00000000-0005-0000-0000-00007C0B0000}"/>
    <cellStyle name="Comma3 3 3 3" xfId="8819" xr:uid="{00000000-0005-0000-0000-00007D0B0000}"/>
    <cellStyle name="Comma3 3 4" xfId="2949" xr:uid="{00000000-0005-0000-0000-00007E0B0000}"/>
    <cellStyle name="Comma3 3 5" xfId="2950" xr:uid="{00000000-0005-0000-0000-00007F0B0000}"/>
    <cellStyle name="Comma3 3 6" xfId="2946" xr:uid="{00000000-0005-0000-0000-0000800B0000}"/>
    <cellStyle name="Comma3 4" xfId="340" xr:uid="{00000000-0005-0000-0000-0000810B0000}"/>
    <cellStyle name="Comma3 4 2" xfId="341" xr:uid="{00000000-0005-0000-0000-0000820B0000}"/>
    <cellStyle name="Comma3 4 2 2" xfId="2952" xr:uid="{00000000-0005-0000-0000-0000830B0000}"/>
    <cellStyle name="Comma3 4 2 3" xfId="8820" xr:uid="{00000000-0005-0000-0000-0000840B0000}"/>
    <cellStyle name="Comma3 4 3" xfId="2953" xr:uid="{00000000-0005-0000-0000-0000850B0000}"/>
    <cellStyle name="Comma3 4 4" xfId="2954" xr:uid="{00000000-0005-0000-0000-0000860B0000}"/>
    <cellStyle name="Comma3 4 5" xfId="2955" xr:uid="{00000000-0005-0000-0000-0000870B0000}"/>
    <cellStyle name="Comma3 4 6" xfId="2951" xr:uid="{00000000-0005-0000-0000-0000880B0000}"/>
    <cellStyle name="Comma3 5" xfId="342" xr:uid="{00000000-0005-0000-0000-0000890B0000}"/>
    <cellStyle name="Comma3 5 2" xfId="343" xr:uid="{00000000-0005-0000-0000-00008A0B0000}"/>
    <cellStyle name="Comma3 5 2 2" xfId="8821" xr:uid="{00000000-0005-0000-0000-00008B0B0000}"/>
    <cellStyle name="Comma3 6" xfId="344" xr:uid="{00000000-0005-0000-0000-00008C0B0000}"/>
    <cellStyle name="Comma3 6 2" xfId="345" xr:uid="{00000000-0005-0000-0000-00008D0B0000}"/>
    <cellStyle name="Comma3 6 2 2" xfId="8822" xr:uid="{00000000-0005-0000-0000-00008E0B0000}"/>
    <cellStyle name="Comma3 7" xfId="346" xr:uid="{00000000-0005-0000-0000-00008F0B0000}"/>
    <cellStyle name="Comma3 7 2" xfId="8823" xr:uid="{00000000-0005-0000-0000-0000900B0000}"/>
    <cellStyle name="Currency" xfId="34" builtinId="4"/>
    <cellStyle name="Currency 10 2" xfId="2958" xr:uid="{00000000-0005-0000-0000-0000920B0000}"/>
    <cellStyle name="Currency 11 2" xfId="2959" xr:uid="{00000000-0005-0000-0000-0000930B0000}"/>
    <cellStyle name="Currency 12 2" xfId="2960" xr:uid="{00000000-0005-0000-0000-0000940B0000}"/>
    <cellStyle name="Currency 13 2" xfId="2961" xr:uid="{00000000-0005-0000-0000-0000950B0000}"/>
    <cellStyle name="Currency 14 2" xfId="2962" xr:uid="{00000000-0005-0000-0000-0000960B0000}"/>
    <cellStyle name="Currency 15 2" xfId="2963" xr:uid="{00000000-0005-0000-0000-0000970B0000}"/>
    <cellStyle name="Currency 16" xfId="2964" xr:uid="{00000000-0005-0000-0000-0000980B0000}"/>
    <cellStyle name="Currency 18" xfId="2965" xr:uid="{00000000-0005-0000-0000-0000990B0000}"/>
    <cellStyle name="Currency 19" xfId="2966" xr:uid="{00000000-0005-0000-0000-00009A0B0000}"/>
    <cellStyle name="Currency 2" xfId="2967" xr:uid="{00000000-0005-0000-0000-00009B0B0000}"/>
    <cellStyle name="Currency 2 2" xfId="2968" xr:uid="{00000000-0005-0000-0000-00009C0B0000}"/>
    <cellStyle name="Currency 2 3" xfId="8290" xr:uid="{00000000-0005-0000-0000-00009D0B0000}"/>
    <cellStyle name="Currency 2 4" xfId="7433" xr:uid="{00000000-0005-0000-0000-00009E0B0000}"/>
    <cellStyle name="Currency 2 5" xfId="9154" xr:uid="{00000000-0005-0000-0000-00009F0B0000}"/>
    <cellStyle name="Currency 20" xfId="2969" xr:uid="{00000000-0005-0000-0000-0000A00B0000}"/>
    <cellStyle name="Currency 21" xfId="2970" xr:uid="{00000000-0005-0000-0000-0000A10B0000}"/>
    <cellStyle name="Currency 22" xfId="2971" xr:uid="{00000000-0005-0000-0000-0000A20B0000}"/>
    <cellStyle name="Currency 23" xfId="2972" xr:uid="{00000000-0005-0000-0000-0000A30B0000}"/>
    <cellStyle name="Currency 24" xfId="2973" xr:uid="{00000000-0005-0000-0000-0000A40B0000}"/>
    <cellStyle name="Currency 25" xfId="2974" xr:uid="{00000000-0005-0000-0000-0000A50B0000}"/>
    <cellStyle name="Currency 26" xfId="2975" xr:uid="{00000000-0005-0000-0000-0000A60B0000}"/>
    <cellStyle name="Currency 27" xfId="2976" xr:uid="{00000000-0005-0000-0000-0000A70B0000}"/>
    <cellStyle name="Currency 28" xfId="2977" xr:uid="{00000000-0005-0000-0000-0000A80B0000}"/>
    <cellStyle name="Currency 29" xfId="2978" xr:uid="{00000000-0005-0000-0000-0000A90B0000}"/>
    <cellStyle name="Currency 3" xfId="2979" xr:uid="{00000000-0005-0000-0000-0000AA0B0000}"/>
    <cellStyle name="Currency 3 2" xfId="2980" xr:uid="{00000000-0005-0000-0000-0000AB0B0000}"/>
    <cellStyle name="Currency 3 3" xfId="8291" xr:uid="{00000000-0005-0000-0000-0000AC0B0000}"/>
    <cellStyle name="Currency 3 4" xfId="7434" xr:uid="{00000000-0005-0000-0000-0000AD0B0000}"/>
    <cellStyle name="Currency 30" xfId="2981" xr:uid="{00000000-0005-0000-0000-0000AE0B0000}"/>
    <cellStyle name="Currency 31" xfId="2982" xr:uid="{00000000-0005-0000-0000-0000AF0B0000}"/>
    <cellStyle name="Currency 32" xfId="2983" xr:uid="{00000000-0005-0000-0000-0000B00B0000}"/>
    <cellStyle name="Currency 33" xfId="2984" xr:uid="{00000000-0005-0000-0000-0000B10B0000}"/>
    <cellStyle name="Currency 34" xfId="2985" xr:uid="{00000000-0005-0000-0000-0000B20B0000}"/>
    <cellStyle name="Currency 4" xfId="2986" xr:uid="{00000000-0005-0000-0000-0000B30B0000}"/>
    <cellStyle name="Currency 4 2" xfId="2987" xr:uid="{00000000-0005-0000-0000-0000B40B0000}"/>
    <cellStyle name="Currency 4 3" xfId="8292" xr:uid="{00000000-0005-0000-0000-0000B50B0000}"/>
    <cellStyle name="Currency 4 4" xfId="7435" xr:uid="{00000000-0005-0000-0000-0000B60B0000}"/>
    <cellStyle name="Currency 5" xfId="2988" xr:uid="{00000000-0005-0000-0000-0000B70B0000}"/>
    <cellStyle name="Currency 5 2" xfId="2989" xr:uid="{00000000-0005-0000-0000-0000B80B0000}"/>
    <cellStyle name="Currency 5 3" xfId="8293" xr:uid="{00000000-0005-0000-0000-0000B90B0000}"/>
    <cellStyle name="Currency 5 4" xfId="7436" xr:uid="{00000000-0005-0000-0000-0000BA0B0000}"/>
    <cellStyle name="Currency 53" xfId="2990" xr:uid="{00000000-0005-0000-0000-0000BB0B0000}"/>
    <cellStyle name="Currency 54" xfId="2991" xr:uid="{00000000-0005-0000-0000-0000BC0B0000}"/>
    <cellStyle name="Currency 6" xfId="347" xr:uid="{00000000-0005-0000-0000-0000BD0B0000}"/>
    <cellStyle name="Currency 6 2" xfId="2992" xr:uid="{00000000-0005-0000-0000-0000BE0B0000}"/>
    <cellStyle name="Currency 7 2" xfId="2993" xr:uid="{00000000-0005-0000-0000-0000BF0B0000}"/>
    <cellStyle name="Currency 8 2" xfId="2994" xr:uid="{00000000-0005-0000-0000-0000C00B0000}"/>
    <cellStyle name="Currency 9 2" xfId="2995" xr:uid="{00000000-0005-0000-0000-0000C10B0000}"/>
    <cellStyle name="Currency0" xfId="35" xr:uid="{00000000-0005-0000-0000-0000C20B0000}"/>
    <cellStyle name="Currency0 2" xfId="348" xr:uid="{00000000-0005-0000-0000-0000C30B0000}"/>
    <cellStyle name="Currency0 2 10" xfId="2997" xr:uid="{00000000-0005-0000-0000-0000C40B0000}"/>
    <cellStyle name="Currency0 2 100" xfId="2998" xr:uid="{00000000-0005-0000-0000-0000C50B0000}"/>
    <cellStyle name="Currency0 2 101" xfId="2999" xr:uid="{00000000-0005-0000-0000-0000C60B0000}"/>
    <cellStyle name="Currency0 2 102" xfId="3000" xr:uid="{00000000-0005-0000-0000-0000C70B0000}"/>
    <cellStyle name="Currency0 2 103" xfId="3001" xr:uid="{00000000-0005-0000-0000-0000C80B0000}"/>
    <cellStyle name="Currency0 2 104" xfId="3002" xr:uid="{00000000-0005-0000-0000-0000C90B0000}"/>
    <cellStyle name="Currency0 2 105" xfId="3003" xr:uid="{00000000-0005-0000-0000-0000CA0B0000}"/>
    <cellStyle name="Currency0 2 106" xfId="3004" xr:uid="{00000000-0005-0000-0000-0000CB0B0000}"/>
    <cellStyle name="Currency0 2 107" xfId="3005" xr:uid="{00000000-0005-0000-0000-0000CC0B0000}"/>
    <cellStyle name="Currency0 2 108" xfId="3006" xr:uid="{00000000-0005-0000-0000-0000CD0B0000}"/>
    <cellStyle name="Currency0 2 109" xfId="3007" xr:uid="{00000000-0005-0000-0000-0000CE0B0000}"/>
    <cellStyle name="Currency0 2 11" xfId="3008" xr:uid="{00000000-0005-0000-0000-0000CF0B0000}"/>
    <cellStyle name="Currency0 2 110" xfId="3009" xr:uid="{00000000-0005-0000-0000-0000D00B0000}"/>
    <cellStyle name="Currency0 2 111" xfId="3010" xr:uid="{00000000-0005-0000-0000-0000D10B0000}"/>
    <cellStyle name="Currency0 2 112" xfId="3011" xr:uid="{00000000-0005-0000-0000-0000D20B0000}"/>
    <cellStyle name="Currency0 2 113" xfId="3012" xr:uid="{00000000-0005-0000-0000-0000D30B0000}"/>
    <cellStyle name="Currency0 2 114" xfId="3013" xr:uid="{00000000-0005-0000-0000-0000D40B0000}"/>
    <cellStyle name="Currency0 2 115" xfId="3014" xr:uid="{00000000-0005-0000-0000-0000D50B0000}"/>
    <cellStyle name="Currency0 2 116" xfId="3015" xr:uid="{00000000-0005-0000-0000-0000D60B0000}"/>
    <cellStyle name="Currency0 2 117" xfId="3016" xr:uid="{00000000-0005-0000-0000-0000D70B0000}"/>
    <cellStyle name="Currency0 2 118" xfId="3017" xr:uid="{00000000-0005-0000-0000-0000D80B0000}"/>
    <cellStyle name="Currency0 2 119" xfId="3018" xr:uid="{00000000-0005-0000-0000-0000D90B0000}"/>
    <cellStyle name="Currency0 2 12" xfId="3019" xr:uid="{00000000-0005-0000-0000-0000DA0B0000}"/>
    <cellStyle name="Currency0 2 120" xfId="3020" xr:uid="{00000000-0005-0000-0000-0000DB0B0000}"/>
    <cellStyle name="Currency0 2 121" xfId="3021" xr:uid="{00000000-0005-0000-0000-0000DC0B0000}"/>
    <cellStyle name="Currency0 2 122" xfId="3022" xr:uid="{00000000-0005-0000-0000-0000DD0B0000}"/>
    <cellStyle name="Currency0 2 123" xfId="3023" xr:uid="{00000000-0005-0000-0000-0000DE0B0000}"/>
    <cellStyle name="Currency0 2 124" xfId="3024" xr:uid="{00000000-0005-0000-0000-0000DF0B0000}"/>
    <cellStyle name="Currency0 2 125" xfId="3025" xr:uid="{00000000-0005-0000-0000-0000E00B0000}"/>
    <cellStyle name="Currency0 2 126" xfId="3026" xr:uid="{00000000-0005-0000-0000-0000E10B0000}"/>
    <cellStyle name="Currency0 2 127" xfId="3027" xr:uid="{00000000-0005-0000-0000-0000E20B0000}"/>
    <cellStyle name="Currency0 2 128" xfId="3028" xr:uid="{00000000-0005-0000-0000-0000E30B0000}"/>
    <cellStyle name="Currency0 2 129" xfId="3029" xr:uid="{00000000-0005-0000-0000-0000E40B0000}"/>
    <cellStyle name="Currency0 2 13" xfId="3030" xr:uid="{00000000-0005-0000-0000-0000E50B0000}"/>
    <cellStyle name="Currency0 2 130" xfId="3031" xr:uid="{00000000-0005-0000-0000-0000E60B0000}"/>
    <cellStyle name="Currency0 2 131" xfId="3032" xr:uid="{00000000-0005-0000-0000-0000E70B0000}"/>
    <cellStyle name="Currency0 2 132" xfId="3033" xr:uid="{00000000-0005-0000-0000-0000E80B0000}"/>
    <cellStyle name="Currency0 2 133" xfId="3034" xr:uid="{00000000-0005-0000-0000-0000E90B0000}"/>
    <cellStyle name="Currency0 2 134" xfId="3035" xr:uid="{00000000-0005-0000-0000-0000EA0B0000}"/>
    <cellStyle name="Currency0 2 135" xfId="3036" xr:uid="{00000000-0005-0000-0000-0000EB0B0000}"/>
    <cellStyle name="Currency0 2 136" xfId="3037" xr:uid="{00000000-0005-0000-0000-0000EC0B0000}"/>
    <cellStyle name="Currency0 2 137" xfId="3038" xr:uid="{00000000-0005-0000-0000-0000ED0B0000}"/>
    <cellStyle name="Currency0 2 138" xfId="3039" xr:uid="{00000000-0005-0000-0000-0000EE0B0000}"/>
    <cellStyle name="Currency0 2 139" xfId="3040" xr:uid="{00000000-0005-0000-0000-0000EF0B0000}"/>
    <cellStyle name="Currency0 2 14" xfId="3041" xr:uid="{00000000-0005-0000-0000-0000F00B0000}"/>
    <cellStyle name="Currency0 2 140" xfId="3042" xr:uid="{00000000-0005-0000-0000-0000F10B0000}"/>
    <cellStyle name="Currency0 2 141" xfId="3043" xr:uid="{00000000-0005-0000-0000-0000F20B0000}"/>
    <cellStyle name="Currency0 2 142" xfId="3044" xr:uid="{00000000-0005-0000-0000-0000F30B0000}"/>
    <cellStyle name="Currency0 2 143" xfId="3045" xr:uid="{00000000-0005-0000-0000-0000F40B0000}"/>
    <cellStyle name="Currency0 2 144" xfId="3046" xr:uid="{00000000-0005-0000-0000-0000F50B0000}"/>
    <cellStyle name="Currency0 2 145" xfId="3047" xr:uid="{00000000-0005-0000-0000-0000F60B0000}"/>
    <cellStyle name="Currency0 2 146" xfId="3048" xr:uid="{00000000-0005-0000-0000-0000F70B0000}"/>
    <cellStyle name="Currency0 2 147" xfId="3049" xr:uid="{00000000-0005-0000-0000-0000F80B0000}"/>
    <cellStyle name="Currency0 2 148" xfId="3050" xr:uid="{00000000-0005-0000-0000-0000F90B0000}"/>
    <cellStyle name="Currency0 2 149" xfId="3051" xr:uid="{00000000-0005-0000-0000-0000FA0B0000}"/>
    <cellStyle name="Currency0 2 15" xfId="3052" xr:uid="{00000000-0005-0000-0000-0000FB0B0000}"/>
    <cellStyle name="Currency0 2 150" xfId="3053" xr:uid="{00000000-0005-0000-0000-0000FC0B0000}"/>
    <cellStyle name="Currency0 2 151" xfId="3054" xr:uid="{00000000-0005-0000-0000-0000FD0B0000}"/>
    <cellStyle name="Currency0 2 152" xfId="3055" xr:uid="{00000000-0005-0000-0000-0000FE0B0000}"/>
    <cellStyle name="Currency0 2 153" xfId="3056" xr:uid="{00000000-0005-0000-0000-0000FF0B0000}"/>
    <cellStyle name="Currency0 2 154" xfId="3057" xr:uid="{00000000-0005-0000-0000-0000000C0000}"/>
    <cellStyle name="Currency0 2 155" xfId="3058" xr:uid="{00000000-0005-0000-0000-0000010C0000}"/>
    <cellStyle name="Currency0 2 156" xfId="3059" xr:uid="{00000000-0005-0000-0000-0000020C0000}"/>
    <cellStyle name="Currency0 2 157" xfId="3060" xr:uid="{00000000-0005-0000-0000-0000030C0000}"/>
    <cellStyle name="Currency0 2 158" xfId="3061" xr:uid="{00000000-0005-0000-0000-0000040C0000}"/>
    <cellStyle name="Currency0 2 159" xfId="3062" xr:uid="{00000000-0005-0000-0000-0000050C0000}"/>
    <cellStyle name="Currency0 2 16" xfId="3063" xr:uid="{00000000-0005-0000-0000-0000060C0000}"/>
    <cellStyle name="Currency0 2 160" xfId="3064" xr:uid="{00000000-0005-0000-0000-0000070C0000}"/>
    <cellStyle name="Currency0 2 161" xfId="3065" xr:uid="{00000000-0005-0000-0000-0000080C0000}"/>
    <cellStyle name="Currency0 2 162" xfId="3066" xr:uid="{00000000-0005-0000-0000-0000090C0000}"/>
    <cellStyle name="Currency0 2 163" xfId="3067" xr:uid="{00000000-0005-0000-0000-00000A0C0000}"/>
    <cellStyle name="Currency0 2 164" xfId="3068" xr:uid="{00000000-0005-0000-0000-00000B0C0000}"/>
    <cellStyle name="Currency0 2 165" xfId="3069" xr:uid="{00000000-0005-0000-0000-00000C0C0000}"/>
    <cellStyle name="Currency0 2 166" xfId="3070" xr:uid="{00000000-0005-0000-0000-00000D0C0000}"/>
    <cellStyle name="Currency0 2 167" xfId="3071" xr:uid="{00000000-0005-0000-0000-00000E0C0000}"/>
    <cellStyle name="Currency0 2 168" xfId="3072" xr:uid="{00000000-0005-0000-0000-00000F0C0000}"/>
    <cellStyle name="Currency0 2 169" xfId="3073" xr:uid="{00000000-0005-0000-0000-0000100C0000}"/>
    <cellStyle name="Currency0 2 17" xfId="3074" xr:uid="{00000000-0005-0000-0000-0000110C0000}"/>
    <cellStyle name="Currency0 2 170" xfId="3075" xr:uid="{00000000-0005-0000-0000-0000120C0000}"/>
    <cellStyle name="Currency0 2 171" xfId="3076" xr:uid="{00000000-0005-0000-0000-0000130C0000}"/>
    <cellStyle name="Currency0 2 172" xfId="3077" xr:uid="{00000000-0005-0000-0000-0000140C0000}"/>
    <cellStyle name="Currency0 2 173" xfId="3078" xr:uid="{00000000-0005-0000-0000-0000150C0000}"/>
    <cellStyle name="Currency0 2 174" xfId="3079" xr:uid="{00000000-0005-0000-0000-0000160C0000}"/>
    <cellStyle name="Currency0 2 175" xfId="3080" xr:uid="{00000000-0005-0000-0000-0000170C0000}"/>
    <cellStyle name="Currency0 2 176" xfId="3081" xr:uid="{00000000-0005-0000-0000-0000180C0000}"/>
    <cellStyle name="Currency0 2 177" xfId="3082" xr:uid="{00000000-0005-0000-0000-0000190C0000}"/>
    <cellStyle name="Currency0 2 178" xfId="3083" xr:uid="{00000000-0005-0000-0000-00001A0C0000}"/>
    <cellStyle name="Currency0 2 179" xfId="3084" xr:uid="{00000000-0005-0000-0000-00001B0C0000}"/>
    <cellStyle name="Currency0 2 18" xfId="3085" xr:uid="{00000000-0005-0000-0000-00001C0C0000}"/>
    <cellStyle name="Currency0 2 180" xfId="3086" xr:uid="{00000000-0005-0000-0000-00001D0C0000}"/>
    <cellStyle name="Currency0 2 181" xfId="3087" xr:uid="{00000000-0005-0000-0000-00001E0C0000}"/>
    <cellStyle name="Currency0 2 182" xfId="3088" xr:uid="{00000000-0005-0000-0000-00001F0C0000}"/>
    <cellStyle name="Currency0 2 183" xfId="3089" xr:uid="{00000000-0005-0000-0000-0000200C0000}"/>
    <cellStyle name="Currency0 2 184" xfId="3090" xr:uid="{00000000-0005-0000-0000-0000210C0000}"/>
    <cellStyle name="Currency0 2 185" xfId="3091" xr:uid="{00000000-0005-0000-0000-0000220C0000}"/>
    <cellStyle name="Currency0 2 186" xfId="3092" xr:uid="{00000000-0005-0000-0000-0000230C0000}"/>
    <cellStyle name="Currency0 2 187" xfId="3093" xr:uid="{00000000-0005-0000-0000-0000240C0000}"/>
    <cellStyle name="Currency0 2 188" xfId="3094" xr:uid="{00000000-0005-0000-0000-0000250C0000}"/>
    <cellStyle name="Currency0 2 189" xfId="3095" xr:uid="{00000000-0005-0000-0000-0000260C0000}"/>
    <cellStyle name="Currency0 2 19" xfId="3096" xr:uid="{00000000-0005-0000-0000-0000270C0000}"/>
    <cellStyle name="Currency0 2 190" xfId="3097" xr:uid="{00000000-0005-0000-0000-0000280C0000}"/>
    <cellStyle name="Currency0 2 191" xfId="3098" xr:uid="{00000000-0005-0000-0000-0000290C0000}"/>
    <cellStyle name="Currency0 2 192" xfId="3099" xr:uid="{00000000-0005-0000-0000-00002A0C0000}"/>
    <cellStyle name="Currency0 2 193" xfId="3100" xr:uid="{00000000-0005-0000-0000-00002B0C0000}"/>
    <cellStyle name="Currency0 2 194" xfId="3101" xr:uid="{00000000-0005-0000-0000-00002C0C0000}"/>
    <cellStyle name="Currency0 2 195" xfId="3102" xr:uid="{00000000-0005-0000-0000-00002D0C0000}"/>
    <cellStyle name="Currency0 2 196" xfId="3103" xr:uid="{00000000-0005-0000-0000-00002E0C0000}"/>
    <cellStyle name="Currency0 2 197" xfId="3104" xr:uid="{00000000-0005-0000-0000-00002F0C0000}"/>
    <cellStyle name="Currency0 2 198" xfId="3105" xr:uid="{00000000-0005-0000-0000-0000300C0000}"/>
    <cellStyle name="Currency0 2 199" xfId="3106" xr:uid="{00000000-0005-0000-0000-0000310C0000}"/>
    <cellStyle name="Currency0 2 2" xfId="349" xr:uid="{00000000-0005-0000-0000-0000320C0000}"/>
    <cellStyle name="Currency0 2 2 2" xfId="350" xr:uid="{00000000-0005-0000-0000-0000330C0000}"/>
    <cellStyle name="Currency0 2 2 2 2" xfId="8824" xr:uid="{00000000-0005-0000-0000-0000340C0000}"/>
    <cellStyle name="Currency0 2 20" xfId="3108" xr:uid="{00000000-0005-0000-0000-0000350C0000}"/>
    <cellStyle name="Currency0 2 200" xfId="3109" xr:uid="{00000000-0005-0000-0000-0000360C0000}"/>
    <cellStyle name="Currency0 2 201" xfId="3110" xr:uid="{00000000-0005-0000-0000-0000370C0000}"/>
    <cellStyle name="Currency0 2 202" xfId="3111" xr:uid="{00000000-0005-0000-0000-0000380C0000}"/>
    <cellStyle name="Currency0 2 203" xfId="3112" xr:uid="{00000000-0005-0000-0000-0000390C0000}"/>
    <cellStyle name="Currency0 2 204" xfId="3113" xr:uid="{00000000-0005-0000-0000-00003A0C0000}"/>
    <cellStyle name="Currency0 2 205" xfId="3114" xr:uid="{00000000-0005-0000-0000-00003B0C0000}"/>
    <cellStyle name="Currency0 2 206" xfId="3115" xr:uid="{00000000-0005-0000-0000-00003C0C0000}"/>
    <cellStyle name="Currency0 2 207" xfId="3116" xr:uid="{00000000-0005-0000-0000-00003D0C0000}"/>
    <cellStyle name="Currency0 2 208" xfId="3117" xr:uid="{00000000-0005-0000-0000-00003E0C0000}"/>
    <cellStyle name="Currency0 2 209" xfId="3118" xr:uid="{00000000-0005-0000-0000-00003F0C0000}"/>
    <cellStyle name="Currency0 2 21" xfId="3119" xr:uid="{00000000-0005-0000-0000-0000400C0000}"/>
    <cellStyle name="Currency0 2 210" xfId="3120" xr:uid="{00000000-0005-0000-0000-0000410C0000}"/>
    <cellStyle name="Currency0 2 211" xfId="3121" xr:uid="{00000000-0005-0000-0000-0000420C0000}"/>
    <cellStyle name="Currency0 2 212" xfId="3122" xr:uid="{00000000-0005-0000-0000-0000430C0000}"/>
    <cellStyle name="Currency0 2 213" xfId="3123" xr:uid="{00000000-0005-0000-0000-0000440C0000}"/>
    <cellStyle name="Currency0 2 214" xfId="3124" xr:uid="{00000000-0005-0000-0000-0000450C0000}"/>
    <cellStyle name="Currency0 2 215" xfId="3125" xr:uid="{00000000-0005-0000-0000-0000460C0000}"/>
    <cellStyle name="Currency0 2 216" xfId="3126" xr:uid="{00000000-0005-0000-0000-0000470C0000}"/>
    <cellStyle name="Currency0 2 217" xfId="3127" xr:uid="{00000000-0005-0000-0000-0000480C0000}"/>
    <cellStyle name="Currency0 2 218" xfId="3128" xr:uid="{00000000-0005-0000-0000-0000490C0000}"/>
    <cellStyle name="Currency0 2 219" xfId="3129" xr:uid="{00000000-0005-0000-0000-00004A0C0000}"/>
    <cellStyle name="Currency0 2 22" xfId="3130" xr:uid="{00000000-0005-0000-0000-00004B0C0000}"/>
    <cellStyle name="Currency0 2 220" xfId="3131" xr:uid="{00000000-0005-0000-0000-00004C0C0000}"/>
    <cellStyle name="Currency0 2 221" xfId="3132" xr:uid="{00000000-0005-0000-0000-00004D0C0000}"/>
    <cellStyle name="Currency0 2 222" xfId="3133" xr:uid="{00000000-0005-0000-0000-00004E0C0000}"/>
    <cellStyle name="Currency0 2 223" xfId="3134" xr:uid="{00000000-0005-0000-0000-00004F0C0000}"/>
    <cellStyle name="Currency0 2 224" xfId="3135" xr:uid="{00000000-0005-0000-0000-0000500C0000}"/>
    <cellStyle name="Currency0 2 225" xfId="3136" xr:uid="{00000000-0005-0000-0000-0000510C0000}"/>
    <cellStyle name="Currency0 2 226" xfId="3137" xr:uid="{00000000-0005-0000-0000-0000520C0000}"/>
    <cellStyle name="Currency0 2 227" xfId="3138" xr:uid="{00000000-0005-0000-0000-0000530C0000}"/>
    <cellStyle name="Currency0 2 228" xfId="3139" xr:uid="{00000000-0005-0000-0000-0000540C0000}"/>
    <cellStyle name="Currency0 2 229" xfId="3140" xr:uid="{00000000-0005-0000-0000-0000550C0000}"/>
    <cellStyle name="Currency0 2 23" xfId="3141" xr:uid="{00000000-0005-0000-0000-0000560C0000}"/>
    <cellStyle name="Currency0 2 230" xfId="3142" xr:uid="{00000000-0005-0000-0000-0000570C0000}"/>
    <cellStyle name="Currency0 2 231" xfId="3143" xr:uid="{00000000-0005-0000-0000-0000580C0000}"/>
    <cellStyle name="Currency0 2 232" xfId="3144" xr:uid="{00000000-0005-0000-0000-0000590C0000}"/>
    <cellStyle name="Currency0 2 233" xfId="3145" xr:uid="{00000000-0005-0000-0000-00005A0C0000}"/>
    <cellStyle name="Currency0 2 234" xfId="3146" xr:uid="{00000000-0005-0000-0000-00005B0C0000}"/>
    <cellStyle name="Currency0 2 235" xfId="3147" xr:uid="{00000000-0005-0000-0000-00005C0C0000}"/>
    <cellStyle name="Currency0 2 236" xfId="3148" xr:uid="{00000000-0005-0000-0000-00005D0C0000}"/>
    <cellStyle name="Currency0 2 237" xfId="3149" xr:uid="{00000000-0005-0000-0000-00005E0C0000}"/>
    <cellStyle name="Currency0 2 238" xfId="3150" xr:uid="{00000000-0005-0000-0000-00005F0C0000}"/>
    <cellStyle name="Currency0 2 239" xfId="3151" xr:uid="{00000000-0005-0000-0000-0000600C0000}"/>
    <cellStyle name="Currency0 2 24" xfId="3152" xr:uid="{00000000-0005-0000-0000-0000610C0000}"/>
    <cellStyle name="Currency0 2 240" xfId="3153" xr:uid="{00000000-0005-0000-0000-0000620C0000}"/>
    <cellStyle name="Currency0 2 241" xfId="3154" xr:uid="{00000000-0005-0000-0000-0000630C0000}"/>
    <cellStyle name="Currency0 2 242" xfId="3155" xr:uid="{00000000-0005-0000-0000-0000640C0000}"/>
    <cellStyle name="Currency0 2 243" xfId="3156" xr:uid="{00000000-0005-0000-0000-0000650C0000}"/>
    <cellStyle name="Currency0 2 244" xfId="3157" xr:uid="{00000000-0005-0000-0000-0000660C0000}"/>
    <cellStyle name="Currency0 2 245" xfId="3158" xr:uid="{00000000-0005-0000-0000-0000670C0000}"/>
    <cellStyle name="Currency0 2 246" xfId="3159" xr:uid="{00000000-0005-0000-0000-0000680C0000}"/>
    <cellStyle name="Currency0 2 247" xfId="3160" xr:uid="{00000000-0005-0000-0000-0000690C0000}"/>
    <cellStyle name="Currency0 2 248" xfId="3161" xr:uid="{00000000-0005-0000-0000-00006A0C0000}"/>
    <cellStyle name="Currency0 2 249" xfId="3162" xr:uid="{00000000-0005-0000-0000-00006B0C0000}"/>
    <cellStyle name="Currency0 2 25" xfId="3163" xr:uid="{00000000-0005-0000-0000-00006C0C0000}"/>
    <cellStyle name="Currency0 2 250" xfId="3164" xr:uid="{00000000-0005-0000-0000-00006D0C0000}"/>
    <cellStyle name="Currency0 2 251" xfId="3165" xr:uid="{00000000-0005-0000-0000-00006E0C0000}"/>
    <cellStyle name="Currency0 2 252" xfId="3166" xr:uid="{00000000-0005-0000-0000-00006F0C0000}"/>
    <cellStyle name="Currency0 2 253" xfId="3167" xr:uid="{00000000-0005-0000-0000-0000700C0000}"/>
    <cellStyle name="Currency0 2 254" xfId="3168" xr:uid="{00000000-0005-0000-0000-0000710C0000}"/>
    <cellStyle name="Currency0 2 255" xfId="3169" xr:uid="{00000000-0005-0000-0000-0000720C0000}"/>
    <cellStyle name="Currency0 2 256" xfId="2996" xr:uid="{00000000-0005-0000-0000-0000730C0000}"/>
    <cellStyle name="Currency0 2 26" xfId="3170" xr:uid="{00000000-0005-0000-0000-0000740C0000}"/>
    <cellStyle name="Currency0 2 27" xfId="3171" xr:uid="{00000000-0005-0000-0000-0000750C0000}"/>
    <cellStyle name="Currency0 2 28" xfId="3172" xr:uid="{00000000-0005-0000-0000-0000760C0000}"/>
    <cellStyle name="Currency0 2 29" xfId="3173" xr:uid="{00000000-0005-0000-0000-0000770C0000}"/>
    <cellStyle name="Currency0 2 3" xfId="351" xr:uid="{00000000-0005-0000-0000-0000780C0000}"/>
    <cellStyle name="Currency0 2 3 2" xfId="3174" xr:uid="{00000000-0005-0000-0000-0000790C0000}"/>
    <cellStyle name="Currency0 2 3 3" xfId="8825" xr:uid="{00000000-0005-0000-0000-00007A0C0000}"/>
    <cellStyle name="Currency0 2 30" xfId="3175" xr:uid="{00000000-0005-0000-0000-00007B0C0000}"/>
    <cellStyle name="Currency0 2 31" xfId="3176" xr:uid="{00000000-0005-0000-0000-00007C0C0000}"/>
    <cellStyle name="Currency0 2 32" xfId="3177" xr:uid="{00000000-0005-0000-0000-00007D0C0000}"/>
    <cellStyle name="Currency0 2 33" xfId="3178" xr:uid="{00000000-0005-0000-0000-00007E0C0000}"/>
    <cellStyle name="Currency0 2 34" xfId="3179" xr:uid="{00000000-0005-0000-0000-00007F0C0000}"/>
    <cellStyle name="Currency0 2 35" xfId="3180" xr:uid="{00000000-0005-0000-0000-0000800C0000}"/>
    <cellStyle name="Currency0 2 36" xfId="3181" xr:uid="{00000000-0005-0000-0000-0000810C0000}"/>
    <cellStyle name="Currency0 2 37" xfId="3182" xr:uid="{00000000-0005-0000-0000-0000820C0000}"/>
    <cellStyle name="Currency0 2 38" xfId="3183" xr:uid="{00000000-0005-0000-0000-0000830C0000}"/>
    <cellStyle name="Currency0 2 39" xfId="3184" xr:uid="{00000000-0005-0000-0000-0000840C0000}"/>
    <cellStyle name="Currency0 2 4" xfId="3185" xr:uid="{00000000-0005-0000-0000-0000850C0000}"/>
    <cellStyle name="Currency0 2 40" xfId="3186" xr:uid="{00000000-0005-0000-0000-0000860C0000}"/>
    <cellStyle name="Currency0 2 41" xfId="3187" xr:uid="{00000000-0005-0000-0000-0000870C0000}"/>
    <cellStyle name="Currency0 2 42" xfId="3188" xr:uid="{00000000-0005-0000-0000-0000880C0000}"/>
    <cellStyle name="Currency0 2 43" xfId="3189" xr:uid="{00000000-0005-0000-0000-0000890C0000}"/>
    <cellStyle name="Currency0 2 44" xfId="3190" xr:uid="{00000000-0005-0000-0000-00008A0C0000}"/>
    <cellStyle name="Currency0 2 45" xfId="3191" xr:uid="{00000000-0005-0000-0000-00008B0C0000}"/>
    <cellStyle name="Currency0 2 46" xfId="3192" xr:uid="{00000000-0005-0000-0000-00008C0C0000}"/>
    <cellStyle name="Currency0 2 47" xfId="3193" xr:uid="{00000000-0005-0000-0000-00008D0C0000}"/>
    <cellStyle name="Currency0 2 48" xfId="3194" xr:uid="{00000000-0005-0000-0000-00008E0C0000}"/>
    <cellStyle name="Currency0 2 49" xfId="3195" xr:uid="{00000000-0005-0000-0000-00008F0C0000}"/>
    <cellStyle name="Currency0 2 5" xfId="3196" xr:uid="{00000000-0005-0000-0000-0000900C0000}"/>
    <cellStyle name="Currency0 2 50" xfId="3197" xr:uid="{00000000-0005-0000-0000-0000910C0000}"/>
    <cellStyle name="Currency0 2 51" xfId="3198" xr:uid="{00000000-0005-0000-0000-0000920C0000}"/>
    <cellStyle name="Currency0 2 52" xfId="3199" xr:uid="{00000000-0005-0000-0000-0000930C0000}"/>
    <cellStyle name="Currency0 2 53" xfId="3200" xr:uid="{00000000-0005-0000-0000-0000940C0000}"/>
    <cellStyle name="Currency0 2 54" xfId="3201" xr:uid="{00000000-0005-0000-0000-0000950C0000}"/>
    <cellStyle name="Currency0 2 55" xfId="3202" xr:uid="{00000000-0005-0000-0000-0000960C0000}"/>
    <cellStyle name="Currency0 2 56" xfId="3203" xr:uid="{00000000-0005-0000-0000-0000970C0000}"/>
    <cellStyle name="Currency0 2 57" xfId="3204" xr:uid="{00000000-0005-0000-0000-0000980C0000}"/>
    <cellStyle name="Currency0 2 58" xfId="3205" xr:uid="{00000000-0005-0000-0000-0000990C0000}"/>
    <cellStyle name="Currency0 2 59" xfId="3206" xr:uid="{00000000-0005-0000-0000-00009A0C0000}"/>
    <cellStyle name="Currency0 2 6" xfId="3207" xr:uid="{00000000-0005-0000-0000-00009B0C0000}"/>
    <cellStyle name="Currency0 2 60" xfId="3208" xr:uid="{00000000-0005-0000-0000-00009C0C0000}"/>
    <cellStyle name="Currency0 2 61" xfId="3209" xr:uid="{00000000-0005-0000-0000-00009D0C0000}"/>
    <cellStyle name="Currency0 2 62" xfId="3210" xr:uid="{00000000-0005-0000-0000-00009E0C0000}"/>
    <cellStyle name="Currency0 2 63" xfId="3211" xr:uid="{00000000-0005-0000-0000-00009F0C0000}"/>
    <cellStyle name="Currency0 2 64" xfId="3212" xr:uid="{00000000-0005-0000-0000-0000A00C0000}"/>
    <cellStyle name="Currency0 2 65" xfId="3213" xr:uid="{00000000-0005-0000-0000-0000A10C0000}"/>
    <cellStyle name="Currency0 2 66" xfId="3214" xr:uid="{00000000-0005-0000-0000-0000A20C0000}"/>
    <cellStyle name="Currency0 2 67" xfId="3215" xr:uid="{00000000-0005-0000-0000-0000A30C0000}"/>
    <cellStyle name="Currency0 2 68" xfId="3216" xr:uid="{00000000-0005-0000-0000-0000A40C0000}"/>
    <cellStyle name="Currency0 2 69" xfId="3217" xr:uid="{00000000-0005-0000-0000-0000A50C0000}"/>
    <cellStyle name="Currency0 2 7" xfId="3218" xr:uid="{00000000-0005-0000-0000-0000A60C0000}"/>
    <cellStyle name="Currency0 2 70" xfId="3219" xr:uid="{00000000-0005-0000-0000-0000A70C0000}"/>
    <cellStyle name="Currency0 2 71" xfId="3220" xr:uid="{00000000-0005-0000-0000-0000A80C0000}"/>
    <cellStyle name="Currency0 2 72" xfId="3221" xr:uid="{00000000-0005-0000-0000-0000A90C0000}"/>
    <cellStyle name="Currency0 2 73" xfId="3222" xr:uid="{00000000-0005-0000-0000-0000AA0C0000}"/>
    <cellStyle name="Currency0 2 74" xfId="3223" xr:uid="{00000000-0005-0000-0000-0000AB0C0000}"/>
    <cellStyle name="Currency0 2 75" xfId="3224" xr:uid="{00000000-0005-0000-0000-0000AC0C0000}"/>
    <cellStyle name="Currency0 2 76" xfId="3225" xr:uid="{00000000-0005-0000-0000-0000AD0C0000}"/>
    <cellStyle name="Currency0 2 77" xfId="3226" xr:uid="{00000000-0005-0000-0000-0000AE0C0000}"/>
    <cellStyle name="Currency0 2 78" xfId="3227" xr:uid="{00000000-0005-0000-0000-0000AF0C0000}"/>
    <cellStyle name="Currency0 2 79" xfId="3228" xr:uid="{00000000-0005-0000-0000-0000B00C0000}"/>
    <cellStyle name="Currency0 2 8" xfId="3229" xr:uid="{00000000-0005-0000-0000-0000B10C0000}"/>
    <cellStyle name="Currency0 2 80" xfId="3230" xr:uid="{00000000-0005-0000-0000-0000B20C0000}"/>
    <cellStyle name="Currency0 2 81" xfId="3231" xr:uid="{00000000-0005-0000-0000-0000B30C0000}"/>
    <cellStyle name="Currency0 2 82" xfId="3232" xr:uid="{00000000-0005-0000-0000-0000B40C0000}"/>
    <cellStyle name="Currency0 2 83" xfId="3233" xr:uid="{00000000-0005-0000-0000-0000B50C0000}"/>
    <cellStyle name="Currency0 2 84" xfId="3234" xr:uid="{00000000-0005-0000-0000-0000B60C0000}"/>
    <cellStyle name="Currency0 2 85" xfId="3235" xr:uid="{00000000-0005-0000-0000-0000B70C0000}"/>
    <cellStyle name="Currency0 2 86" xfId="3236" xr:uid="{00000000-0005-0000-0000-0000B80C0000}"/>
    <cellStyle name="Currency0 2 87" xfId="3237" xr:uid="{00000000-0005-0000-0000-0000B90C0000}"/>
    <cellStyle name="Currency0 2 88" xfId="3238" xr:uid="{00000000-0005-0000-0000-0000BA0C0000}"/>
    <cellStyle name="Currency0 2 89" xfId="3239" xr:uid="{00000000-0005-0000-0000-0000BB0C0000}"/>
    <cellStyle name="Currency0 2 9" xfId="3240" xr:uid="{00000000-0005-0000-0000-0000BC0C0000}"/>
    <cellStyle name="Currency0 2 90" xfId="3241" xr:uid="{00000000-0005-0000-0000-0000BD0C0000}"/>
    <cellStyle name="Currency0 2 91" xfId="3242" xr:uid="{00000000-0005-0000-0000-0000BE0C0000}"/>
    <cellStyle name="Currency0 2 92" xfId="3243" xr:uid="{00000000-0005-0000-0000-0000BF0C0000}"/>
    <cellStyle name="Currency0 2 93" xfId="3244" xr:uid="{00000000-0005-0000-0000-0000C00C0000}"/>
    <cellStyle name="Currency0 2 94" xfId="3245" xr:uid="{00000000-0005-0000-0000-0000C10C0000}"/>
    <cellStyle name="Currency0 2 95" xfId="3246" xr:uid="{00000000-0005-0000-0000-0000C20C0000}"/>
    <cellStyle name="Currency0 2 96" xfId="3247" xr:uid="{00000000-0005-0000-0000-0000C30C0000}"/>
    <cellStyle name="Currency0 2 97" xfId="3248" xr:uid="{00000000-0005-0000-0000-0000C40C0000}"/>
    <cellStyle name="Currency0 2 98" xfId="3249" xr:uid="{00000000-0005-0000-0000-0000C50C0000}"/>
    <cellStyle name="Currency0 2 99" xfId="3250" xr:uid="{00000000-0005-0000-0000-0000C60C0000}"/>
    <cellStyle name="Currency0 3" xfId="352" xr:uid="{00000000-0005-0000-0000-0000C70C0000}"/>
    <cellStyle name="Currency0 3 2" xfId="353" xr:uid="{00000000-0005-0000-0000-0000C80C0000}"/>
    <cellStyle name="Currency0 3 2 2" xfId="354" xr:uid="{00000000-0005-0000-0000-0000C90C0000}"/>
    <cellStyle name="Currency0 3 2 2 2" xfId="8826" xr:uid="{00000000-0005-0000-0000-0000CA0C0000}"/>
    <cellStyle name="Currency0 3 3" xfId="355" xr:uid="{00000000-0005-0000-0000-0000CB0C0000}"/>
    <cellStyle name="Currency0 3 3 2" xfId="3253" xr:uid="{00000000-0005-0000-0000-0000CC0C0000}"/>
    <cellStyle name="Currency0 3 3 3" xfId="8827" xr:uid="{00000000-0005-0000-0000-0000CD0C0000}"/>
    <cellStyle name="Currency0 3 4" xfId="3254" xr:uid="{00000000-0005-0000-0000-0000CE0C0000}"/>
    <cellStyle name="Currency0 3 5" xfId="3255" xr:uid="{00000000-0005-0000-0000-0000CF0C0000}"/>
    <cellStyle name="Currency0 3 6" xfId="3251" xr:uid="{00000000-0005-0000-0000-0000D00C0000}"/>
    <cellStyle name="Currency0 4" xfId="356" xr:uid="{00000000-0005-0000-0000-0000D10C0000}"/>
    <cellStyle name="Currency0 4 2" xfId="357" xr:uid="{00000000-0005-0000-0000-0000D20C0000}"/>
    <cellStyle name="Currency0 4 2 2" xfId="3257" xr:uid="{00000000-0005-0000-0000-0000D30C0000}"/>
    <cellStyle name="Currency0 4 2 3" xfId="8828" xr:uid="{00000000-0005-0000-0000-0000D40C0000}"/>
    <cellStyle name="Currency0 4 3" xfId="3258" xr:uid="{00000000-0005-0000-0000-0000D50C0000}"/>
    <cellStyle name="Currency0 4 4" xfId="3259" xr:uid="{00000000-0005-0000-0000-0000D60C0000}"/>
    <cellStyle name="Currency0 4 5" xfId="3260" xr:uid="{00000000-0005-0000-0000-0000D70C0000}"/>
    <cellStyle name="Currency0 4 6" xfId="3256" xr:uid="{00000000-0005-0000-0000-0000D80C0000}"/>
    <cellStyle name="Currency0 5" xfId="358" xr:uid="{00000000-0005-0000-0000-0000D90C0000}"/>
    <cellStyle name="Currency0 5 2" xfId="359" xr:uid="{00000000-0005-0000-0000-0000DA0C0000}"/>
    <cellStyle name="Currency0 5 2 2" xfId="8829" xr:uid="{00000000-0005-0000-0000-0000DB0C0000}"/>
    <cellStyle name="Currency0 6" xfId="360" xr:uid="{00000000-0005-0000-0000-0000DC0C0000}"/>
    <cellStyle name="Currency0 6 2" xfId="361" xr:uid="{00000000-0005-0000-0000-0000DD0C0000}"/>
    <cellStyle name="Currency0 6 2 2" xfId="8830" xr:uid="{00000000-0005-0000-0000-0000DE0C0000}"/>
    <cellStyle name="Currency0 7" xfId="362" xr:uid="{00000000-0005-0000-0000-0000DF0C0000}"/>
    <cellStyle name="Currency0 7 2" xfId="8831" xr:uid="{00000000-0005-0000-0000-0000E00C0000}"/>
    <cellStyle name="Date" xfId="36" xr:uid="{00000000-0005-0000-0000-0000E10C0000}"/>
    <cellStyle name="Date 10" xfId="364" xr:uid="{00000000-0005-0000-0000-0000E20C0000}"/>
    <cellStyle name="Date 10 2" xfId="365" xr:uid="{00000000-0005-0000-0000-0000E30C0000}"/>
    <cellStyle name="Date 10 2 2" xfId="366" xr:uid="{00000000-0005-0000-0000-0000E40C0000}"/>
    <cellStyle name="Date 10 2 2 2" xfId="8832" xr:uid="{00000000-0005-0000-0000-0000E50C0000}"/>
    <cellStyle name="Date 10 2 3" xfId="3264" xr:uid="{00000000-0005-0000-0000-0000E60C0000}"/>
    <cellStyle name="Date 10 3" xfId="367" xr:uid="{00000000-0005-0000-0000-0000E70C0000}"/>
    <cellStyle name="Date 10 3 2" xfId="368" xr:uid="{00000000-0005-0000-0000-0000E80C0000}"/>
    <cellStyle name="Date 10 3 2 2" xfId="8833" xr:uid="{00000000-0005-0000-0000-0000E90C0000}"/>
    <cellStyle name="Date 10 3 3" xfId="3265" xr:uid="{00000000-0005-0000-0000-0000EA0C0000}"/>
    <cellStyle name="Date 10 4" xfId="369" xr:uid="{00000000-0005-0000-0000-0000EB0C0000}"/>
    <cellStyle name="Date 10 4 2" xfId="370" xr:uid="{00000000-0005-0000-0000-0000EC0C0000}"/>
    <cellStyle name="Date 10 4 2 2" xfId="8834" xr:uid="{00000000-0005-0000-0000-0000ED0C0000}"/>
    <cellStyle name="Date 10 4 3" xfId="3266" xr:uid="{00000000-0005-0000-0000-0000EE0C0000}"/>
    <cellStyle name="Date 10 5" xfId="371" xr:uid="{00000000-0005-0000-0000-0000EF0C0000}"/>
    <cellStyle name="Date 10 5 2" xfId="372" xr:uid="{00000000-0005-0000-0000-0000F00C0000}"/>
    <cellStyle name="Date 10 5 2 2" xfId="8835" xr:uid="{00000000-0005-0000-0000-0000F10C0000}"/>
    <cellStyle name="Date 10 5 3" xfId="3267" xr:uid="{00000000-0005-0000-0000-0000F20C0000}"/>
    <cellStyle name="Date 10 6" xfId="373" xr:uid="{00000000-0005-0000-0000-0000F30C0000}"/>
    <cellStyle name="Date 10 6 2" xfId="374" xr:uid="{00000000-0005-0000-0000-0000F40C0000}"/>
    <cellStyle name="Date 10 6 2 2" xfId="8836" xr:uid="{00000000-0005-0000-0000-0000F50C0000}"/>
    <cellStyle name="Date 10 6 3" xfId="3268" xr:uid="{00000000-0005-0000-0000-0000F60C0000}"/>
    <cellStyle name="Date 10 7" xfId="375" xr:uid="{00000000-0005-0000-0000-0000F70C0000}"/>
    <cellStyle name="Date 10 7 2" xfId="376" xr:uid="{00000000-0005-0000-0000-0000F80C0000}"/>
    <cellStyle name="Date 10 7 2 2" xfId="8837" xr:uid="{00000000-0005-0000-0000-0000F90C0000}"/>
    <cellStyle name="Date 10 7 3" xfId="3269" xr:uid="{00000000-0005-0000-0000-0000FA0C0000}"/>
    <cellStyle name="Date 10 8" xfId="377" xr:uid="{00000000-0005-0000-0000-0000FB0C0000}"/>
    <cellStyle name="Date 10 8 2" xfId="8838" xr:uid="{00000000-0005-0000-0000-0000FC0C0000}"/>
    <cellStyle name="Date 10 9" xfId="3263" xr:uid="{00000000-0005-0000-0000-0000FD0C0000}"/>
    <cellStyle name="Date 11" xfId="378" xr:uid="{00000000-0005-0000-0000-0000FE0C0000}"/>
    <cellStyle name="Date 11 2" xfId="379" xr:uid="{00000000-0005-0000-0000-0000FF0C0000}"/>
    <cellStyle name="Date 11 2 2" xfId="380" xr:uid="{00000000-0005-0000-0000-0000000D0000}"/>
    <cellStyle name="Date 11 2 2 2" xfId="8839" xr:uid="{00000000-0005-0000-0000-0000010D0000}"/>
    <cellStyle name="Date 11 2 3" xfId="3271" xr:uid="{00000000-0005-0000-0000-0000020D0000}"/>
    <cellStyle name="Date 11 3" xfId="381" xr:uid="{00000000-0005-0000-0000-0000030D0000}"/>
    <cellStyle name="Date 11 3 2" xfId="382" xr:uid="{00000000-0005-0000-0000-0000040D0000}"/>
    <cellStyle name="Date 11 3 2 2" xfId="8840" xr:uid="{00000000-0005-0000-0000-0000050D0000}"/>
    <cellStyle name="Date 11 3 3" xfId="3272" xr:uid="{00000000-0005-0000-0000-0000060D0000}"/>
    <cellStyle name="Date 11 4" xfId="383" xr:uid="{00000000-0005-0000-0000-0000070D0000}"/>
    <cellStyle name="Date 11 4 2" xfId="384" xr:uid="{00000000-0005-0000-0000-0000080D0000}"/>
    <cellStyle name="Date 11 4 2 2" xfId="8841" xr:uid="{00000000-0005-0000-0000-0000090D0000}"/>
    <cellStyle name="Date 11 4 3" xfId="3273" xr:uid="{00000000-0005-0000-0000-00000A0D0000}"/>
    <cellStyle name="Date 11 5" xfId="385" xr:uid="{00000000-0005-0000-0000-00000B0D0000}"/>
    <cellStyle name="Date 11 5 2" xfId="386" xr:uid="{00000000-0005-0000-0000-00000C0D0000}"/>
    <cellStyle name="Date 11 5 2 2" xfId="8842" xr:uid="{00000000-0005-0000-0000-00000D0D0000}"/>
    <cellStyle name="Date 11 5 3" xfId="3274" xr:uid="{00000000-0005-0000-0000-00000E0D0000}"/>
    <cellStyle name="Date 11 6" xfId="387" xr:uid="{00000000-0005-0000-0000-00000F0D0000}"/>
    <cellStyle name="Date 11 6 2" xfId="388" xr:uid="{00000000-0005-0000-0000-0000100D0000}"/>
    <cellStyle name="Date 11 6 2 2" xfId="8843" xr:uid="{00000000-0005-0000-0000-0000110D0000}"/>
    <cellStyle name="Date 11 6 3" xfId="3275" xr:uid="{00000000-0005-0000-0000-0000120D0000}"/>
    <cellStyle name="Date 11 7" xfId="389" xr:uid="{00000000-0005-0000-0000-0000130D0000}"/>
    <cellStyle name="Date 11 7 2" xfId="390" xr:uid="{00000000-0005-0000-0000-0000140D0000}"/>
    <cellStyle name="Date 11 7 2 2" xfId="8844" xr:uid="{00000000-0005-0000-0000-0000150D0000}"/>
    <cellStyle name="Date 11 7 3" xfId="3276" xr:uid="{00000000-0005-0000-0000-0000160D0000}"/>
    <cellStyle name="Date 11 8" xfId="391" xr:uid="{00000000-0005-0000-0000-0000170D0000}"/>
    <cellStyle name="Date 11 8 2" xfId="8845" xr:uid="{00000000-0005-0000-0000-0000180D0000}"/>
    <cellStyle name="Date 11 9" xfId="3270" xr:uid="{00000000-0005-0000-0000-0000190D0000}"/>
    <cellStyle name="Date 12" xfId="392" xr:uid="{00000000-0005-0000-0000-00001A0D0000}"/>
    <cellStyle name="Date 12 2" xfId="393" xr:uid="{00000000-0005-0000-0000-00001B0D0000}"/>
    <cellStyle name="Date 12 2 2" xfId="8846" xr:uid="{00000000-0005-0000-0000-00001C0D0000}"/>
    <cellStyle name="Date 12 3" xfId="3277" xr:uid="{00000000-0005-0000-0000-00001D0D0000}"/>
    <cellStyle name="Date 13" xfId="394" xr:uid="{00000000-0005-0000-0000-00001E0D0000}"/>
    <cellStyle name="Date 13 2" xfId="395" xr:uid="{00000000-0005-0000-0000-00001F0D0000}"/>
    <cellStyle name="Date 13 2 2" xfId="8847" xr:uid="{00000000-0005-0000-0000-0000200D0000}"/>
    <cellStyle name="Date 13 3" xfId="3278" xr:uid="{00000000-0005-0000-0000-0000210D0000}"/>
    <cellStyle name="Date 14" xfId="396" xr:uid="{00000000-0005-0000-0000-0000220D0000}"/>
    <cellStyle name="Date 14 2" xfId="397" xr:uid="{00000000-0005-0000-0000-0000230D0000}"/>
    <cellStyle name="Date 14 2 2" xfId="8848" xr:uid="{00000000-0005-0000-0000-0000240D0000}"/>
    <cellStyle name="Date 14 3" xfId="3279" xr:uid="{00000000-0005-0000-0000-0000250D0000}"/>
    <cellStyle name="Date 15" xfId="398" xr:uid="{00000000-0005-0000-0000-0000260D0000}"/>
    <cellStyle name="Date 15 2" xfId="399" xr:uid="{00000000-0005-0000-0000-0000270D0000}"/>
    <cellStyle name="Date 15 2 2" xfId="8849" xr:uid="{00000000-0005-0000-0000-0000280D0000}"/>
    <cellStyle name="Date 15 3" xfId="3280" xr:uid="{00000000-0005-0000-0000-0000290D0000}"/>
    <cellStyle name="Date 16" xfId="400" xr:uid="{00000000-0005-0000-0000-00002A0D0000}"/>
    <cellStyle name="Date 16 2" xfId="401" xr:uid="{00000000-0005-0000-0000-00002B0D0000}"/>
    <cellStyle name="Date 16 2 2" xfId="8850" xr:uid="{00000000-0005-0000-0000-00002C0D0000}"/>
    <cellStyle name="Date 16 3" xfId="3281" xr:uid="{00000000-0005-0000-0000-00002D0D0000}"/>
    <cellStyle name="Date 17" xfId="402" xr:uid="{00000000-0005-0000-0000-00002E0D0000}"/>
    <cellStyle name="Date 17 2" xfId="403" xr:uid="{00000000-0005-0000-0000-00002F0D0000}"/>
    <cellStyle name="Date 17 2 2" xfId="8851" xr:uid="{00000000-0005-0000-0000-0000300D0000}"/>
    <cellStyle name="Date 17 3" xfId="3282" xr:uid="{00000000-0005-0000-0000-0000310D0000}"/>
    <cellStyle name="Date 18" xfId="404" xr:uid="{00000000-0005-0000-0000-0000320D0000}"/>
    <cellStyle name="Date 18 2" xfId="405" xr:uid="{00000000-0005-0000-0000-0000330D0000}"/>
    <cellStyle name="Date 18 2 2" xfId="8852" xr:uid="{00000000-0005-0000-0000-0000340D0000}"/>
    <cellStyle name="Date 18 3" xfId="3283" xr:uid="{00000000-0005-0000-0000-0000350D0000}"/>
    <cellStyle name="Date 19" xfId="406" xr:uid="{00000000-0005-0000-0000-0000360D0000}"/>
    <cellStyle name="Date 19 2" xfId="407" xr:uid="{00000000-0005-0000-0000-0000370D0000}"/>
    <cellStyle name="Date 19 2 2" xfId="8853" xr:uid="{00000000-0005-0000-0000-0000380D0000}"/>
    <cellStyle name="Date 19 3" xfId="3284" xr:uid="{00000000-0005-0000-0000-0000390D0000}"/>
    <cellStyle name="Date 2" xfId="408" xr:uid="{00000000-0005-0000-0000-00003A0D0000}"/>
    <cellStyle name="Date 2 10" xfId="3286" xr:uid="{00000000-0005-0000-0000-00003B0D0000}"/>
    <cellStyle name="Date 2 100" xfId="3287" xr:uid="{00000000-0005-0000-0000-00003C0D0000}"/>
    <cellStyle name="Date 2 101" xfId="3288" xr:uid="{00000000-0005-0000-0000-00003D0D0000}"/>
    <cellStyle name="Date 2 102" xfId="3289" xr:uid="{00000000-0005-0000-0000-00003E0D0000}"/>
    <cellStyle name="Date 2 103" xfId="3290" xr:uid="{00000000-0005-0000-0000-00003F0D0000}"/>
    <cellStyle name="Date 2 104" xfId="3291" xr:uid="{00000000-0005-0000-0000-0000400D0000}"/>
    <cellStyle name="Date 2 105" xfId="3292" xr:uid="{00000000-0005-0000-0000-0000410D0000}"/>
    <cellStyle name="Date 2 106" xfId="3293" xr:uid="{00000000-0005-0000-0000-0000420D0000}"/>
    <cellStyle name="Date 2 107" xfId="3294" xr:uid="{00000000-0005-0000-0000-0000430D0000}"/>
    <cellStyle name="Date 2 108" xfId="3295" xr:uid="{00000000-0005-0000-0000-0000440D0000}"/>
    <cellStyle name="Date 2 109" xfId="3296" xr:uid="{00000000-0005-0000-0000-0000450D0000}"/>
    <cellStyle name="Date 2 11" xfId="3297" xr:uid="{00000000-0005-0000-0000-0000460D0000}"/>
    <cellStyle name="Date 2 110" xfId="3298" xr:uid="{00000000-0005-0000-0000-0000470D0000}"/>
    <cellStyle name="Date 2 111" xfId="3299" xr:uid="{00000000-0005-0000-0000-0000480D0000}"/>
    <cellStyle name="Date 2 112" xfId="3300" xr:uid="{00000000-0005-0000-0000-0000490D0000}"/>
    <cellStyle name="Date 2 113" xfId="3301" xr:uid="{00000000-0005-0000-0000-00004A0D0000}"/>
    <cellStyle name="Date 2 114" xfId="3302" xr:uid="{00000000-0005-0000-0000-00004B0D0000}"/>
    <cellStyle name="Date 2 115" xfId="3303" xr:uid="{00000000-0005-0000-0000-00004C0D0000}"/>
    <cellStyle name="Date 2 116" xfId="3304" xr:uid="{00000000-0005-0000-0000-00004D0D0000}"/>
    <cellStyle name="Date 2 117" xfId="3305" xr:uid="{00000000-0005-0000-0000-00004E0D0000}"/>
    <cellStyle name="Date 2 118" xfId="3306" xr:uid="{00000000-0005-0000-0000-00004F0D0000}"/>
    <cellStyle name="Date 2 119" xfId="3307" xr:uid="{00000000-0005-0000-0000-0000500D0000}"/>
    <cellStyle name="Date 2 12" xfId="3308" xr:uid="{00000000-0005-0000-0000-0000510D0000}"/>
    <cellStyle name="Date 2 120" xfId="3309" xr:uid="{00000000-0005-0000-0000-0000520D0000}"/>
    <cellStyle name="Date 2 121" xfId="3310" xr:uid="{00000000-0005-0000-0000-0000530D0000}"/>
    <cellStyle name="Date 2 122" xfId="3311" xr:uid="{00000000-0005-0000-0000-0000540D0000}"/>
    <cellStyle name="Date 2 123" xfId="3312" xr:uid="{00000000-0005-0000-0000-0000550D0000}"/>
    <cellStyle name="Date 2 124" xfId="3313" xr:uid="{00000000-0005-0000-0000-0000560D0000}"/>
    <cellStyle name="Date 2 125" xfId="3314" xr:uid="{00000000-0005-0000-0000-0000570D0000}"/>
    <cellStyle name="Date 2 126" xfId="3315" xr:uid="{00000000-0005-0000-0000-0000580D0000}"/>
    <cellStyle name="Date 2 127" xfId="3316" xr:uid="{00000000-0005-0000-0000-0000590D0000}"/>
    <cellStyle name="Date 2 128" xfId="3317" xr:uid="{00000000-0005-0000-0000-00005A0D0000}"/>
    <cellStyle name="Date 2 129" xfId="3318" xr:uid="{00000000-0005-0000-0000-00005B0D0000}"/>
    <cellStyle name="Date 2 13" xfId="3319" xr:uid="{00000000-0005-0000-0000-00005C0D0000}"/>
    <cellStyle name="Date 2 130" xfId="3320" xr:uid="{00000000-0005-0000-0000-00005D0D0000}"/>
    <cellStyle name="Date 2 131" xfId="3321" xr:uid="{00000000-0005-0000-0000-00005E0D0000}"/>
    <cellStyle name="Date 2 132" xfId="3322" xr:uid="{00000000-0005-0000-0000-00005F0D0000}"/>
    <cellStyle name="Date 2 133" xfId="3323" xr:uid="{00000000-0005-0000-0000-0000600D0000}"/>
    <cellStyle name="Date 2 134" xfId="3324" xr:uid="{00000000-0005-0000-0000-0000610D0000}"/>
    <cellStyle name="Date 2 135" xfId="3325" xr:uid="{00000000-0005-0000-0000-0000620D0000}"/>
    <cellStyle name="Date 2 136" xfId="3326" xr:uid="{00000000-0005-0000-0000-0000630D0000}"/>
    <cellStyle name="Date 2 137" xfId="3327" xr:uid="{00000000-0005-0000-0000-0000640D0000}"/>
    <cellStyle name="Date 2 138" xfId="3328" xr:uid="{00000000-0005-0000-0000-0000650D0000}"/>
    <cellStyle name="Date 2 139" xfId="3329" xr:uid="{00000000-0005-0000-0000-0000660D0000}"/>
    <cellStyle name="Date 2 14" xfId="3330" xr:uid="{00000000-0005-0000-0000-0000670D0000}"/>
    <cellStyle name="Date 2 140" xfId="3331" xr:uid="{00000000-0005-0000-0000-0000680D0000}"/>
    <cellStyle name="Date 2 141" xfId="3332" xr:uid="{00000000-0005-0000-0000-0000690D0000}"/>
    <cellStyle name="Date 2 142" xfId="3333" xr:uid="{00000000-0005-0000-0000-00006A0D0000}"/>
    <cellStyle name="Date 2 143" xfId="3334" xr:uid="{00000000-0005-0000-0000-00006B0D0000}"/>
    <cellStyle name="Date 2 144" xfId="3335" xr:uid="{00000000-0005-0000-0000-00006C0D0000}"/>
    <cellStyle name="Date 2 145" xfId="3336" xr:uid="{00000000-0005-0000-0000-00006D0D0000}"/>
    <cellStyle name="Date 2 146" xfId="3337" xr:uid="{00000000-0005-0000-0000-00006E0D0000}"/>
    <cellStyle name="Date 2 147" xfId="3338" xr:uid="{00000000-0005-0000-0000-00006F0D0000}"/>
    <cellStyle name="Date 2 148" xfId="3339" xr:uid="{00000000-0005-0000-0000-0000700D0000}"/>
    <cellStyle name="Date 2 149" xfId="3340" xr:uid="{00000000-0005-0000-0000-0000710D0000}"/>
    <cellStyle name="Date 2 15" xfId="3341" xr:uid="{00000000-0005-0000-0000-0000720D0000}"/>
    <cellStyle name="Date 2 150" xfId="3342" xr:uid="{00000000-0005-0000-0000-0000730D0000}"/>
    <cellStyle name="Date 2 151" xfId="3343" xr:uid="{00000000-0005-0000-0000-0000740D0000}"/>
    <cellStyle name="Date 2 152" xfId="3344" xr:uid="{00000000-0005-0000-0000-0000750D0000}"/>
    <cellStyle name="Date 2 153" xfId="3345" xr:uid="{00000000-0005-0000-0000-0000760D0000}"/>
    <cellStyle name="Date 2 154" xfId="3346" xr:uid="{00000000-0005-0000-0000-0000770D0000}"/>
    <cellStyle name="Date 2 155" xfId="3347" xr:uid="{00000000-0005-0000-0000-0000780D0000}"/>
    <cellStyle name="Date 2 156" xfId="3348" xr:uid="{00000000-0005-0000-0000-0000790D0000}"/>
    <cellStyle name="Date 2 157" xfId="3349" xr:uid="{00000000-0005-0000-0000-00007A0D0000}"/>
    <cellStyle name="Date 2 158" xfId="3350" xr:uid="{00000000-0005-0000-0000-00007B0D0000}"/>
    <cellStyle name="Date 2 159" xfId="3351" xr:uid="{00000000-0005-0000-0000-00007C0D0000}"/>
    <cellStyle name="Date 2 16" xfId="3352" xr:uid="{00000000-0005-0000-0000-00007D0D0000}"/>
    <cellStyle name="Date 2 160" xfId="3353" xr:uid="{00000000-0005-0000-0000-00007E0D0000}"/>
    <cellStyle name="Date 2 161" xfId="3354" xr:uid="{00000000-0005-0000-0000-00007F0D0000}"/>
    <cellStyle name="Date 2 162" xfId="3355" xr:uid="{00000000-0005-0000-0000-0000800D0000}"/>
    <cellStyle name="Date 2 163" xfId="3356" xr:uid="{00000000-0005-0000-0000-0000810D0000}"/>
    <cellStyle name="Date 2 164" xfId="3357" xr:uid="{00000000-0005-0000-0000-0000820D0000}"/>
    <cellStyle name="Date 2 165" xfId="3358" xr:uid="{00000000-0005-0000-0000-0000830D0000}"/>
    <cellStyle name="Date 2 166" xfId="3359" xr:uid="{00000000-0005-0000-0000-0000840D0000}"/>
    <cellStyle name="Date 2 167" xfId="3360" xr:uid="{00000000-0005-0000-0000-0000850D0000}"/>
    <cellStyle name="Date 2 168" xfId="3361" xr:uid="{00000000-0005-0000-0000-0000860D0000}"/>
    <cellStyle name="Date 2 169" xfId="3362" xr:uid="{00000000-0005-0000-0000-0000870D0000}"/>
    <cellStyle name="Date 2 17" xfId="3363" xr:uid="{00000000-0005-0000-0000-0000880D0000}"/>
    <cellStyle name="Date 2 170" xfId="3364" xr:uid="{00000000-0005-0000-0000-0000890D0000}"/>
    <cellStyle name="Date 2 171" xfId="3365" xr:uid="{00000000-0005-0000-0000-00008A0D0000}"/>
    <cellStyle name="Date 2 172" xfId="3366" xr:uid="{00000000-0005-0000-0000-00008B0D0000}"/>
    <cellStyle name="Date 2 173" xfId="3367" xr:uid="{00000000-0005-0000-0000-00008C0D0000}"/>
    <cellStyle name="Date 2 174" xfId="3368" xr:uid="{00000000-0005-0000-0000-00008D0D0000}"/>
    <cellStyle name="Date 2 175" xfId="3369" xr:uid="{00000000-0005-0000-0000-00008E0D0000}"/>
    <cellStyle name="Date 2 176" xfId="3370" xr:uid="{00000000-0005-0000-0000-00008F0D0000}"/>
    <cellStyle name="Date 2 177" xfId="3371" xr:uid="{00000000-0005-0000-0000-0000900D0000}"/>
    <cellStyle name="Date 2 178" xfId="3372" xr:uid="{00000000-0005-0000-0000-0000910D0000}"/>
    <cellStyle name="Date 2 179" xfId="3373" xr:uid="{00000000-0005-0000-0000-0000920D0000}"/>
    <cellStyle name="Date 2 18" xfId="3374" xr:uid="{00000000-0005-0000-0000-0000930D0000}"/>
    <cellStyle name="Date 2 180" xfId="3375" xr:uid="{00000000-0005-0000-0000-0000940D0000}"/>
    <cellStyle name="Date 2 181" xfId="3376" xr:uid="{00000000-0005-0000-0000-0000950D0000}"/>
    <cellStyle name="Date 2 182" xfId="3377" xr:uid="{00000000-0005-0000-0000-0000960D0000}"/>
    <cellStyle name="Date 2 183" xfId="3378" xr:uid="{00000000-0005-0000-0000-0000970D0000}"/>
    <cellStyle name="Date 2 184" xfId="3379" xr:uid="{00000000-0005-0000-0000-0000980D0000}"/>
    <cellStyle name="Date 2 185" xfId="3380" xr:uid="{00000000-0005-0000-0000-0000990D0000}"/>
    <cellStyle name="Date 2 186" xfId="3381" xr:uid="{00000000-0005-0000-0000-00009A0D0000}"/>
    <cellStyle name="Date 2 187" xfId="3382" xr:uid="{00000000-0005-0000-0000-00009B0D0000}"/>
    <cellStyle name="Date 2 188" xfId="3383" xr:uid="{00000000-0005-0000-0000-00009C0D0000}"/>
    <cellStyle name="Date 2 189" xfId="3384" xr:uid="{00000000-0005-0000-0000-00009D0D0000}"/>
    <cellStyle name="Date 2 19" xfId="3385" xr:uid="{00000000-0005-0000-0000-00009E0D0000}"/>
    <cellStyle name="Date 2 190" xfId="3386" xr:uid="{00000000-0005-0000-0000-00009F0D0000}"/>
    <cellStyle name="Date 2 191" xfId="3387" xr:uid="{00000000-0005-0000-0000-0000A00D0000}"/>
    <cellStyle name="Date 2 192" xfId="3388" xr:uid="{00000000-0005-0000-0000-0000A10D0000}"/>
    <cellStyle name="Date 2 193" xfId="3389" xr:uid="{00000000-0005-0000-0000-0000A20D0000}"/>
    <cellStyle name="Date 2 194" xfId="3390" xr:uid="{00000000-0005-0000-0000-0000A30D0000}"/>
    <cellStyle name="Date 2 195" xfId="3391" xr:uid="{00000000-0005-0000-0000-0000A40D0000}"/>
    <cellStyle name="Date 2 196" xfId="3392" xr:uid="{00000000-0005-0000-0000-0000A50D0000}"/>
    <cellStyle name="Date 2 197" xfId="3393" xr:uid="{00000000-0005-0000-0000-0000A60D0000}"/>
    <cellStyle name="Date 2 198" xfId="3394" xr:uid="{00000000-0005-0000-0000-0000A70D0000}"/>
    <cellStyle name="Date 2 199" xfId="3395" xr:uid="{00000000-0005-0000-0000-0000A80D0000}"/>
    <cellStyle name="Date 2 2" xfId="409" xr:uid="{00000000-0005-0000-0000-0000A90D0000}"/>
    <cellStyle name="Date 2 2 2" xfId="3396" xr:uid="{00000000-0005-0000-0000-0000AA0D0000}"/>
    <cellStyle name="Date 2 2 3" xfId="8854" xr:uid="{00000000-0005-0000-0000-0000AB0D0000}"/>
    <cellStyle name="Date 2 20" xfId="3397" xr:uid="{00000000-0005-0000-0000-0000AC0D0000}"/>
    <cellStyle name="Date 2 200" xfId="3398" xr:uid="{00000000-0005-0000-0000-0000AD0D0000}"/>
    <cellStyle name="Date 2 201" xfId="3399" xr:uid="{00000000-0005-0000-0000-0000AE0D0000}"/>
    <cellStyle name="Date 2 202" xfId="3400" xr:uid="{00000000-0005-0000-0000-0000AF0D0000}"/>
    <cellStyle name="Date 2 203" xfId="3401" xr:uid="{00000000-0005-0000-0000-0000B00D0000}"/>
    <cellStyle name="Date 2 204" xfId="3402" xr:uid="{00000000-0005-0000-0000-0000B10D0000}"/>
    <cellStyle name="Date 2 205" xfId="3403" xr:uid="{00000000-0005-0000-0000-0000B20D0000}"/>
    <cellStyle name="Date 2 206" xfId="3404" xr:uid="{00000000-0005-0000-0000-0000B30D0000}"/>
    <cellStyle name="Date 2 207" xfId="3405" xr:uid="{00000000-0005-0000-0000-0000B40D0000}"/>
    <cellStyle name="Date 2 208" xfId="3406" xr:uid="{00000000-0005-0000-0000-0000B50D0000}"/>
    <cellStyle name="Date 2 209" xfId="3407" xr:uid="{00000000-0005-0000-0000-0000B60D0000}"/>
    <cellStyle name="Date 2 21" xfId="3408" xr:uid="{00000000-0005-0000-0000-0000B70D0000}"/>
    <cellStyle name="Date 2 210" xfId="3409" xr:uid="{00000000-0005-0000-0000-0000B80D0000}"/>
    <cellStyle name="Date 2 211" xfId="3410" xr:uid="{00000000-0005-0000-0000-0000B90D0000}"/>
    <cellStyle name="Date 2 212" xfId="3411" xr:uid="{00000000-0005-0000-0000-0000BA0D0000}"/>
    <cellStyle name="Date 2 213" xfId="3412" xr:uid="{00000000-0005-0000-0000-0000BB0D0000}"/>
    <cellStyle name="Date 2 214" xfId="3413" xr:uid="{00000000-0005-0000-0000-0000BC0D0000}"/>
    <cellStyle name="Date 2 215" xfId="3414" xr:uid="{00000000-0005-0000-0000-0000BD0D0000}"/>
    <cellStyle name="Date 2 216" xfId="3415" xr:uid="{00000000-0005-0000-0000-0000BE0D0000}"/>
    <cellStyle name="Date 2 217" xfId="3416" xr:uid="{00000000-0005-0000-0000-0000BF0D0000}"/>
    <cellStyle name="Date 2 218" xfId="3417" xr:uid="{00000000-0005-0000-0000-0000C00D0000}"/>
    <cellStyle name="Date 2 219" xfId="3418" xr:uid="{00000000-0005-0000-0000-0000C10D0000}"/>
    <cellStyle name="Date 2 22" xfId="3419" xr:uid="{00000000-0005-0000-0000-0000C20D0000}"/>
    <cellStyle name="Date 2 220" xfId="3420" xr:uid="{00000000-0005-0000-0000-0000C30D0000}"/>
    <cellStyle name="Date 2 221" xfId="3421" xr:uid="{00000000-0005-0000-0000-0000C40D0000}"/>
    <cellStyle name="Date 2 222" xfId="3422" xr:uid="{00000000-0005-0000-0000-0000C50D0000}"/>
    <cellStyle name="Date 2 223" xfId="3423" xr:uid="{00000000-0005-0000-0000-0000C60D0000}"/>
    <cellStyle name="Date 2 224" xfId="3424" xr:uid="{00000000-0005-0000-0000-0000C70D0000}"/>
    <cellStyle name="Date 2 225" xfId="3425" xr:uid="{00000000-0005-0000-0000-0000C80D0000}"/>
    <cellStyle name="Date 2 226" xfId="3426" xr:uid="{00000000-0005-0000-0000-0000C90D0000}"/>
    <cellStyle name="Date 2 227" xfId="3427" xr:uid="{00000000-0005-0000-0000-0000CA0D0000}"/>
    <cellStyle name="Date 2 228" xfId="3428" xr:uid="{00000000-0005-0000-0000-0000CB0D0000}"/>
    <cellStyle name="Date 2 229" xfId="3429" xr:uid="{00000000-0005-0000-0000-0000CC0D0000}"/>
    <cellStyle name="Date 2 23" xfId="3430" xr:uid="{00000000-0005-0000-0000-0000CD0D0000}"/>
    <cellStyle name="Date 2 230" xfId="3431" xr:uid="{00000000-0005-0000-0000-0000CE0D0000}"/>
    <cellStyle name="Date 2 231" xfId="3432" xr:uid="{00000000-0005-0000-0000-0000CF0D0000}"/>
    <cellStyle name="Date 2 232" xfId="3433" xr:uid="{00000000-0005-0000-0000-0000D00D0000}"/>
    <cellStyle name="Date 2 233" xfId="3434" xr:uid="{00000000-0005-0000-0000-0000D10D0000}"/>
    <cellStyle name="Date 2 234" xfId="3435" xr:uid="{00000000-0005-0000-0000-0000D20D0000}"/>
    <cellStyle name="Date 2 235" xfId="3436" xr:uid="{00000000-0005-0000-0000-0000D30D0000}"/>
    <cellStyle name="Date 2 236" xfId="3437" xr:uid="{00000000-0005-0000-0000-0000D40D0000}"/>
    <cellStyle name="Date 2 237" xfId="3438" xr:uid="{00000000-0005-0000-0000-0000D50D0000}"/>
    <cellStyle name="Date 2 238" xfId="3439" xr:uid="{00000000-0005-0000-0000-0000D60D0000}"/>
    <cellStyle name="Date 2 239" xfId="3440" xr:uid="{00000000-0005-0000-0000-0000D70D0000}"/>
    <cellStyle name="Date 2 24" xfId="3441" xr:uid="{00000000-0005-0000-0000-0000D80D0000}"/>
    <cellStyle name="Date 2 240" xfId="3442" xr:uid="{00000000-0005-0000-0000-0000D90D0000}"/>
    <cellStyle name="Date 2 241" xfId="3443" xr:uid="{00000000-0005-0000-0000-0000DA0D0000}"/>
    <cellStyle name="Date 2 242" xfId="3444" xr:uid="{00000000-0005-0000-0000-0000DB0D0000}"/>
    <cellStyle name="Date 2 243" xfId="3445" xr:uid="{00000000-0005-0000-0000-0000DC0D0000}"/>
    <cellStyle name="Date 2 244" xfId="3446" xr:uid="{00000000-0005-0000-0000-0000DD0D0000}"/>
    <cellStyle name="Date 2 245" xfId="3447" xr:uid="{00000000-0005-0000-0000-0000DE0D0000}"/>
    <cellStyle name="Date 2 246" xfId="3448" xr:uid="{00000000-0005-0000-0000-0000DF0D0000}"/>
    <cellStyle name="Date 2 247" xfId="3449" xr:uid="{00000000-0005-0000-0000-0000E00D0000}"/>
    <cellStyle name="Date 2 248" xfId="3450" xr:uid="{00000000-0005-0000-0000-0000E10D0000}"/>
    <cellStyle name="Date 2 249" xfId="3451" xr:uid="{00000000-0005-0000-0000-0000E20D0000}"/>
    <cellStyle name="Date 2 25" xfId="3452" xr:uid="{00000000-0005-0000-0000-0000E30D0000}"/>
    <cellStyle name="Date 2 250" xfId="3453" xr:uid="{00000000-0005-0000-0000-0000E40D0000}"/>
    <cellStyle name="Date 2 251" xfId="3454" xr:uid="{00000000-0005-0000-0000-0000E50D0000}"/>
    <cellStyle name="Date 2 252" xfId="3455" xr:uid="{00000000-0005-0000-0000-0000E60D0000}"/>
    <cellStyle name="Date 2 253" xfId="3456" xr:uid="{00000000-0005-0000-0000-0000E70D0000}"/>
    <cellStyle name="Date 2 254" xfId="3457" xr:uid="{00000000-0005-0000-0000-0000E80D0000}"/>
    <cellStyle name="Date 2 255" xfId="3458" xr:uid="{00000000-0005-0000-0000-0000E90D0000}"/>
    <cellStyle name="Date 2 256" xfId="3285" xr:uid="{00000000-0005-0000-0000-0000EA0D0000}"/>
    <cellStyle name="Date 2 26" xfId="3459" xr:uid="{00000000-0005-0000-0000-0000EB0D0000}"/>
    <cellStyle name="Date 2 27" xfId="3460" xr:uid="{00000000-0005-0000-0000-0000EC0D0000}"/>
    <cellStyle name="Date 2 28" xfId="3461" xr:uid="{00000000-0005-0000-0000-0000ED0D0000}"/>
    <cellStyle name="Date 2 29" xfId="3462" xr:uid="{00000000-0005-0000-0000-0000EE0D0000}"/>
    <cellStyle name="Date 2 3" xfId="3463" xr:uid="{00000000-0005-0000-0000-0000EF0D0000}"/>
    <cellStyle name="Date 2 30" xfId="3464" xr:uid="{00000000-0005-0000-0000-0000F00D0000}"/>
    <cellStyle name="Date 2 31" xfId="3465" xr:uid="{00000000-0005-0000-0000-0000F10D0000}"/>
    <cellStyle name="Date 2 32" xfId="3466" xr:uid="{00000000-0005-0000-0000-0000F20D0000}"/>
    <cellStyle name="Date 2 33" xfId="3467" xr:uid="{00000000-0005-0000-0000-0000F30D0000}"/>
    <cellStyle name="Date 2 34" xfId="3468" xr:uid="{00000000-0005-0000-0000-0000F40D0000}"/>
    <cellStyle name="Date 2 35" xfId="3469" xr:uid="{00000000-0005-0000-0000-0000F50D0000}"/>
    <cellStyle name="Date 2 36" xfId="3470" xr:uid="{00000000-0005-0000-0000-0000F60D0000}"/>
    <cellStyle name="Date 2 37" xfId="3471" xr:uid="{00000000-0005-0000-0000-0000F70D0000}"/>
    <cellStyle name="Date 2 38" xfId="3472" xr:uid="{00000000-0005-0000-0000-0000F80D0000}"/>
    <cellStyle name="Date 2 39" xfId="3473" xr:uid="{00000000-0005-0000-0000-0000F90D0000}"/>
    <cellStyle name="Date 2 4" xfId="3474" xr:uid="{00000000-0005-0000-0000-0000FA0D0000}"/>
    <cellStyle name="Date 2 40" xfId="3475" xr:uid="{00000000-0005-0000-0000-0000FB0D0000}"/>
    <cellStyle name="Date 2 41" xfId="3476" xr:uid="{00000000-0005-0000-0000-0000FC0D0000}"/>
    <cellStyle name="Date 2 42" xfId="3477" xr:uid="{00000000-0005-0000-0000-0000FD0D0000}"/>
    <cellStyle name="Date 2 43" xfId="3478" xr:uid="{00000000-0005-0000-0000-0000FE0D0000}"/>
    <cellStyle name="Date 2 44" xfId="3479" xr:uid="{00000000-0005-0000-0000-0000FF0D0000}"/>
    <cellStyle name="Date 2 45" xfId="3480" xr:uid="{00000000-0005-0000-0000-0000000E0000}"/>
    <cellStyle name="Date 2 46" xfId="3481" xr:uid="{00000000-0005-0000-0000-0000010E0000}"/>
    <cellStyle name="Date 2 47" xfId="3482" xr:uid="{00000000-0005-0000-0000-0000020E0000}"/>
    <cellStyle name="Date 2 48" xfId="3483" xr:uid="{00000000-0005-0000-0000-0000030E0000}"/>
    <cellStyle name="Date 2 49" xfId="3484" xr:uid="{00000000-0005-0000-0000-0000040E0000}"/>
    <cellStyle name="Date 2 5" xfId="3485" xr:uid="{00000000-0005-0000-0000-0000050E0000}"/>
    <cellStyle name="Date 2 50" xfId="3486" xr:uid="{00000000-0005-0000-0000-0000060E0000}"/>
    <cellStyle name="Date 2 51" xfId="3487" xr:uid="{00000000-0005-0000-0000-0000070E0000}"/>
    <cellStyle name="Date 2 52" xfId="3488" xr:uid="{00000000-0005-0000-0000-0000080E0000}"/>
    <cellStyle name="Date 2 53" xfId="3489" xr:uid="{00000000-0005-0000-0000-0000090E0000}"/>
    <cellStyle name="Date 2 54" xfId="3490" xr:uid="{00000000-0005-0000-0000-00000A0E0000}"/>
    <cellStyle name="Date 2 55" xfId="3491" xr:uid="{00000000-0005-0000-0000-00000B0E0000}"/>
    <cellStyle name="Date 2 56" xfId="3492" xr:uid="{00000000-0005-0000-0000-00000C0E0000}"/>
    <cellStyle name="Date 2 57" xfId="3493" xr:uid="{00000000-0005-0000-0000-00000D0E0000}"/>
    <cellStyle name="Date 2 58" xfId="3494" xr:uid="{00000000-0005-0000-0000-00000E0E0000}"/>
    <cellStyle name="Date 2 59" xfId="3495" xr:uid="{00000000-0005-0000-0000-00000F0E0000}"/>
    <cellStyle name="Date 2 6" xfId="3496" xr:uid="{00000000-0005-0000-0000-0000100E0000}"/>
    <cellStyle name="Date 2 60" xfId="3497" xr:uid="{00000000-0005-0000-0000-0000110E0000}"/>
    <cellStyle name="Date 2 61" xfId="3498" xr:uid="{00000000-0005-0000-0000-0000120E0000}"/>
    <cellStyle name="Date 2 62" xfId="3499" xr:uid="{00000000-0005-0000-0000-0000130E0000}"/>
    <cellStyle name="Date 2 63" xfId="3500" xr:uid="{00000000-0005-0000-0000-0000140E0000}"/>
    <cellStyle name="Date 2 64" xfId="3501" xr:uid="{00000000-0005-0000-0000-0000150E0000}"/>
    <cellStyle name="Date 2 65" xfId="3502" xr:uid="{00000000-0005-0000-0000-0000160E0000}"/>
    <cellStyle name="Date 2 66" xfId="3503" xr:uid="{00000000-0005-0000-0000-0000170E0000}"/>
    <cellStyle name="Date 2 67" xfId="3504" xr:uid="{00000000-0005-0000-0000-0000180E0000}"/>
    <cellStyle name="Date 2 68" xfId="3505" xr:uid="{00000000-0005-0000-0000-0000190E0000}"/>
    <cellStyle name="Date 2 69" xfId="3506" xr:uid="{00000000-0005-0000-0000-00001A0E0000}"/>
    <cellStyle name="Date 2 7" xfId="3507" xr:uid="{00000000-0005-0000-0000-00001B0E0000}"/>
    <cellStyle name="Date 2 70" xfId="3508" xr:uid="{00000000-0005-0000-0000-00001C0E0000}"/>
    <cellStyle name="Date 2 71" xfId="3509" xr:uid="{00000000-0005-0000-0000-00001D0E0000}"/>
    <cellStyle name="Date 2 72" xfId="3510" xr:uid="{00000000-0005-0000-0000-00001E0E0000}"/>
    <cellStyle name="Date 2 73" xfId="3511" xr:uid="{00000000-0005-0000-0000-00001F0E0000}"/>
    <cellStyle name="Date 2 74" xfId="3512" xr:uid="{00000000-0005-0000-0000-0000200E0000}"/>
    <cellStyle name="Date 2 75" xfId="3513" xr:uid="{00000000-0005-0000-0000-0000210E0000}"/>
    <cellStyle name="Date 2 76" xfId="3514" xr:uid="{00000000-0005-0000-0000-0000220E0000}"/>
    <cellStyle name="Date 2 77" xfId="3515" xr:uid="{00000000-0005-0000-0000-0000230E0000}"/>
    <cellStyle name="Date 2 78" xfId="3516" xr:uid="{00000000-0005-0000-0000-0000240E0000}"/>
    <cellStyle name="Date 2 79" xfId="3517" xr:uid="{00000000-0005-0000-0000-0000250E0000}"/>
    <cellStyle name="Date 2 8" xfId="3518" xr:uid="{00000000-0005-0000-0000-0000260E0000}"/>
    <cellStyle name="Date 2 80" xfId="3519" xr:uid="{00000000-0005-0000-0000-0000270E0000}"/>
    <cellStyle name="Date 2 81" xfId="3520" xr:uid="{00000000-0005-0000-0000-0000280E0000}"/>
    <cellStyle name="Date 2 82" xfId="3521" xr:uid="{00000000-0005-0000-0000-0000290E0000}"/>
    <cellStyle name="Date 2 83" xfId="3522" xr:uid="{00000000-0005-0000-0000-00002A0E0000}"/>
    <cellStyle name="Date 2 84" xfId="3523" xr:uid="{00000000-0005-0000-0000-00002B0E0000}"/>
    <cellStyle name="Date 2 85" xfId="3524" xr:uid="{00000000-0005-0000-0000-00002C0E0000}"/>
    <cellStyle name="Date 2 86" xfId="3525" xr:uid="{00000000-0005-0000-0000-00002D0E0000}"/>
    <cellStyle name="Date 2 87" xfId="3526" xr:uid="{00000000-0005-0000-0000-00002E0E0000}"/>
    <cellStyle name="Date 2 88" xfId="3527" xr:uid="{00000000-0005-0000-0000-00002F0E0000}"/>
    <cellStyle name="Date 2 89" xfId="3528" xr:uid="{00000000-0005-0000-0000-0000300E0000}"/>
    <cellStyle name="Date 2 9" xfId="3529" xr:uid="{00000000-0005-0000-0000-0000310E0000}"/>
    <cellStyle name="Date 2 90" xfId="3530" xr:uid="{00000000-0005-0000-0000-0000320E0000}"/>
    <cellStyle name="Date 2 91" xfId="3531" xr:uid="{00000000-0005-0000-0000-0000330E0000}"/>
    <cellStyle name="Date 2 92" xfId="3532" xr:uid="{00000000-0005-0000-0000-0000340E0000}"/>
    <cellStyle name="Date 2 93" xfId="3533" xr:uid="{00000000-0005-0000-0000-0000350E0000}"/>
    <cellStyle name="Date 2 94" xfId="3534" xr:uid="{00000000-0005-0000-0000-0000360E0000}"/>
    <cellStyle name="Date 2 95" xfId="3535" xr:uid="{00000000-0005-0000-0000-0000370E0000}"/>
    <cellStyle name="Date 2 96" xfId="3536" xr:uid="{00000000-0005-0000-0000-0000380E0000}"/>
    <cellStyle name="Date 2 97" xfId="3537" xr:uid="{00000000-0005-0000-0000-0000390E0000}"/>
    <cellStyle name="Date 2 98" xfId="3538" xr:uid="{00000000-0005-0000-0000-00003A0E0000}"/>
    <cellStyle name="Date 2 99" xfId="3539" xr:uid="{00000000-0005-0000-0000-00003B0E0000}"/>
    <cellStyle name="Date 20" xfId="410" xr:uid="{00000000-0005-0000-0000-00003C0E0000}"/>
    <cellStyle name="Date 20 2" xfId="411" xr:uid="{00000000-0005-0000-0000-00003D0E0000}"/>
    <cellStyle name="Date 20 2 2" xfId="8855" xr:uid="{00000000-0005-0000-0000-00003E0E0000}"/>
    <cellStyle name="Date 20 3" xfId="3540" xr:uid="{00000000-0005-0000-0000-00003F0E0000}"/>
    <cellStyle name="Date 21" xfId="412" xr:uid="{00000000-0005-0000-0000-0000400E0000}"/>
    <cellStyle name="Date 21 2" xfId="413" xr:uid="{00000000-0005-0000-0000-0000410E0000}"/>
    <cellStyle name="Date 21 2 2" xfId="8856" xr:uid="{00000000-0005-0000-0000-0000420E0000}"/>
    <cellStyle name="Date 21 3" xfId="3541" xr:uid="{00000000-0005-0000-0000-0000430E0000}"/>
    <cellStyle name="Date 22" xfId="414" xr:uid="{00000000-0005-0000-0000-0000440E0000}"/>
    <cellStyle name="Date 22 2" xfId="415" xr:uid="{00000000-0005-0000-0000-0000450E0000}"/>
    <cellStyle name="Date 22 2 2" xfId="8857" xr:uid="{00000000-0005-0000-0000-0000460E0000}"/>
    <cellStyle name="Date 22 3" xfId="3542" xr:uid="{00000000-0005-0000-0000-0000470E0000}"/>
    <cellStyle name="Date 23" xfId="416" xr:uid="{00000000-0005-0000-0000-0000480E0000}"/>
    <cellStyle name="Date 23 2" xfId="417" xr:uid="{00000000-0005-0000-0000-0000490E0000}"/>
    <cellStyle name="Date 23 2 2" xfId="8858" xr:uid="{00000000-0005-0000-0000-00004A0E0000}"/>
    <cellStyle name="Date 23 3" xfId="3543" xr:uid="{00000000-0005-0000-0000-00004B0E0000}"/>
    <cellStyle name="Date 24" xfId="418" xr:uid="{00000000-0005-0000-0000-00004C0E0000}"/>
    <cellStyle name="Date 24 2" xfId="419" xr:uid="{00000000-0005-0000-0000-00004D0E0000}"/>
    <cellStyle name="Date 24 2 2" xfId="8859" xr:uid="{00000000-0005-0000-0000-00004E0E0000}"/>
    <cellStyle name="Date 24 3" xfId="3544" xr:uid="{00000000-0005-0000-0000-00004F0E0000}"/>
    <cellStyle name="Date 25" xfId="420" xr:uid="{00000000-0005-0000-0000-0000500E0000}"/>
    <cellStyle name="Date 25 2" xfId="421" xr:uid="{00000000-0005-0000-0000-0000510E0000}"/>
    <cellStyle name="Date 25 2 2" xfId="8860" xr:uid="{00000000-0005-0000-0000-0000520E0000}"/>
    <cellStyle name="Date 25 3" xfId="3545" xr:uid="{00000000-0005-0000-0000-0000530E0000}"/>
    <cellStyle name="Date 26" xfId="422" xr:uid="{00000000-0005-0000-0000-0000540E0000}"/>
    <cellStyle name="Date 26 2" xfId="423" xr:uid="{00000000-0005-0000-0000-0000550E0000}"/>
    <cellStyle name="Date 26 2 2" xfId="8861" xr:uid="{00000000-0005-0000-0000-0000560E0000}"/>
    <cellStyle name="Date 26 3" xfId="3546" xr:uid="{00000000-0005-0000-0000-0000570E0000}"/>
    <cellStyle name="Date 27" xfId="424" xr:uid="{00000000-0005-0000-0000-0000580E0000}"/>
    <cellStyle name="Date 27 2" xfId="425" xr:uid="{00000000-0005-0000-0000-0000590E0000}"/>
    <cellStyle name="Date 27 2 2" xfId="8862" xr:uid="{00000000-0005-0000-0000-00005A0E0000}"/>
    <cellStyle name="Date 27 3" xfId="3547" xr:uid="{00000000-0005-0000-0000-00005B0E0000}"/>
    <cellStyle name="Date 28" xfId="426" xr:uid="{00000000-0005-0000-0000-00005C0E0000}"/>
    <cellStyle name="Date 28 2" xfId="427" xr:uid="{00000000-0005-0000-0000-00005D0E0000}"/>
    <cellStyle name="Date 28 2 2" xfId="8863" xr:uid="{00000000-0005-0000-0000-00005E0E0000}"/>
    <cellStyle name="Date 28 3" xfId="3548" xr:uid="{00000000-0005-0000-0000-00005F0E0000}"/>
    <cellStyle name="Date 29" xfId="428" xr:uid="{00000000-0005-0000-0000-0000600E0000}"/>
    <cellStyle name="Date 29 2" xfId="429" xr:uid="{00000000-0005-0000-0000-0000610E0000}"/>
    <cellStyle name="Date 29 2 2" xfId="8864" xr:uid="{00000000-0005-0000-0000-0000620E0000}"/>
    <cellStyle name="Date 29 3" xfId="3549" xr:uid="{00000000-0005-0000-0000-0000630E0000}"/>
    <cellStyle name="Date 3" xfId="430" xr:uid="{00000000-0005-0000-0000-0000640E0000}"/>
    <cellStyle name="Date 3 2" xfId="431" xr:uid="{00000000-0005-0000-0000-0000650E0000}"/>
    <cellStyle name="Date 3 2 2" xfId="8865" xr:uid="{00000000-0005-0000-0000-0000660E0000}"/>
    <cellStyle name="Date 3 3" xfId="3550" xr:uid="{00000000-0005-0000-0000-0000670E0000}"/>
    <cellStyle name="Date 30" xfId="432" xr:uid="{00000000-0005-0000-0000-0000680E0000}"/>
    <cellStyle name="Date 30 2" xfId="433" xr:uid="{00000000-0005-0000-0000-0000690E0000}"/>
    <cellStyle name="Date 30 2 2" xfId="8866" xr:uid="{00000000-0005-0000-0000-00006A0E0000}"/>
    <cellStyle name="Date 30 3" xfId="3551" xr:uid="{00000000-0005-0000-0000-00006B0E0000}"/>
    <cellStyle name="Date 31" xfId="434" xr:uid="{00000000-0005-0000-0000-00006C0E0000}"/>
    <cellStyle name="Date 31 2" xfId="435" xr:uid="{00000000-0005-0000-0000-00006D0E0000}"/>
    <cellStyle name="Date 31 2 2" xfId="8867" xr:uid="{00000000-0005-0000-0000-00006E0E0000}"/>
    <cellStyle name="Date 31 3" xfId="3552" xr:uid="{00000000-0005-0000-0000-00006F0E0000}"/>
    <cellStyle name="Date 32" xfId="436" xr:uid="{00000000-0005-0000-0000-0000700E0000}"/>
    <cellStyle name="Date 32 2" xfId="437" xr:uid="{00000000-0005-0000-0000-0000710E0000}"/>
    <cellStyle name="Date 32 2 2" xfId="8868" xr:uid="{00000000-0005-0000-0000-0000720E0000}"/>
    <cellStyle name="Date 32 3" xfId="3553" xr:uid="{00000000-0005-0000-0000-0000730E0000}"/>
    <cellStyle name="Date 33" xfId="438" xr:uid="{00000000-0005-0000-0000-0000740E0000}"/>
    <cellStyle name="Date 33 2" xfId="439" xr:uid="{00000000-0005-0000-0000-0000750E0000}"/>
    <cellStyle name="Date 33 2 2" xfId="8869" xr:uid="{00000000-0005-0000-0000-0000760E0000}"/>
    <cellStyle name="Date 33 3" xfId="3554" xr:uid="{00000000-0005-0000-0000-0000770E0000}"/>
    <cellStyle name="Date 34" xfId="440" xr:uid="{00000000-0005-0000-0000-0000780E0000}"/>
    <cellStyle name="Date 34 2" xfId="441" xr:uid="{00000000-0005-0000-0000-0000790E0000}"/>
    <cellStyle name="Date 34 2 2" xfId="8870" xr:uid="{00000000-0005-0000-0000-00007A0E0000}"/>
    <cellStyle name="Date 34 3" xfId="3555" xr:uid="{00000000-0005-0000-0000-00007B0E0000}"/>
    <cellStyle name="Date 35" xfId="442" xr:uid="{00000000-0005-0000-0000-00007C0E0000}"/>
    <cellStyle name="Date 35 2" xfId="443" xr:uid="{00000000-0005-0000-0000-00007D0E0000}"/>
    <cellStyle name="Date 35 2 2" xfId="8871" xr:uid="{00000000-0005-0000-0000-00007E0E0000}"/>
    <cellStyle name="Date 35 3" xfId="3556" xr:uid="{00000000-0005-0000-0000-00007F0E0000}"/>
    <cellStyle name="Date 36" xfId="444" xr:uid="{00000000-0005-0000-0000-0000800E0000}"/>
    <cellStyle name="Date 36 2" xfId="445" xr:uid="{00000000-0005-0000-0000-0000810E0000}"/>
    <cellStyle name="Date 36 2 2" xfId="8872" xr:uid="{00000000-0005-0000-0000-0000820E0000}"/>
    <cellStyle name="Date 36 3" xfId="3557" xr:uid="{00000000-0005-0000-0000-0000830E0000}"/>
    <cellStyle name="Date 37" xfId="446" xr:uid="{00000000-0005-0000-0000-0000840E0000}"/>
    <cellStyle name="Date 37 2" xfId="447" xr:uid="{00000000-0005-0000-0000-0000850E0000}"/>
    <cellStyle name="Date 37 2 2" xfId="8873" xr:uid="{00000000-0005-0000-0000-0000860E0000}"/>
    <cellStyle name="Date 37 3" xfId="3558" xr:uid="{00000000-0005-0000-0000-0000870E0000}"/>
    <cellStyle name="Date 38" xfId="448" xr:uid="{00000000-0005-0000-0000-0000880E0000}"/>
    <cellStyle name="Date 38 2" xfId="449" xr:uid="{00000000-0005-0000-0000-0000890E0000}"/>
    <cellStyle name="Date 38 2 2" xfId="8874" xr:uid="{00000000-0005-0000-0000-00008A0E0000}"/>
    <cellStyle name="Date 38 3" xfId="3559" xr:uid="{00000000-0005-0000-0000-00008B0E0000}"/>
    <cellStyle name="Date 39" xfId="450" xr:uid="{00000000-0005-0000-0000-00008C0E0000}"/>
    <cellStyle name="Date 39 2" xfId="451" xr:uid="{00000000-0005-0000-0000-00008D0E0000}"/>
    <cellStyle name="Date 39 2 2" xfId="8875" xr:uid="{00000000-0005-0000-0000-00008E0E0000}"/>
    <cellStyle name="Date 39 3" xfId="3560" xr:uid="{00000000-0005-0000-0000-00008F0E0000}"/>
    <cellStyle name="Date 4" xfId="452" xr:uid="{00000000-0005-0000-0000-0000900E0000}"/>
    <cellStyle name="Date 4 2" xfId="453" xr:uid="{00000000-0005-0000-0000-0000910E0000}"/>
    <cellStyle name="Date 4 2 2" xfId="8876" xr:uid="{00000000-0005-0000-0000-0000920E0000}"/>
    <cellStyle name="Date 4 3" xfId="3561" xr:uid="{00000000-0005-0000-0000-0000930E0000}"/>
    <cellStyle name="Date 40" xfId="454" xr:uid="{00000000-0005-0000-0000-0000940E0000}"/>
    <cellStyle name="Date 40 2" xfId="455" xr:uid="{00000000-0005-0000-0000-0000950E0000}"/>
    <cellStyle name="Date 40 2 2" xfId="8877" xr:uid="{00000000-0005-0000-0000-0000960E0000}"/>
    <cellStyle name="Date 40 3" xfId="3562" xr:uid="{00000000-0005-0000-0000-0000970E0000}"/>
    <cellStyle name="Date 41" xfId="456" xr:uid="{00000000-0005-0000-0000-0000980E0000}"/>
    <cellStyle name="Date 41 2" xfId="457" xr:uid="{00000000-0005-0000-0000-0000990E0000}"/>
    <cellStyle name="Date 41 2 2" xfId="8878" xr:uid="{00000000-0005-0000-0000-00009A0E0000}"/>
    <cellStyle name="Date 41 3" xfId="3563" xr:uid="{00000000-0005-0000-0000-00009B0E0000}"/>
    <cellStyle name="Date 42" xfId="458" xr:uid="{00000000-0005-0000-0000-00009C0E0000}"/>
    <cellStyle name="Date 42 2" xfId="459" xr:uid="{00000000-0005-0000-0000-00009D0E0000}"/>
    <cellStyle name="Date 42 2 2" xfId="8879" xr:uid="{00000000-0005-0000-0000-00009E0E0000}"/>
    <cellStyle name="Date 42 3" xfId="3564" xr:uid="{00000000-0005-0000-0000-00009F0E0000}"/>
    <cellStyle name="Date 43" xfId="460" xr:uid="{00000000-0005-0000-0000-0000A00E0000}"/>
    <cellStyle name="Date 43 2" xfId="461" xr:uid="{00000000-0005-0000-0000-0000A10E0000}"/>
    <cellStyle name="Date 43 2 2" xfId="8880" xr:uid="{00000000-0005-0000-0000-0000A20E0000}"/>
    <cellStyle name="Date 43 3" xfId="3565" xr:uid="{00000000-0005-0000-0000-0000A30E0000}"/>
    <cellStyle name="Date 44" xfId="462" xr:uid="{00000000-0005-0000-0000-0000A40E0000}"/>
    <cellStyle name="Date 44 2" xfId="3566" xr:uid="{00000000-0005-0000-0000-0000A50E0000}"/>
    <cellStyle name="Date 44 3" xfId="8881" xr:uid="{00000000-0005-0000-0000-0000A60E0000}"/>
    <cellStyle name="Date 45" xfId="3567" xr:uid="{00000000-0005-0000-0000-0000A70E0000}"/>
    <cellStyle name="Date 46" xfId="3568" xr:uid="{00000000-0005-0000-0000-0000A80E0000}"/>
    <cellStyle name="Date 47" xfId="3262" xr:uid="{00000000-0005-0000-0000-0000A90E0000}"/>
    <cellStyle name="Date 48" xfId="363" xr:uid="{00000000-0005-0000-0000-0000AA0E0000}"/>
    <cellStyle name="Date 49" xfId="60" xr:uid="{00000000-0005-0000-0000-0000AB0E0000}"/>
    <cellStyle name="Date 5" xfId="463" xr:uid="{00000000-0005-0000-0000-0000AC0E0000}"/>
    <cellStyle name="Date 5 2" xfId="464" xr:uid="{00000000-0005-0000-0000-0000AD0E0000}"/>
    <cellStyle name="Date 5 2 2" xfId="8882" xr:uid="{00000000-0005-0000-0000-0000AE0E0000}"/>
    <cellStyle name="Date 5 3" xfId="3569" xr:uid="{00000000-0005-0000-0000-0000AF0E0000}"/>
    <cellStyle name="Date 6" xfId="465" xr:uid="{00000000-0005-0000-0000-0000B00E0000}"/>
    <cellStyle name="Date 6 2" xfId="466" xr:uid="{00000000-0005-0000-0000-0000B10E0000}"/>
    <cellStyle name="Date 6 2 2" xfId="8883" xr:uid="{00000000-0005-0000-0000-0000B20E0000}"/>
    <cellStyle name="Date 6 3" xfId="3570" xr:uid="{00000000-0005-0000-0000-0000B30E0000}"/>
    <cellStyle name="Date 7" xfId="467" xr:uid="{00000000-0005-0000-0000-0000B40E0000}"/>
    <cellStyle name="Date 7 2" xfId="468" xr:uid="{00000000-0005-0000-0000-0000B50E0000}"/>
    <cellStyle name="Date 7 2 2" xfId="8884" xr:uid="{00000000-0005-0000-0000-0000B60E0000}"/>
    <cellStyle name="Date 7 3" xfId="3571" xr:uid="{00000000-0005-0000-0000-0000B70E0000}"/>
    <cellStyle name="Date 8" xfId="469" xr:uid="{00000000-0005-0000-0000-0000B80E0000}"/>
    <cellStyle name="Date 8 2" xfId="470" xr:uid="{00000000-0005-0000-0000-0000B90E0000}"/>
    <cellStyle name="Date 8 2 2" xfId="8885" xr:uid="{00000000-0005-0000-0000-0000BA0E0000}"/>
    <cellStyle name="Date 8 3" xfId="3572" xr:uid="{00000000-0005-0000-0000-0000BB0E0000}"/>
    <cellStyle name="Date 9" xfId="471" xr:uid="{00000000-0005-0000-0000-0000BC0E0000}"/>
    <cellStyle name="Date 9 2" xfId="472" xr:uid="{00000000-0005-0000-0000-0000BD0E0000}"/>
    <cellStyle name="Date 9 2 2" xfId="8886" xr:uid="{00000000-0005-0000-0000-0000BE0E0000}"/>
    <cellStyle name="Date 9 3" xfId="3573" xr:uid="{00000000-0005-0000-0000-0000BF0E0000}"/>
    <cellStyle name="Explanatory Text" xfId="37" builtinId="53" customBuiltin="1"/>
    <cellStyle name="Explanatory Text 10" xfId="3574" xr:uid="{00000000-0005-0000-0000-0000C10E0000}"/>
    <cellStyle name="Explanatory Text 10 2" xfId="8294" xr:uid="{00000000-0005-0000-0000-0000C20E0000}"/>
    <cellStyle name="Explanatory Text 10 3" xfId="7437" xr:uid="{00000000-0005-0000-0000-0000C30E0000}"/>
    <cellStyle name="Explanatory Text 11" xfId="3575" xr:uid="{00000000-0005-0000-0000-0000C40E0000}"/>
    <cellStyle name="Explanatory Text 11 2" xfId="8295" xr:uid="{00000000-0005-0000-0000-0000C50E0000}"/>
    <cellStyle name="Explanatory Text 11 3" xfId="7438" xr:uid="{00000000-0005-0000-0000-0000C60E0000}"/>
    <cellStyle name="Explanatory Text 2" xfId="473" xr:uid="{00000000-0005-0000-0000-0000C70E0000}"/>
    <cellStyle name="Explanatory Text 2 2" xfId="474" xr:uid="{00000000-0005-0000-0000-0000C80E0000}"/>
    <cellStyle name="Explanatory Text 2 2 2" xfId="3577" xr:uid="{00000000-0005-0000-0000-0000C90E0000}"/>
    <cellStyle name="Explanatory Text 2 2 3" xfId="7439" xr:uid="{00000000-0005-0000-0000-0000CA0E0000}"/>
    <cellStyle name="Explanatory Text 2 2 4" xfId="8887" xr:uid="{00000000-0005-0000-0000-0000CB0E0000}"/>
    <cellStyle name="Explanatory Text 2 3" xfId="3578" xr:uid="{00000000-0005-0000-0000-0000CC0E0000}"/>
    <cellStyle name="Explanatory Text 2 3 2" xfId="8296" xr:uid="{00000000-0005-0000-0000-0000CD0E0000}"/>
    <cellStyle name="Explanatory Text 2 3 3" xfId="7440" xr:uid="{00000000-0005-0000-0000-0000CE0E0000}"/>
    <cellStyle name="Explanatory Text 2 4" xfId="3579" xr:uid="{00000000-0005-0000-0000-0000CF0E0000}"/>
    <cellStyle name="Explanatory Text 2 4 2" xfId="8297" xr:uid="{00000000-0005-0000-0000-0000D00E0000}"/>
    <cellStyle name="Explanatory Text 2 4 3" xfId="7441" xr:uid="{00000000-0005-0000-0000-0000D10E0000}"/>
    <cellStyle name="Explanatory Text 2 5" xfId="3580" xr:uid="{00000000-0005-0000-0000-0000D20E0000}"/>
    <cellStyle name="Explanatory Text 2 6" xfId="3576" xr:uid="{00000000-0005-0000-0000-0000D30E0000}"/>
    <cellStyle name="Explanatory Text 3" xfId="475" xr:uid="{00000000-0005-0000-0000-0000D40E0000}"/>
    <cellStyle name="Explanatory Text 3 2" xfId="476" xr:uid="{00000000-0005-0000-0000-0000D50E0000}"/>
    <cellStyle name="Explanatory Text 3 2 2" xfId="3582" xr:uid="{00000000-0005-0000-0000-0000D60E0000}"/>
    <cellStyle name="Explanatory Text 3 2 3" xfId="7442" xr:uid="{00000000-0005-0000-0000-0000D70E0000}"/>
    <cellStyle name="Explanatory Text 3 2 4" xfId="8888" xr:uid="{00000000-0005-0000-0000-0000D80E0000}"/>
    <cellStyle name="Explanatory Text 3 3" xfId="3583" xr:uid="{00000000-0005-0000-0000-0000D90E0000}"/>
    <cellStyle name="Explanatory Text 3 3 2" xfId="8298" xr:uid="{00000000-0005-0000-0000-0000DA0E0000}"/>
    <cellStyle name="Explanatory Text 3 3 3" xfId="7443" xr:uid="{00000000-0005-0000-0000-0000DB0E0000}"/>
    <cellStyle name="Explanatory Text 3 4" xfId="3584" xr:uid="{00000000-0005-0000-0000-0000DC0E0000}"/>
    <cellStyle name="Explanatory Text 3 4 2" xfId="8299" xr:uid="{00000000-0005-0000-0000-0000DD0E0000}"/>
    <cellStyle name="Explanatory Text 3 4 3" xfId="7444" xr:uid="{00000000-0005-0000-0000-0000DE0E0000}"/>
    <cellStyle name="Explanatory Text 3 5" xfId="3585" xr:uid="{00000000-0005-0000-0000-0000DF0E0000}"/>
    <cellStyle name="Explanatory Text 3 6" xfId="3581" xr:uid="{00000000-0005-0000-0000-0000E00E0000}"/>
    <cellStyle name="Explanatory Text 4" xfId="477" xr:uid="{00000000-0005-0000-0000-0000E10E0000}"/>
    <cellStyle name="Explanatory Text 4 2" xfId="478" xr:uid="{00000000-0005-0000-0000-0000E20E0000}"/>
    <cellStyle name="Explanatory Text 4 2 2" xfId="3587" xr:uid="{00000000-0005-0000-0000-0000E30E0000}"/>
    <cellStyle name="Explanatory Text 4 2 3" xfId="7445" xr:uid="{00000000-0005-0000-0000-0000E40E0000}"/>
    <cellStyle name="Explanatory Text 4 2 4" xfId="8889" xr:uid="{00000000-0005-0000-0000-0000E50E0000}"/>
    <cellStyle name="Explanatory Text 4 3" xfId="3588" xr:uid="{00000000-0005-0000-0000-0000E60E0000}"/>
    <cellStyle name="Explanatory Text 4 3 2" xfId="8300" xr:uid="{00000000-0005-0000-0000-0000E70E0000}"/>
    <cellStyle name="Explanatory Text 4 3 3" xfId="7446" xr:uid="{00000000-0005-0000-0000-0000E80E0000}"/>
    <cellStyle name="Explanatory Text 4 4" xfId="3589" xr:uid="{00000000-0005-0000-0000-0000E90E0000}"/>
    <cellStyle name="Explanatory Text 4 4 2" xfId="8301" xr:uid="{00000000-0005-0000-0000-0000EA0E0000}"/>
    <cellStyle name="Explanatory Text 4 4 3" xfId="7447" xr:uid="{00000000-0005-0000-0000-0000EB0E0000}"/>
    <cellStyle name="Explanatory Text 4 5" xfId="3590" xr:uid="{00000000-0005-0000-0000-0000EC0E0000}"/>
    <cellStyle name="Explanatory Text 4 6" xfId="3586" xr:uid="{00000000-0005-0000-0000-0000ED0E0000}"/>
    <cellStyle name="Explanatory Text 5" xfId="3591" xr:uid="{00000000-0005-0000-0000-0000EE0E0000}"/>
    <cellStyle name="Explanatory Text 5 2" xfId="8302" xr:uid="{00000000-0005-0000-0000-0000EF0E0000}"/>
    <cellStyle name="Explanatory Text 5 3" xfId="7448" xr:uid="{00000000-0005-0000-0000-0000F00E0000}"/>
    <cellStyle name="Explanatory Text 6" xfId="3592" xr:uid="{00000000-0005-0000-0000-0000F10E0000}"/>
    <cellStyle name="Explanatory Text 6 2" xfId="8303" xr:uid="{00000000-0005-0000-0000-0000F20E0000}"/>
    <cellStyle name="Explanatory Text 6 3" xfId="7449" xr:uid="{00000000-0005-0000-0000-0000F30E0000}"/>
    <cellStyle name="Explanatory Text 7" xfId="3593" xr:uid="{00000000-0005-0000-0000-0000F40E0000}"/>
    <cellStyle name="Explanatory Text 7 2" xfId="8304" xr:uid="{00000000-0005-0000-0000-0000F50E0000}"/>
    <cellStyle name="Explanatory Text 7 3" xfId="7450" xr:uid="{00000000-0005-0000-0000-0000F60E0000}"/>
    <cellStyle name="Explanatory Text 8" xfId="3594" xr:uid="{00000000-0005-0000-0000-0000F70E0000}"/>
    <cellStyle name="Explanatory Text 8 2" xfId="8305" xr:uid="{00000000-0005-0000-0000-0000F80E0000}"/>
    <cellStyle name="Explanatory Text 8 3" xfId="7451" xr:uid="{00000000-0005-0000-0000-0000F90E0000}"/>
    <cellStyle name="Explanatory Text 9" xfId="3595" xr:uid="{00000000-0005-0000-0000-0000FA0E0000}"/>
    <cellStyle name="Explanatory Text 9 2" xfId="8306" xr:uid="{00000000-0005-0000-0000-0000FB0E0000}"/>
    <cellStyle name="Explanatory Text 9 3" xfId="7452" xr:uid="{00000000-0005-0000-0000-0000FC0E0000}"/>
    <cellStyle name="F2" xfId="38" xr:uid="{00000000-0005-0000-0000-0000FD0E0000}"/>
    <cellStyle name="F2 10" xfId="3597" xr:uid="{00000000-0005-0000-0000-0000FE0E0000}"/>
    <cellStyle name="F2 11" xfId="3598" xr:uid="{00000000-0005-0000-0000-0000FF0E0000}"/>
    <cellStyle name="F2 12" xfId="3599" xr:uid="{00000000-0005-0000-0000-0000000F0000}"/>
    <cellStyle name="F2 13" xfId="3596" xr:uid="{00000000-0005-0000-0000-0000010F0000}"/>
    <cellStyle name="F2 2" xfId="479" xr:uid="{00000000-0005-0000-0000-0000020F0000}"/>
    <cellStyle name="F2 2 2" xfId="480" xr:uid="{00000000-0005-0000-0000-0000030F0000}"/>
    <cellStyle name="F2 2 2 2" xfId="8890" xr:uid="{00000000-0005-0000-0000-0000040F0000}"/>
    <cellStyle name="F2 3" xfId="481" xr:uid="{00000000-0005-0000-0000-0000050F0000}"/>
    <cellStyle name="F2 3 2" xfId="482" xr:uid="{00000000-0005-0000-0000-0000060F0000}"/>
    <cellStyle name="F2 3 2 2" xfId="8891" xr:uid="{00000000-0005-0000-0000-0000070F0000}"/>
    <cellStyle name="F2 4" xfId="483" xr:uid="{00000000-0005-0000-0000-0000080F0000}"/>
    <cellStyle name="F2 5" xfId="3603" xr:uid="{00000000-0005-0000-0000-0000090F0000}"/>
    <cellStyle name="F2 6" xfId="3604" xr:uid="{00000000-0005-0000-0000-00000A0F0000}"/>
    <cellStyle name="F2 7" xfId="3605" xr:uid="{00000000-0005-0000-0000-00000B0F0000}"/>
    <cellStyle name="F2 8" xfId="3606" xr:uid="{00000000-0005-0000-0000-00000C0F0000}"/>
    <cellStyle name="F2 9" xfId="3607" xr:uid="{00000000-0005-0000-0000-00000D0F0000}"/>
    <cellStyle name="Fixed" xfId="39" xr:uid="{00000000-0005-0000-0000-00000E0F0000}"/>
    <cellStyle name="Fixed 10" xfId="485" xr:uid="{00000000-0005-0000-0000-00000F0F0000}"/>
    <cellStyle name="Fixed 10 2" xfId="486" xr:uid="{00000000-0005-0000-0000-0000100F0000}"/>
    <cellStyle name="Fixed 10 2 2" xfId="487" xr:uid="{00000000-0005-0000-0000-0000110F0000}"/>
    <cellStyle name="Fixed 10 2 2 2" xfId="8892" xr:uid="{00000000-0005-0000-0000-0000120F0000}"/>
    <cellStyle name="Fixed 10 2 3" xfId="3610" xr:uid="{00000000-0005-0000-0000-0000130F0000}"/>
    <cellStyle name="Fixed 10 3" xfId="488" xr:uid="{00000000-0005-0000-0000-0000140F0000}"/>
    <cellStyle name="Fixed 10 3 2" xfId="489" xr:uid="{00000000-0005-0000-0000-0000150F0000}"/>
    <cellStyle name="Fixed 10 3 2 2" xfId="8893" xr:uid="{00000000-0005-0000-0000-0000160F0000}"/>
    <cellStyle name="Fixed 10 3 3" xfId="3611" xr:uid="{00000000-0005-0000-0000-0000170F0000}"/>
    <cellStyle name="Fixed 10 4" xfId="490" xr:uid="{00000000-0005-0000-0000-0000180F0000}"/>
    <cellStyle name="Fixed 10 4 2" xfId="491" xr:uid="{00000000-0005-0000-0000-0000190F0000}"/>
    <cellStyle name="Fixed 10 4 2 2" xfId="8894" xr:uid="{00000000-0005-0000-0000-00001A0F0000}"/>
    <cellStyle name="Fixed 10 4 3" xfId="3612" xr:uid="{00000000-0005-0000-0000-00001B0F0000}"/>
    <cellStyle name="Fixed 10 5" xfId="492" xr:uid="{00000000-0005-0000-0000-00001C0F0000}"/>
    <cellStyle name="Fixed 10 5 2" xfId="493" xr:uid="{00000000-0005-0000-0000-00001D0F0000}"/>
    <cellStyle name="Fixed 10 5 2 2" xfId="8895" xr:uid="{00000000-0005-0000-0000-00001E0F0000}"/>
    <cellStyle name="Fixed 10 5 3" xfId="3613" xr:uid="{00000000-0005-0000-0000-00001F0F0000}"/>
    <cellStyle name="Fixed 10 6" xfId="494" xr:uid="{00000000-0005-0000-0000-0000200F0000}"/>
    <cellStyle name="Fixed 10 6 2" xfId="495" xr:uid="{00000000-0005-0000-0000-0000210F0000}"/>
    <cellStyle name="Fixed 10 6 2 2" xfId="8896" xr:uid="{00000000-0005-0000-0000-0000220F0000}"/>
    <cellStyle name="Fixed 10 6 3" xfId="3614" xr:uid="{00000000-0005-0000-0000-0000230F0000}"/>
    <cellStyle name="Fixed 10 7" xfId="496" xr:uid="{00000000-0005-0000-0000-0000240F0000}"/>
    <cellStyle name="Fixed 10 7 2" xfId="497" xr:uid="{00000000-0005-0000-0000-0000250F0000}"/>
    <cellStyle name="Fixed 10 7 2 2" xfId="8897" xr:uid="{00000000-0005-0000-0000-0000260F0000}"/>
    <cellStyle name="Fixed 10 7 3" xfId="3615" xr:uid="{00000000-0005-0000-0000-0000270F0000}"/>
    <cellStyle name="Fixed 10 8" xfId="498" xr:uid="{00000000-0005-0000-0000-0000280F0000}"/>
    <cellStyle name="Fixed 10 8 2" xfId="8898" xr:uid="{00000000-0005-0000-0000-0000290F0000}"/>
    <cellStyle name="Fixed 10 9" xfId="3609" xr:uid="{00000000-0005-0000-0000-00002A0F0000}"/>
    <cellStyle name="Fixed 11" xfId="499" xr:uid="{00000000-0005-0000-0000-00002B0F0000}"/>
    <cellStyle name="Fixed 11 2" xfId="500" xr:uid="{00000000-0005-0000-0000-00002C0F0000}"/>
    <cellStyle name="Fixed 11 2 2" xfId="501" xr:uid="{00000000-0005-0000-0000-00002D0F0000}"/>
    <cellStyle name="Fixed 11 2 3" xfId="3617" xr:uid="{00000000-0005-0000-0000-00002E0F0000}"/>
    <cellStyle name="Fixed 11 3" xfId="502" xr:uid="{00000000-0005-0000-0000-00002F0F0000}"/>
    <cellStyle name="Fixed 11 3 2" xfId="503" xr:uid="{00000000-0005-0000-0000-0000300F0000}"/>
    <cellStyle name="Fixed 11 3 3" xfId="3618" xr:uid="{00000000-0005-0000-0000-0000310F0000}"/>
    <cellStyle name="Fixed 11 4" xfId="504" xr:uid="{00000000-0005-0000-0000-0000320F0000}"/>
    <cellStyle name="Fixed 11 4 2" xfId="505" xr:uid="{00000000-0005-0000-0000-0000330F0000}"/>
    <cellStyle name="Fixed 11 4 3" xfId="3619" xr:uid="{00000000-0005-0000-0000-0000340F0000}"/>
    <cellStyle name="Fixed 11 5" xfId="506" xr:uid="{00000000-0005-0000-0000-0000350F0000}"/>
    <cellStyle name="Fixed 11 5 2" xfId="507" xr:uid="{00000000-0005-0000-0000-0000360F0000}"/>
    <cellStyle name="Fixed 11 5 3" xfId="3620" xr:uid="{00000000-0005-0000-0000-0000370F0000}"/>
    <cellStyle name="Fixed 11 6" xfId="508" xr:uid="{00000000-0005-0000-0000-0000380F0000}"/>
    <cellStyle name="Fixed 11 6 2" xfId="509" xr:uid="{00000000-0005-0000-0000-0000390F0000}"/>
    <cellStyle name="Fixed 11 6 3" xfId="3621" xr:uid="{00000000-0005-0000-0000-00003A0F0000}"/>
    <cellStyle name="Fixed 11 7" xfId="510" xr:uid="{00000000-0005-0000-0000-00003B0F0000}"/>
    <cellStyle name="Fixed 11 7 2" xfId="511" xr:uid="{00000000-0005-0000-0000-00003C0F0000}"/>
    <cellStyle name="Fixed 11 7 3" xfId="3622" xr:uid="{00000000-0005-0000-0000-00003D0F0000}"/>
    <cellStyle name="Fixed 11 8" xfId="512" xr:uid="{00000000-0005-0000-0000-00003E0F0000}"/>
    <cellStyle name="Fixed 11 9" xfId="3616" xr:uid="{00000000-0005-0000-0000-00003F0F0000}"/>
    <cellStyle name="Fixed 12" xfId="513" xr:uid="{00000000-0005-0000-0000-0000400F0000}"/>
    <cellStyle name="Fixed 12 2" xfId="514" xr:uid="{00000000-0005-0000-0000-0000410F0000}"/>
    <cellStyle name="Fixed 12 3" xfId="3623" xr:uid="{00000000-0005-0000-0000-0000420F0000}"/>
    <cellStyle name="Fixed 13" xfId="515" xr:uid="{00000000-0005-0000-0000-0000430F0000}"/>
    <cellStyle name="Fixed 13 2" xfId="516" xr:uid="{00000000-0005-0000-0000-0000440F0000}"/>
    <cellStyle name="Fixed 13 3" xfId="3624" xr:uid="{00000000-0005-0000-0000-0000450F0000}"/>
    <cellStyle name="Fixed 14" xfId="517" xr:uid="{00000000-0005-0000-0000-0000460F0000}"/>
    <cellStyle name="Fixed 14 2" xfId="518" xr:uid="{00000000-0005-0000-0000-0000470F0000}"/>
    <cellStyle name="Fixed 14 3" xfId="3625" xr:uid="{00000000-0005-0000-0000-0000480F0000}"/>
    <cellStyle name="Fixed 15" xfId="519" xr:uid="{00000000-0005-0000-0000-0000490F0000}"/>
    <cellStyle name="Fixed 15 2" xfId="520" xr:uid="{00000000-0005-0000-0000-00004A0F0000}"/>
    <cellStyle name="Fixed 15 3" xfId="3626" xr:uid="{00000000-0005-0000-0000-00004B0F0000}"/>
    <cellStyle name="Fixed 16" xfId="521" xr:uid="{00000000-0005-0000-0000-00004C0F0000}"/>
    <cellStyle name="Fixed 16 2" xfId="522" xr:uid="{00000000-0005-0000-0000-00004D0F0000}"/>
    <cellStyle name="Fixed 16 3" xfId="3627" xr:uid="{00000000-0005-0000-0000-00004E0F0000}"/>
    <cellStyle name="Fixed 17" xfId="523" xr:uid="{00000000-0005-0000-0000-00004F0F0000}"/>
    <cellStyle name="Fixed 17 2" xfId="524" xr:uid="{00000000-0005-0000-0000-0000500F0000}"/>
    <cellStyle name="Fixed 17 3" xfId="3628" xr:uid="{00000000-0005-0000-0000-0000510F0000}"/>
    <cellStyle name="Fixed 18" xfId="525" xr:uid="{00000000-0005-0000-0000-0000520F0000}"/>
    <cellStyle name="Fixed 18 2" xfId="526" xr:uid="{00000000-0005-0000-0000-0000530F0000}"/>
    <cellStyle name="Fixed 18 3" xfId="3629" xr:uid="{00000000-0005-0000-0000-0000540F0000}"/>
    <cellStyle name="Fixed 19" xfId="527" xr:uid="{00000000-0005-0000-0000-0000550F0000}"/>
    <cellStyle name="Fixed 19 2" xfId="528" xr:uid="{00000000-0005-0000-0000-0000560F0000}"/>
    <cellStyle name="Fixed 19 3" xfId="3630" xr:uid="{00000000-0005-0000-0000-0000570F0000}"/>
    <cellStyle name="Fixed 2" xfId="529" xr:uid="{00000000-0005-0000-0000-0000580F0000}"/>
    <cellStyle name="Fixed 2 10" xfId="3632" xr:uid="{00000000-0005-0000-0000-0000590F0000}"/>
    <cellStyle name="Fixed 2 100" xfId="3633" xr:uid="{00000000-0005-0000-0000-00005A0F0000}"/>
    <cellStyle name="Fixed 2 101" xfId="3634" xr:uid="{00000000-0005-0000-0000-00005B0F0000}"/>
    <cellStyle name="Fixed 2 102" xfId="3635" xr:uid="{00000000-0005-0000-0000-00005C0F0000}"/>
    <cellStyle name="Fixed 2 103" xfId="3636" xr:uid="{00000000-0005-0000-0000-00005D0F0000}"/>
    <cellStyle name="Fixed 2 104" xfId="3637" xr:uid="{00000000-0005-0000-0000-00005E0F0000}"/>
    <cellStyle name="Fixed 2 105" xfId="3638" xr:uid="{00000000-0005-0000-0000-00005F0F0000}"/>
    <cellStyle name="Fixed 2 106" xfId="3639" xr:uid="{00000000-0005-0000-0000-0000600F0000}"/>
    <cellStyle name="Fixed 2 107" xfId="3640" xr:uid="{00000000-0005-0000-0000-0000610F0000}"/>
    <cellStyle name="Fixed 2 108" xfId="3641" xr:uid="{00000000-0005-0000-0000-0000620F0000}"/>
    <cellStyle name="Fixed 2 109" xfId="3642" xr:uid="{00000000-0005-0000-0000-0000630F0000}"/>
    <cellStyle name="Fixed 2 11" xfId="3643" xr:uid="{00000000-0005-0000-0000-0000640F0000}"/>
    <cellStyle name="Fixed 2 110" xfId="3644" xr:uid="{00000000-0005-0000-0000-0000650F0000}"/>
    <cellStyle name="Fixed 2 111" xfId="3645" xr:uid="{00000000-0005-0000-0000-0000660F0000}"/>
    <cellStyle name="Fixed 2 112" xfId="3646" xr:uid="{00000000-0005-0000-0000-0000670F0000}"/>
    <cellStyle name="Fixed 2 113" xfId="3647" xr:uid="{00000000-0005-0000-0000-0000680F0000}"/>
    <cellStyle name="Fixed 2 114" xfId="3648" xr:uid="{00000000-0005-0000-0000-0000690F0000}"/>
    <cellStyle name="Fixed 2 115" xfId="3649" xr:uid="{00000000-0005-0000-0000-00006A0F0000}"/>
    <cellStyle name="Fixed 2 116" xfId="3650" xr:uid="{00000000-0005-0000-0000-00006B0F0000}"/>
    <cellStyle name="Fixed 2 117" xfId="3651" xr:uid="{00000000-0005-0000-0000-00006C0F0000}"/>
    <cellStyle name="Fixed 2 118" xfId="3652" xr:uid="{00000000-0005-0000-0000-00006D0F0000}"/>
    <cellStyle name="Fixed 2 119" xfId="3653" xr:uid="{00000000-0005-0000-0000-00006E0F0000}"/>
    <cellStyle name="Fixed 2 12" xfId="3654" xr:uid="{00000000-0005-0000-0000-00006F0F0000}"/>
    <cellStyle name="Fixed 2 120" xfId="3655" xr:uid="{00000000-0005-0000-0000-0000700F0000}"/>
    <cellStyle name="Fixed 2 121" xfId="3656" xr:uid="{00000000-0005-0000-0000-0000710F0000}"/>
    <cellStyle name="Fixed 2 122" xfId="3657" xr:uid="{00000000-0005-0000-0000-0000720F0000}"/>
    <cellStyle name="Fixed 2 123" xfId="3658" xr:uid="{00000000-0005-0000-0000-0000730F0000}"/>
    <cellStyle name="Fixed 2 124" xfId="3659" xr:uid="{00000000-0005-0000-0000-0000740F0000}"/>
    <cellStyle name="Fixed 2 125" xfId="3660" xr:uid="{00000000-0005-0000-0000-0000750F0000}"/>
    <cellStyle name="Fixed 2 126" xfId="3661" xr:uid="{00000000-0005-0000-0000-0000760F0000}"/>
    <cellStyle name="Fixed 2 127" xfId="3662" xr:uid="{00000000-0005-0000-0000-0000770F0000}"/>
    <cellStyle name="Fixed 2 128" xfId="3663" xr:uid="{00000000-0005-0000-0000-0000780F0000}"/>
    <cellStyle name="Fixed 2 129" xfId="3664" xr:uid="{00000000-0005-0000-0000-0000790F0000}"/>
    <cellStyle name="Fixed 2 13" xfId="3665" xr:uid="{00000000-0005-0000-0000-00007A0F0000}"/>
    <cellStyle name="Fixed 2 130" xfId="3666" xr:uid="{00000000-0005-0000-0000-00007B0F0000}"/>
    <cellStyle name="Fixed 2 131" xfId="3667" xr:uid="{00000000-0005-0000-0000-00007C0F0000}"/>
    <cellStyle name="Fixed 2 132" xfId="3668" xr:uid="{00000000-0005-0000-0000-00007D0F0000}"/>
    <cellStyle name="Fixed 2 133" xfId="3669" xr:uid="{00000000-0005-0000-0000-00007E0F0000}"/>
    <cellStyle name="Fixed 2 134" xfId="3670" xr:uid="{00000000-0005-0000-0000-00007F0F0000}"/>
    <cellStyle name="Fixed 2 135" xfId="3671" xr:uid="{00000000-0005-0000-0000-0000800F0000}"/>
    <cellStyle name="Fixed 2 136" xfId="3672" xr:uid="{00000000-0005-0000-0000-0000810F0000}"/>
    <cellStyle name="Fixed 2 137" xfId="3673" xr:uid="{00000000-0005-0000-0000-0000820F0000}"/>
    <cellStyle name="Fixed 2 138" xfId="3674" xr:uid="{00000000-0005-0000-0000-0000830F0000}"/>
    <cellStyle name="Fixed 2 139" xfId="3675" xr:uid="{00000000-0005-0000-0000-0000840F0000}"/>
    <cellStyle name="Fixed 2 14" xfId="3676" xr:uid="{00000000-0005-0000-0000-0000850F0000}"/>
    <cellStyle name="Fixed 2 140" xfId="3677" xr:uid="{00000000-0005-0000-0000-0000860F0000}"/>
    <cellStyle name="Fixed 2 141" xfId="3678" xr:uid="{00000000-0005-0000-0000-0000870F0000}"/>
    <cellStyle name="Fixed 2 142" xfId="3679" xr:uid="{00000000-0005-0000-0000-0000880F0000}"/>
    <cellStyle name="Fixed 2 143" xfId="3680" xr:uid="{00000000-0005-0000-0000-0000890F0000}"/>
    <cellStyle name="Fixed 2 144" xfId="3681" xr:uid="{00000000-0005-0000-0000-00008A0F0000}"/>
    <cellStyle name="Fixed 2 145" xfId="3682" xr:uid="{00000000-0005-0000-0000-00008B0F0000}"/>
    <cellStyle name="Fixed 2 146" xfId="3683" xr:uid="{00000000-0005-0000-0000-00008C0F0000}"/>
    <cellStyle name="Fixed 2 147" xfId="3684" xr:uid="{00000000-0005-0000-0000-00008D0F0000}"/>
    <cellStyle name="Fixed 2 148" xfId="3685" xr:uid="{00000000-0005-0000-0000-00008E0F0000}"/>
    <cellStyle name="Fixed 2 149" xfId="3686" xr:uid="{00000000-0005-0000-0000-00008F0F0000}"/>
    <cellStyle name="Fixed 2 15" xfId="3687" xr:uid="{00000000-0005-0000-0000-0000900F0000}"/>
    <cellStyle name="Fixed 2 150" xfId="3688" xr:uid="{00000000-0005-0000-0000-0000910F0000}"/>
    <cellStyle name="Fixed 2 151" xfId="3689" xr:uid="{00000000-0005-0000-0000-0000920F0000}"/>
    <cellStyle name="Fixed 2 152" xfId="3690" xr:uid="{00000000-0005-0000-0000-0000930F0000}"/>
    <cellStyle name="Fixed 2 153" xfId="3691" xr:uid="{00000000-0005-0000-0000-0000940F0000}"/>
    <cellStyle name="Fixed 2 154" xfId="3692" xr:uid="{00000000-0005-0000-0000-0000950F0000}"/>
    <cellStyle name="Fixed 2 155" xfId="3693" xr:uid="{00000000-0005-0000-0000-0000960F0000}"/>
    <cellStyle name="Fixed 2 156" xfId="3694" xr:uid="{00000000-0005-0000-0000-0000970F0000}"/>
    <cellStyle name="Fixed 2 157" xfId="3695" xr:uid="{00000000-0005-0000-0000-0000980F0000}"/>
    <cellStyle name="Fixed 2 158" xfId="3696" xr:uid="{00000000-0005-0000-0000-0000990F0000}"/>
    <cellStyle name="Fixed 2 159" xfId="3697" xr:uid="{00000000-0005-0000-0000-00009A0F0000}"/>
    <cellStyle name="Fixed 2 16" xfId="3698" xr:uid="{00000000-0005-0000-0000-00009B0F0000}"/>
    <cellStyle name="Fixed 2 160" xfId="3699" xr:uid="{00000000-0005-0000-0000-00009C0F0000}"/>
    <cellStyle name="Fixed 2 161" xfId="3700" xr:uid="{00000000-0005-0000-0000-00009D0F0000}"/>
    <cellStyle name="Fixed 2 162" xfId="3701" xr:uid="{00000000-0005-0000-0000-00009E0F0000}"/>
    <cellStyle name="Fixed 2 163" xfId="3702" xr:uid="{00000000-0005-0000-0000-00009F0F0000}"/>
    <cellStyle name="Fixed 2 164" xfId="3703" xr:uid="{00000000-0005-0000-0000-0000A00F0000}"/>
    <cellStyle name="Fixed 2 165" xfId="3704" xr:uid="{00000000-0005-0000-0000-0000A10F0000}"/>
    <cellStyle name="Fixed 2 166" xfId="3705" xr:uid="{00000000-0005-0000-0000-0000A20F0000}"/>
    <cellStyle name="Fixed 2 167" xfId="3706" xr:uid="{00000000-0005-0000-0000-0000A30F0000}"/>
    <cellStyle name="Fixed 2 168" xfId="3707" xr:uid="{00000000-0005-0000-0000-0000A40F0000}"/>
    <cellStyle name="Fixed 2 169" xfId="3708" xr:uid="{00000000-0005-0000-0000-0000A50F0000}"/>
    <cellStyle name="Fixed 2 17" xfId="3709" xr:uid="{00000000-0005-0000-0000-0000A60F0000}"/>
    <cellStyle name="Fixed 2 170" xfId="3710" xr:uid="{00000000-0005-0000-0000-0000A70F0000}"/>
    <cellStyle name="Fixed 2 171" xfId="3711" xr:uid="{00000000-0005-0000-0000-0000A80F0000}"/>
    <cellStyle name="Fixed 2 172" xfId="3712" xr:uid="{00000000-0005-0000-0000-0000A90F0000}"/>
    <cellStyle name="Fixed 2 173" xfId="3713" xr:uid="{00000000-0005-0000-0000-0000AA0F0000}"/>
    <cellStyle name="Fixed 2 174" xfId="3714" xr:uid="{00000000-0005-0000-0000-0000AB0F0000}"/>
    <cellStyle name="Fixed 2 175" xfId="3715" xr:uid="{00000000-0005-0000-0000-0000AC0F0000}"/>
    <cellStyle name="Fixed 2 176" xfId="3716" xr:uid="{00000000-0005-0000-0000-0000AD0F0000}"/>
    <cellStyle name="Fixed 2 177" xfId="3717" xr:uid="{00000000-0005-0000-0000-0000AE0F0000}"/>
    <cellStyle name="Fixed 2 178" xfId="3718" xr:uid="{00000000-0005-0000-0000-0000AF0F0000}"/>
    <cellStyle name="Fixed 2 179" xfId="3719" xr:uid="{00000000-0005-0000-0000-0000B00F0000}"/>
    <cellStyle name="Fixed 2 18" xfId="3720" xr:uid="{00000000-0005-0000-0000-0000B10F0000}"/>
    <cellStyle name="Fixed 2 180" xfId="3721" xr:uid="{00000000-0005-0000-0000-0000B20F0000}"/>
    <cellStyle name="Fixed 2 181" xfId="3722" xr:uid="{00000000-0005-0000-0000-0000B30F0000}"/>
    <cellStyle name="Fixed 2 182" xfId="3723" xr:uid="{00000000-0005-0000-0000-0000B40F0000}"/>
    <cellStyle name="Fixed 2 183" xfId="3724" xr:uid="{00000000-0005-0000-0000-0000B50F0000}"/>
    <cellStyle name="Fixed 2 184" xfId="3725" xr:uid="{00000000-0005-0000-0000-0000B60F0000}"/>
    <cellStyle name="Fixed 2 185" xfId="3726" xr:uid="{00000000-0005-0000-0000-0000B70F0000}"/>
    <cellStyle name="Fixed 2 186" xfId="3727" xr:uid="{00000000-0005-0000-0000-0000B80F0000}"/>
    <cellStyle name="Fixed 2 187" xfId="3728" xr:uid="{00000000-0005-0000-0000-0000B90F0000}"/>
    <cellStyle name="Fixed 2 188" xfId="3729" xr:uid="{00000000-0005-0000-0000-0000BA0F0000}"/>
    <cellStyle name="Fixed 2 189" xfId="3730" xr:uid="{00000000-0005-0000-0000-0000BB0F0000}"/>
    <cellStyle name="Fixed 2 19" xfId="3731" xr:uid="{00000000-0005-0000-0000-0000BC0F0000}"/>
    <cellStyle name="Fixed 2 190" xfId="3732" xr:uid="{00000000-0005-0000-0000-0000BD0F0000}"/>
    <cellStyle name="Fixed 2 191" xfId="3733" xr:uid="{00000000-0005-0000-0000-0000BE0F0000}"/>
    <cellStyle name="Fixed 2 192" xfId="3734" xr:uid="{00000000-0005-0000-0000-0000BF0F0000}"/>
    <cellStyle name="Fixed 2 193" xfId="3735" xr:uid="{00000000-0005-0000-0000-0000C00F0000}"/>
    <cellStyle name="Fixed 2 194" xfId="3736" xr:uid="{00000000-0005-0000-0000-0000C10F0000}"/>
    <cellStyle name="Fixed 2 195" xfId="3737" xr:uid="{00000000-0005-0000-0000-0000C20F0000}"/>
    <cellStyle name="Fixed 2 196" xfId="3738" xr:uid="{00000000-0005-0000-0000-0000C30F0000}"/>
    <cellStyle name="Fixed 2 196 2" xfId="9395" xr:uid="{00000000-0005-0000-0000-0000C40F0000}"/>
    <cellStyle name="Fixed 2 197" xfId="3739" xr:uid="{00000000-0005-0000-0000-0000C50F0000}"/>
    <cellStyle name="Fixed 2 197 2" xfId="9396" xr:uid="{00000000-0005-0000-0000-0000C60F0000}"/>
    <cellStyle name="Fixed 2 198" xfId="3740" xr:uid="{00000000-0005-0000-0000-0000C70F0000}"/>
    <cellStyle name="Fixed 2 198 2" xfId="9397" xr:uid="{00000000-0005-0000-0000-0000C80F0000}"/>
    <cellStyle name="Fixed 2 199" xfId="3741" xr:uid="{00000000-0005-0000-0000-0000C90F0000}"/>
    <cellStyle name="Fixed 2 199 2" xfId="9398" xr:uid="{00000000-0005-0000-0000-0000CA0F0000}"/>
    <cellStyle name="Fixed 2 2" xfId="530" xr:uid="{00000000-0005-0000-0000-0000CB0F0000}"/>
    <cellStyle name="Fixed 2 2 2" xfId="3742" xr:uid="{00000000-0005-0000-0000-0000CC0F0000}"/>
    <cellStyle name="Fixed 2 2 2 2" xfId="9400" xr:uid="{00000000-0005-0000-0000-0000CD0F0000}"/>
    <cellStyle name="Fixed 2 2 3" xfId="9399" xr:uid="{00000000-0005-0000-0000-0000CE0F0000}"/>
    <cellStyle name="Fixed 2 20" xfId="3743" xr:uid="{00000000-0005-0000-0000-0000CF0F0000}"/>
    <cellStyle name="Fixed 2 20 2" xfId="9401" xr:uid="{00000000-0005-0000-0000-0000D00F0000}"/>
    <cellStyle name="Fixed 2 200" xfId="3744" xr:uid="{00000000-0005-0000-0000-0000D10F0000}"/>
    <cellStyle name="Fixed 2 200 2" xfId="9402" xr:uid="{00000000-0005-0000-0000-0000D20F0000}"/>
    <cellStyle name="Fixed 2 201" xfId="3745" xr:uid="{00000000-0005-0000-0000-0000D30F0000}"/>
    <cellStyle name="Fixed 2 201 2" xfId="9403" xr:uid="{00000000-0005-0000-0000-0000D40F0000}"/>
    <cellStyle name="Fixed 2 202" xfId="3746" xr:uid="{00000000-0005-0000-0000-0000D50F0000}"/>
    <cellStyle name="Fixed 2 202 2" xfId="9404" xr:uid="{00000000-0005-0000-0000-0000D60F0000}"/>
    <cellStyle name="Fixed 2 203" xfId="3747" xr:uid="{00000000-0005-0000-0000-0000D70F0000}"/>
    <cellStyle name="Fixed 2 203 2" xfId="9405" xr:uid="{00000000-0005-0000-0000-0000D80F0000}"/>
    <cellStyle name="Fixed 2 204" xfId="3748" xr:uid="{00000000-0005-0000-0000-0000D90F0000}"/>
    <cellStyle name="Fixed 2 204 2" xfId="9406" xr:uid="{00000000-0005-0000-0000-0000DA0F0000}"/>
    <cellStyle name="Fixed 2 205" xfId="3749" xr:uid="{00000000-0005-0000-0000-0000DB0F0000}"/>
    <cellStyle name="Fixed 2 205 2" xfId="9407" xr:uid="{00000000-0005-0000-0000-0000DC0F0000}"/>
    <cellStyle name="Fixed 2 206" xfId="3750" xr:uid="{00000000-0005-0000-0000-0000DD0F0000}"/>
    <cellStyle name="Fixed 2 206 2" xfId="9408" xr:uid="{00000000-0005-0000-0000-0000DE0F0000}"/>
    <cellStyle name="Fixed 2 207" xfId="3751" xr:uid="{00000000-0005-0000-0000-0000DF0F0000}"/>
    <cellStyle name="Fixed 2 207 2" xfId="9409" xr:uid="{00000000-0005-0000-0000-0000E00F0000}"/>
    <cellStyle name="Fixed 2 208" xfId="3752" xr:uid="{00000000-0005-0000-0000-0000E10F0000}"/>
    <cellStyle name="Fixed 2 208 2" xfId="9410" xr:uid="{00000000-0005-0000-0000-0000E20F0000}"/>
    <cellStyle name="Fixed 2 209" xfId="3753" xr:uid="{00000000-0005-0000-0000-0000E30F0000}"/>
    <cellStyle name="Fixed 2 209 2" xfId="9411" xr:uid="{00000000-0005-0000-0000-0000E40F0000}"/>
    <cellStyle name="Fixed 2 21" xfId="3754" xr:uid="{00000000-0005-0000-0000-0000E50F0000}"/>
    <cellStyle name="Fixed 2 21 2" xfId="9412" xr:uid="{00000000-0005-0000-0000-0000E60F0000}"/>
    <cellStyle name="Fixed 2 210" xfId="3755" xr:uid="{00000000-0005-0000-0000-0000E70F0000}"/>
    <cellStyle name="Fixed 2 210 2" xfId="9413" xr:uid="{00000000-0005-0000-0000-0000E80F0000}"/>
    <cellStyle name="Fixed 2 211" xfId="3756" xr:uid="{00000000-0005-0000-0000-0000E90F0000}"/>
    <cellStyle name="Fixed 2 211 2" xfId="9414" xr:uid="{00000000-0005-0000-0000-0000EA0F0000}"/>
    <cellStyle name="Fixed 2 212" xfId="3757" xr:uid="{00000000-0005-0000-0000-0000EB0F0000}"/>
    <cellStyle name="Fixed 2 212 2" xfId="9415" xr:uid="{00000000-0005-0000-0000-0000EC0F0000}"/>
    <cellStyle name="Fixed 2 213" xfId="3758" xr:uid="{00000000-0005-0000-0000-0000ED0F0000}"/>
    <cellStyle name="Fixed 2 213 2" xfId="9416" xr:uid="{00000000-0005-0000-0000-0000EE0F0000}"/>
    <cellStyle name="Fixed 2 214" xfId="3759" xr:uid="{00000000-0005-0000-0000-0000EF0F0000}"/>
    <cellStyle name="Fixed 2 214 2" xfId="9417" xr:uid="{00000000-0005-0000-0000-0000F00F0000}"/>
    <cellStyle name="Fixed 2 215" xfId="3760" xr:uid="{00000000-0005-0000-0000-0000F10F0000}"/>
    <cellStyle name="Fixed 2 215 2" xfId="9418" xr:uid="{00000000-0005-0000-0000-0000F20F0000}"/>
    <cellStyle name="Fixed 2 216" xfId="3761" xr:uid="{00000000-0005-0000-0000-0000F30F0000}"/>
    <cellStyle name="Fixed 2 216 2" xfId="9419" xr:uid="{00000000-0005-0000-0000-0000F40F0000}"/>
    <cellStyle name="Fixed 2 217" xfId="3762" xr:uid="{00000000-0005-0000-0000-0000F50F0000}"/>
    <cellStyle name="Fixed 2 217 2" xfId="9420" xr:uid="{00000000-0005-0000-0000-0000F60F0000}"/>
    <cellStyle name="Fixed 2 218" xfId="3763" xr:uid="{00000000-0005-0000-0000-0000F70F0000}"/>
    <cellStyle name="Fixed 2 218 2" xfId="9421" xr:uid="{00000000-0005-0000-0000-0000F80F0000}"/>
    <cellStyle name="Fixed 2 219" xfId="3764" xr:uid="{00000000-0005-0000-0000-0000F90F0000}"/>
    <cellStyle name="Fixed 2 219 2" xfId="9422" xr:uid="{00000000-0005-0000-0000-0000FA0F0000}"/>
    <cellStyle name="Fixed 2 22" xfId="3765" xr:uid="{00000000-0005-0000-0000-0000FB0F0000}"/>
    <cellStyle name="Fixed 2 22 2" xfId="9423" xr:uid="{00000000-0005-0000-0000-0000FC0F0000}"/>
    <cellStyle name="Fixed 2 220" xfId="3766" xr:uid="{00000000-0005-0000-0000-0000FD0F0000}"/>
    <cellStyle name="Fixed 2 220 2" xfId="9424" xr:uid="{00000000-0005-0000-0000-0000FE0F0000}"/>
    <cellStyle name="Fixed 2 221" xfId="3767" xr:uid="{00000000-0005-0000-0000-0000FF0F0000}"/>
    <cellStyle name="Fixed 2 221 2" xfId="9425" xr:uid="{00000000-0005-0000-0000-000000100000}"/>
    <cellStyle name="Fixed 2 222" xfId="3768" xr:uid="{00000000-0005-0000-0000-000001100000}"/>
    <cellStyle name="Fixed 2 222 2" xfId="9426" xr:uid="{00000000-0005-0000-0000-000002100000}"/>
    <cellStyle name="Fixed 2 223" xfId="3769" xr:uid="{00000000-0005-0000-0000-000003100000}"/>
    <cellStyle name="Fixed 2 223 2" xfId="9427" xr:uid="{00000000-0005-0000-0000-000004100000}"/>
    <cellStyle name="Fixed 2 224" xfId="3770" xr:uid="{00000000-0005-0000-0000-000005100000}"/>
    <cellStyle name="Fixed 2 224 2" xfId="9428" xr:uid="{00000000-0005-0000-0000-000006100000}"/>
    <cellStyle name="Fixed 2 225" xfId="3771" xr:uid="{00000000-0005-0000-0000-000007100000}"/>
    <cellStyle name="Fixed 2 225 2" xfId="9429" xr:uid="{00000000-0005-0000-0000-000008100000}"/>
    <cellStyle name="Fixed 2 226" xfId="3772" xr:uid="{00000000-0005-0000-0000-000009100000}"/>
    <cellStyle name="Fixed 2 226 2" xfId="9430" xr:uid="{00000000-0005-0000-0000-00000A100000}"/>
    <cellStyle name="Fixed 2 227" xfId="3773" xr:uid="{00000000-0005-0000-0000-00000B100000}"/>
    <cellStyle name="Fixed 2 227 2" xfId="9431" xr:uid="{00000000-0005-0000-0000-00000C100000}"/>
    <cellStyle name="Fixed 2 228" xfId="3774" xr:uid="{00000000-0005-0000-0000-00000D100000}"/>
    <cellStyle name="Fixed 2 228 2" xfId="9432" xr:uid="{00000000-0005-0000-0000-00000E100000}"/>
    <cellStyle name="Fixed 2 229" xfId="3775" xr:uid="{00000000-0005-0000-0000-00000F100000}"/>
    <cellStyle name="Fixed 2 229 2" xfId="9433" xr:uid="{00000000-0005-0000-0000-000010100000}"/>
    <cellStyle name="Fixed 2 23" xfId="3776" xr:uid="{00000000-0005-0000-0000-000011100000}"/>
    <cellStyle name="Fixed 2 23 2" xfId="9434" xr:uid="{00000000-0005-0000-0000-000012100000}"/>
    <cellStyle name="Fixed 2 230" xfId="3777" xr:uid="{00000000-0005-0000-0000-000013100000}"/>
    <cellStyle name="Fixed 2 230 2" xfId="9435" xr:uid="{00000000-0005-0000-0000-000014100000}"/>
    <cellStyle name="Fixed 2 231" xfId="3778" xr:uid="{00000000-0005-0000-0000-000015100000}"/>
    <cellStyle name="Fixed 2 231 2" xfId="9436" xr:uid="{00000000-0005-0000-0000-000016100000}"/>
    <cellStyle name="Fixed 2 232" xfId="3779" xr:uid="{00000000-0005-0000-0000-000017100000}"/>
    <cellStyle name="Fixed 2 232 2" xfId="9437" xr:uid="{00000000-0005-0000-0000-000018100000}"/>
    <cellStyle name="Fixed 2 233" xfId="3780" xr:uid="{00000000-0005-0000-0000-000019100000}"/>
    <cellStyle name="Fixed 2 233 2" xfId="9438" xr:uid="{00000000-0005-0000-0000-00001A100000}"/>
    <cellStyle name="Fixed 2 234" xfId="3781" xr:uid="{00000000-0005-0000-0000-00001B100000}"/>
    <cellStyle name="Fixed 2 234 2" xfId="9439" xr:uid="{00000000-0005-0000-0000-00001C100000}"/>
    <cellStyle name="Fixed 2 235" xfId="3782" xr:uid="{00000000-0005-0000-0000-00001D100000}"/>
    <cellStyle name="Fixed 2 235 2" xfId="9440" xr:uid="{00000000-0005-0000-0000-00001E100000}"/>
    <cellStyle name="Fixed 2 236" xfId="3783" xr:uid="{00000000-0005-0000-0000-00001F100000}"/>
    <cellStyle name="Fixed 2 236 2" xfId="9441" xr:uid="{00000000-0005-0000-0000-000020100000}"/>
    <cellStyle name="Fixed 2 237" xfId="3784" xr:uid="{00000000-0005-0000-0000-000021100000}"/>
    <cellStyle name="Fixed 2 237 2" xfId="9442" xr:uid="{00000000-0005-0000-0000-000022100000}"/>
    <cellStyle name="Fixed 2 238" xfId="3785" xr:uid="{00000000-0005-0000-0000-000023100000}"/>
    <cellStyle name="Fixed 2 238 2" xfId="9443" xr:uid="{00000000-0005-0000-0000-000024100000}"/>
    <cellStyle name="Fixed 2 239" xfId="3786" xr:uid="{00000000-0005-0000-0000-000025100000}"/>
    <cellStyle name="Fixed 2 239 2" xfId="9444" xr:uid="{00000000-0005-0000-0000-000026100000}"/>
    <cellStyle name="Fixed 2 24" xfId="3787" xr:uid="{00000000-0005-0000-0000-000027100000}"/>
    <cellStyle name="Fixed 2 24 2" xfId="9445" xr:uid="{00000000-0005-0000-0000-000028100000}"/>
    <cellStyle name="Fixed 2 240" xfId="3788" xr:uid="{00000000-0005-0000-0000-000029100000}"/>
    <cellStyle name="Fixed 2 240 2" xfId="9446" xr:uid="{00000000-0005-0000-0000-00002A100000}"/>
    <cellStyle name="Fixed 2 241" xfId="3789" xr:uid="{00000000-0005-0000-0000-00002B100000}"/>
    <cellStyle name="Fixed 2 241 2" xfId="9447" xr:uid="{00000000-0005-0000-0000-00002C100000}"/>
    <cellStyle name="Fixed 2 242" xfId="3790" xr:uid="{00000000-0005-0000-0000-00002D100000}"/>
    <cellStyle name="Fixed 2 242 2" xfId="9448" xr:uid="{00000000-0005-0000-0000-00002E100000}"/>
    <cellStyle name="Fixed 2 243" xfId="3791" xr:uid="{00000000-0005-0000-0000-00002F100000}"/>
    <cellStyle name="Fixed 2 243 2" xfId="9449" xr:uid="{00000000-0005-0000-0000-000030100000}"/>
    <cellStyle name="Fixed 2 244" xfId="3792" xr:uid="{00000000-0005-0000-0000-000031100000}"/>
    <cellStyle name="Fixed 2 244 2" xfId="9450" xr:uid="{00000000-0005-0000-0000-000032100000}"/>
    <cellStyle name="Fixed 2 245" xfId="3793" xr:uid="{00000000-0005-0000-0000-000033100000}"/>
    <cellStyle name="Fixed 2 245 2" xfId="9451" xr:uid="{00000000-0005-0000-0000-000034100000}"/>
    <cellStyle name="Fixed 2 246" xfId="3794" xr:uid="{00000000-0005-0000-0000-000035100000}"/>
    <cellStyle name="Fixed 2 246 2" xfId="9452" xr:uid="{00000000-0005-0000-0000-000036100000}"/>
    <cellStyle name="Fixed 2 247" xfId="3795" xr:uid="{00000000-0005-0000-0000-000037100000}"/>
    <cellStyle name="Fixed 2 247 2" xfId="9453" xr:uid="{00000000-0005-0000-0000-000038100000}"/>
    <cellStyle name="Fixed 2 248" xfId="3796" xr:uid="{00000000-0005-0000-0000-000039100000}"/>
    <cellStyle name="Fixed 2 248 2" xfId="9454" xr:uid="{00000000-0005-0000-0000-00003A100000}"/>
    <cellStyle name="Fixed 2 249" xfId="3797" xr:uid="{00000000-0005-0000-0000-00003B100000}"/>
    <cellStyle name="Fixed 2 249 2" xfId="9455" xr:uid="{00000000-0005-0000-0000-00003C100000}"/>
    <cellStyle name="Fixed 2 25" xfId="3798" xr:uid="{00000000-0005-0000-0000-00003D100000}"/>
    <cellStyle name="Fixed 2 25 2" xfId="9456" xr:uid="{00000000-0005-0000-0000-00003E100000}"/>
    <cellStyle name="Fixed 2 250" xfId="3799" xr:uid="{00000000-0005-0000-0000-00003F100000}"/>
    <cellStyle name="Fixed 2 250 2" xfId="9457" xr:uid="{00000000-0005-0000-0000-000040100000}"/>
    <cellStyle name="Fixed 2 251" xfId="3800" xr:uid="{00000000-0005-0000-0000-000041100000}"/>
    <cellStyle name="Fixed 2 251 2" xfId="9458" xr:uid="{00000000-0005-0000-0000-000042100000}"/>
    <cellStyle name="Fixed 2 252" xfId="3801" xr:uid="{00000000-0005-0000-0000-000043100000}"/>
    <cellStyle name="Fixed 2 252 2" xfId="9459" xr:uid="{00000000-0005-0000-0000-000044100000}"/>
    <cellStyle name="Fixed 2 253" xfId="3802" xr:uid="{00000000-0005-0000-0000-000045100000}"/>
    <cellStyle name="Fixed 2 253 2" xfId="9460" xr:uid="{00000000-0005-0000-0000-000046100000}"/>
    <cellStyle name="Fixed 2 254" xfId="3803" xr:uid="{00000000-0005-0000-0000-000047100000}"/>
    <cellStyle name="Fixed 2 254 2" xfId="9461" xr:uid="{00000000-0005-0000-0000-000048100000}"/>
    <cellStyle name="Fixed 2 255" xfId="3804" xr:uid="{00000000-0005-0000-0000-000049100000}"/>
    <cellStyle name="Fixed 2 255 2" xfId="9462" xr:uid="{00000000-0005-0000-0000-00004A100000}"/>
    <cellStyle name="Fixed 2 256" xfId="3631" xr:uid="{00000000-0005-0000-0000-00004B100000}"/>
    <cellStyle name="Fixed 2 256 2" xfId="9463" xr:uid="{00000000-0005-0000-0000-00004C100000}"/>
    <cellStyle name="Fixed 2 26" xfId="3805" xr:uid="{00000000-0005-0000-0000-00004D100000}"/>
    <cellStyle name="Fixed 2 26 2" xfId="9464" xr:uid="{00000000-0005-0000-0000-00004E100000}"/>
    <cellStyle name="Fixed 2 27" xfId="3806" xr:uid="{00000000-0005-0000-0000-00004F100000}"/>
    <cellStyle name="Fixed 2 27 2" xfId="9465" xr:uid="{00000000-0005-0000-0000-000050100000}"/>
    <cellStyle name="Fixed 2 28" xfId="3807" xr:uid="{00000000-0005-0000-0000-000051100000}"/>
    <cellStyle name="Fixed 2 28 2" xfId="9466" xr:uid="{00000000-0005-0000-0000-000052100000}"/>
    <cellStyle name="Fixed 2 29" xfId="3808" xr:uid="{00000000-0005-0000-0000-000053100000}"/>
    <cellStyle name="Fixed 2 29 2" xfId="9467" xr:uid="{00000000-0005-0000-0000-000054100000}"/>
    <cellStyle name="Fixed 2 3" xfId="3809" xr:uid="{00000000-0005-0000-0000-000055100000}"/>
    <cellStyle name="Fixed 2 3 2" xfId="9468" xr:uid="{00000000-0005-0000-0000-000056100000}"/>
    <cellStyle name="Fixed 2 30" xfId="3810" xr:uid="{00000000-0005-0000-0000-000057100000}"/>
    <cellStyle name="Fixed 2 30 2" xfId="9469" xr:uid="{00000000-0005-0000-0000-000058100000}"/>
    <cellStyle name="Fixed 2 31" xfId="3811" xr:uid="{00000000-0005-0000-0000-000059100000}"/>
    <cellStyle name="Fixed 2 31 2" xfId="9470" xr:uid="{00000000-0005-0000-0000-00005A100000}"/>
    <cellStyle name="Fixed 2 32" xfId="3812" xr:uid="{00000000-0005-0000-0000-00005B100000}"/>
    <cellStyle name="Fixed 2 32 2" xfId="9471" xr:uid="{00000000-0005-0000-0000-00005C100000}"/>
    <cellStyle name="Fixed 2 33" xfId="3813" xr:uid="{00000000-0005-0000-0000-00005D100000}"/>
    <cellStyle name="Fixed 2 33 2" xfId="9472" xr:uid="{00000000-0005-0000-0000-00005E100000}"/>
    <cellStyle name="Fixed 2 34" xfId="3814" xr:uid="{00000000-0005-0000-0000-00005F100000}"/>
    <cellStyle name="Fixed 2 34 2" xfId="9473" xr:uid="{00000000-0005-0000-0000-000060100000}"/>
    <cellStyle name="Fixed 2 35" xfId="3815" xr:uid="{00000000-0005-0000-0000-000061100000}"/>
    <cellStyle name="Fixed 2 35 2" xfId="9474" xr:uid="{00000000-0005-0000-0000-000062100000}"/>
    <cellStyle name="Fixed 2 36" xfId="3816" xr:uid="{00000000-0005-0000-0000-000063100000}"/>
    <cellStyle name="Fixed 2 36 2" xfId="9475" xr:uid="{00000000-0005-0000-0000-000064100000}"/>
    <cellStyle name="Fixed 2 37" xfId="3817" xr:uid="{00000000-0005-0000-0000-000065100000}"/>
    <cellStyle name="Fixed 2 37 2" xfId="9476" xr:uid="{00000000-0005-0000-0000-000066100000}"/>
    <cellStyle name="Fixed 2 38" xfId="3818" xr:uid="{00000000-0005-0000-0000-000067100000}"/>
    <cellStyle name="Fixed 2 38 2" xfId="9477" xr:uid="{00000000-0005-0000-0000-000068100000}"/>
    <cellStyle name="Fixed 2 39" xfId="3819" xr:uid="{00000000-0005-0000-0000-000069100000}"/>
    <cellStyle name="Fixed 2 39 2" xfId="9478" xr:uid="{00000000-0005-0000-0000-00006A100000}"/>
    <cellStyle name="Fixed 2 4" xfId="3820" xr:uid="{00000000-0005-0000-0000-00006B100000}"/>
    <cellStyle name="Fixed 2 4 2" xfId="9479" xr:uid="{00000000-0005-0000-0000-00006C100000}"/>
    <cellStyle name="Fixed 2 40" xfId="3821" xr:uid="{00000000-0005-0000-0000-00006D100000}"/>
    <cellStyle name="Fixed 2 40 2" xfId="9480" xr:uid="{00000000-0005-0000-0000-00006E100000}"/>
    <cellStyle name="Fixed 2 41" xfId="3822" xr:uid="{00000000-0005-0000-0000-00006F100000}"/>
    <cellStyle name="Fixed 2 41 2" xfId="9481" xr:uid="{00000000-0005-0000-0000-000070100000}"/>
    <cellStyle name="Fixed 2 42" xfId="3823" xr:uid="{00000000-0005-0000-0000-000071100000}"/>
    <cellStyle name="Fixed 2 42 2" xfId="9482" xr:uid="{00000000-0005-0000-0000-000072100000}"/>
    <cellStyle name="Fixed 2 43" xfId="3824" xr:uid="{00000000-0005-0000-0000-000073100000}"/>
    <cellStyle name="Fixed 2 43 2" xfId="9483" xr:uid="{00000000-0005-0000-0000-000074100000}"/>
    <cellStyle name="Fixed 2 44" xfId="3825" xr:uid="{00000000-0005-0000-0000-000075100000}"/>
    <cellStyle name="Fixed 2 44 2" xfId="9484" xr:uid="{00000000-0005-0000-0000-000076100000}"/>
    <cellStyle name="Fixed 2 45" xfId="3826" xr:uid="{00000000-0005-0000-0000-000077100000}"/>
    <cellStyle name="Fixed 2 45 2" xfId="9485" xr:uid="{00000000-0005-0000-0000-000078100000}"/>
    <cellStyle name="Fixed 2 46" xfId="3827" xr:uid="{00000000-0005-0000-0000-000079100000}"/>
    <cellStyle name="Fixed 2 46 2" xfId="9486" xr:uid="{00000000-0005-0000-0000-00007A100000}"/>
    <cellStyle name="Fixed 2 47" xfId="3828" xr:uid="{00000000-0005-0000-0000-00007B100000}"/>
    <cellStyle name="Fixed 2 47 2" xfId="9487" xr:uid="{00000000-0005-0000-0000-00007C100000}"/>
    <cellStyle name="Fixed 2 48" xfId="3829" xr:uid="{00000000-0005-0000-0000-00007D100000}"/>
    <cellStyle name="Fixed 2 48 2" xfId="9488" xr:uid="{00000000-0005-0000-0000-00007E100000}"/>
    <cellStyle name="Fixed 2 49" xfId="3830" xr:uid="{00000000-0005-0000-0000-00007F100000}"/>
    <cellStyle name="Fixed 2 49 2" xfId="9489" xr:uid="{00000000-0005-0000-0000-000080100000}"/>
    <cellStyle name="Fixed 2 5" xfId="3831" xr:uid="{00000000-0005-0000-0000-000081100000}"/>
    <cellStyle name="Fixed 2 5 2" xfId="9490" xr:uid="{00000000-0005-0000-0000-000082100000}"/>
    <cellStyle name="Fixed 2 50" xfId="3832" xr:uid="{00000000-0005-0000-0000-000083100000}"/>
    <cellStyle name="Fixed 2 50 2" xfId="9491" xr:uid="{00000000-0005-0000-0000-000084100000}"/>
    <cellStyle name="Fixed 2 51" xfId="3833" xr:uid="{00000000-0005-0000-0000-000085100000}"/>
    <cellStyle name="Fixed 2 51 2" xfId="9492" xr:uid="{00000000-0005-0000-0000-000086100000}"/>
    <cellStyle name="Fixed 2 52" xfId="3834" xr:uid="{00000000-0005-0000-0000-000087100000}"/>
    <cellStyle name="Fixed 2 52 2" xfId="9493" xr:uid="{00000000-0005-0000-0000-000088100000}"/>
    <cellStyle name="Fixed 2 53" xfId="3835" xr:uid="{00000000-0005-0000-0000-000089100000}"/>
    <cellStyle name="Fixed 2 53 2" xfId="9494" xr:uid="{00000000-0005-0000-0000-00008A100000}"/>
    <cellStyle name="Fixed 2 54" xfId="3836" xr:uid="{00000000-0005-0000-0000-00008B100000}"/>
    <cellStyle name="Fixed 2 54 2" xfId="9495" xr:uid="{00000000-0005-0000-0000-00008C100000}"/>
    <cellStyle name="Fixed 2 55" xfId="3837" xr:uid="{00000000-0005-0000-0000-00008D100000}"/>
    <cellStyle name="Fixed 2 55 2" xfId="9496" xr:uid="{00000000-0005-0000-0000-00008E100000}"/>
    <cellStyle name="Fixed 2 56" xfId="3838" xr:uid="{00000000-0005-0000-0000-00008F100000}"/>
    <cellStyle name="Fixed 2 56 2" xfId="9497" xr:uid="{00000000-0005-0000-0000-000090100000}"/>
    <cellStyle name="Fixed 2 57" xfId="3839" xr:uid="{00000000-0005-0000-0000-000091100000}"/>
    <cellStyle name="Fixed 2 57 2" xfId="9498" xr:uid="{00000000-0005-0000-0000-000092100000}"/>
    <cellStyle name="Fixed 2 58" xfId="3840" xr:uid="{00000000-0005-0000-0000-000093100000}"/>
    <cellStyle name="Fixed 2 58 2" xfId="9499" xr:uid="{00000000-0005-0000-0000-000094100000}"/>
    <cellStyle name="Fixed 2 59" xfId="3841" xr:uid="{00000000-0005-0000-0000-000095100000}"/>
    <cellStyle name="Fixed 2 59 2" xfId="9500" xr:uid="{00000000-0005-0000-0000-000096100000}"/>
    <cellStyle name="Fixed 2 6" xfId="3842" xr:uid="{00000000-0005-0000-0000-000097100000}"/>
    <cellStyle name="Fixed 2 6 2" xfId="9501" xr:uid="{00000000-0005-0000-0000-000098100000}"/>
    <cellStyle name="Fixed 2 60" xfId="3843" xr:uid="{00000000-0005-0000-0000-000099100000}"/>
    <cellStyle name="Fixed 2 60 2" xfId="9502" xr:uid="{00000000-0005-0000-0000-00009A100000}"/>
    <cellStyle name="Fixed 2 61" xfId="3844" xr:uid="{00000000-0005-0000-0000-00009B100000}"/>
    <cellStyle name="Fixed 2 61 2" xfId="9503" xr:uid="{00000000-0005-0000-0000-00009C100000}"/>
    <cellStyle name="Fixed 2 62" xfId="3845" xr:uid="{00000000-0005-0000-0000-00009D100000}"/>
    <cellStyle name="Fixed 2 62 2" xfId="9504" xr:uid="{00000000-0005-0000-0000-00009E100000}"/>
    <cellStyle name="Fixed 2 63" xfId="3846" xr:uid="{00000000-0005-0000-0000-00009F100000}"/>
    <cellStyle name="Fixed 2 63 2" xfId="9505" xr:uid="{00000000-0005-0000-0000-0000A0100000}"/>
    <cellStyle name="Fixed 2 64" xfId="3847" xr:uid="{00000000-0005-0000-0000-0000A1100000}"/>
    <cellStyle name="Fixed 2 64 2" xfId="9506" xr:uid="{00000000-0005-0000-0000-0000A2100000}"/>
    <cellStyle name="Fixed 2 65" xfId="3848" xr:uid="{00000000-0005-0000-0000-0000A3100000}"/>
    <cellStyle name="Fixed 2 65 2" xfId="9507" xr:uid="{00000000-0005-0000-0000-0000A4100000}"/>
    <cellStyle name="Fixed 2 66" xfId="3849" xr:uid="{00000000-0005-0000-0000-0000A5100000}"/>
    <cellStyle name="Fixed 2 66 2" xfId="9508" xr:uid="{00000000-0005-0000-0000-0000A6100000}"/>
    <cellStyle name="Fixed 2 67" xfId="3850" xr:uid="{00000000-0005-0000-0000-0000A7100000}"/>
    <cellStyle name="Fixed 2 67 2" xfId="9509" xr:uid="{00000000-0005-0000-0000-0000A8100000}"/>
    <cellStyle name="Fixed 2 68" xfId="3851" xr:uid="{00000000-0005-0000-0000-0000A9100000}"/>
    <cellStyle name="Fixed 2 68 2" xfId="9510" xr:uid="{00000000-0005-0000-0000-0000AA100000}"/>
    <cellStyle name="Fixed 2 69" xfId="3852" xr:uid="{00000000-0005-0000-0000-0000AB100000}"/>
    <cellStyle name="Fixed 2 69 2" xfId="9511" xr:uid="{00000000-0005-0000-0000-0000AC100000}"/>
    <cellStyle name="Fixed 2 7" xfId="3853" xr:uid="{00000000-0005-0000-0000-0000AD100000}"/>
    <cellStyle name="Fixed 2 7 2" xfId="9512" xr:uid="{00000000-0005-0000-0000-0000AE100000}"/>
    <cellStyle name="Fixed 2 70" xfId="3854" xr:uid="{00000000-0005-0000-0000-0000AF100000}"/>
    <cellStyle name="Fixed 2 70 2" xfId="9513" xr:uid="{00000000-0005-0000-0000-0000B0100000}"/>
    <cellStyle name="Fixed 2 71" xfId="3855" xr:uid="{00000000-0005-0000-0000-0000B1100000}"/>
    <cellStyle name="Fixed 2 71 2" xfId="9514" xr:uid="{00000000-0005-0000-0000-0000B2100000}"/>
    <cellStyle name="Fixed 2 72" xfId="3856" xr:uid="{00000000-0005-0000-0000-0000B3100000}"/>
    <cellStyle name="Fixed 2 72 2" xfId="9515" xr:uid="{00000000-0005-0000-0000-0000B4100000}"/>
    <cellStyle name="Fixed 2 73" xfId="3857" xr:uid="{00000000-0005-0000-0000-0000B5100000}"/>
    <cellStyle name="Fixed 2 73 2" xfId="9516" xr:uid="{00000000-0005-0000-0000-0000B6100000}"/>
    <cellStyle name="Fixed 2 74" xfId="3858" xr:uid="{00000000-0005-0000-0000-0000B7100000}"/>
    <cellStyle name="Fixed 2 74 2" xfId="9517" xr:uid="{00000000-0005-0000-0000-0000B8100000}"/>
    <cellStyle name="Fixed 2 75" xfId="3859" xr:uid="{00000000-0005-0000-0000-0000B9100000}"/>
    <cellStyle name="Fixed 2 75 2" xfId="9518" xr:uid="{00000000-0005-0000-0000-0000BA100000}"/>
    <cellStyle name="Fixed 2 76" xfId="3860" xr:uid="{00000000-0005-0000-0000-0000BB100000}"/>
    <cellStyle name="Fixed 2 76 2" xfId="9519" xr:uid="{00000000-0005-0000-0000-0000BC100000}"/>
    <cellStyle name="Fixed 2 77" xfId="3861" xr:uid="{00000000-0005-0000-0000-0000BD100000}"/>
    <cellStyle name="Fixed 2 77 2" xfId="9520" xr:uid="{00000000-0005-0000-0000-0000BE100000}"/>
    <cellStyle name="Fixed 2 78" xfId="3862" xr:uid="{00000000-0005-0000-0000-0000BF100000}"/>
    <cellStyle name="Fixed 2 78 2" xfId="9521" xr:uid="{00000000-0005-0000-0000-0000C0100000}"/>
    <cellStyle name="Fixed 2 79" xfId="3863" xr:uid="{00000000-0005-0000-0000-0000C1100000}"/>
    <cellStyle name="Fixed 2 79 2" xfId="9522" xr:uid="{00000000-0005-0000-0000-0000C2100000}"/>
    <cellStyle name="Fixed 2 8" xfId="3864" xr:uid="{00000000-0005-0000-0000-0000C3100000}"/>
    <cellStyle name="Fixed 2 8 2" xfId="9523" xr:uid="{00000000-0005-0000-0000-0000C4100000}"/>
    <cellStyle name="Fixed 2 80" xfId="3865" xr:uid="{00000000-0005-0000-0000-0000C5100000}"/>
    <cellStyle name="Fixed 2 80 2" xfId="9524" xr:uid="{00000000-0005-0000-0000-0000C6100000}"/>
    <cellStyle name="Fixed 2 81" xfId="3866" xr:uid="{00000000-0005-0000-0000-0000C7100000}"/>
    <cellStyle name="Fixed 2 81 2" xfId="9525" xr:uid="{00000000-0005-0000-0000-0000C8100000}"/>
    <cellStyle name="Fixed 2 82" xfId="3867" xr:uid="{00000000-0005-0000-0000-0000C9100000}"/>
    <cellStyle name="Fixed 2 82 2" xfId="9526" xr:uid="{00000000-0005-0000-0000-0000CA100000}"/>
    <cellStyle name="Fixed 2 83" xfId="3868" xr:uid="{00000000-0005-0000-0000-0000CB100000}"/>
    <cellStyle name="Fixed 2 83 2" xfId="9527" xr:uid="{00000000-0005-0000-0000-0000CC100000}"/>
    <cellStyle name="Fixed 2 84" xfId="3869" xr:uid="{00000000-0005-0000-0000-0000CD100000}"/>
    <cellStyle name="Fixed 2 84 2" xfId="9528" xr:uid="{00000000-0005-0000-0000-0000CE100000}"/>
    <cellStyle name="Fixed 2 85" xfId="3870" xr:uid="{00000000-0005-0000-0000-0000CF100000}"/>
    <cellStyle name="Fixed 2 85 2" xfId="9529" xr:uid="{00000000-0005-0000-0000-0000D0100000}"/>
    <cellStyle name="Fixed 2 86" xfId="3871" xr:uid="{00000000-0005-0000-0000-0000D1100000}"/>
    <cellStyle name="Fixed 2 86 2" xfId="9530" xr:uid="{00000000-0005-0000-0000-0000D2100000}"/>
    <cellStyle name="Fixed 2 87" xfId="3872" xr:uid="{00000000-0005-0000-0000-0000D3100000}"/>
    <cellStyle name="Fixed 2 87 2" xfId="9531" xr:uid="{00000000-0005-0000-0000-0000D4100000}"/>
    <cellStyle name="Fixed 2 88" xfId="3873" xr:uid="{00000000-0005-0000-0000-0000D5100000}"/>
    <cellStyle name="Fixed 2 88 2" xfId="9532" xr:uid="{00000000-0005-0000-0000-0000D6100000}"/>
    <cellStyle name="Fixed 2 89" xfId="3874" xr:uid="{00000000-0005-0000-0000-0000D7100000}"/>
    <cellStyle name="Fixed 2 89 2" xfId="9533" xr:uid="{00000000-0005-0000-0000-0000D8100000}"/>
    <cellStyle name="Fixed 2 9" xfId="3875" xr:uid="{00000000-0005-0000-0000-0000D9100000}"/>
    <cellStyle name="Fixed 2 9 2" xfId="9534" xr:uid="{00000000-0005-0000-0000-0000DA100000}"/>
    <cellStyle name="Fixed 2 90" xfId="3876" xr:uid="{00000000-0005-0000-0000-0000DB100000}"/>
    <cellStyle name="Fixed 2 90 2" xfId="9535" xr:uid="{00000000-0005-0000-0000-0000DC100000}"/>
    <cellStyle name="Fixed 2 91" xfId="3877" xr:uid="{00000000-0005-0000-0000-0000DD100000}"/>
    <cellStyle name="Fixed 2 91 2" xfId="9536" xr:uid="{00000000-0005-0000-0000-0000DE100000}"/>
    <cellStyle name="Fixed 2 92" xfId="3878" xr:uid="{00000000-0005-0000-0000-0000DF100000}"/>
    <cellStyle name="Fixed 2 92 2" xfId="9537" xr:uid="{00000000-0005-0000-0000-0000E0100000}"/>
    <cellStyle name="Fixed 2 93" xfId="3879" xr:uid="{00000000-0005-0000-0000-0000E1100000}"/>
    <cellStyle name="Fixed 2 93 2" xfId="9538" xr:uid="{00000000-0005-0000-0000-0000E2100000}"/>
    <cellStyle name="Fixed 2 94" xfId="3880" xr:uid="{00000000-0005-0000-0000-0000E3100000}"/>
    <cellStyle name="Fixed 2 94 2" xfId="9539" xr:uid="{00000000-0005-0000-0000-0000E4100000}"/>
    <cellStyle name="Fixed 2 95" xfId="3881" xr:uid="{00000000-0005-0000-0000-0000E5100000}"/>
    <cellStyle name="Fixed 2 95 2" xfId="9540" xr:uid="{00000000-0005-0000-0000-0000E6100000}"/>
    <cellStyle name="Fixed 2 96" xfId="3882" xr:uid="{00000000-0005-0000-0000-0000E7100000}"/>
    <cellStyle name="Fixed 2 96 2" xfId="9541" xr:uid="{00000000-0005-0000-0000-0000E8100000}"/>
    <cellStyle name="Fixed 2 97" xfId="3883" xr:uid="{00000000-0005-0000-0000-0000E9100000}"/>
    <cellStyle name="Fixed 2 97 2" xfId="9542" xr:uid="{00000000-0005-0000-0000-0000EA100000}"/>
    <cellStyle name="Fixed 2 98" xfId="3884" xr:uid="{00000000-0005-0000-0000-0000EB100000}"/>
    <cellStyle name="Fixed 2 98 2" xfId="9543" xr:uid="{00000000-0005-0000-0000-0000EC100000}"/>
    <cellStyle name="Fixed 2 99" xfId="3885" xr:uid="{00000000-0005-0000-0000-0000ED100000}"/>
    <cellStyle name="Fixed 2 99 2" xfId="9544" xr:uid="{00000000-0005-0000-0000-0000EE100000}"/>
    <cellStyle name="Fixed 20" xfId="531" xr:uid="{00000000-0005-0000-0000-0000EF100000}"/>
    <cellStyle name="Fixed 20 2" xfId="532" xr:uid="{00000000-0005-0000-0000-0000F0100000}"/>
    <cellStyle name="Fixed 20 2 2" xfId="9546" xr:uid="{00000000-0005-0000-0000-0000F1100000}"/>
    <cellStyle name="Fixed 20 3" xfId="3886" xr:uid="{00000000-0005-0000-0000-0000F2100000}"/>
    <cellStyle name="Fixed 20 3 2" xfId="9547" xr:uid="{00000000-0005-0000-0000-0000F3100000}"/>
    <cellStyle name="Fixed 20 4" xfId="9545" xr:uid="{00000000-0005-0000-0000-0000F4100000}"/>
    <cellStyle name="Fixed 21" xfId="533" xr:uid="{00000000-0005-0000-0000-0000F5100000}"/>
    <cellStyle name="Fixed 21 2" xfId="534" xr:uid="{00000000-0005-0000-0000-0000F6100000}"/>
    <cellStyle name="Fixed 21 2 2" xfId="9549" xr:uid="{00000000-0005-0000-0000-0000F7100000}"/>
    <cellStyle name="Fixed 21 3" xfId="3887" xr:uid="{00000000-0005-0000-0000-0000F8100000}"/>
    <cellStyle name="Fixed 21 3 2" xfId="9550" xr:uid="{00000000-0005-0000-0000-0000F9100000}"/>
    <cellStyle name="Fixed 21 4" xfId="9548" xr:uid="{00000000-0005-0000-0000-0000FA100000}"/>
    <cellStyle name="Fixed 22" xfId="535" xr:uid="{00000000-0005-0000-0000-0000FB100000}"/>
    <cellStyle name="Fixed 22 2" xfId="536" xr:uid="{00000000-0005-0000-0000-0000FC100000}"/>
    <cellStyle name="Fixed 22 2 2" xfId="9552" xr:uid="{00000000-0005-0000-0000-0000FD100000}"/>
    <cellStyle name="Fixed 22 3" xfId="3888" xr:uid="{00000000-0005-0000-0000-0000FE100000}"/>
    <cellStyle name="Fixed 22 3 2" xfId="9553" xr:uid="{00000000-0005-0000-0000-0000FF100000}"/>
    <cellStyle name="Fixed 22 4" xfId="9551" xr:uid="{00000000-0005-0000-0000-000000110000}"/>
    <cellStyle name="Fixed 23" xfId="537" xr:uid="{00000000-0005-0000-0000-000001110000}"/>
    <cellStyle name="Fixed 23 2" xfId="538" xr:uid="{00000000-0005-0000-0000-000002110000}"/>
    <cellStyle name="Fixed 23 2 2" xfId="9555" xr:uid="{00000000-0005-0000-0000-000003110000}"/>
    <cellStyle name="Fixed 23 3" xfId="3889" xr:uid="{00000000-0005-0000-0000-000004110000}"/>
    <cellStyle name="Fixed 23 3 2" xfId="9556" xr:uid="{00000000-0005-0000-0000-000005110000}"/>
    <cellStyle name="Fixed 23 4" xfId="9554" xr:uid="{00000000-0005-0000-0000-000006110000}"/>
    <cellStyle name="Fixed 24" xfId="539" xr:uid="{00000000-0005-0000-0000-000007110000}"/>
    <cellStyle name="Fixed 24 2" xfId="540" xr:uid="{00000000-0005-0000-0000-000008110000}"/>
    <cellStyle name="Fixed 24 2 2" xfId="9558" xr:uid="{00000000-0005-0000-0000-000009110000}"/>
    <cellStyle name="Fixed 24 3" xfId="3890" xr:uid="{00000000-0005-0000-0000-00000A110000}"/>
    <cellStyle name="Fixed 24 3 2" xfId="9559" xr:uid="{00000000-0005-0000-0000-00000B110000}"/>
    <cellStyle name="Fixed 24 4" xfId="9557" xr:uid="{00000000-0005-0000-0000-00000C110000}"/>
    <cellStyle name="Fixed 25" xfId="541" xr:uid="{00000000-0005-0000-0000-00000D110000}"/>
    <cellStyle name="Fixed 25 2" xfId="542" xr:uid="{00000000-0005-0000-0000-00000E110000}"/>
    <cellStyle name="Fixed 25 2 2" xfId="9561" xr:uid="{00000000-0005-0000-0000-00000F110000}"/>
    <cellStyle name="Fixed 25 3" xfId="3891" xr:uid="{00000000-0005-0000-0000-000010110000}"/>
    <cellStyle name="Fixed 25 3 2" xfId="9562" xr:uid="{00000000-0005-0000-0000-000011110000}"/>
    <cellStyle name="Fixed 25 4" xfId="9560" xr:uid="{00000000-0005-0000-0000-000012110000}"/>
    <cellStyle name="Fixed 26" xfId="543" xr:uid="{00000000-0005-0000-0000-000013110000}"/>
    <cellStyle name="Fixed 26 2" xfId="544" xr:uid="{00000000-0005-0000-0000-000014110000}"/>
    <cellStyle name="Fixed 26 2 2" xfId="9564" xr:uid="{00000000-0005-0000-0000-000015110000}"/>
    <cellStyle name="Fixed 26 3" xfId="3892" xr:uid="{00000000-0005-0000-0000-000016110000}"/>
    <cellStyle name="Fixed 26 3 2" xfId="9565" xr:uid="{00000000-0005-0000-0000-000017110000}"/>
    <cellStyle name="Fixed 26 4" xfId="9563" xr:uid="{00000000-0005-0000-0000-000018110000}"/>
    <cellStyle name="Fixed 27" xfId="545" xr:uid="{00000000-0005-0000-0000-000019110000}"/>
    <cellStyle name="Fixed 27 2" xfId="546" xr:uid="{00000000-0005-0000-0000-00001A110000}"/>
    <cellStyle name="Fixed 27 2 2" xfId="9567" xr:uid="{00000000-0005-0000-0000-00001B110000}"/>
    <cellStyle name="Fixed 27 3" xfId="3893" xr:uid="{00000000-0005-0000-0000-00001C110000}"/>
    <cellStyle name="Fixed 27 3 2" xfId="9568" xr:uid="{00000000-0005-0000-0000-00001D110000}"/>
    <cellStyle name="Fixed 27 4" xfId="9566" xr:uid="{00000000-0005-0000-0000-00001E110000}"/>
    <cellStyle name="Fixed 28" xfId="547" xr:uid="{00000000-0005-0000-0000-00001F110000}"/>
    <cellStyle name="Fixed 28 2" xfId="548" xr:uid="{00000000-0005-0000-0000-000020110000}"/>
    <cellStyle name="Fixed 28 2 2" xfId="9570" xr:uid="{00000000-0005-0000-0000-000021110000}"/>
    <cellStyle name="Fixed 28 3" xfId="3894" xr:uid="{00000000-0005-0000-0000-000022110000}"/>
    <cellStyle name="Fixed 28 3 2" xfId="9571" xr:uid="{00000000-0005-0000-0000-000023110000}"/>
    <cellStyle name="Fixed 28 4" xfId="9569" xr:uid="{00000000-0005-0000-0000-000024110000}"/>
    <cellStyle name="Fixed 29" xfId="549" xr:uid="{00000000-0005-0000-0000-000025110000}"/>
    <cellStyle name="Fixed 29 2" xfId="550" xr:uid="{00000000-0005-0000-0000-000026110000}"/>
    <cellStyle name="Fixed 29 2 2" xfId="9573" xr:uid="{00000000-0005-0000-0000-000027110000}"/>
    <cellStyle name="Fixed 29 3" xfId="3895" xr:uid="{00000000-0005-0000-0000-000028110000}"/>
    <cellStyle name="Fixed 29 3 2" xfId="9574" xr:uid="{00000000-0005-0000-0000-000029110000}"/>
    <cellStyle name="Fixed 29 4" xfId="9572" xr:uid="{00000000-0005-0000-0000-00002A110000}"/>
    <cellStyle name="Fixed 3" xfId="551" xr:uid="{00000000-0005-0000-0000-00002B110000}"/>
    <cellStyle name="Fixed 3 2" xfId="552" xr:uid="{00000000-0005-0000-0000-00002C110000}"/>
    <cellStyle name="Fixed 3 2 2" xfId="9576" xr:uid="{00000000-0005-0000-0000-00002D110000}"/>
    <cellStyle name="Fixed 3 3" xfId="3896" xr:uid="{00000000-0005-0000-0000-00002E110000}"/>
    <cellStyle name="Fixed 3 3 2" xfId="9577" xr:uid="{00000000-0005-0000-0000-00002F110000}"/>
    <cellStyle name="Fixed 3 4" xfId="9575" xr:uid="{00000000-0005-0000-0000-000030110000}"/>
    <cellStyle name="Fixed 30" xfId="553" xr:uid="{00000000-0005-0000-0000-000031110000}"/>
    <cellStyle name="Fixed 30 2" xfId="554" xr:uid="{00000000-0005-0000-0000-000032110000}"/>
    <cellStyle name="Fixed 30 2 2" xfId="9579" xr:uid="{00000000-0005-0000-0000-000033110000}"/>
    <cellStyle name="Fixed 30 3" xfId="3897" xr:uid="{00000000-0005-0000-0000-000034110000}"/>
    <cellStyle name="Fixed 30 3 2" xfId="9580" xr:uid="{00000000-0005-0000-0000-000035110000}"/>
    <cellStyle name="Fixed 30 4" xfId="9578" xr:uid="{00000000-0005-0000-0000-000036110000}"/>
    <cellStyle name="Fixed 31" xfId="555" xr:uid="{00000000-0005-0000-0000-000037110000}"/>
    <cellStyle name="Fixed 31 2" xfId="556" xr:uid="{00000000-0005-0000-0000-000038110000}"/>
    <cellStyle name="Fixed 31 2 2" xfId="9582" xr:uid="{00000000-0005-0000-0000-000039110000}"/>
    <cellStyle name="Fixed 31 3" xfId="3898" xr:uid="{00000000-0005-0000-0000-00003A110000}"/>
    <cellStyle name="Fixed 31 3 2" xfId="9583" xr:uid="{00000000-0005-0000-0000-00003B110000}"/>
    <cellStyle name="Fixed 31 4" xfId="9581" xr:uid="{00000000-0005-0000-0000-00003C110000}"/>
    <cellStyle name="Fixed 32" xfId="557" xr:uid="{00000000-0005-0000-0000-00003D110000}"/>
    <cellStyle name="Fixed 32 2" xfId="558" xr:uid="{00000000-0005-0000-0000-00003E110000}"/>
    <cellStyle name="Fixed 32 2 2" xfId="9585" xr:uid="{00000000-0005-0000-0000-00003F110000}"/>
    <cellStyle name="Fixed 32 3" xfId="3899" xr:uid="{00000000-0005-0000-0000-000040110000}"/>
    <cellStyle name="Fixed 32 3 2" xfId="9586" xr:uid="{00000000-0005-0000-0000-000041110000}"/>
    <cellStyle name="Fixed 32 4" xfId="9584" xr:uid="{00000000-0005-0000-0000-000042110000}"/>
    <cellStyle name="Fixed 33" xfId="559" xr:uid="{00000000-0005-0000-0000-000043110000}"/>
    <cellStyle name="Fixed 33 2" xfId="560" xr:uid="{00000000-0005-0000-0000-000044110000}"/>
    <cellStyle name="Fixed 33 2 2" xfId="9588" xr:uid="{00000000-0005-0000-0000-000045110000}"/>
    <cellStyle name="Fixed 33 3" xfId="3900" xr:uid="{00000000-0005-0000-0000-000046110000}"/>
    <cellStyle name="Fixed 33 3 2" xfId="9589" xr:uid="{00000000-0005-0000-0000-000047110000}"/>
    <cellStyle name="Fixed 33 4" xfId="9587" xr:uid="{00000000-0005-0000-0000-000048110000}"/>
    <cellStyle name="Fixed 34" xfId="561" xr:uid="{00000000-0005-0000-0000-000049110000}"/>
    <cellStyle name="Fixed 34 2" xfId="562" xr:uid="{00000000-0005-0000-0000-00004A110000}"/>
    <cellStyle name="Fixed 34 2 2" xfId="9591" xr:uid="{00000000-0005-0000-0000-00004B110000}"/>
    <cellStyle name="Fixed 34 3" xfId="3901" xr:uid="{00000000-0005-0000-0000-00004C110000}"/>
    <cellStyle name="Fixed 34 3 2" xfId="9592" xr:uid="{00000000-0005-0000-0000-00004D110000}"/>
    <cellStyle name="Fixed 34 4" xfId="9590" xr:uid="{00000000-0005-0000-0000-00004E110000}"/>
    <cellStyle name="Fixed 35" xfId="563" xr:uid="{00000000-0005-0000-0000-00004F110000}"/>
    <cellStyle name="Fixed 35 2" xfId="564" xr:uid="{00000000-0005-0000-0000-000050110000}"/>
    <cellStyle name="Fixed 35 2 2" xfId="9594" xr:uid="{00000000-0005-0000-0000-000051110000}"/>
    <cellStyle name="Fixed 35 3" xfId="3902" xr:uid="{00000000-0005-0000-0000-000052110000}"/>
    <cellStyle name="Fixed 35 3 2" xfId="9595" xr:uid="{00000000-0005-0000-0000-000053110000}"/>
    <cellStyle name="Fixed 35 4" xfId="9593" xr:uid="{00000000-0005-0000-0000-000054110000}"/>
    <cellStyle name="Fixed 36" xfId="565" xr:uid="{00000000-0005-0000-0000-000055110000}"/>
    <cellStyle name="Fixed 36 2" xfId="566" xr:uid="{00000000-0005-0000-0000-000056110000}"/>
    <cellStyle name="Fixed 36 2 2" xfId="9597" xr:uid="{00000000-0005-0000-0000-000057110000}"/>
    <cellStyle name="Fixed 36 3" xfId="3903" xr:uid="{00000000-0005-0000-0000-000058110000}"/>
    <cellStyle name="Fixed 36 3 2" xfId="9598" xr:uid="{00000000-0005-0000-0000-000059110000}"/>
    <cellStyle name="Fixed 36 4" xfId="9596" xr:uid="{00000000-0005-0000-0000-00005A110000}"/>
    <cellStyle name="Fixed 37" xfId="567" xr:uid="{00000000-0005-0000-0000-00005B110000}"/>
    <cellStyle name="Fixed 37 2" xfId="568" xr:uid="{00000000-0005-0000-0000-00005C110000}"/>
    <cellStyle name="Fixed 37 2 2" xfId="9600" xr:uid="{00000000-0005-0000-0000-00005D110000}"/>
    <cellStyle name="Fixed 37 3" xfId="3904" xr:uid="{00000000-0005-0000-0000-00005E110000}"/>
    <cellStyle name="Fixed 37 3 2" xfId="9601" xr:uid="{00000000-0005-0000-0000-00005F110000}"/>
    <cellStyle name="Fixed 37 4" xfId="9599" xr:uid="{00000000-0005-0000-0000-000060110000}"/>
    <cellStyle name="Fixed 38" xfId="569" xr:uid="{00000000-0005-0000-0000-000061110000}"/>
    <cellStyle name="Fixed 38 2" xfId="570" xr:uid="{00000000-0005-0000-0000-000062110000}"/>
    <cellStyle name="Fixed 38 2 2" xfId="9603" xr:uid="{00000000-0005-0000-0000-000063110000}"/>
    <cellStyle name="Fixed 38 3" xfId="3905" xr:uid="{00000000-0005-0000-0000-000064110000}"/>
    <cellStyle name="Fixed 38 3 2" xfId="9604" xr:uid="{00000000-0005-0000-0000-000065110000}"/>
    <cellStyle name="Fixed 38 4" xfId="9602" xr:uid="{00000000-0005-0000-0000-000066110000}"/>
    <cellStyle name="Fixed 39" xfId="571" xr:uid="{00000000-0005-0000-0000-000067110000}"/>
    <cellStyle name="Fixed 39 2" xfId="572" xr:uid="{00000000-0005-0000-0000-000068110000}"/>
    <cellStyle name="Fixed 39 2 2" xfId="9606" xr:uid="{00000000-0005-0000-0000-000069110000}"/>
    <cellStyle name="Fixed 39 3" xfId="3906" xr:uid="{00000000-0005-0000-0000-00006A110000}"/>
    <cellStyle name="Fixed 39 3 2" xfId="9607" xr:uid="{00000000-0005-0000-0000-00006B110000}"/>
    <cellStyle name="Fixed 39 4" xfId="9605" xr:uid="{00000000-0005-0000-0000-00006C110000}"/>
    <cellStyle name="Fixed 4" xfId="573" xr:uid="{00000000-0005-0000-0000-00006D110000}"/>
    <cellStyle name="Fixed 4 2" xfId="574" xr:uid="{00000000-0005-0000-0000-00006E110000}"/>
    <cellStyle name="Fixed 4 2 2" xfId="9609" xr:uid="{00000000-0005-0000-0000-00006F110000}"/>
    <cellStyle name="Fixed 4 3" xfId="3907" xr:uid="{00000000-0005-0000-0000-000070110000}"/>
    <cellStyle name="Fixed 4 3 2" xfId="9610" xr:uid="{00000000-0005-0000-0000-000071110000}"/>
    <cellStyle name="Fixed 4 4" xfId="9608" xr:uid="{00000000-0005-0000-0000-000072110000}"/>
    <cellStyle name="Fixed 40" xfId="575" xr:uid="{00000000-0005-0000-0000-000073110000}"/>
    <cellStyle name="Fixed 40 2" xfId="576" xr:uid="{00000000-0005-0000-0000-000074110000}"/>
    <cellStyle name="Fixed 40 2 2" xfId="9612" xr:uid="{00000000-0005-0000-0000-000075110000}"/>
    <cellStyle name="Fixed 40 3" xfId="3908" xr:uid="{00000000-0005-0000-0000-000076110000}"/>
    <cellStyle name="Fixed 40 3 2" xfId="9613" xr:uid="{00000000-0005-0000-0000-000077110000}"/>
    <cellStyle name="Fixed 40 4" xfId="9611" xr:uid="{00000000-0005-0000-0000-000078110000}"/>
    <cellStyle name="Fixed 41" xfId="577" xr:uid="{00000000-0005-0000-0000-000079110000}"/>
    <cellStyle name="Fixed 41 2" xfId="578" xr:uid="{00000000-0005-0000-0000-00007A110000}"/>
    <cellStyle name="Fixed 41 2 2" xfId="9615" xr:uid="{00000000-0005-0000-0000-00007B110000}"/>
    <cellStyle name="Fixed 41 3" xfId="3909" xr:uid="{00000000-0005-0000-0000-00007C110000}"/>
    <cellStyle name="Fixed 41 3 2" xfId="9616" xr:uid="{00000000-0005-0000-0000-00007D110000}"/>
    <cellStyle name="Fixed 41 4" xfId="9614" xr:uid="{00000000-0005-0000-0000-00007E110000}"/>
    <cellStyle name="Fixed 42" xfId="579" xr:uid="{00000000-0005-0000-0000-00007F110000}"/>
    <cellStyle name="Fixed 42 2" xfId="580" xr:uid="{00000000-0005-0000-0000-000080110000}"/>
    <cellStyle name="Fixed 42 2 2" xfId="9618" xr:uid="{00000000-0005-0000-0000-000081110000}"/>
    <cellStyle name="Fixed 42 3" xfId="3910" xr:uid="{00000000-0005-0000-0000-000082110000}"/>
    <cellStyle name="Fixed 42 3 2" xfId="9619" xr:uid="{00000000-0005-0000-0000-000083110000}"/>
    <cellStyle name="Fixed 42 4" xfId="9617" xr:uid="{00000000-0005-0000-0000-000084110000}"/>
    <cellStyle name="Fixed 43" xfId="581" xr:uid="{00000000-0005-0000-0000-000085110000}"/>
    <cellStyle name="Fixed 43 2" xfId="582" xr:uid="{00000000-0005-0000-0000-000086110000}"/>
    <cellStyle name="Fixed 43 2 2" xfId="9621" xr:uid="{00000000-0005-0000-0000-000087110000}"/>
    <cellStyle name="Fixed 43 3" xfId="3911" xr:uid="{00000000-0005-0000-0000-000088110000}"/>
    <cellStyle name="Fixed 43 3 2" xfId="9622" xr:uid="{00000000-0005-0000-0000-000089110000}"/>
    <cellStyle name="Fixed 43 4" xfId="9620" xr:uid="{00000000-0005-0000-0000-00008A110000}"/>
    <cellStyle name="Fixed 44" xfId="583" xr:uid="{00000000-0005-0000-0000-00008B110000}"/>
    <cellStyle name="Fixed 44 2" xfId="3912" xr:uid="{00000000-0005-0000-0000-00008C110000}"/>
    <cellStyle name="Fixed 44 2 2" xfId="9624" xr:uid="{00000000-0005-0000-0000-00008D110000}"/>
    <cellStyle name="Fixed 44 3" xfId="8899" xr:uid="{00000000-0005-0000-0000-00008E110000}"/>
    <cellStyle name="Fixed 44 3 2" xfId="9625" xr:uid="{00000000-0005-0000-0000-00008F110000}"/>
    <cellStyle name="Fixed 44 4" xfId="9623" xr:uid="{00000000-0005-0000-0000-000090110000}"/>
    <cellStyle name="Fixed 45" xfId="3913" xr:uid="{00000000-0005-0000-0000-000091110000}"/>
    <cellStyle name="Fixed 45 2" xfId="9626" xr:uid="{00000000-0005-0000-0000-000092110000}"/>
    <cellStyle name="Fixed 46" xfId="3914" xr:uid="{00000000-0005-0000-0000-000093110000}"/>
    <cellStyle name="Fixed 46 2" xfId="9627" xr:uid="{00000000-0005-0000-0000-000094110000}"/>
    <cellStyle name="Fixed 47" xfId="3608" xr:uid="{00000000-0005-0000-0000-000095110000}"/>
    <cellStyle name="Fixed 47 2" xfId="9628" xr:uid="{00000000-0005-0000-0000-000096110000}"/>
    <cellStyle name="Fixed 48" xfId="484" xr:uid="{00000000-0005-0000-0000-000097110000}"/>
    <cellStyle name="Fixed 48 2" xfId="9629" xr:uid="{00000000-0005-0000-0000-000098110000}"/>
    <cellStyle name="Fixed 49" xfId="61" xr:uid="{00000000-0005-0000-0000-000099110000}"/>
    <cellStyle name="Fixed 5" xfId="584" xr:uid="{00000000-0005-0000-0000-00009A110000}"/>
    <cellStyle name="Fixed 5 2" xfId="585" xr:uid="{00000000-0005-0000-0000-00009B110000}"/>
    <cellStyle name="Fixed 5 2 2" xfId="9631" xr:uid="{00000000-0005-0000-0000-00009C110000}"/>
    <cellStyle name="Fixed 5 3" xfId="3915" xr:uid="{00000000-0005-0000-0000-00009D110000}"/>
    <cellStyle name="Fixed 5 3 2" xfId="9632" xr:uid="{00000000-0005-0000-0000-00009E110000}"/>
    <cellStyle name="Fixed 5 4" xfId="9630" xr:uid="{00000000-0005-0000-0000-00009F110000}"/>
    <cellStyle name="Fixed 6" xfId="586" xr:uid="{00000000-0005-0000-0000-0000A0110000}"/>
    <cellStyle name="Fixed 6 2" xfId="587" xr:uid="{00000000-0005-0000-0000-0000A1110000}"/>
    <cellStyle name="Fixed 6 2 2" xfId="9634" xr:uid="{00000000-0005-0000-0000-0000A2110000}"/>
    <cellStyle name="Fixed 6 3" xfId="3916" xr:uid="{00000000-0005-0000-0000-0000A3110000}"/>
    <cellStyle name="Fixed 6 3 2" xfId="9635" xr:uid="{00000000-0005-0000-0000-0000A4110000}"/>
    <cellStyle name="Fixed 6 4" xfId="9633" xr:uid="{00000000-0005-0000-0000-0000A5110000}"/>
    <cellStyle name="Fixed 7" xfId="588" xr:uid="{00000000-0005-0000-0000-0000A6110000}"/>
    <cellStyle name="Fixed 7 2" xfId="589" xr:uid="{00000000-0005-0000-0000-0000A7110000}"/>
    <cellStyle name="Fixed 7 2 2" xfId="9637" xr:uid="{00000000-0005-0000-0000-0000A8110000}"/>
    <cellStyle name="Fixed 7 3" xfId="3917" xr:uid="{00000000-0005-0000-0000-0000A9110000}"/>
    <cellStyle name="Fixed 7 3 2" xfId="9638" xr:uid="{00000000-0005-0000-0000-0000AA110000}"/>
    <cellStyle name="Fixed 7 4" xfId="9636" xr:uid="{00000000-0005-0000-0000-0000AB110000}"/>
    <cellStyle name="Fixed 8" xfId="590" xr:uid="{00000000-0005-0000-0000-0000AC110000}"/>
    <cellStyle name="Fixed 8 2" xfId="591" xr:uid="{00000000-0005-0000-0000-0000AD110000}"/>
    <cellStyle name="Fixed 8 2 2" xfId="9640" xr:uid="{00000000-0005-0000-0000-0000AE110000}"/>
    <cellStyle name="Fixed 8 3" xfId="3918" xr:uid="{00000000-0005-0000-0000-0000AF110000}"/>
    <cellStyle name="Fixed 8 3 2" xfId="9641" xr:uid="{00000000-0005-0000-0000-0000B0110000}"/>
    <cellStyle name="Fixed 8 4" xfId="9639" xr:uid="{00000000-0005-0000-0000-0000B1110000}"/>
    <cellStyle name="Fixed 9" xfId="592" xr:uid="{00000000-0005-0000-0000-0000B2110000}"/>
    <cellStyle name="Fixed 9 2" xfId="593" xr:uid="{00000000-0005-0000-0000-0000B3110000}"/>
    <cellStyle name="Fixed 9 2 2" xfId="9643" xr:uid="{00000000-0005-0000-0000-0000B4110000}"/>
    <cellStyle name="Fixed 9 3" xfId="3919" xr:uid="{00000000-0005-0000-0000-0000B5110000}"/>
    <cellStyle name="Fixed 9 3 2" xfId="9644" xr:uid="{00000000-0005-0000-0000-0000B6110000}"/>
    <cellStyle name="Fixed 9 4" xfId="9642" xr:uid="{00000000-0005-0000-0000-0000B7110000}"/>
    <cellStyle name="Good" xfId="40" builtinId="26" customBuiltin="1"/>
    <cellStyle name="Good 10" xfId="3920" xr:uid="{00000000-0005-0000-0000-0000B9110000}"/>
    <cellStyle name="Good 10 2" xfId="8308" xr:uid="{00000000-0005-0000-0000-0000BA110000}"/>
    <cellStyle name="Good 10 2 2" xfId="9647" xr:uid="{00000000-0005-0000-0000-0000BB110000}"/>
    <cellStyle name="Good 10 3" xfId="7453" xr:uid="{00000000-0005-0000-0000-0000BC110000}"/>
    <cellStyle name="Good 10 3 2" xfId="9648" xr:uid="{00000000-0005-0000-0000-0000BD110000}"/>
    <cellStyle name="Good 10 4" xfId="9646" xr:uid="{00000000-0005-0000-0000-0000BE110000}"/>
    <cellStyle name="Good 11" xfId="3921" xr:uid="{00000000-0005-0000-0000-0000BF110000}"/>
    <cellStyle name="Good 11 2" xfId="8309" xr:uid="{00000000-0005-0000-0000-0000C0110000}"/>
    <cellStyle name="Good 11 2 2" xfId="9650" xr:uid="{00000000-0005-0000-0000-0000C1110000}"/>
    <cellStyle name="Good 11 3" xfId="7454" xr:uid="{00000000-0005-0000-0000-0000C2110000}"/>
    <cellStyle name="Good 11 3 2" xfId="9651" xr:uid="{00000000-0005-0000-0000-0000C3110000}"/>
    <cellStyle name="Good 11 4" xfId="9649" xr:uid="{00000000-0005-0000-0000-0000C4110000}"/>
    <cellStyle name="Good 12" xfId="9645" xr:uid="{00000000-0005-0000-0000-0000C5110000}"/>
    <cellStyle name="Good 2" xfId="594" xr:uid="{00000000-0005-0000-0000-0000C6110000}"/>
    <cellStyle name="Good 2 2" xfId="595" xr:uid="{00000000-0005-0000-0000-0000C7110000}"/>
    <cellStyle name="Good 2 2 2" xfId="3923" xr:uid="{00000000-0005-0000-0000-0000C8110000}"/>
    <cellStyle name="Good 2 2 2 2" xfId="9654" xr:uid="{00000000-0005-0000-0000-0000C9110000}"/>
    <cellStyle name="Good 2 2 3" xfId="7455" xr:uid="{00000000-0005-0000-0000-0000CA110000}"/>
    <cellStyle name="Good 2 2 3 2" xfId="9655" xr:uid="{00000000-0005-0000-0000-0000CB110000}"/>
    <cellStyle name="Good 2 2 4" xfId="9653" xr:uid="{00000000-0005-0000-0000-0000CC110000}"/>
    <cellStyle name="Good 2 3" xfId="3924" xr:uid="{00000000-0005-0000-0000-0000CD110000}"/>
    <cellStyle name="Good 2 3 2" xfId="8310" xr:uid="{00000000-0005-0000-0000-0000CE110000}"/>
    <cellStyle name="Good 2 3 2 2" xfId="9657" xr:uid="{00000000-0005-0000-0000-0000CF110000}"/>
    <cellStyle name="Good 2 3 3" xfId="7456" xr:uid="{00000000-0005-0000-0000-0000D0110000}"/>
    <cellStyle name="Good 2 3 3 2" xfId="9658" xr:uid="{00000000-0005-0000-0000-0000D1110000}"/>
    <cellStyle name="Good 2 3 4" xfId="9656" xr:uid="{00000000-0005-0000-0000-0000D2110000}"/>
    <cellStyle name="Good 2 4" xfId="3925" xr:uid="{00000000-0005-0000-0000-0000D3110000}"/>
    <cellStyle name="Good 2 4 2" xfId="8311" xr:uid="{00000000-0005-0000-0000-0000D4110000}"/>
    <cellStyle name="Good 2 4 2 2" xfId="9660" xr:uid="{00000000-0005-0000-0000-0000D5110000}"/>
    <cellStyle name="Good 2 4 3" xfId="7457" xr:uid="{00000000-0005-0000-0000-0000D6110000}"/>
    <cellStyle name="Good 2 4 3 2" xfId="9661" xr:uid="{00000000-0005-0000-0000-0000D7110000}"/>
    <cellStyle name="Good 2 4 4" xfId="9659" xr:uid="{00000000-0005-0000-0000-0000D8110000}"/>
    <cellStyle name="Good 2 5" xfId="3926" xr:uid="{00000000-0005-0000-0000-0000D9110000}"/>
    <cellStyle name="Good 2 5 2" xfId="9662" xr:uid="{00000000-0005-0000-0000-0000DA110000}"/>
    <cellStyle name="Good 2 6" xfId="3922" xr:uid="{00000000-0005-0000-0000-0000DB110000}"/>
    <cellStyle name="Good 2 6 2" xfId="9663" xr:uid="{00000000-0005-0000-0000-0000DC110000}"/>
    <cellStyle name="Good 2 7" xfId="9652" xr:uid="{00000000-0005-0000-0000-0000DD110000}"/>
    <cellStyle name="Good 3" xfId="596" xr:uid="{00000000-0005-0000-0000-0000DE110000}"/>
    <cellStyle name="Good 3 2" xfId="597" xr:uid="{00000000-0005-0000-0000-0000DF110000}"/>
    <cellStyle name="Good 3 2 2" xfId="3928" xr:uid="{00000000-0005-0000-0000-0000E0110000}"/>
    <cellStyle name="Good 3 2 2 2" xfId="9666" xr:uid="{00000000-0005-0000-0000-0000E1110000}"/>
    <cellStyle name="Good 3 2 3" xfId="7458" xr:uid="{00000000-0005-0000-0000-0000E2110000}"/>
    <cellStyle name="Good 3 2 3 2" xfId="9667" xr:uid="{00000000-0005-0000-0000-0000E3110000}"/>
    <cellStyle name="Good 3 2 4" xfId="9665" xr:uid="{00000000-0005-0000-0000-0000E4110000}"/>
    <cellStyle name="Good 3 3" xfId="3929" xr:uid="{00000000-0005-0000-0000-0000E5110000}"/>
    <cellStyle name="Good 3 3 2" xfId="8312" xr:uid="{00000000-0005-0000-0000-0000E6110000}"/>
    <cellStyle name="Good 3 3 2 2" xfId="9669" xr:uid="{00000000-0005-0000-0000-0000E7110000}"/>
    <cellStyle name="Good 3 3 3" xfId="7459" xr:uid="{00000000-0005-0000-0000-0000E8110000}"/>
    <cellStyle name="Good 3 3 3 2" xfId="9670" xr:uid="{00000000-0005-0000-0000-0000E9110000}"/>
    <cellStyle name="Good 3 3 4" xfId="9668" xr:uid="{00000000-0005-0000-0000-0000EA110000}"/>
    <cellStyle name="Good 3 4" xfId="3930" xr:uid="{00000000-0005-0000-0000-0000EB110000}"/>
    <cellStyle name="Good 3 4 2" xfId="8313" xr:uid="{00000000-0005-0000-0000-0000EC110000}"/>
    <cellStyle name="Good 3 4 2 2" xfId="9672" xr:uid="{00000000-0005-0000-0000-0000ED110000}"/>
    <cellStyle name="Good 3 4 3" xfId="7460" xr:uid="{00000000-0005-0000-0000-0000EE110000}"/>
    <cellStyle name="Good 3 4 3 2" xfId="9673" xr:uid="{00000000-0005-0000-0000-0000EF110000}"/>
    <cellStyle name="Good 3 4 4" xfId="9671" xr:uid="{00000000-0005-0000-0000-0000F0110000}"/>
    <cellStyle name="Good 3 5" xfId="3931" xr:uid="{00000000-0005-0000-0000-0000F1110000}"/>
    <cellStyle name="Good 3 5 2" xfId="9674" xr:uid="{00000000-0005-0000-0000-0000F2110000}"/>
    <cellStyle name="Good 3 6" xfId="3927" xr:uid="{00000000-0005-0000-0000-0000F3110000}"/>
    <cellStyle name="Good 3 6 2" xfId="9675" xr:uid="{00000000-0005-0000-0000-0000F4110000}"/>
    <cellStyle name="Good 3 7" xfId="9664" xr:uid="{00000000-0005-0000-0000-0000F5110000}"/>
    <cellStyle name="Good 4" xfId="598" xr:uid="{00000000-0005-0000-0000-0000F6110000}"/>
    <cellStyle name="Good 4 2" xfId="599" xr:uid="{00000000-0005-0000-0000-0000F7110000}"/>
    <cellStyle name="Good 4 2 2" xfId="3933" xr:uid="{00000000-0005-0000-0000-0000F8110000}"/>
    <cellStyle name="Good 4 2 2 2" xfId="9678" xr:uid="{00000000-0005-0000-0000-0000F9110000}"/>
    <cellStyle name="Good 4 2 3" xfId="7461" xr:uid="{00000000-0005-0000-0000-0000FA110000}"/>
    <cellStyle name="Good 4 2 3 2" xfId="9679" xr:uid="{00000000-0005-0000-0000-0000FB110000}"/>
    <cellStyle name="Good 4 2 4" xfId="9677" xr:uid="{00000000-0005-0000-0000-0000FC110000}"/>
    <cellStyle name="Good 4 3" xfId="3934" xr:uid="{00000000-0005-0000-0000-0000FD110000}"/>
    <cellStyle name="Good 4 3 2" xfId="8314" xr:uid="{00000000-0005-0000-0000-0000FE110000}"/>
    <cellStyle name="Good 4 3 2 2" xfId="9681" xr:uid="{00000000-0005-0000-0000-0000FF110000}"/>
    <cellStyle name="Good 4 3 3" xfId="7462" xr:uid="{00000000-0005-0000-0000-000000120000}"/>
    <cellStyle name="Good 4 3 3 2" xfId="9682" xr:uid="{00000000-0005-0000-0000-000001120000}"/>
    <cellStyle name="Good 4 3 4" xfId="9680" xr:uid="{00000000-0005-0000-0000-000002120000}"/>
    <cellStyle name="Good 4 4" xfId="3935" xr:uid="{00000000-0005-0000-0000-000003120000}"/>
    <cellStyle name="Good 4 4 2" xfId="8315" xr:uid="{00000000-0005-0000-0000-000004120000}"/>
    <cellStyle name="Good 4 4 2 2" xfId="9684" xr:uid="{00000000-0005-0000-0000-000005120000}"/>
    <cellStyle name="Good 4 4 3" xfId="7463" xr:uid="{00000000-0005-0000-0000-000006120000}"/>
    <cellStyle name="Good 4 4 3 2" xfId="9685" xr:uid="{00000000-0005-0000-0000-000007120000}"/>
    <cellStyle name="Good 4 4 4" xfId="9683" xr:uid="{00000000-0005-0000-0000-000008120000}"/>
    <cellStyle name="Good 4 5" xfId="3936" xr:uid="{00000000-0005-0000-0000-000009120000}"/>
    <cellStyle name="Good 4 5 2" xfId="9686" xr:uid="{00000000-0005-0000-0000-00000A120000}"/>
    <cellStyle name="Good 4 6" xfId="3932" xr:uid="{00000000-0005-0000-0000-00000B120000}"/>
    <cellStyle name="Good 4 6 2" xfId="9687" xr:uid="{00000000-0005-0000-0000-00000C120000}"/>
    <cellStyle name="Good 4 7" xfId="9676" xr:uid="{00000000-0005-0000-0000-00000D120000}"/>
    <cellStyle name="Good 5" xfId="3937" xr:uid="{00000000-0005-0000-0000-00000E120000}"/>
    <cellStyle name="Good 5 2" xfId="8316" xr:uid="{00000000-0005-0000-0000-00000F120000}"/>
    <cellStyle name="Good 5 2 2" xfId="9689" xr:uid="{00000000-0005-0000-0000-000010120000}"/>
    <cellStyle name="Good 5 3" xfId="7464" xr:uid="{00000000-0005-0000-0000-000011120000}"/>
    <cellStyle name="Good 5 3 2" xfId="9690" xr:uid="{00000000-0005-0000-0000-000012120000}"/>
    <cellStyle name="Good 5 4" xfId="9688" xr:uid="{00000000-0005-0000-0000-000013120000}"/>
    <cellStyle name="Good 6" xfId="3938" xr:uid="{00000000-0005-0000-0000-000014120000}"/>
    <cellStyle name="Good 6 2" xfId="8317" xr:uid="{00000000-0005-0000-0000-000015120000}"/>
    <cellStyle name="Good 6 2 2" xfId="9692" xr:uid="{00000000-0005-0000-0000-000016120000}"/>
    <cellStyle name="Good 6 3" xfId="7465" xr:uid="{00000000-0005-0000-0000-000017120000}"/>
    <cellStyle name="Good 6 3 2" xfId="9693" xr:uid="{00000000-0005-0000-0000-000018120000}"/>
    <cellStyle name="Good 6 4" xfId="9691" xr:uid="{00000000-0005-0000-0000-000019120000}"/>
    <cellStyle name="Good 7" xfId="3939" xr:uid="{00000000-0005-0000-0000-00001A120000}"/>
    <cellStyle name="Good 7 2" xfId="8318" xr:uid="{00000000-0005-0000-0000-00001B120000}"/>
    <cellStyle name="Good 7 2 2" xfId="9695" xr:uid="{00000000-0005-0000-0000-00001C120000}"/>
    <cellStyle name="Good 7 3" xfId="7466" xr:uid="{00000000-0005-0000-0000-00001D120000}"/>
    <cellStyle name="Good 7 3 2" xfId="9696" xr:uid="{00000000-0005-0000-0000-00001E120000}"/>
    <cellStyle name="Good 7 4" xfId="9694" xr:uid="{00000000-0005-0000-0000-00001F120000}"/>
    <cellStyle name="Good 8" xfId="3940" xr:uid="{00000000-0005-0000-0000-000020120000}"/>
    <cellStyle name="Good 8 2" xfId="8319" xr:uid="{00000000-0005-0000-0000-000021120000}"/>
    <cellStyle name="Good 8 2 2" xfId="9698" xr:uid="{00000000-0005-0000-0000-000022120000}"/>
    <cellStyle name="Good 8 3" xfId="7467" xr:uid="{00000000-0005-0000-0000-000023120000}"/>
    <cellStyle name="Good 8 3 2" xfId="9699" xr:uid="{00000000-0005-0000-0000-000024120000}"/>
    <cellStyle name="Good 8 4" xfId="9697" xr:uid="{00000000-0005-0000-0000-000025120000}"/>
    <cellStyle name="Good 9" xfId="3941" xr:uid="{00000000-0005-0000-0000-000026120000}"/>
    <cellStyle name="Good 9 2" xfId="8320" xr:uid="{00000000-0005-0000-0000-000027120000}"/>
    <cellStyle name="Good 9 2 2" xfId="9701" xr:uid="{00000000-0005-0000-0000-000028120000}"/>
    <cellStyle name="Good 9 3" xfId="7468" xr:uid="{00000000-0005-0000-0000-000029120000}"/>
    <cellStyle name="Good 9 3 2" xfId="9702" xr:uid="{00000000-0005-0000-0000-00002A120000}"/>
    <cellStyle name="Good 9 4" xfId="9700" xr:uid="{00000000-0005-0000-0000-00002B120000}"/>
    <cellStyle name="Heading 1" xfId="41" builtinId="16" customBuiltin="1"/>
    <cellStyle name="Heading 1 10" xfId="600" xr:uid="{00000000-0005-0000-0000-00002D120000}"/>
    <cellStyle name="Heading 1 10 2" xfId="601" xr:uid="{00000000-0005-0000-0000-00002E120000}"/>
    <cellStyle name="Heading 1 10 2 2" xfId="3944" xr:uid="{00000000-0005-0000-0000-00002F120000}"/>
    <cellStyle name="Heading 1 10 2 2 2" xfId="9706" xr:uid="{00000000-0005-0000-0000-000030120000}"/>
    <cellStyle name="Heading 1 10 2 3" xfId="7469" xr:uid="{00000000-0005-0000-0000-000031120000}"/>
    <cellStyle name="Heading 1 10 2 3 2" xfId="9707" xr:uid="{00000000-0005-0000-0000-000032120000}"/>
    <cellStyle name="Heading 1 10 2 4" xfId="9705" xr:uid="{00000000-0005-0000-0000-000033120000}"/>
    <cellStyle name="Heading 1 10 3" xfId="3945" xr:uid="{00000000-0005-0000-0000-000034120000}"/>
    <cellStyle name="Heading 1 10 3 2" xfId="8321" xr:uid="{00000000-0005-0000-0000-000035120000}"/>
    <cellStyle name="Heading 1 10 3 2 2" xfId="9709" xr:uid="{00000000-0005-0000-0000-000036120000}"/>
    <cellStyle name="Heading 1 10 3 3" xfId="7470" xr:uid="{00000000-0005-0000-0000-000037120000}"/>
    <cellStyle name="Heading 1 10 3 3 2" xfId="9710" xr:uid="{00000000-0005-0000-0000-000038120000}"/>
    <cellStyle name="Heading 1 10 3 4" xfId="9708" xr:uid="{00000000-0005-0000-0000-000039120000}"/>
    <cellStyle name="Heading 1 10 4" xfId="3946" xr:uid="{00000000-0005-0000-0000-00003A120000}"/>
    <cellStyle name="Heading 1 10 4 2" xfId="8322" xr:uid="{00000000-0005-0000-0000-00003B120000}"/>
    <cellStyle name="Heading 1 10 4 2 2" xfId="9712" xr:uid="{00000000-0005-0000-0000-00003C120000}"/>
    <cellStyle name="Heading 1 10 4 3" xfId="7471" xr:uid="{00000000-0005-0000-0000-00003D120000}"/>
    <cellStyle name="Heading 1 10 4 3 2" xfId="9713" xr:uid="{00000000-0005-0000-0000-00003E120000}"/>
    <cellStyle name="Heading 1 10 4 4" xfId="9711" xr:uid="{00000000-0005-0000-0000-00003F120000}"/>
    <cellStyle name="Heading 1 10 5" xfId="3947" xr:uid="{00000000-0005-0000-0000-000040120000}"/>
    <cellStyle name="Heading 1 10 5 2" xfId="9714" xr:uid="{00000000-0005-0000-0000-000041120000}"/>
    <cellStyle name="Heading 1 10 6" xfId="3943" xr:uid="{00000000-0005-0000-0000-000042120000}"/>
    <cellStyle name="Heading 1 10 6 2" xfId="9715" xr:uid="{00000000-0005-0000-0000-000043120000}"/>
    <cellStyle name="Heading 1 10 7" xfId="9704" xr:uid="{00000000-0005-0000-0000-000044120000}"/>
    <cellStyle name="Heading 1 11" xfId="602" xr:uid="{00000000-0005-0000-0000-000045120000}"/>
    <cellStyle name="Heading 1 11 2" xfId="603" xr:uid="{00000000-0005-0000-0000-000046120000}"/>
    <cellStyle name="Heading 1 11 2 2" xfId="3949" xr:uid="{00000000-0005-0000-0000-000047120000}"/>
    <cellStyle name="Heading 1 11 2 2 2" xfId="9718" xr:uid="{00000000-0005-0000-0000-000048120000}"/>
    <cellStyle name="Heading 1 11 2 3" xfId="7472" xr:uid="{00000000-0005-0000-0000-000049120000}"/>
    <cellStyle name="Heading 1 11 2 3 2" xfId="9719" xr:uid="{00000000-0005-0000-0000-00004A120000}"/>
    <cellStyle name="Heading 1 11 2 4" xfId="9717" xr:uid="{00000000-0005-0000-0000-00004B120000}"/>
    <cellStyle name="Heading 1 11 3" xfId="3950" xr:uid="{00000000-0005-0000-0000-00004C120000}"/>
    <cellStyle name="Heading 1 11 3 2" xfId="8323" xr:uid="{00000000-0005-0000-0000-00004D120000}"/>
    <cellStyle name="Heading 1 11 3 2 2" xfId="9721" xr:uid="{00000000-0005-0000-0000-00004E120000}"/>
    <cellStyle name="Heading 1 11 3 3" xfId="7473" xr:uid="{00000000-0005-0000-0000-00004F120000}"/>
    <cellStyle name="Heading 1 11 3 3 2" xfId="9722" xr:uid="{00000000-0005-0000-0000-000050120000}"/>
    <cellStyle name="Heading 1 11 3 4" xfId="9720" xr:uid="{00000000-0005-0000-0000-000051120000}"/>
    <cellStyle name="Heading 1 11 4" xfId="3951" xr:uid="{00000000-0005-0000-0000-000052120000}"/>
    <cellStyle name="Heading 1 11 4 2" xfId="8324" xr:uid="{00000000-0005-0000-0000-000053120000}"/>
    <cellStyle name="Heading 1 11 4 2 2" xfId="9724" xr:uid="{00000000-0005-0000-0000-000054120000}"/>
    <cellStyle name="Heading 1 11 4 3" xfId="7474" xr:uid="{00000000-0005-0000-0000-000055120000}"/>
    <cellStyle name="Heading 1 11 4 3 2" xfId="9725" xr:uid="{00000000-0005-0000-0000-000056120000}"/>
    <cellStyle name="Heading 1 11 4 4" xfId="9723" xr:uid="{00000000-0005-0000-0000-000057120000}"/>
    <cellStyle name="Heading 1 11 5" xfId="3952" xr:uid="{00000000-0005-0000-0000-000058120000}"/>
    <cellStyle name="Heading 1 11 5 2" xfId="9726" xr:uid="{00000000-0005-0000-0000-000059120000}"/>
    <cellStyle name="Heading 1 11 6" xfId="3948" xr:uid="{00000000-0005-0000-0000-00005A120000}"/>
    <cellStyle name="Heading 1 11 6 2" xfId="9727" xr:uid="{00000000-0005-0000-0000-00005B120000}"/>
    <cellStyle name="Heading 1 11 7" xfId="9716" xr:uid="{00000000-0005-0000-0000-00005C120000}"/>
    <cellStyle name="Heading 1 12" xfId="604" xr:uid="{00000000-0005-0000-0000-00005D120000}"/>
    <cellStyle name="Heading 1 12 2" xfId="605" xr:uid="{00000000-0005-0000-0000-00005E120000}"/>
    <cellStyle name="Heading 1 12 2 2" xfId="3954" xr:uid="{00000000-0005-0000-0000-00005F120000}"/>
    <cellStyle name="Heading 1 12 2 2 2" xfId="9730" xr:uid="{00000000-0005-0000-0000-000060120000}"/>
    <cellStyle name="Heading 1 12 2 3" xfId="7475" xr:uid="{00000000-0005-0000-0000-000061120000}"/>
    <cellStyle name="Heading 1 12 2 3 2" xfId="9731" xr:uid="{00000000-0005-0000-0000-000062120000}"/>
    <cellStyle name="Heading 1 12 2 4" xfId="9729" xr:uid="{00000000-0005-0000-0000-000063120000}"/>
    <cellStyle name="Heading 1 12 3" xfId="3955" xr:uid="{00000000-0005-0000-0000-000064120000}"/>
    <cellStyle name="Heading 1 12 3 2" xfId="8325" xr:uid="{00000000-0005-0000-0000-000065120000}"/>
    <cellStyle name="Heading 1 12 3 2 2" xfId="9733" xr:uid="{00000000-0005-0000-0000-000066120000}"/>
    <cellStyle name="Heading 1 12 3 3" xfId="7476" xr:uid="{00000000-0005-0000-0000-000067120000}"/>
    <cellStyle name="Heading 1 12 3 3 2" xfId="9734" xr:uid="{00000000-0005-0000-0000-000068120000}"/>
    <cellStyle name="Heading 1 12 3 4" xfId="9732" xr:uid="{00000000-0005-0000-0000-000069120000}"/>
    <cellStyle name="Heading 1 12 4" xfId="3956" xr:uid="{00000000-0005-0000-0000-00006A120000}"/>
    <cellStyle name="Heading 1 12 4 2" xfId="8326" xr:uid="{00000000-0005-0000-0000-00006B120000}"/>
    <cellStyle name="Heading 1 12 4 2 2" xfId="9736" xr:uid="{00000000-0005-0000-0000-00006C120000}"/>
    <cellStyle name="Heading 1 12 4 3" xfId="7477" xr:uid="{00000000-0005-0000-0000-00006D120000}"/>
    <cellStyle name="Heading 1 12 4 3 2" xfId="9737" xr:uid="{00000000-0005-0000-0000-00006E120000}"/>
    <cellStyle name="Heading 1 12 4 4" xfId="9735" xr:uid="{00000000-0005-0000-0000-00006F120000}"/>
    <cellStyle name="Heading 1 12 5" xfId="3957" xr:uid="{00000000-0005-0000-0000-000070120000}"/>
    <cellStyle name="Heading 1 12 5 2" xfId="9738" xr:uid="{00000000-0005-0000-0000-000071120000}"/>
    <cellStyle name="Heading 1 12 6" xfId="3953" xr:uid="{00000000-0005-0000-0000-000072120000}"/>
    <cellStyle name="Heading 1 12 6 2" xfId="9739" xr:uid="{00000000-0005-0000-0000-000073120000}"/>
    <cellStyle name="Heading 1 12 7" xfId="9728" xr:uid="{00000000-0005-0000-0000-000074120000}"/>
    <cellStyle name="Heading 1 13" xfId="606" xr:uid="{00000000-0005-0000-0000-000075120000}"/>
    <cellStyle name="Heading 1 13 2" xfId="607" xr:uid="{00000000-0005-0000-0000-000076120000}"/>
    <cellStyle name="Heading 1 13 2 2" xfId="3959" xr:uid="{00000000-0005-0000-0000-000077120000}"/>
    <cellStyle name="Heading 1 13 2 2 2" xfId="9742" xr:uid="{00000000-0005-0000-0000-000078120000}"/>
    <cellStyle name="Heading 1 13 2 3" xfId="7478" xr:uid="{00000000-0005-0000-0000-000079120000}"/>
    <cellStyle name="Heading 1 13 2 3 2" xfId="9743" xr:uid="{00000000-0005-0000-0000-00007A120000}"/>
    <cellStyle name="Heading 1 13 2 4" xfId="9741" xr:uid="{00000000-0005-0000-0000-00007B120000}"/>
    <cellStyle name="Heading 1 13 3" xfId="3960" xr:uid="{00000000-0005-0000-0000-00007C120000}"/>
    <cellStyle name="Heading 1 13 3 2" xfId="8327" xr:uid="{00000000-0005-0000-0000-00007D120000}"/>
    <cellStyle name="Heading 1 13 3 2 2" xfId="9745" xr:uid="{00000000-0005-0000-0000-00007E120000}"/>
    <cellStyle name="Heading 1 13 3 3" xfId="7479" xr:uid="{00000000-0005-0000-0000-00007F120000}"/>
    <cellStyle name="Heading 1 13 3 3 2" xfId="9746" xr:uid="{00000000-0005-0000-0000-000080120000}"/>
    <cellStyle name="Heading 1 13 3 4" xfId="9744" xr:uid="{00000000-0005-0000-0000-000081120000}"/>
    <cellStyle name="Heading 1 13 4" xfId="3961" xr:uid="{00000000-0005-0000-0000-000082120000}"/>
    <cellStyle name="Heading 1 13 4 2" xfId="8328" xr:uid="{00000000-0005-0000-0000-000083120000}"/>
    <cellStyle name="Heading 1 13 4 2 2" xfId="9748" xr:uid="{00000000-0005-0000-0000-000084120000}"/>
    <cellStyle name="Heading 1 13 4 3" xfId="7480" xr:uid="{00000000-0005-0000-0000-000085120000}"/>
    <cellStyle name="Heading 1 13 4 3 2" xfId="9749" xr:uid="{00000000-0005-0000-0000-000086120000}"/>
    <cellStyle name="Heading 1 13 4 4" xfId="9747" xr:uid="{00000000-0005-0000-0000-000087120000}"/>
    <cellStyle name="Heading 1 13 5" xfId="3962" xr:uid="{00000000-0005-0000-0000-000088120000}"/>
    <cellStyle name="Heading 1 13 5 2" xfId="9750" xr:uid="{00000000-0005-0000-0000-000089120000}"/>
    <cellStyle name="Heading 1 13 6" xfId="3958" xr:uid="{00000000-0005-0000-0000-00008A120000}"/>
    <cellStyle name="Heading 1 13 6 2" xfId="9751" xr:uid="{00000000-0005-0000-0000-00008B120000}"/>
    <cellStyle name="Heading 1 13 7" xfId="9740" xr:uid="{00000000-0005-0000-0000-00008C120000}"/>
    <cellStyle name="Heading 1 14" xfId="608" xr:uid="{00000000-0005-0000-0000-00008D120000}"/>
    <cellStyle name="Heading 1 14 2" xfId="609" xr:uid="{00000000-0005-0000-0000-00008E120000}"/>
    <cellStyle name="Heading 1 14 2 2" xfId="3964" xr:uid="{00000000-0005-0000-0000-00008F120000}"/>
    <cellStyle name="Heading 1 14 2 2 2" xfId="9754" xr:uid="{00000000-0005-0000-0000-000090120000}"/>
    <cellStyle name="Heading 1 14 2 3" xfId="7481" xr:uid="{00000000-0005-0000-0000-000091120000}"/>
    <cellStyle name="Heading 1 14 2 3 2" xfId="9755" xr:uid="{00000000-0005-0000-0000-000092120000}"/>
    <cellStyle name="Heading 1 14 2 4" xfId="9753" xr:uid="{00000000-0005-0000-0000-000093120000}"/>
    <cellStyle name="Heading 1 14 3" xfId="3965" xr:uid="{00000000-0005-0000-0000-000094120000}"/>
    <cellStyle name="Heading 1 14 3 2" xfId="8329" xr:uid="{00000000-0005-0000-0000-000095120000}"/>
    <cellStyle name="Heading 1 14 3 2 2" xfId="9757" xr:uid="{00000000-0005-0000-0000-000096120000}"/>
    <cellStyle name="Heading 1 14 3 3" xfId="7482" xr:uid="{00000000-0005-0000-0000-000097120000}"/>
    <cellStyle name="Heading 1 14 3 3 2" xfId="9758" xr:uid="{00000000-0005-0000-0000-000098120000}"/>
    <cellStyle name="Heading 1 14 3 4" xfId="9756" xr:uid="{00000000-0005-0000-0000-000099120000}"/>
    <cellStyle name="Heading 1 14 4" xfId="3966" xr:uid="{00000000-0005-0000-0000-00009A120000}"/>
    <cellStyle name="Heading 1 14 4 2" xfId="8330" xr:uid="{00000000-0005-0000-0000-00009B120000}"/>
    <cellStyle name="Heading 1 14 4 2 2" xfId="9760" xr:uid="{00000000-0005-0000-0000-00009C120000}"/>
    <cellStyle name="Heading 1 14 4 3" xfId="7483" xr:uid="{00000000-0005-0000-0000-00009D120000}"/>
    <cellStyle name="Heading 1 14 4 3 2" xfId="9761" xr:uid="{00000000-0005-0000-0000-00009E120000}"/>
    <cellStyle name="Heading 1 14 4 4" xfId="9759" xr:uid="{00000000-0005-0000-0000-00009F120000}"/>
    <cellStyle name="Heading 1 14 5" xfId="3967" xr:uid="{00000000-0005-0000-0000-0000A0120000}"/>
    <cellStyle name="Heading 1 14 5 2" xfId="9762" xr:uid="{00000000-0005-0000-0000-0000A1120000}"/>
    <cellStyle name="Heading 1 14 6" xfId="3963" xr:uid="{00000000-0005-0000-0000-0000A2120000}"/>
    <cellStyle name="Heading 1 14 6 2" xfId="9763" xr:uid="{00000000-0005-0000-0000-0000A3120000}"/>
    <cellStyle name="Heading 1 14 7" xfId="9752" xr:uid="{00000000-0005-0000-0000-0000A4120000}"/>
    <cellStyle name="Heading 1 15" xfId="610" xr:uid="{00000000-0005-0000-0000-0000A5120000}"/>
    <cellStyle name="Heading 1 15 2" xfId="611" xr:uid="{00000000-0005-0000-0000-0000A6120000}"/>
    <cellStyle name="Heading 1 15 2 2" xfId="3969" xr:uid="{00000000-0005-0000-0000-0000A7120000}"/>
    <cellStyle name="Heading 1 15 2 2 2" xfId="9766" xr:uid="{00000000-0005-0000-0000-0000A8120000}"/>
    <cellStyle name="Heading 1 15 2 3" xfId="7484" xr:uid="{00000000-0005-0000-0000-0000A9120000}"/>
    <cellStyle name="Heading 1 15 2 3 2" xfId="9767" xr:uid="{00000000-0005-0000-0000-0000AA120000}"/>
    <cellStyle name="Heading 1 15 2 4" xfId="9765" xr:uid="{00000000-0005-0000-0000-0000AB120000}"/>
    <cellStyle name="Heading 1 15 3" xfId="3970" xr:uid="{00000000-0005-0000-0000-0000AC120000}"/>
    <cellStyle name="Heading 1 15 3 2" xfId="8331" xr:uid="{00000000-0005-0000-0000-0000AD120000}"/>
    <cellStyle name="Heading 1 15 3 2 2" xfId="9769" xr:uid="{00000000-0005-0000-0000-0000AE120000}"/>
    <cellStyle name="Heading 1 15 3 3" xfId="7485" xr:uid="{00000000-0005-0000-0000-0000AF120000}"/>
    <cellStyle name="Heading 1 15 3 3 2" xfId="9770" xr:uid="{00000000-0005-0000-0000-0000B0120000}"/>
    <cellStyle name="Heading 1 15 3 4" xfId="9768" xr:uid="{00000000-0005-0000-0000-0000B1120000}"/>
    <cellStyle name="Heading 1 15 4" xfId="3971" xr:uid="{00000000-0005-0000-0000-0000B2120000}"/>
    <cellStyle name="Heading 1 15 4 2" xfId="8332" xr:uid="{00000000-0005-0000-0000-0000B3120000}"/>
    <cellStyle name="Heading 1 15 4 2 2" xfId="9772" xr:uid="{00000000-0005-0000-0000-0000B4120000}"/>
    <cellStyle name="Heading 1 15 4 3" xfId="7486" xr:uid="{00000000-0005-0000-0000-0000B5120000}"/>
    <cellStyle name="Heading 1 15 4 3 2" xfId="9773" xr:uid="{00000000-0005-0000-0000-0000B6120000}"/>
    <cellStyle name="Heading 1 15 4 4" xfId="9771" xr:uid="{00000000-0005-0000-0000-0000B7120000}"/>
    <cellStyle name="Heading 1 15 5" xfId="3972" xr:uid="{00000000-0005-0000-0000-0000B8120000}"/>
    <cellStyle name="Heading 1 15 5 2" xfId="9774" xr:uid="{00000000-0005-0000-0000-0000B9120000}"/>
    <cellStyle name="Heading 1 15 6" xfId="3968" xr:uid="{00000000-0005-0000-0000-0000BA120000}"/>
    <cellStyle name="Heading 1 15 6 2" xfId="9775" xr:uid="{00000000-0005-0000-0000-0000BB120000}"/>
    <cellStyle name="Heading 1 15 7" xfId="9764" xr:uid="{00000000-0005-0000-0000-0000BC120000}"/>
    <cellStyle name="Heading 1 16" xfId="612" xr:uid="{00000000-0005-0000-0000-0000BD120000}"/>
    <cellStyle name="Heading 1 16 2" xfId="613" xr:uid="{00000000-0005-0000-0000-0000BE120000}"/>
    <cellStyle name="Heading 1 16 2 2" xfId="8333" xr:uid="{00000000-0005-0000-0000-0000BF120000}"/>
    <cellStyle name="Heading 1 16 2 2 2" xfId="9778" xr:uid="{00000000-0005-0000-0000-0000C0120000}"/>
    <cellStyle name="Heading 1 16 2 3" xfId="9777" xr:uid="{00000000-0005-0000-0000-0000C1120000}"/>
    <cellStyle name="Heading 1 16 3" xfId="3973" xr:uid="{00000000-0005-0000-0000-0000C2120000}"/>
    <cellStyle name="Heading 1 16 3 2" xfId="9779" xr:uid="{00000000-0005-0000-0000-0000C3120000}"/>
    <cellStyle name="Heading 1 16 4" xfId="9776" xr:uid="{00000000-0005-0000-0000-0000C4120000}"/>
    <cellStyle name="Heading 1 17" xfId="614" xr:uid="{00000000-0005-0000-0000-0000C5120000}"/>
    <cellStyle name="Heading 1 17 2" xfId="615" xr:uid="{00000000-0005-0000-0000-0000C6120000}"/>
    <cellStyle name="Heading 1 17 2 2" xfId="8334" xr:uid="{00000000-0005-0000-0000-0000C7120000}"/>
    <cellStyle name="Heading 1 17 2 2 2" xfId="9782" xr:uid="{00000000-0005-0000-0000-0000C8120000}"/>
    <cellStyle name="Heading 1 17 2 3" xfId="9781" xr:uid="{00000000-0005-0000-0000-0000C9120000}"/>
    <cellStyle name="Heading 1 17 3" xfId="3974" xr:uid="{00000000-0005-0000-0000-0000CA120000}"/>
    <cellStyle name="Heading 1 17 3 2" xfId="9783" xr:uid="{00000000-0005-0000-0000-0000CB120000}"/>
    <cellStyle name="Heading 1 17 4" xfId="9780" xr:uid="{00000000-0005-0000-0000-0000CC120000}"/>
    <cellStyle name="Heading 1 18" xfId="616" xr:uid="{00000000-0005-0000-0000-0000CD120000}"/>
    <cellStyle name="Heading 1 18 2" xfId="617" xr:uid="{00000000-0005-0000-0000-0000CE120000}"/>
    <cellStyle name="Heading 1 18 2 2" xfId="8335" xr:uid="{00000000-0005-0000-0000-0000CF120000}"/>
    <cellStyle name="Heading 1 18 2 2 2" xfId="9786" xr:uid="{00000000-0005-0000-0000-0000D0120000}"/>
    <cellStyle name="Heading 1 18 2 3" xfId="9785" xr:uid="{00000000-0005-0000-0000-0000D1120000}"/>
    <cellStyle name="Heading 1 18 3" xfId="3975" xr:uid="{00000000-0005-0000-0000-0000D2120000}"/>
    <cellStyle name="Heading 1 18 3 2" xfId="9787" xr:uid="{00000000-0005-0000-0000-0000D3120000}"/>
    <cellStyle name="Heading 1 18 4" xfId="9784" xr:uid="{00000000-0005-0000-0000-0000D4120000}"/>
    <cellStyle name="Heading 1 19" xfId="618" xr:uid="{00000000-0005-0000-0000-0000D5120000}"/>
    <cellStyle name="Heading 1 19 2" xfId="619" xr:uid="{00000000-0005-0000-0000-0000D6120000}"/>
    <cellStyle name="Heading 1 19 2 2" xfId="8336" xr:uid="{00000000-0005-0000-0000-0000D7120000}"/>
    <cellStyle name="Heading 1 19 2 2 2" xfId="9790" xr:uid="{00000000-0005-0000-0000-0000D8120000}"/>
    <cellStyle name="Heading 1 19 2 3" xfId="9789" xr:uid="{00000000-0005-0000-0000-0000D9120000}"/>
    <cellStyle name="Heading 1 19 3" xfId="3976" xr:uid="{00000000-0005-0000-0000-0000DA120000}"/>
    <cellStyle name="Heading 1 19 3 2" xfId="9791" xr:uid="{00000000-0005-0000-0000-0000DB120000}"/>
    <cellStyle name="Heading 1 19 4" xfId="9788" xr:uid="{00000000-0005-0000-0000-0000DC120000}"/>
    <cellStyle name="Heading 1 2" xfId="620" xr:uid="{00000000-0005-0000-0000-0000DD120000}"/>
    <cellStyle name="Heading 1 2 2" xfId="621" xr:uid="{00000000-0005-0000-0000-0000DE120000}"/>
    <cellStyle name="Heading 1 2 2 2" xfId="622" xr:uid="{00000000-0005-0000-0000-0000DF120000}"/>
    <cellStyle name="Heading 1 2 2 2 2" xfId="8337" xr:uid="{00000000-0005-0000-0000-0000E0120000}"/>
    <cellStyle name="Heading 1 2 2 2 2 2" xfId="9795" xr:uid="{00000000-0005-0000-0000-0000E1120000}"/>
    <cellStyle name="Heading 1 2 2 2 3" xfId="9794" xr:uid="{00000000-0005-0000-0000-0000E2120000}"/>
    <cellStyle name="Heading 1 2 2 3" xfId="3978" xr:uid="{00000000-0005-0000-0000-0000E3120000}"/>
    <cellStyle name="Heading 1 2 2 3 2" xfId="9796" xr:uid="{00000000-0005-0000-0000-0000E4120000}"/>
    <cellStyle name="Heading 1 2 2 4" xfId="9793" xr:uid="{00000000-0005-0000-0000-0000E5120000}"/>
    <cellStyle name="Heading 1 2 3" xfId="623" xr:uid="{00000000-0005-0000-0000-0000E6120000}"/>
    <cellStyle name="Heading 1 2 3 2" xfId="3979" xr:uid="{00000000-0005-0000-0000-0000E7120000}"/>
    <cellStyle name="Heading 1 2 3 2 2" xfId="9798" xr:uid="{00000000-0005-0000-0000-0000E8120000}"/>
    <cellStyle name="Heading 1 2 3 3" xfId="7487" xr:uid="{00000000-0005-0000-0000-0000E9120000}"/>
    <cellStyle name="Heading 1 2 3 3 2" xfId="9799" xr:uid="{00000000-0005-0000-0000-0000EA120000}"/>
    <cellStyle name="Heading 1 2 3 4" xfId="9797" xr:uid="{00000000-0005-0000-0000-0000EB120000}"/>
    <cellStyle name="Heading 1 2 4" xfId="3980" xr:uid="{00000000-0005-0000-0000-0000EC120000}"/>
    <cellStyle name="Heading 1 2 4 2" xfId="8338" xr:uid="{00000000-0005-0000-0000-0000ED120000}"/>
    <cellStyle name="Heading 1 2 4 2 2" xfId="9801" xr:uid="{00000000-0005-0000-0000-0000EE120000}"/>
    <cellStyle name="Heading 1 2 4 3" xfId="7488" xr:uid="{00000000-0005-0000-0000-0000EF120000}"/>
    <cellStyle name="Heading 1 2 4 3 2" xfId="9802" xr:uid="{00000000-0005-0000-0000-0000F0120000}"/>
    <cellStyle name="Heading 1 2 4 4" xfId="9800" xr:uid="{00000000-0005-0000-0000-0000F1120000}"/>
    <cellStyle name="Heading 1 2 5" xfId="3981" xr:uid="{00000000-0005-0000-0000-0000F2120000}"/>
    <cellStyle name="Heading 1 2 5 2" xfId="9803" xr:uid="{00000000-0005-0000-0000-0000F3120000}"/>
    <cellStyle name="Heading 1 2 6" xfId="3977" xr:uid="{00000000-0005-0000-0000-0000F4120000}"/>
    <cellStyle name="Heading 1 2 6 2" xfId="9804" xr:uid="{00000000-0005-0000-0000-0000F5120000}"/>
    <cellStyle name="Heading 1 2 7" xfId="9792" xr:uid="{00000000-0005-0000-0000-0000F6120000}"/>
    <cellStyle name="Heading 1 20" xfId="624" xr:uid="{00000000-0005-0000-0000-0000F7120000}"/>
    <cellStyle name="Heading 1 20 2" xfId="625" xr:uid="{00000000-0005-0000-0000-0000F8120000}"/>
    <cellStyle name="Heading 1 20 2 2" xfId="8339" xr:uid="{00000000-0005-0000-0000-0000F9120000}"/>
    <cellStyle name="Heading 1 20 2 2 2" xfId="9807" xr:uid="{00000000-0005-0000-0000-0000FA120000}"/>
    <cellStyle name="Heading 1 20 2 3" xfId="9806" xr:uid="{00000000-0005-0000-0000-0000FB120000}"/>
    <cellStyle name="Heading 1 20 3" xfId="3982" xr:uid="{00000000-0005-0000-0000-0000FC120000}"/>
    <cellStyle name="Heading 1 20 3 2" xfId="9808" xr:uid="{00000000-0005-0000-0000-0000FD120000}"/>
    <cellStyle name="Heading 1 20 4" xfId="9805" xr:uid="{00000000-0005-0000-0000-0000FE120000}"/>
    <cellStyle name="Heading 1 21" xfId="626" xr:uid="{00000000-0005-0000-0000-0000FF120000}"/>
    <cellStyle name="Heading 1 21 2" xfId="627" xr:uid="{00000000-0005-0000-0000-000000130000}"/>
    <cellStyle name="Heading 1 21 2 2" xfId="8340" xr:uid="{00000000-0005-0000-0000-000001130000}"/>
    <cellStyle name="Heading 1 21 2 2 2" xfId="9811" xr:uid="{00000000-0005-0000-0000-000002130000}"/>
    <cellStyle name="Heading 1 21 2 3" xfId="9810" xr:uid="{00000000-0005-0000-0000-000003130000}"/>
    <cellStyle name="Heading 1 21 3" xfId="3983" xr:uid="{00000000-0005-0000-0000-000004130000}"/>
    <cellStyle name="Heading 1 21 3 2" xfId="9812" xr:uid="{00000000-0005-0000-0000-000005130000}"/>
    <cellStyle name="Heading 1 21 4" xfId="9809" xr:uid="{00000000-0005-0000-0000-000006130000}"/>
    <cellStyle name="Heading 1 22" xfId="628" xr:uid="{00000000-0005-0000-0000-000007130000}"/>
    <cellStyle name="Heading 1 22 2" xfId="629" xr:uid="{00000000-0005-0000-0000-000008130000}"/>
    <cellStyle name="Heading 1 22 2 2" xfId="8341" xr:uid="{00000000-0005-0000-0000-000009130000}"/>
    <cellStyle name="Heading 1 22 2 2 2" xfId="9815" xr:uid="{00000000-0005-0000-0000-00000A130000}"/>
    <cellStyle name="Heading 1 22 2 3" xfId="9814" xr:uid="{00000000-0005-0000-0000-00000B130000}"/>
    <cellStyle name="Heading 1 22 3" xfId="3984" xr:uid="{00000000-0005-0000-0000-00000C130000}"/>
    <cellStyle name="Heading 1 22 3 2" xfId="9816" xr:uid="{00000000-0005-0000-0000-00000D130000}"/>
    <cellStyle name="Heading 1 22 4" xfId="9813" xr:uid="{00000000-0005-0000-0000-00000E130000}"/>
    <cellStyle name="Heading 1 23" xfId="630" xr:uid="{00000000-0005-0000-0000-00000F130000}"/>
    <cellStyle name="Heading 1 23 2" xfId="631" xr:uid="{00000000-0005-0000-0000-000010130000}"/>
    <cellStyle name="Heading 1 23 2 2" xfId="8342" xr:uid="{00000000-0005-0000-0000-000011130000}"/>
    <cellStyle name="Heading 1 23 2 2 2" xfId="9819" xr:uid="{00000000-0005-0000-0000-000012130000}"/>
    <cellStyle name="Heading 1 23 2 3" xfId="9818" xr:uid="{00000000-0005-0000-0000-000013130000}"/>
    <cellStyle name="Heading 1 23 3" xfId="3985" xr:uid="{00000000-0005-0000-0000-000014130000}"/>
    <cellStyle name="Heading 1 23 3 2" xfId="9820" xr:uid="{00000000-0005-0000-0000-000015130000}"/>
    <cellStyle name="Heading 1 23 4" xfId="9817" xr:uid="{00000000-0005-0000-0000-000016130000}"/>
    <cellStyle name="Heading 1 24" xfId="632" xr:uid="{00000000-0005-0000-0000-000017130000}"/>
    <cellStyle name="Heading 1 24 2" xfId="633" xr:uid="{00000000-0005-0000-0000-000018130000}"/>
    <cellStyle name="Heading 1 24 2 2" xfId="8343" xr:uid="{00000000-0005-0000-0000-000019130000}"/>
    <cellStyle name="Heading 1 24 2 2 2" xfId="9823" xr:uid="{00000000-0005-0000-0000-00001A130000}"/>
    <cellStyle name="Heading 1 24 2 3" xfId="9822" xr:uid="{00000000-0005-0000-0000-00001B130000}"/>
    <cellStyle name="Heading 1 24 3" xfId="3986" xr:uid="{00000000-0005-0000-0000-00001C130000}"/>
    <cellStyle name="Heading 1 24 3 2" xfId="9824" xr:uid="{00000000-0005-0000-0000-00001D130000}"/>
    <cellStyle name="Heading 1 24 4" xfId="9821" xr:uid="{00000000-0005-0000-0000-00001E130000}"/>
    <cellStyle name="Heading 1 25" xfId="634" xr:uid="{00000000-0005-0000-0000-00001F130000}"/>
    <cellStyle name="Heading 1 25 2" xfId="635" xr:uid="{00000000-0005-0000-0000-000020130000}"/>
    <cellStyle name="Heading 1 25 2 2" xfId="8344" xr:uid="{00000000-0005-0000-0000-000021130000}"/>
    <cellStyle name="Heading 1 25 2 2 2" xfId="9827" xr:uid="{00000000-0005-0000-0000-000022130000}"/>
    <cellStyle name="Heading 1 25 2 3" xfId="9826" xr:uid="{00000000-0005-0000-0000-000023130000}"/>
    <cellStyle name="Heading 1 25 3" xfId="3987" xr:uid="{00000000-0005-0000-0000-000024130000}"/>
    <cellStyle name="Heading 1 25 3 2" xfId="9828" xr:uid="{00000000-0005-0000-0000-000025130000}"/>
    <cellStyle name="Heading 1 25 4" xfId="9825" xr:uid="{00000000-0005-0000-0000-000026130000}"/>
    <cellStyle name="Heading 1 26" xfId="636" xr:uid="{00000000-0005-0000-0000-000027130000}"/>
    <cellStyle name="Heading 1 26 2" xfId="637" xr:uid="{00000000-0005-0000-0000-000028130000}"/>
    <cellStyle name="Heading 1 26 2 2" xfId="8345" xr:uid="{00000000-0005-0000-0000-000029130000}"/>
    <cellStyle name="Heading 1 26 2 2 2" xfId="9831" xr:uid="{00000000-0005-0000-0000-00002A130000}"/>
    <cellStyle name="Heading 1 26 2 3" xfId="9830" xr:uid="{00000000-0005-0000-0000-00002B130000}"/>
    <cellStyle name="Heading 1 26 3" xfId="3988" xr:uid="{00000000-0005-0000-0000-00002C130000}"/>
    <cellStyle name="Heading 1 26 3 2" xfId="9832" xr:uid="{00000000-0005-0000-0000-00002D130000}"/>
    <cellStyle name="Heading 1 26 4" xfId="9829" xr:uid="{00000000-0005-0000-0000-00002E130000}"/>
    <cellStyle name="Heading 1 27" xfId="638" xr:uid="{00000000-0005-0000-0000-00002F130000}"/>
    <cellStyle name="Heading 1 27 2" xfId="639" xr:uid="{00000000-0005-0000-0000-000030130000}"/>
    <cellStyle name="Heading 1 27 2 2" xfId="8346" xr:uid="{00000000-0005-0000-0000-000031130000}"/>
    <cellStyle name="Heading 1 27 2 2 2" xfId="9835" xr:uid="{00000000-0005-0000-0000-000032130000}"/>
    <cellStyle name="Heading 1 27 2 3" xfId="9834" xr:uid="{00000000-0005-0000-0000-000033130000}"/>
    <cellStyle name="Heading 1 27 3" xfId="3989" xr:uid="{00000000-0005-0000-0000-000034130000}"/>
    <cellStyle name="Heading 1 27 3 2" xfId="9836" xr:uid="{00000000-0005-0000-0000-000035130000}"/>
    <cellStyle name="Heading 1 27 4" xfId="9833" xr:uid="{00000000-0005-0000-0000-000036130000}"/>
    <cellStyle name="Heading 1 28" xfId="640" xr:uid="{00000000-0005-0000-0000-000037130000}"/>
    <cellStyle name="Heading 1 28 2" xfId="641" xr:uid="{00000000-0005-0000-0000-000038130000}"/>
    <cellStyle name="Heading 1 28 2 2" xfId="8347" xr:uid="{00000000-0005-0000-0000-000039130000}"/>
    <cellStyle name="Heading 1 28 2 2 2" xfId="9839" xr:uid="{00000000-0005-0000-0000-00003A130000}"/>
    <cellStyle name="Heading 1 28 2 3" xfId="9838" xr:uid="{00000000-0005-0000-0000-00003B130000}"/>
    <cellStyle name="Heading 1 28 3" xfId="3990" xr:uid="{00000000-0005-0000-0000-00003C130000}"/>
    <cellStyle name="Heading 1 28 3 2" xfId="9840" xr:uid="{00000000-0005-0000-0000-00003D130000}"/>
    <cellStyle name="Heading 1 28 4" xfId="9837" xr:uid="{00000000-0005-0000-0000-00003E130000}"/>
    <cellStyle name="Heading 1 29" xfId="642" xr:uid="{00000000-0005-0000-0000-00003F130000}"/>
    <cellStyle name="Heading 1 29 2" xfId="643" xr:uid="{00000000-0005-0000-0000-000040130000}"/>
    <cellStyle name="Heading 1 29 2 2" xfId="8348" xr:uid="{00000000-0005-0000-0000-000041130000}"/>
    <cellStyle name="Heading 1 29 2 2 2" xfId="9843" xr:uid="{00000000-0005-0000-0000-000042130000}"/>
    <cellStyle name="Heading 1 29 2 3" xfId="9842" xr:uid="{00000000-0005-0000-0000-000043130000}"/>
    <cellStyle name="Heading 1 29 3" xfId="3991" xr:uid="{00000000-0005-0000-0000-000044130000}"/>
    <cellStyle name="Heading 1 29 3 2" xfId="9844" xr:uid="{00000000-0005-0000-0000-000045130000}"/>
    <cellStyle name="Heading 1 29 4" xfId="9841" xr:uid="{00000000-0005-0000-0000-000046130000}"/>
    <cellStyle name="Heading 1 3" xfId="644" xr:uid="{00000000-0005-0000-0000-000047130000}"/>
    <cellStyle name="Heading 1 3 2" xfId="645" xr:uid="{00000000-0005-0000-0000-000048130000}"/>
    <cellStyle name="Heading 1 3 2 2" xfId="646" xr:uid="{00000000-0005-0000-0000-000049130000}"/>
    <cellStyle name="Heading 1 3 2 2 2" xfId="8349" xr:uid="{00000000-0005-0000-0000-00004A130000}"/>
    <cellStyle name="Heading 1 3 2 2 2 2" xfId="9848" xr:uid="{00000000-0005-0000-0000-00004B130000}"/>
    <cellStyle name="Heading 1 3 2 2 3" xfId="9847" xr:uid="{00000000-0005-0000-0000-00004C130000}"/>
    <cellStyle name="Heading 1 3 2 3" xfId="3993" xr:uid="{00000000-0005-0000-0000-00004D130000}"/>
    <cellStyle name="Heading 1 3 2 3 2" xfId="9849" xr:uid="{00000000-0005-0000-0000-00004E130000}"/>
    <cellStyle name="Heading 1 3 2 4" xfId="9846" xr:uid="{00000000-0005-0000-0000-00004F130000}"/>
    <cellStyle name="Heading 1 3 3" xfId="647" xr:uid="{00000000-0005-0000-0000-000050130000}"/>
    <cellStyle name="Heading 1 3 3 2" xfId="3994" xr:uid="{00000000-0005-0000-0000-000051130000}"/>
    <cellStyle name="Heading 1 3 3 2 2" xfId="9851" xr:uid="{00000000-0005-0000-0000-000052130000}"/>
    <cellStyle name="Heading 1 3 3 3" xfId="7489" xr:uid="{00000000-0005-0000-0000-000053130000}"/>
    <cellStyle name="Heading 1 3 3 3 2" xfId="9852" xr:uid="{00000000-0005-0000-0000-000054130000}"/>
    <cellStyle name="Heading 1 3 3 4" xfId="9850" xr:uid="{00000000-0005-0000-0000-000055130000}"/>
    <cellStyle name="Heading 1 3 4" xfId="3995" xr:uid="{00000000-0005-0000-0000-000056130000}"/>
    <cellStyle name="Heading 1 3 4 2" xfId="8350" xr:uid="{00000000-0005-0000-0000-000057130000}"/>
    <cellStyle name="Heading 1 3 4 2 2" xfId="9854" xr:uid="{00000000-0005-0000-0000-000058130000}"/>
    <cellStyle name="Heading 1 3 4 3" xfId="7490" xr:uid="{00000000-0005-0000-0000-000059130000}"/>
    <cellStyle name="Heading 1 3 4 3 2" xfId="9855" xr:uid="{00000000-0005-0000-0000-00005A130000}"/>
    <cellStyle name="Heading 1 3 4 4" xfId="9853" xr:uid="{00000000-0005-0000-0000-00005B130000}"/>
    <cellStyle name="Heading 1 3 5" xfId="3996" xr:uid="{00000000-0005-0000-0000-00005C130000}"/>
    <cellStyle name="Heading 1 3 5 2" xfId="9856" xr:uid="{00000000-0005-0000-0000-00005D130000}"/>
    <cellStyle name="Heading 1 3 6" xfId="3992" xr:uid="{00000000-0005-0000-0000-00005E130000}"/>
    <cellStyle name="Heading 1 3 6 2" xfId="9857" xr:uid="{00000000-0005-0000-0000-00005F130000}"/>
    <cellStyle name="Heading 1 3 7" xfId="9845" xr:uid="{00000000-0005-0000-0000-000060130000}"/>
    <cellStyle name="Heading 1 30" xfId="648" xr:uid="{00000000-0005-0000-0000-000061130000}"/>
    <cellStyle name="Heading 1 30 2" xfId="649" xr:uid="{00000000-0005-0000-0000-000062130000}"/>
    <cellStyle name="Heading 1 30 2 2" xfId="8351" xr:uid="{00000000-0005-0000-0000-000063130000}"/>
    <cellStyle name="Heading 1 30 2 2 2" xfId="9860" xr:uid="{00000000-0005-0000-0000-000064130000}"/>
    <cellStyle name="Heading 1 30 2 3" xfId="9859" xr:uid="{00000000-0005-0000-0000-000065130000}"/>
    <cellStyle name="Heading 1 30 3" xfId="3997" xr:uid="{00000000-0005-0000-0000-000066130000}"/>
    <cellStyle name="Heading 1 30 3 2" xfId="9861" xr:uid="{00000000-0005-0000-0000-000067130000}"/>
    <cellStyle name="Heading 1 30 4" xfId="9858" xr:uid="{00000000-0005-0000-0000-000068130000}"/>
    <cellStyle name="Heading 1 31" xfId="650" xr:uid="{00000000-0005-0000-0000-000069130000}"/>
    <cellStyle name="Heading 1 31 2" xfId="651" xr:uid="{00000000-0005-0000-0000-00006A130000}"/>
    <cellStyle name="Heading 1 31 2 2" xfId="8352" xr:uid="{00000000-0005-0000-0000-00006B130000}"/>
    <cellStyle name="Heading 1 31 2 2 2" xfId="9864" xr:uid="{00000000-0005-0000-0000-00006C130000}"/>
    <cellStyle name="Heading 1 31 2 3" xfId="9863" xr:uid="{00000000-0005-0000-0000-00006D130000}"/>
    <cellStyle name="Heading 1 31 3" xfId="3998" xr:uid="{00000000-0005-0000-0000-00006E130000}"/>
    <cellStyle name="Heading 1 31 3 2" xfId="9865" xr:uid="{00000000-0005-0000-0000-00006F130000}"/>
    <cellStyle name="Heading 1 31 4" xfId="9862" xr:uid="{00000000-0005-0000-0000-000070130000}"/>
    <cellStyle name="Heading 1 32" xfId="652" xr:uid="{00000000-0005-0000-0000-000071130000}"/>
    <cellStyle name="Heading 1 32 2" xfId="653" xr:uid="{00000000-0005-0000-0000-000072130000}"/>
    <cellStyle name="Heading 1 32 2 2" xfId="8353" xr:uid="{00000000-0005-0000-0000-000073130000}"/>
    <cellStyle name="Heading 1 32 2 2 2" xfId="9868" xr:uid="{00000000-0005-0000-0000-000074130000}"/>
    <cellStyle name="Heading 1 32 2 3" xfId="9867" xr:uid="{00000000-0005-0000-0000-000075130000}"/>
    <cellStyle name="Heading 1 32 3" xfId="3999" xr:uid="{00000000-0005-0000-0000-000076130000}"/>
    <cellStyle name="Heading 1 32 3 2" xfId="9869" xr:uid="{00000000-0005-0000-0000-000077130000}"/>
    <cellStyle name="Heading 1 32 4" xfId="9866" xr:uid="{00000000-0005-0000-0000-000078130000}"/>
    <cellStyle name="Heading 1 33" xfId="654" xr:uid="{00000000-0005-0000-0000-000079130000}"/>
    <cellStyle name="Heading 1 33 2" xfId="4001" xr:uid="{00000000-0005-0000-0000-00007A130000}"/>
    <cellStyle name="Heading 1 33 2 2" xfId="9871" xr:uid="{00000000-0005-0000-0000-00007B130000}"/>
    <cellStyle name="Heading 1 33 3" xfId="4000" xr:uid="{00000000-0005-0000-0000-00007C130000}"/>
    <cellStyle name="Heading 1 33 3 2" xfId="9872" xr:uid="{00000000-0005-0000-0000-00007D130000}"/>
    <cellStyle name="Heading 1 33 4" xfId="7491" xr:uid="{00000000-0005-0000-0000-00007E130000}"/>
    <cellStyle name="Heading 1 33 4 2" xfId="9873" xr:uid="{00000000-0005-0000-0000-00007F130000}"/>
    <cellStyle name="Heading 1 33 5" xfId="9870" xr:uid="{00000000-0005-0000-0000-000080130000}"/>
    <cellStyle name="Heading 1 34" xfId="4002" xr:uid="{00000000-0005-0000-0000-000081130000}"/>
    <cellStyle name="Heading 1 34 2" xfId="4003" xr:uid="{00000000-0005-0000-0000-000082130000}"/>
    <cellStyle name="Heading 1 34 2 2" xfId="9875" xr:uid="{00000000-0005-0000-0000-000083130000}"/>
    <cellStyle name="Heading 1 34 3" xfId="8354" xr:uid="{00000000-0005-0000-0000-000084130000}"/>
    <cellStyle name="Heading 1 34 3 2" xfId="9876" xr:uid="{00000000-0005-0000-0000-000085130000}"/>
    <cellStyle name="Heading 1 34 4" xfId="7492" xr:uid="{00000000-0005-0000-0000-000086130000}"/>
    <cellStyle name="Heading 1 34 4 2" xfId="9877" xr:uid="{00000000-0005-0000-0000-000087130000}"/>
    <cellStyle name="Heading 1 34 5" xfId="9874" xr:uid="{00000000-0005-0000-0000-000088130000}"/>
    <cellStyle name="Heading 1 35" xfId="4004" xr:uid="{00000000-0005-0000-0000-000089130000}"/>
    <cellStyle name="Heading 1 35 2" xfId="4005" xr:uid="{00000000-0005-0000-0000-00008A130000}"/>
    <cellStyle name="Heading 1 35 2 2" xfId="9879" xr:uid="{00000000-0005-0000-0000-00008B130000}"/>
    <cellStyle name="Heading 1 35 3" xfId="9878" xr:uid="{00000000-0005-0000-0000-00008C130000}"/>
    <cellStyle name="Heading 1 36" xfId="4006" xr:uid="{00000000-0005-0000-0000-00008D130000}"/>
    <cellStyle name="Heading 1 36 2" xfId="9880" xr:uid="{00000000-0005-0000-0000-00008E130000}"/>
    <cellStyle name="Heading 1 37" xfId="4007" xr:uid="{00000000-0005-0000-0000-00008F130000}"/>
    <cellStyle name="Heading 1 37 2" xfId="9881" xr:uid="{00000000-0005-0000-0000-000090130000}"/>
    <cellStyle name="Heading 1 38" xfId="4008" xr:uid="{00000000-0005-0000-0000-000091130000}"/>
    <cellStyle name="Heading 1 38 2" xfId="9882" xr:uid="{00000000-0005-0000-0000-000092130000}"/>
    <cellStyle name="Heading 1 39" xfId="4009" xr:uid="{00000000-0005-0000-0000-000093130000}"/>
    <cellStyle name="Heading 1 39 10" xfId="4010" xr:uid="{00000000-0005-0000-0000-000094130000}"/>
    <cellStyle name="Heading 1 39 10 2" xfId="9884" xr:uid="{00000000-0005-0000-0000-000095130000}"/>
    <cellStyle name="Heading 1 39 100" xfId="4011" xr:uid="{00000000-0005-0000-0000-000096130000}"/>
    <cellStyle name="Heading 1 39 100 2" xfId="9885" xr:uid="{00000000-0005-0000-0000-000097130000}"/>
    <cellStyle name="Heading 1 39 101" xfId="4012" xr:uid="{00000000-0005-0000-0000-000098130000}"/>
    <cellStyle name="Heading 1 39 101 2" xfId="9886" xr:uid="{00000000-0005-0000-0000-000099130000}"/>
    <cellStyle name="Heading 1 39 102" xfId="4013" xr:uid="{00000000-0005-0000-0000-00009A130000}"/>
    <cellStyle name="Heading 1 39 102 2" xfId="9887" xr:uid="{00000000-0005-0000-0000-00009B130000}"/>
    <cellStyle name="Heading 1 39 103" xfId="4014" xr:uid="{00000000-0005-0000-0000-00009C130000}"/>
    <cellStyle name="Heading 1 39 103 2" xfId="9888" xr:uid="{00000000-0005-0000-0000-00009D130000}"/>
    <cellStyle name="Heading 1 39 104" xfId="4015" xr:uid="{00000000-0005-0000-0000-00009E130000}"/>
    <cellStyle name="Heading 1 39 104 2" xfId="9889" xr:uid="{00000000-0005-0000-0000-00009F130000}"/>
    <cellStyle name="Heading 1 39 105" xfId="4016" xr:uid="{00000000-0005-0000-0000-0000A0130000}"/>
    <cellStyle name="Heading 1 39 105 2" xfId="9890" xr:uid="{00000000-0005-0000-0000-0000A1130000}"/>
    <cellStyle name="Heading 1 39 106" xfId="4017" xr:uid="{00000000-0005-0000-0000-0000A2130000}"/>
    <cellStyle name="Heading 1 39 106 2" xfId="9891" xr:uid="{00000000-0005-0000-0000-0000A3130000}"/>
    <cellStyle name="Heading 1 39 107" xfId="4018" xr:uid="{00000000-0005-0000-0000-0000A4130000}"/>
    <cellStyle name="Heading 1 39 107 2" xfId="9892" xr:uid="{00000000-0005-0000-0000-0000A5130000}"/>
    <cellStyle name="Heading 1 39 108" xfId="4019" xr:uid="{00000000-0005-0000-0000-0000A6130000}"/>
    <cellStyle name="Heading 1 39 108 2" xfId="9893" xr:uid="{00000000-0005-0000-0000-0000A7130000}"/>
    <cellStyle name="Heading 1 39 109" xfId="4020" xr:uid="{00000000-0005-0000-0000-0000A8130000}"/>
    <cellStyle name="Heading 1 39 109 2" xfId="9894" xr:uid="{00000000-0005-0000-0000-0000A9130000}"/>
    <cellStyle name="Heading 1 39 11" xfId="4021" xr:uid="{00000000-0005-0000-0000-0000AA130000}"/>
    <cellStyle name="Heading 1 39 11 2" xfId="9895" xr:uid="{00000000-0005-0000-0000-0000AB130000}"/>
    <cellStyle name="Heading 1 39 110" xfId="4022" xr:uid="{00000000-0005-0000-0000-0000AC130000}"/>
    <cellStyle name="Heading 1 39 110 2" xfId="9896" xr:uid="{00000000-0005-0000-0000-0000AD130000}"/>
    <cellStyle name="Heading 1 39 111" xfId="4023" xr:uid="{00000000-0005-0000-0000-0000AE130000}"/>
    <cellStyle name="Heading 1 39 111 2" xfId="9897" xr:uid="{00000000-0005-0000-0000-0000AF130000}"/>
    <cellStyle name="Heading 1 39 112" xfId="4024" xr:uid="{00000000-0005-0000-0000-0000B0130000}"/>
    <cellStyle name="Heading 1 39 112 2" xfId="9898" xr:uid="{00000000-0005-0000-0000-0000B1130000}"/>
    <cellStyle name="Heading 1 39 113" xfId="4025" xr:uid="{00000000-0005-0000-0000-0000B2130000}"/>
    <cellStyle name="Heading 1 39 113 2" xfId="9899" xr:uid="{00000000-0005-0000-0000-0000B3130000}"/>
    <cellStyle name="Heading 1 39 114" xfId="4026" xr:uid="{00000000-0005-0000-0000-0000B4130000}"/>
    <cellStyle name="Heading 1 39 114 2" xfId="9900" xr:uid="{00000000-0005-0000-0000-0000B5130000}"/>
    <cellStyle name="Heading 1 39 115" xfId="4027" xr:uid="{00000000-0005-0000-0000-0000B6130000}"/>
    <cellStyle name="Heading 1 39 115 2" xfId="9901" xr:uid="{00000000-0005-0000-0000-0000B7130000}"/>
    <cellStyle name="Heading 1 39 116" xfId="4028" xr:uid="{00000000-0005-0000-0000-0000B8130000}"/>
    <cellStyle name="Heading 1 39 116 2" xfId="9902" xr:uid="{00000000-0005-0000-0000-0000B9130000}"/>
    <cellStyle name="Heading 1 39 117" xfId="4029" xr:uid="{00000000-0005-0000-0000-0000BA130000}"/>
    <cellStyle name="Heading 1 39 117 2" xfId="9903" xr:uid="{00000000-0005-0000-0000-0000BB130000}"/>
    <cellStyle name="Heading 1 39 118" xfId="4030" xr:uid="{00000000-0005-0000-0000-0000BC130000}"/>
    <cellStyle name="Heading 1 39 118 2" xfId="9904" xr:uid="{00000000-0005-0000-0000-0000BD130000}"/>
    <cellStyle name="Heading 1 39 119" xfId="4031" xr:uid="{00000000-0005-0000-0000-0000BE130000}"/>
    <cellStyle name="Heading 1 39 119 2" xfId="9905" xr:uid="{00000000-0005-0000-0000-0000BF130000}"/>
    <cellStyle name="Heading 1 39 12" xfId="4032" xr:uid="{00000000-0005-0000-0000-0000C0130000}"/>
    <cellStyle name="Heading 1 39 12 2" xfId="9906" xr:uid="{00000000-0005-0000-0000-0000C1130000}"/>
    <cellStyle name="Heading 1 39 120" xfId="4033" xr:uid="{00000000-0005-0000-0000-0000C2130000}"/>
    <cellStyle name="Heading 1 39 120 2" xfId="9907" xr:uid="{00000000-0005-0000-0000-0000C3130000}"/>
    <cellStyle name="Heading 1 39 121" xfId="4034" xr:uid="{00000000-0005-0000-0000-0000C4130000}"/>
    <cellStyle name="Heading 1 39 121 2" xfId="9908" xr:uid="{00000000-0005-0000-0000-0000C5130000}"/>
    <cellStyle name="Heading 1 39 122" xfId="4035" xr:uid="{00000000-0005-0000-0000-0000C6130000}"/>
    <cellStyle name="Heading 1 39 122 2" xfId="9909" xr:uid="{00000000-0005-0000-0000-0000C7130000}"/>
    <cellStyle name="Heading 1 39 123" xfId="4036" xr:uid="{00000000-0005-0000-0000-0000C8130000}"/>
    <cellStyle name="Heading 1 39 123 2" xfId="9910" xr:uid="{00000000-0005-0000-0000-0000C9130000}"/>
    <cellStyle name="Heading 1 39 124" xfId="4037" xr:uid="{00000000-0005-0000-0000-0000CA130000}"/>
    <cellStyle name="Heading 1 39 124 2" xfId="9911" xr:uid="{00000000-0005-0000-0000-0000CB130000}"/>
    <cellStyle name="Heading 1 39 125" xfId="4038" xr:uid="{00000000-0005-0000-0000-0000CC130000}"/>
    <cellStyle name="Heading 1 39 125 2" xfId="9912" xr:uid="{00000000-0005-0000-0000-0000CD130000}"/>
    <cellStyle name="Heading 1 39 126" xfId="4039" xr:uid="{00000000-0005-0000-0000-0000CE130000}"/>
    <cellStyle name="Heading 1 39 126 2" xfId="9913" xr:uid="{00000000-0005-0000-0000-0000CF130000}"/>
    <cellStyle name="Heading 1 39 127" xfId="4040" xr:uid="{00000000-0005-0000-0000-0000D0130000}"/>
    <cellStyle name="Heading 1 39 127 2" xfId="9914" xr:uid="{00000000-0005-0000-0000-0000D1130000}"/>
    <cellStyle name="Heading 1 39 128" xfId="4041" xr:uid="{00000000-0005-0000-0000-0000D2130000}"/>
    <cellStyle name="Heading 1 39 128 2" xfId="9915" xr:uid="{00000000-0005-0000-0000-0000D3130000}"/>
    <cellStyle name="Heading 1 39 129" xfId="4042" xr:uid="{00000000-0005-0000-0000-0000D4130000}"/>
    <cellStyle name="Heading 1 39 129 2" xfId="9916" xr:uid="{00000000-0005-0000-0000-0000D5130000}"/>
    <cellStyle name="Heading 1 39 13" xfId="4043" xr:uid="{00000000-0005-0000-0000-0000D6130000}"/>
    <cellStyle name="Heading 1 39 13 2" xfId="9917" xr:uid="{00000000-0005-0000-0000-0000D7130000}"/>
    <cellStyle name="Heading 1 39 130" xfId="4044" xr:uid="{00000000-0005-0000-0000-0000D8130000}"/>
    <cellStyle name="Heading 1 39 130 2" xfId="9918" xr:uid="{00000000-0005-0000-0000-0000D9130000}"/>
    <cellStyle name="Heading 1 39 131" xfId="4045" xr:uid="{00000000-0005-0000-0000-0000DA130000}"/>
    <cellStyle name="Heading 1 39 131 2" xfId="9919" xr:uid="{00000000-0005-0000-0000-0000DB130000}"/>
    <cellStyle name="Heading 1 39 132" xfId="4046" xr:uid="{00000000-0005-0000-0000-0000DC130000}"/>
    <cellStyle name="Heading 1 39 132 2" xfId="9920" xr:uid="{00000000-0005-0000-0000-0000DD130000}"/>
    <cellStyle name="Heading 1 39 133" xfId="4047" xr:uid="{00000000-0005-0000-0000-0000DE130000}"/>
    <cellStyle name="Heading 1 39 133 2" xfId="9921" xr:uid="{00000000-0005-0000-0000-0000DF130000}"/>
    <cellStyle name="Heading 1 39 134" xfId="4048" xr:uid="{00000000-0005-0000-0000-0000E0130000}"/>
    <cellStyle name="Heading 1 39 134 2" xfId="9922" xr:uid="{00000000-0005-0000-0000-0000E1130000}"/>
    <cellStyle name="Heading 1 39 135" xfId="4049" xr:uid="{00000000-0005-0000-0000-0000E2130000}"/>
    <cellStyle name="Heading 1 39 135 2" xfId="9923" xr:uid="{00000000-0005-0000-0000-0000E3130000}"/>
    <cellStyle name="Heading 1 39 136" xfId="4050" xr:uid="{00000000-0005-0000-0000-0000E4130000}"/>
    <cellStyle name="Heading 1 39 136 2" xfId="9924" xr:uid="{00000000-0005-0000-0000-0000E5130000}"/>
    <cellStyle name="Heading 1 39 137" xfId="4051" xr:uid="{00000000-0005-0000-0000-0000E6130000}"/>
    <cellStyle name="Heading 1 39 137 2" xfId="9925" xr:uid="{00000000-0005-0000-0000-0000E7130000}"/>
    <cellStyle name="Heading 1 39 138" xfId="4052" xr:uid="{00000000-0005-0000-0000-0000E8130000}"/>
    <cellStyle name="Heading 1 39 138 2" xfId="9926" xr:uid="{00000000-0005-0000-0000-0000E9130000}"/>
    <cellStyle name="Heading 1 39 139" xfId="4053" xr:uid="{00000000-0005-0000-0000-0000EA130000}"/>
    <cellStyle name="Heading 1 39 139 2" xfId="9927" xr:uid="{00000000-0005-0000-0000-0000EB130000}"/>
    <cellStyle name="Heading 1 39 14" xfId="4054" xr:uid="{00000000-0005-0000-0000-0000EC130000}"/>
    <cellStyle name="Heading 1 39 14 2" xfId="9928" xr:uid="{00000000-0005-0000-0000-0000ED130000}"/>
    <cellStyle name="Heading 1 39 140" xfId="4055" xr:uid="{00000000-0005-0000-0000-0000EE130000}"/>
    <cellStyle name="Heading 1 39 140 2" xfId="9929" xr:uid="{00000000-0005-0000-0000-0000EF130000}"/>
    <cellStyle name="Heading 1 39 141" xfId="4056" xr:uid="{00000000-0005-0000-0000-0000F0130000}"/>
    <cellStyle name="Heading 1 39 141 2" xfId="9930" xr:uid="{00000000-0005-0000-0000-0000F1130000}"/>
    <cellStyle name="Heading 1 39 142" xfId="4057" xr:uid="{00000000-0005-0000-0000-0000F2130000}"/>
    <cellStyle name="Heading 1 39 142 2" xfId="9931" xr:uid="{00000000-0005-0000-0000-0000F3130000}"/>
    <cellStyle name="Heading 1 39 143" xfId="4058" xr:uid="{00000000-0005-0000-0000-0000F4130000}"/>
    <cellStyle name="Heading 1 39 143 2" xfId="9932" xr:uid="{00000000-0005-0000-0000-0000F5130000}"/>
    <cellStyle name="Heading 1 39 144" xfId="4059" xr:uid="{00000000-0005-0000-0000-0000F6130000}"/>
    <cellStyle name="Heading 1 39 144 2" xfId="9933" xr:uid="{00000000-0005-0000-0000-0000F7130000}"/>
    <cellStyle name="Heading 1 39 145" xfId="4060" xr:uid="{00000000-0005-0000-0000-0000F8130000}"/>
    <cellStyle name="Heading 1 39 145 2" xfId="9934" xr:uid="{00000000-0005-0000-0000-0000F9130000}"/>
    <cellStyle name="Heading 1 39 146" xfId="4061" xr:uid="{00000000-0005-0000-0000-0000FA130000}"/>
    <cellStyle name="Heading 1 39 146 2" xfId="9935" xr:uid="{00000000-0005-0000-0000-0000FB130000}"/>
    <cellStyle name="Heading 1 39 147" xfId="4062" xr:uid="{00000000-0005-0000-0000-0000FC130000}"/>
    <cellStyle name="Heading 1 39 147 2" xfId="9936" xr:uid="{00000000-0005-0000-0000-0000FD130000}"/>
    <cellStyle name="Heading 1 39 148" xfId="4063" xr:uid="{00000000-0005-0000-0000-0000FE130000}"/>
    <cellStyle name="Heading 1 39 148 2" xfId="9937" xr:uid="{00000000-0005-0000-0000-0000FF130000}"/>
    <cellStyle name="Heading 1 39 149" xfId="4064" xr:uid="{00000000-0005-0000-0000-000000140000}"/>
    <cellStyle name="Heading 1 39 149 2" xfId="9938" xr:uid="{00000000-0005-0000-0000-000001140000}"/>
    <cellStyle name="Heading 1 39 15" xfId="4065" xr:uid="{00000000-0005-0000-0000-000002140000}"/>
    <cellStyle name="Heading 1 39 15 2" xfId="9939" xr:uid="{00000000-0005-0000-0000-000003140000}"/>
    <cellStyle name="Heading 1 39 150" xfId="4066" xr:uid="{00000000-0005-0000-0000-000004140000}"/>
    <cellStyle name="Heading 1 39 150 2" xfId="9940" xr:uid="{00000000-0005-0000-0000-000005140000}"/>
    <cellStyle name="Heading 1 39 151" xfId="4067" xr:uid="{00000000-0005-0000-0000-000006140000}"/>
    <cellStyle name="Heading 1 39 151 2" xfId="9941" xr:uid="{00000000-0005-0000-0000-000007140000}"/>
    <cellStyle name="Heading 1 39 152" xfId="4068" xr:uid="{00000000-0005-0000-0000-000008140000}"/>
    <cellStyle name="Heading 1 39 152 2" xfId="9942" xr:uid="{00000000-0005-0000-0000-000009140000}"/>
    <cellStyle name="Heading 1 39 153" xfId="4069" xr:uid="{00000000-0005-0000-0000-00000A140000}"/>
    <cellStyle name="Heading 1 39 153 2" xfId="9943" xr:uid="{00000000-0005-0000-0000-00000B140000}"/>
    <cellStyle name="Heading 1 39 154" xfId="4070" xr:uid="{00000000-0005-0000-0000-00000C140000}"/>
    <cellStyle name="Heading 1 39 154 2" xfId="9944" xr:uid="{00000000-0005-0000-0000-00000D140000}"/>
    <cellStyle name="Heading 1 39 155" xfId="4071" xr:uid="{00000000-0005-0000-0000-00000E140000}"/>
    <cellStyle name="Heading 1 39 155 2" xfId="9945" xr:uid="{00000000-0005-0000-0000-00000F140000}"/>
    <cellStyle name="Heading 1 39 156" xfId="4072" xr:uid="{00000000-0005-0000-0000-000010140000}"/>
    <cellStyle name="Heading 1 39 156 2" xfId="9946" xr:uid="{00000000-0005-0000-0000-000011140000}"/>
    <cellStyle name="Heading 1 39 157" xfId="4073" xr:uid="{00000000-0005-0000-0000-000012140000}"/>
    <cellStyle name="Heading 1 39 157 2" xfId="9947" xr:uid="{00000000-0005-0000-0000-000013140000}"/>
    <cellStyle name="Heading 1 39 158" xfId="4074" xr:uid="{00000000-0005-0000-0000-000014140000}"/>
    <cellStyle name="Heading 1 39 158 2" xfId="9948" xr:uid="{00000000-0005-0000-0000-000015140000}"/>
    <cellStyle name="Heading 1 39 159" xfId="4075" xr:uid="{00000000-0005-0000-0000-000016140000}"/>
    <cellStyle name="Heading 1 39 159 2" xfId="9949" xr:uid="{00000000-0005-0000-0000-000017140000}"/>
    <cellStyle name="Heading 1 39 16" xfId="4076" xr:uid="{00000000-0005-0000-0000-000018140000}"/>
    <cellStyle name="Heading 1 39 16 2" xfId="9950" xr:uid="{00000000-0005-0000-0000-000019140000}"/>
    <cellStyle name="Heading 1 39 160" xfId="4077" xr:uid="{00000000-0005-0000-0000-00001A140000}"/>
    <cellStyle name="Heading 1 39 160 2" xfId="9951" xr:uid="{00000000-0005-0000-0000-00001B140000}"/>
    <cellStyle name="Heading 1 39 161" xfId="4078" xr:uid="{00000000-0005-0000-0000-00001C140000}"/>
    <cellStyle name="Heading 1 39 161 2" xfId="9952" xr:uid="{00000000-0005-0000-0000-00001D140000}"/>
    <cellStyle name="Heading 1 39 162" xfId="4079" xr:uid="{00000000-0005-0000-0000-00001E140000}"/>
    <cellStyle name="Heading 1 39 162 2" xfId="9953" xr:uid="{00000000-0005-0000-0000-00001F140000}"/>
    <cellStyle name="Heading 1 39 163" xfId="4080" xr:uid="{00000000-0005-0000-0000-000020140000}"/>
    <cellStyle name="Heading 1 39 163 2" xfId="9954" xr:uid="{00000000-0005-0000-0000-000021140000}"/>
    <cellStyle name="Heading 1 39 164" xfId="4081" xr:uid="{00000000-0005-0000-0000-000022140000}"/>
    <cellStyle name="Heading 1 39 164 2" xfId="9955" xr:uid="{00000000-0005-0000-0000-000023140000}"/>
    <cellStyle name="Heading 1 39 165" xfId="4082" xr:uid="{00000000-0005-0000-0000-000024140000}"/>
    <cellStyle name="Heading 1 39 165 2" xfId="9956" xr:uid="{00000000-0005-0000-0000-000025140000}"/>
    <cellStyle name="Heading 1 39 166" xfId="4083" xr:uid="{00000000-0005-0000-0000-000026140000}"/>
    <cellStyle name="Heading 1 39 166 2" xfId="9957" xr:uid="{00000000-0005-0000-0000-000027140000}"/>
    <cellStyle name="Heading 1 39 167" xfId="4084" xr:uid="{00000000-0005-0000-0000-000028140000}"/>
    <cellStyle name="Heading 1 39 167 2" xfId="9958" xr:uid="{00000000-0005-0000-0000-000029140000}"/>
    <cellStyle name="Heading 1 39 168" xfId="4085" xr:uid="{00000000-0005-0000-0000-00002A140000}"/>
    <cellStyle name="Heading 1 39 168 2" xfId="9959" xr:uid="{00000000-0005-0000-0000-00002B140000}"/>
    <cellStyle name="Heading 1 39 169" xfId="4086" xr:uid="{00000000-0005-0000-0000-00002C140000}"/>
    <cellStyle name="Heading 1 39 169 2" xfId="9960" xr:uid="{00000000-0005-0000-0000-00002D140000}"/>
    <cellStyle name="Heading 1 39 17" xfId="4087" xr:uid="{00000000-0005-0000-0000-00002E140000}"/>
    <cellStyle name="Heading 1 39 17 2" xfId="9961" xr:uid="{00000000-0005-0000-0000-00002F140000}"/>
    <cellStyle name="Heading 1 39 170" xfId="4088" xr:uid="{00000000-0005-0000-0000-000030140000}"/>
    <cellStyle name="Heading 1 39 170 2" xfId="9962" xr:uid="{00000000-0005-0000-0000-000031140000}"/>
    <cellStyle name="Heading 1 39 171" xfId="4089" xr:uid="{00000000-0005-0000-0000-000032140000}"/>
    <cellStyle name="Heading 1 39 171 2" xfId="9963" xr:uid="{00000000-0005-0000-0000-000033140000}"/>
    <cellStyle name="Heading 1 39 172" xfId="4090" xr:uid="{00000000-0005-0000-0000-000034140000}"/>
    <cellStyle name="Heading 1 39 172 2" xfId="9964" xr:uid="{00000000-0005-0000-0000-000035140000}"/>
    <cellStyle name="Heading 1 39 173" xfId="4091" xr:uid="{00000000-0005-0000-0000-000036140000}"/>
    <cellStyle name="Heading 1 39 173 2" xfId="9965" xr:uid="{00000000-0005-0000-0000-000037140000}"/>
    <cellStyle name="Heading 1 39 174" xfId="4092" xr:uid="{00000000-0005-0000-0000-000038140000}"/>
    <cellStyle name="Heading 1 39 174 2" xfId="9966" xr:uid="{00000000-0005-0000-0000-000039140000}"/>
    <cellStyle name="Heading 1 39 175" xfId="4093" xr:uid="{00000000-0005-0000-0000-00003A140000}"/>
    <cellStyle name="Heading 1 39 175 2" xfId="9967" xr:uid="{00000000-0005-0000-0000-00003B140000}"/>
    <cellStyle name="Heading 1 39 176" xfId="4094" xr:uid="{00000000-0005-0000-0000-00003C140000}"/>
    <cellStyle name="Heading 1 39 176 2" xfId="9968" xr:uid="{00000000-0005-0000-0000-00003D140000}"/>
    <cellStyle name="Heading 1 39 177" xfId="4095" xr:uid="{00000000-0005-0000-0000-00003E140000}"/>
    <cellStyle name="Heading 1 39 177 2" xfId="9969" xr:uid="{00000000-0005-0000-0000-00003F140000}"/>
    <cellStyle name="Heading 1 39 178" xfId="4096" xr:uid="{00000000-0005-0000-0000-000040140000}"/>
    <cellStyle name="Heading 1 39 178 2" xfId="9970" xr:uid="{00000000-0005-0000-0000-000041140000}"/>
    <cellStyle name="Heading 1 39 179" xfId="4097" xr:uid="{00000000-0005-0000-0000-000042140000}"/>
    <cellStyle name="Heading 1 39 179 2" xfId="9971" xr:uid="{00000000-0005-0000-0000-000043140000}"/>
    <cellStyle name="Heading 1 39 18" xfId="4098" xr:uid="{00000000-0005-0000-0000-000044140000}"/>
    <cellStyle name="Heading 1 39 18 2" xfId="9972" xr:uid="{00000000-0005-0000-0000-000045140000}"/>
    <cellStyle name="Heading 1 39 180" xfId="4099" xr:uid="{00000000-0005-0000-0000-000046140000}"/>
    <cellStyle name="Heading 1 39 180 2" xfId="9973" xr:uid="{00000000-0005-0000-0000-000047140000}"/>
    <cellStyle name="Heading 1 39 181" xfId="4100" xr:uid="{00000000-0005-0000-0000-000048140000}"/>
    <cellStyle name="Heading 1 39 181 2" xfId="9974" xr:uid="{00000000-0005-0000-0000-000049140000}"/>
    <cellStyle name="Heading 1 39 182" xfId="4101" xr:uid="{00000000-0005-0000-0000-00004A140000}"/>
    <cellStyle name="Heading 1 39 182 2" xfId="9975" xr:uid="{00000000-0005-0000-0000-00004B140000}"/>
    <cellStyle name="Heading 1 39 183" xfId="4102" xr:uid="{00000000-0005-0000-0000-00004C140000}"/>
    <cellStyle name="Heading 1 39 183 2" xfId="9976" xr:uid="{00000000-0005-0000-0000-00004D140000}"/>
    <cellStyle name="Heading 1 39 184" xfId="4103" xr:uid="{00000000-0005-0000-0000-00004E140000}"/>
    <cellStyle name="Heading 1 39 184 2" xfId="9977" xr:uid="{00000000-0005-0000-0000-00004F140000}"/>
    <cellStyle name="Heading 1 39 185" xfId="4104" xr:uid="{00000000-0005-0000-0000-000050140000}"/>
    <cellStyle name="Heading 1 39 185 2" xfId="9978" xr:uid="{00000000-0005-0000-0000-000051140000}"/>
    <cellStyle name="Heading 1 39 186" xfId="4105" xr:uid="{00000000-0005-0000-0000-000052140000}"/>
    <cellStyle name="Heading 1 39 186 2" xfId="9979" xr:uid="{00000000-0005-0000-0000-000053140000}"/>
    <cellStyle name="Heading 1 39 187" xfId="4106" xr:uid="{00000000-0005-0000-0000-000054140000}"/>
    <cellStyle name="Heading 1 39 187 2" xfId="9980" xr:uid="{00000000-0005-0000-0000-000055140000}"/>
    <cellStyle name="Heading 1 39 188" xfId="4107" xr:uid="{00000000-0005-0000-0000-000056140000}"/>
    <cellStyle name="Heading 1 39 188 2" xfId="9981" xr:uid="{00000000-0005-0000-0000-000057140000}"/>
    <cellStyle name="Heading 1 39 189" xfId="4108" xr:uid="{00000000-0005-0000-0000-000058140000}"/>
    <cellStyle name="Heading 1 39 189 2" xfId="9982" xr:uid="{00000000-0005-0000-0000-000059140000}"/>
    <cellStyle name="Heading 1 39 19" xfId="4109" xr:uid="{00000000-0005-0000-0000-00005A140000}"/>
    <cellStyle name="Heading 1 39 19 2" xfId="9983" xr:uid="{00000000-0005-0000-0000-00005B140000}"/>
    <cellStyle name="Heading 1 39 190" xfId="4110" xr:uid="{00000000-0005-0000-0000-00005C140000}"/>
    <cellStyle name="Heading 1 39 190 2" xfId="9984" xr:uid="{00000000-0005-0000-0000-00005D140000}"/>
    <cellStyle name="Heading 1 39 191" xfId="4111" xr:uid="{00000000-0005-0000-0000-00005E140000}"/>
    <cellStyle name="Heading 1 39 191 2" xfId="9985" xr:uid="{00000000-0005-0000-0000-00005F140000}"/>
    <cellStyle name="Heading 1 39 192" xfId="4112" xr:uid="{00000000-0005-0000-0000-000060140000}"/>
    <cellStyle name="Heading 1 39 192 2" xfId="9986" xr:uid="{00000000-0005-0000-0000-000061140000}"/>
    <cellStyle name="Heading 1 39 193" xfId="4113" xr:uid="{00000000-0005-0000-0000-000062140000}"/>
    <cellStyle name="Heading 1 39 193 2" xfId="9987" xr:uid="{00000000-0005-0000-0000-000063140000}"/>
    <cellStyle name="Heading 1 39 194" xfId="4114" xr:uid="{00000000-0005-0000-0000-000064140000}"/>
    <cellStyle name="Heading 1 39 194 2" xfId="9988" xr:uid="{00000000-0005-0000-0000-000065140000}"/>
    <cellStyle name="Heading 1 39 195" xfId="4115" xr:uid="{00000000-0005-0000-0000-000066140000}"/>
    <cellStyle name="Heading 1 39 195 2" xfId="9989" xr:uid="{00000000-0005-0000-0000-000067140000}"/>
    <cellStyle name="Heading 1 39 196" xfId="4116" xr:uid="{00000000-0005-0000-0000-000068140000}"/>
    <cellStyle name="Heading 1 39 196 2" xfId="9990" xr:uid="{00000000-0005-0000-0000-000069140000}"/>
    <cellStyle name="Heading 1 39 197" xfId="4117" xr:uid="{00000000-0005-0000-0000-00006A140000}"/>
    <cellStyle name="Heading 1 39 197 2" xfId="9991" xr:uid="{00000000-0005-0000-0000-00006B140000}"/>
    <cellStyle name="Heading 1 39 198" xfId="4118" xr:uid="{00000000-0005-0000-0000-00006C140000}"/>
    <cellStyle name="Heading 1 39 198 2" xfId="9992" xr:uid="{00000000-0005-0000-0000-00006D140000}"/>
    <cellStyle name="Heading 1 39 199" xfId="4119" xr:uid="{00000000-0005-0000-0000-00006E140000}"/>
    <cellStyle name="Heading 1 39 199 2" xfId="9993" xr:uid="{00000000-0005-0000-0000-00006F140000}"/>
    <cellStyle name="Heading 1 39 2" xfId="4120" xr:uid="{00000000-0005-0000-0000-000070140000}"/>
    <cellStyle name="Heading 1 39 2 2" xfId="9994" xr:uid="{00000000-0005-0000-0000-000071140000}"/>
    <cellStyle name="Heading 1 39 20" xfId="4121" xr:uid="{00000000-0005-0000-0000-000072140000}"/>
    <cellStyle name="Heading 1 39 20 2" xfId="9995" xr:uid="{00000000-0005-0000-0000-000073140000}"/>
    <cellStyle name="Heading 1 39 200" xfId="4122" xr:uid="{00000000-0005-0000-0000-000074140000}"/>
    <cellStyle name="Heading 1 39 200 2" xfId="9996" xr:uid="{00000000-0005-0000-0000-000075140000}"/>
    <cellStyle name="Heading 1 39 201" xfId="4123" xr:uid="{00000000-0005-0000-0000-000076140000}"/>
    <cellStyle name="Heading 1 39 201 2" xfId="9997" xr:uid="{00000000-0005-0000-0000-000077140000}"/>
    <cellStyle name="Heading 1 39 202" xfId="4124" xr:uid="{00000000-0005-0000-0000-000078140000}"/>
    <cellStyle name="Heading 1 39 202 2" xfId="9998" xr:uid="{00000000-0005-0000-0000-000079140000}"/>
    <cellStyle name="Heading 1 39 203" xfId="4125" xr:uid="{00000000-0005-0000-0000-00007A140000}"/>
    <cellStyle name="Heading 1 39 203 2" xfId="9999" xr:uid="{00000000-0005-0000-0000-00007B140000}"/>
    <cellStyle name="Heading 1 39 204" xfId="4126" xr:uid="{00000000-0005-0000-0000-00007C140000}"/>
    <cellStyle name="Heading 1 39 204 2" xfId="10000" xr:uid="{00000000-0005-0000-0000-00007D140000}"/>
    <cellStyle name="Heading 1 39 205" xfId="4127" xr:uid="{00000000-0005-0000-0000-00007E140000}"/>
    <cellStyle name="Heading 1 39 205 2" xfId="10001" xr:uid="{00000000-0005-0000-0000-00007F140000}"/>
    <cellStyle name="Heading 1 39 206" xfId="4128" xr:uid="{00000000-0005-0000-0000-000080140000}"/>
    <cellStyle name="Heading 1 39 206 2" xfId="10002" xr:uid="{00000000-0005-0000-0000-000081140000}"/>
    <cellStyle name="Heading 1 39 207" xfId="4129" xr:uid="{00000000-0005-0000-0000-000082140000}"/>
    <cellStyle name="Heading 1 39 207 2" xfId="10003" xr:uid="{00000000-0005-0000-0000-000083140000}"/>
    <cellStyle name="Heading 1 39 208" xfId="4130" xr:uid="{00000000-0005-0000-0000-000084140000}"/>
    <cellStyle name="Heading 1 39 208 2" xfId="10004" xr:uid="{00000000-0005-0000-0000-000085140000}"/>
    <cellStyle name="Heading 1 39 209" xfId="4131" xr:uid="{00000000-0005-0000-0000-000086140000}"/>
    <cellStyle name="Heading 1 39 209 2" xfId="10005" xr:uid="{00000000-0005-0000-0000-000087140000}"/>
    <cellStyle name="Heading 1 39 21" xfId="4132" xr:uid="{00000000-0005-0000-0000-000088140000}"/>
    <cellStyle name="Heading 1 39 21 2" xfId="10006" xr:uid="{00000000-0005-0000-0000-000089140000}"/>
    <cellStyle name="Heading 1 39 210" xfId="4133" xr:uid="{00000000-0005-0000-0000-00008A140000}"/>
    <cellStyle name="Heading 1 39 210 2" xfId="10007" xr:uid="{00000000-0005-0000-0000-00008B140000}"/>
    <cellStyle name="Heading 1 39 211" xfId="4134" xr:uid="{00000000-0005-0000-0000-00008C140000}"/>
    <cellStyle name="Heading 1 39 211 2" xfId="10008" xr:uid="{00000000-0005-0000-0000-00008D140000}"/>
    <cellStyle name="Heading 1 39 212" xfId="4135" xr:uid="{00000000-0005-0000-0000-00008E140000}"/>
    <cellStyle name="Heading 1 39 212 2" xfId="10009" xr:uid="{00000000-0005-0000-0000-00008F140000}"/>
    <cellStyle name="Heading 1 39 213" xfId="4136" xr:uid="{00000000-0005-0000-0000-000090140000}"/>
    <cellStyle name="Heading 1 39 213 2" xfId="10010" xr:uid="{00000000-0005-0000-0000-000091140000}"/>
    <cellStyle name="Heading 1 39 214" xfId="4137" xr:uid="{00000000-0005-0000-0000-000092140000}"/>
    <cellStyle name="Heading 1 39 214 2" xfId="10011" xr:uid="{00000000-0005-0000-0000-000093140000}"/>
    <cellStyle name="Heading 1 39 215" xfId="4138" xr:uid="{00000000-0005-0000-0000-000094140000}"/>
    <cellStyle name="Heading 1 39 215 2" xfId="10012" xr:uid="{00000000-0005-0000-0000-000095140000}"/>
    <cellStyle name="Heading 1 39 216" xfId="4139" xr:uid="{00000000-0005-0000-0000-000096140000}"/>
    <cellStyle name="Heading 1 39 216 2" xfId="10013" xr:uid="{00000000-0005-0000-0000-000097140000}"/>
    <cellStyle name="Heading 1 39 217" xfId="4140" xr:uid="{00000000-0005-0000-0000-000098140000}"/>
    <cellStyle name="Heading 1 39 217 2" xfId="10014" xr:uid="{00000000-0005-0000-0000-000099140000}"/>
    <cellStyle name="Heading 1 39 218" xfId="4141" xr:uid="{00000000-0005-0000-0000-00009A140000}"/>
    <cellStyle name="Heading 1 39 218 2" xfId="10015" xr:uid="{00000000-0005-0000-0000-00009B140000}"/>
    <cellStyle name="Heading 1 39 219" xfId="4142" xr:uid="{00000000-0005-0000-0000-00009C140000}"/>
    <cellStyle name="Heading 1 39 219 2" xfId="10016" xr:uid="{00000000-0005-0000-0000-00009D140000}"/>
    <cellStyle name="Heading 1 39 22" xfId="4143" xr:uid="{00000000-0005-0000-0000-00009E140000}"/>
    <cellStyle name="Heading 1 39 22 2" xfId="10017" xr:uid="{00000000-0005-0000-0000-00009F140000}"/>
    <cellStyle name="Heading 1 39 220" xfId="4144" xr:uid="{00000000-0005-0000-0000-0000A0140000}"/>
    <cellStyle name="Heading 1 39 220 2" xfId="10018" xr:uid="{00000000-0005-0000-0000-0000A1140000}"/>
    <cellStyle name="Heading 1 39 221" xfId="4145" xr:uid="{00000000-0005-0000-0000-0000A2140000}"/>
    <cellStyle name="Heading 1 39 221 2" xfId="10019" xr:uid="{00000000-0005-0000-0000-0000A3140000}"/>
    <cellStyle name="Heading 1 39 222" xfId="4146" xr:uid="{00000000-0005-0000-0000-0000A4140000}"/>
    <cellStyle name="Heading 1 39 222 2" xfId="10020" xr:uid="{00000000-0005-0000-0000-0000A5140000}"/>
    <cellStyle name="Heading 1 39 223" xfId="4147" xr:uid="{00000000-0005-0000-0000-0000A6140000}"/>
    <cellStyle name="Heading 1 39 223 2" xfId="10021" xr:uid="{00000000-0005-0000-0000-0000A7140000}"/>
    <cellStyle name="Heading 1 39 224" xfId="4148" xr:uid="{00000000-0005-0000-0000-0000A8140000}"/>
    <cellStyle name="Heading 1 39 224 2" xfId="10022" xr:uid="{00000000-0005-0000-0000-0000A9140000}"/>
    <cellStyle name="Heading 1 39 225" xfId="4149" xr:uid="{00000000-0005-0000-0000-0000AA140000}"/>
    <cellStyle name="Heading 1 39 225 2" xfId="10023" xr:uid="{00000000-0005-0000-0000-0000AB140000}"/>
    <cellStyle name="Heading 1 39 226" xfId="4150" xr:uid="{00000000-0005-0000-0000-0000AC140000}"/>
    <cellStyle name="Heading 1 39 226 2" xfId="10024" xr:uid="{00000000-0005-0000-0000-0000AD140000}"/>
    <cellStyle name="Heading 1 39 227" xfId="4151" xr:uid="{00000000-0005-0000-0000-0000AE140000}"/>
    <cellStyle name="Heading 1 39 227 2" xfId="10025" xr:uid="{00000000-0005-0000-0000-0000AF140000}"/>
    <cellStyle name="Heading 1 39 228" xfId="4152" xr:uid="{00000000-0005-0000-0000-0000B0140000}"/>
    <cellStyle name="Heading 1 39 228 2" xfId="10026" xr:uid="{00000000-0005-0000-0000-0000B1140000}"/>
    <cellStyle name="Heading 1 39 229" xfId="4153" xr:uid="{00000000-0005-0000-0000-0000B2140000}"/>
    <cellStyle name="Heading 1 39 229 2" xfId="10027" xr:uid="{00000000-0005-0000-0000-0000B3140000}"/>
    <cellStyle name="Heading 1 39 23" xfId="4154" xr:uid="{00000000-0005-0000-0000-0000B4140000}"/>
    <cellStyle name="Heading 1 39 23 2" xfId="10028" xr:uid="{00000000-0005-0000-0000-0000B5140000}"/>
    <cellStyle name="Heading 1 39 230" xfId="4155" xr:uid="{00000000-0005-0000-0000-0000B6140000}"/>
    <cellStyle name="Heading 1 39 230 2" xfId="10029" xr:uid="{00000000-0005-0000-0000-0000B7140000}"/>
    <cellStyle name="Heading 1 39 231" xfId="4156" xr:uid="{00000000-0005-0000-0000-0000B8140000}"/>
    <cellStyle name="Heading 1 39 231 2" xfId="10030" xr:uid="{00000000-0005-0000-0000-0000B9140000}"/>
    <cellStyle name="Heading 1 39 232" xfId="4157" xr:uid="{00000000-0005-0000-0000-0000BA140000}"/>
    <cellStyle name="Heading 1 39 232 2" xfId="10031" xr:uid="{00000000-0005-0000-0000-0000BB140000}"/>
    <cellStyle name="Heading 1 39 233" xfId="4158" xr:uid="{00000000-0005-0000-0000-0000BC140000}"/>
    <cellStyle name="Heading 1 39 233 2" xfId="10032" xr:uid="{00000000-0005-0000-0000-0000BD140000}"/>
    <cellStyle name="Heading 1 39 234" xfId="4159" xr:uid="{00000000-0005-0000-0000-0000BE140000}"/>
    <cellStyle name="Heading 1 39 234 2" xfId="10033" xr:uid="{00000000-0005-0000-0000-0000BF140000}"/>
    <cellStyle name="Heading 1 39 235" xfId="4160" xr:uid="{00000000-0005-0000-0000-0000C0140000}"/>
    <cellStyle name="Heading 1 39 235 2" xfId="10034" xr:uid="{00000000-0005-0000-0000-0000C1140000}"/>
    <cellStyle name="Heading 1 39 236" xfId="4161" xr:uid="{00000000-0005-0000-0000-0000C2140000}"/>
    <cellStyle name="Heading 1 39 236 2" xfId="10035" xr:uid="{00000000-0005-0000-0000-0000C3140000}"/>
    <cellStyle name="Heading 1 39 237" xfId="4162" xr:uid="{00000000-0005-0000-0000-0000C4140000}"/>
    <cellStyle name="Heading 1 39 237 2" xfId="10036" xr:uid="{00000000-0005-0000-0000-0000C5140000}"/>
    <cellStyle name="Heading 1 39 238" xfId="4163" xr:uid="{00000000-0005-0000-0000-0000C6140000}"/>
    <cellStyle name="Heading 1 39 238 2" xfId="10037" xr:uid="{00000000-0005-0000-0000-0000C7140000}"/>
    <cellStyle name="Heading 1 39 239" xfId="4164" xr:uid="{00000000-0005-0000-0000-0000C8140000}"/>
    <cellStyle name="Heading 1 39 239 2" xfId="10038" xr:uid="{00000000-0005-0000-0000-0000C9140000}"/>
    <cellStyle name="Heading 1 39 24" xfId="4165" xr:uid="{00000000-0005-0000-0000-0000CA140000}"/>
    <cellStyle name="Heading 1 39 24 2" xfId="10039" xr:uid="{00000000-0005-0000-0000-0000CB140000}"/>
    <cellStyle name="Heading 1 39 240" xfId="4166" xr:uid="{00000000-0005-0000-0000-0000CC140000}"/>
    <cellStyle name="Heading 1 39 240 2" xfId="10040" xr:uid="{00000000-0005-0000-0000-0000CD140000}"/>
    <cellStyle name="Heading 1 39 241" xfId="4167" xr:uid="{00000000-0005-0000-0000-0000CE140000}"/>
    <cellStyle name="Heading 1 39 241 2" xfId="10041" xr:uid="{00000000-0005-0000-0000-0000CF140000}"/>
    <cellStyle name="Heading 1 39 242" xfId="4168" xr:uid="{00000000-0005-0000-0000-0000D0140000}"/>
    <cellStyle name="Heading 1 39 242 2" xfId="10042" xr:uid="{00000000-0005-0000-0000-0000D1140000}"/>
    <cellStyle name="Heading 1 39 243" xfId="4169" xr:uid="{00000000-0005-0000-0000-0000D2140000}"/>
    <cellStyle name="Heading 1 39 243 2" xfId="10043" xr:uid="{00000000-0005-0000-0000-0000D3140000}"/>
    <cellStyle name="Heading 1 39 244" xfId="4170" xr:uid="{00000000-0005-0000-0000-0000D4140000}"/>
    <cellStyle name="Heading 1 39 244 2" xfId="10044" xr:uid="{00000000-0005-0000-0000-0000D5140000}"/>
    <cellStyle name="Heading 1 39 245" xfId="4171" xr:uid="{00000000-0005-0000-0000-0000D6140000}"/>
    <cellStyle name="Heading 1 39 245 2" xfId="10045" xr:uid="{00000000-0005-0000-0000-0000D7140000}"/>
    <cellStyle name="Heading 1 39 246" xfId="4172" xr:uid="{00000000-0005-0000-0000-0000D8140000}"/>
    <cellStyle name="Heading 1 39 246 2" xfId="10046" xr:uid="{00000000-0005-0000-0000-0000D9140000}"/>
    <cellStyle name="Heading 1 39 247" xfId="4173" xr:uid="{00000000-0005-0000-0000-0000DA140000}"/>
    <cellStyle name="Heading 1 39 247 2" xfId="10047" xr:uid="{00000000-0005-0000-0000-0000DB140000}"/>
    <cellStyle name="Heading 1 39 248" xfId="4174" xr:uid="{00000000-0005-0000-0000-0000DC140000}"/>
    <cellStyle name="Heading 1 39 248 2" xfId="10048" xr:uid="{00000000-0005-0000-0000-0000DD140000}"/>
    <cellStyle name="Heading 1 39 249" xfId="4175" xr:uid="{00000000-0005-0000-0000-0000DE140000}"/>
    <cellStyle name="Heading 1 39 249 2" xfId="10049" xr:uid="{00000000-0005-0000-0000-0000DF140000}"/>
    <cellStyle name="Heading 1 39 25" xfId="4176" xr:uid="{00000000-0005-0000-0000-0000E0140000}"/>
    <cellStyle name="Heading 1 39 25 2" xfId="10050" xr:uid="{00000000-0005-0000-0000-0000E1140000}"/>
    <cellStyle name="Heading 1 39 250" xfId="4177" xr:uid="{00000000-0005-0000-0000-0000E2140000}"/>
    <cellStyle name="Heading 1 39 250 2" xfId="10051" xr:uid="{00000000-0005-0000-0000-0000E3140000}"/>
    <cellStyle name="Heading 1 39 251" xfId="4178" xr:uid="{00000000-0005-0000-0000-0000E4140000}"/>
    <cellStyle name="Heading 1 39 251 2" xfId="10052" xr:uid="{00000000-0005-0000-0000-0000E5140000}"/>
    <cellStyle name="Heading 1 39 252" xfId="4179" xr:uid="{00000000-0005-0000-0000-0000E6140000}"/>
    <cellStyle name="Heading 1 39 252 2" xfId="10053" xr:uid="{00000000-0005-0000-0000-0000E7140000}"/>
    <cellStyle name="Heading 1 39 253" xfId="4180" xr:uid="{00000000-0005-0000-0000-0000E8140000}"/>
    <cellStyle name="Heading 1 39 253 2" xfId="10054" xr:uid="{00000000-0005-0000-0000-0000E9140000}"/>
    <cellStyle name="Heading 1 39 254" xfId="4181" xr:uid="{00000000-0005-0000-0000-0000EA140000}"/>
    <cellStyle name="Heading 1 39 254 2" xfId="10055" xr:uid="{00000000-0005-0000-0000-0000EB140000}"/>
    <cellStyle name="Heading 1 39 255" xfId="4182" xr:uid="{00000000-0005-0000-0000-0000EC140000}"/>
    <cellStyle name="Heading 1 39 255 2" xfId="10056" xr:uid="{00000000-0005-0000-0000-0000ED140000}"/>
    <cellStyle name="Heading 1 39 256" xfId="9883" xr:uid="{00000000-0005-0000-0000-0000EE140000}"/>
    <cellStyle name="Heading 1 39 26" xfId="4183" xr:uid="{00000000-0005-0000-0000-0000EF140000}"/>
    <cellStyle name="Heading 1 39 26 2" xfId="10057" xr:uid="{00000000-0005-0000-0000-0000F0140000}"/>
    <cellStyle name="Heading 1 39 27" xfId="4184" xr:uid="{00000000-0005-0000-0000-0000F1140000}"/>
    <cellStyle name="Heading 1 39 27 2" xfId="10058" xr:uid="{00000000-0005-0000-0000-0000F2140000}"/>
    <cellStyle name="Heading 1 39 28" xfId="4185" xr:uid="{00000000-0005-0000-0000-0000F3140000}"/>
    <cellStyle name="Heading 1 39 28 2" xfId="10059" xr:uid="{00000000-0005-0000-0000-0000F4140000}"/>
    <cellStyle name="Heading 1 39 29" xfId="4186" xr:uid="{00000000-0005-0000-0000-0000F5140000}"/>
    <cellStyle name="Heading 1 39 29 2" xfId="10060" xr:uid="{00000000-0005-0000-0000-0000F6140000}"/>
    <cellStyle name="Heading 1 39 3" xfId="4187" xr:uid="{00000000-0005-0000-0000-0000F7140000}"/>
    <cellStyle name="Heading 1 39 3 2" xfId="10061" xr:uid="{00000000-0005-0000-0000-0000F8140000}"/>
    <cellStyle name="Heading 1 39 30" xfId="4188" xr:uid="{00000000-0005-0000-0000-0000F9140000}"/>
    <cellStyle name="Heading 1 39 30 2" xfId="10062" xr:uid="{00000000-0005-0000-0000-0000FA140000}"/>
    <cellStyle name="Heading 1 39 31" xfId="4189" xr:uid="{00000000-0005-0000-0000-0000FB140000}"/>
    <cellStyle name="Heading 1 39 31 2" xfId="10063" xr:uid="{00000000-0005-0000-0000-0000FC140000}"/>
    <cellStyle name="Heading 1 39 32" xfId="4190" xr:uid="{00000000-0005-0000-0000-0000FD140000}"/>
    <cellStyle name="Heading 1 39 32 2" xfId="10064" xr:uid="{00000000-0005-0000-0000-0000FE140000}"/>
    <cellStyle name="Heading 1 39 33" xfId="4191" xr:uid="{00000000-0005-0000-0000-0000FF140000}"/>
    <cellStyle name="Heading 1 39 33 2" xfId="10065" xr:uid="{00000000-0005-0000-0000-000000150000}"/>
    <cellStyle name="Heading 1 39 34" xfId="4192" xr:uid="{00000000-0005-0000-0000-000001150000}"/>
    <cellStyle name="Heading 1 39 34 2" xfId="10066" xr:uid="{00000000-0005-0000-0000-000002150000}"/>
    <cellStyle name="Heading 1 39 35" xfId="4193" xr:uid="{00000000-0005-0000-0000-000003150000}"/>
    <cellStyle name="Heading 1 39 35 2" xfId="10067" xr:uid="{00000000-0005-0000-0000-000004150000}"/>
    <cellStyle name="Heading 1 39 36" xfId="4194" xr:uid="{00000000-0005-0000-0000-000005150000}"/>
    <cellStyle name="Heading 1 39 36 2" xfId="10068" xr:uid="{00000000-0005-0000-0000-000006150000}"/>
    <cellStyle name="Heading 1 39 37" xfId="4195" xr:uid="{00000000-0005-0000-0000-000007150000}"/>
    <cellStyle name="Heading 1 39 37 2" xfId="10069" xr:uid="{00000000-0005-0000-0000-000008150000}"/>
    <cellStyle name="Heading 1 39 38" xfId="4196" xr:uid="{00000000-0005-0000-0000-000009150000}"/>
    <cellStyle name="Heading 1 39 38 2" xfId="10070" xr:uid="{00000000-0005-0000-0000-00000A150000}"/>
    <cellStyle name="Heading 1 39 39" xfId="4197" xr:uid="{00000000-0005-0000-0000-00000B150000}"/>
    <cellStyle name="Heading 1 39 39 2" xfId="10071" xr:uid="{00000000-0005-0000-0000-00000C150000}"/>
    <cellStyle name="Heading 1 39 4" xfId="4198" xr:uid="{00000000-0005-0000-0000-00000D150000}"/>
    <cellStyle name="Heading 1 39 4 2" xfId="10072" xr:uid="{00000000-0005-0000-0000-00000E150000}"/>
    <cellStyle name="Heading 1 39 40" xfId="4199" xr:uid="{00000000-0005-0000-0000-00000F150000}"/>
    <cellStyle name="Heading 1 39 40 2" xfId="10073" xr:uid="{00000000-0005-0000-0000-000010150000}"/>
    <cellStyle name="Heading 1 39 41" xfId="4200" xr:uid="{00000000-0005-0000-0000-000011150000}"/>
    <cellStyle name="Heading 1 39 41 2" xfId="10074" xr:uid="{00000000-0005-0000-0000-000012150000}"/>
    <cellStyle name="Heading 1 39 42" xfId="4201" xr:uid="{00000000-0005-0000-0000-000013150000}"/>
    <cellStyle name="Heading 1 39 42 2" xfId="10075" xr:uid="{00000000-0005-0000-0000-000014150000}"/>
    <cellStyle name="Heading 1 39 43" xfId="4202" xr:uid="{00000000-0005-0000-0000-000015150000}"/>
    <cellStyle name="Heading 1 39 43 2" xfId="10076" xr:uid="{00000000-0005-0000-0000-000016150000}"/>
    <cellStyle name="Heading 1 39 44" xfId="4203" xr:uid="{00000000-0005-0000-0000-000017150000}"/>
    <cellStyle name="Heading 1 39 44 2" xfId="10077" xr:uid="{00000000-0005-0000-0000-000018150000}"/>
    <cellStyle name="Heading 1 39 45" xfId="4204" xr:uid="{00000000-0005-0000-0000-000019150000}"/>
    <cellStyle name="Heading 1 39 45 2" xfId="10078" xr:uid="{00000000-0005-0000-0000-00001A150000}"/>
    <cellStyle name="Heading 1 39 46" xfId="4205" xr:uid="{00000000-0005-0000-0000-00001B150000}"/>
    <cellStyle name="Heading 1 39 46 2" xfId="10079" xr:uid="{00000000-0005-0000-0000-00001C150000}"/>
    <cellStyle name="Heading 1 39 47" xfId="4206" xr:uid="{00000000-0005-0000-0000-00001D150000}"/>
    <cellStyle name="Heading 1 39 47 2" xfId="10080" xr:uid="{00000000-0005-0000-0000-00001E150000}"/>
    <cellStyle name="Heading 1 39 48" xfId="4207" xr:uid="{00000000-0005-0000-0000-00001F150000}"/>
    <cellStyle name="Heading 1 39 48 2" xfId="10081" xr:uid="{00000000-0005-0000-0000-000020150000}"/>
    <cellStyle name="Heading 1 39 49" xfId="4208" xr:uid="{00000000-0005-0000-0000-000021150000}"/>
    <cellStyle name="Heading 1 39 49 2" xfId="10082" xr:uid="{00000000-0005-0000-0000-000022150000}"/>
    <cellStyle name="Heading 1 39 5" xfId="4209" xr:uid="{00000000-0005-0000-0000-000023150000}"/>
    <cellStyle name="Heading 1 39 5 2" xfId="10083" xr:uid="{00000000-0005-0000-0000-000024150000}"/>
    <cellStyle name="Heading 1 39 50" xfId="4210" xr:uid="{00000000-0005-0000-0000-000025150000}"/>
    <cellStyle name="Heading 1 39 50 2" xfId="10084" xr:uid="{00000000-0005-0000-0000-000026150000}"/>
    <cellStyle name="Heading 1 39 51" xfId="4211" xr:uid="{00000000-0005-0000-0000-000027150000}"/>
    <cellStyle name="Heading 1 39 51 2" xfId="10085" xr:uid="{00000000-0005-0000-0000-000028150000}"/>
    <cellStyle name="Heading 1 39 52" xfId="4212" xr:uid="{00000000-0005-0000-0000-000029150000}"/>
    <cellStyle name="Heading 1 39 52 2" xfId="10086" xr:uid="{00000000-0005-0000-0000-00002A150000}"/>
    <cellStyle name="Heading 1 39 53" xfId="4213" xr:uid="{00000000-0005-0000-0000-00002B150000}"/>
    <cellStyle name="Heading 1 39 53 2" xfId="10087" xr:uid="{00000000-0005-0000-0000-00002C150000}"/>
    <cellStyle name="Heading 1 39 54" xfId="4214" xr:uid="{00000000-0005-0000-0000-00002D150000}"/>
    <cellStyle name="Heading 1 39 54 2" xfId="10088" xr:uid="{00000000-0005-0000-0000-00002E150000}"/>
    <cellStyle name="Heading 1 39 55" xfId="4215" xr:uid="{00000000-0005-0000-0000-00002F150000}"/>
    <cellStyle name="Heading 1 39 55 2" xfId="10089" xr:uid="{00000000-0005-0000-0000-000030150000}"/>
    <cellStyle name="Heading 1 39 56" xfId="4216" xr:uid="{00000000-0005-0000-0000-000031150000}"/>
    <cellStyle name="Heading 1 39 56 2" xfId="10090" xr:uid="{00000000-0005-0000-0000-000032150000}"/>
    <cellStyle name="Heading 1 39 57" xfId="4217" xr:uid="{00000000-0005-0000-0000-000033150000}"/>
    <cellStyle name="Heading 1 39 57 2" xfId="10091" xr:uid="{00000000-0005-0000-0000-000034150000}"/>
    <cellStyle name="Heading 1 39 58" xfId="4218" xr:uid="{00000000-0005-0000-0000-000035150000}"/>
    <cellStyle name="Heading 1 39 58 2" xfId="10092" xr:uid="{00000000-0005-0000-0000-000036150000}"/>
    <cellStyle name="Heading 1 39 59" xfId="4219" xr:uid="{00000000-0005-0000-0000-000037150000}"/>
    <cellStyle name="Heading 1 39 59 2" xfId="10093" xr:uid="{00000000-0005-0000-0000-000038150000}"/>
    <cellStyle name="Heading 1 39 6" xfId="4220" xr:uid="{00000000-0005-0000-0000-000039150000}"/>
    <cellStyle name="Heading 1 39 6 2" xfId="10094" xr:uid="{00000000-0005-0000-0000-00003A150000}"/>
    <cellStyle name="Heading 1 39 60" xfId="4221" xr:uid="{00000000-0005-0000-0000-00003B150000}"/>
    <cellStyle name="Heading 1 39 60 2" xfId="10095" xr:uid="{00000000-0005-0000-0000-00003C150000}"/>
    <cellStyle name="Heading 1 39 61" xfId="4222" xr:uid="{00000000-0005-0000-0000-00003D150000}"/>
    <cellStyle name="Heading 1 39 61 2" xfId="10096" xr:uid="{00000000-0005-0000-0000-00003E150000}"/>
    <cellStyle name="Heading 1 39 62" xfId="4223" xr:uid="{00000000-0005-0000-0000-00003F150000}"/>
    <cellStyle name="Heading 1 39 62 2" xfId="10097" xr:uid="{00000000-0005-0000-0000-000040150000}"/>
    <cellStyle name="Heading 1 39 63" xfId="4224" xr:uid="{00000000-0005-0000-0000-000041150000}"/>
    <cellStyle name="Heading 1 39 63 2" xfId="10098" xr:uid="{00000000-0005-0000-0000-000042150000}"/>
    <cellStyle name="Heading 1 39 64" xfId="4225" xr:uid="{00000000-0005-0000-0000-000043150000}"/>
    <cellStyle name="Heading 1 39 64 2" xfId="10099" xr:uid="{00000000-0005-0000-0000-000044150000}"/>
    <cellStyle name="Heading 1 39 65" xfId="4226" xr:uid="{00000000-0005-0000-0000-000045150000}"/>
    <cellStyle name="Heading 1 39 65 2" xfId="10100" xr:uid="{00000000-0005-0000-0000-000046150000}"/>
    <cellStyle name="Heading 1 39 66" xfId="4227" xr:uid="{00000000-0005-0000-0000-000047150000}"/>
    <cellStyle name="Heading 1 39 66 2" xfId="10101" xr:uid="{00000000-0005-0000-0000-000048150000}"/>
    <cellStyle name="Heading 1 39 67" xfId="4228" xr:uid="{00000000-0005-0000-0000-000049150000}"/>
    <cellStyle name="Heading 1 39 67 2" xfId="10102" xr:uid="{00000000-0005-0000-0000-00004A150000}"/>
    <cellStyle name="Heading 1 39 68" xfId="4229" xr:uid="{00000000-0005-0000-0000-00004B150000}"/>
    <cellStyle name="Heading 1 39 68 2" xfId="10103" xr:uid="{00000000-0005-0000-0000-00004C150000}"/>
    <cellStyle name="Heading 1 39 69" xfId="4230" xr:uid="{00000000-0005-0000-0000-00004D150000}"/>
    <cellStyle name="Heading 1 39 69 2" xfId="10104" xr:uid="{00000000-0005-0000-0000-00004E150000}"/>
    <cellStyle name="Heading 1 39 7" xfId="4231" xr:uid="{00000000-0005-0000-0000-00004F150000}"/>
    <cellStyle name="Heading 1 39 7 2" xfId="10105" xr:uid="{00000000-0005-0000-0000-000050150000}"/>
    <cellStyle name="Heading 1 39 70" xfId="4232" xr:uid="{00000000-0005-0000-0000-000051150000}"/>
    <cellStyle name="Heading 1 39 70 2" xfId="10106" xr:uid="{00000000-0005-0000-0000-000052150000}"/>
    <cellStyle name="Heading 1 39 71" xfId="4233" xr:uid="{00000000-0005-0000-0000-000053150000}"/>
    <cellStyle name="Heading 1 39 71 2" xfId="10107" xr:uid="{00000000-0005-0000-0000-000054150000}"/>
    <cellStyle name="Heading 1 39 72" xfId="4234" xr:uid="{00000000-0005-0000-0000-000055150000}"/>
    <cellStyle name="Heading 1 39 72 2" xfId="10108" xr:uid="{00000000-0005-0000-0000-000056150000}"/>
    <cellStyle name="Heading 1 39 73" xfId="4235" xr:uid="{00000000-0005-0000-0000-000057150000}"/>
    <cellStyle name="Heading 1 39 73 2" xfId="10109" xr:uid="{00000000-0005-0000-0000-000058150000}"/>
    <cellStyle name="Heading 1 39 74" xfId="4236" xr:uid="{00000000-0005-0000-0000-000059150000}"/>
    <cellStyle name="Heading 1 39 74 2" xfId="10110" xr:uid="{00000000-0005-0000-0000-00005A150000}"/>
    <cellStyle name="Heading 1 39 75" xfId="4237" xr:uid="{00000000-0005-0000-0000-00005B150000}"/>
    <cellStyle name="Heading 1 39 75 2" xfId="10111" xr:uid="{00000000-0005-0000-0000-00005C150000}"/>
    <cellStyle name="Heading 1 39 76" xfId="4238" xr:uid="{00000000-0005-0000-0000-00005D150000}"/>
    <cellStyle name="Heading 1 39 76 2" xfId="10112" xr:uid="{00000000-0005-0000-0000-00005E150000}"/>
    <cellStyle name="Heading 1 39 77" xfId="4239" xr:uid="{00000000-0005-0000-0000-00005F150000}"/>
    <cellStyle name="Heading 1 39 77 2" xfId="10113" xr:uid="{00000000-0005-0000-0000-000060150000}"/>
    <cellStyle name="Heading 1 39 78" xfId="4240" xr:uid="{00000000-0005-0000-0000-000061150000}"/>
    <cellStyle name="Heading 1 39 78 2" xfId="10114" xr:uid="{00000000-0005-0000-0000-000062150000}"/>
    <cellStyle name="Heading 1 39 79" xfId="4241" xr:uid="{00000000-0005-0000-0000-000063150000}"/>
    <cellStyle name="Heading 1 39 79 2" xfId="10115" xr:uid="{00000000-0005-0000-0000-000064150000}"/>
    <cellStyle name="Heading 1 39 8" xfId="4242" xr:uid="{00000000-0005-0000-0000-000065150000}"/>
    <cellStyle name="Heading 1 39 8 2" xfId="10116" xr:uid="{00000000-0005-0000-0000-000066150000}"/>
    <cellStyle name="Heading 1 39 80" xfId="4243" xr:uid="{00000000-0005-0000-0000-000067150000}"/>
    <cellStyle name="Heading 1 39 80 2" xfId="10117" xr:uid="{00000000-0005-0000-0000-000068150000}"/>
    <cellStyle name="Heading 1 39 81" xfId="4244" xr:uid="{00000000-0005-0000-0000-000069150000}"/>
    <cellStyle name="Heading 1 39 81 2" xfId="10118" xr:uid="{00000000-0005-0000-0000-00006A150000}"/>
    <cellStyle name="Heading 1 39 82" xfId="4245" xr:uid="{00000000-0005-0000-0000-00006B150000}"/>
    <cellStyle name="Heading 1 39 82 2" xfId="10119" xr:uid="{00000000-0005-0000-0000-00006C150000}"/>
    <cellStyle name="Heading 1 39 83" xfId="4246" xr:uid="{00000000-0005-0000-0000-00006D150000}"/>
    <cellStyle name="Heading 1 39 83 2" xfId="10120" xr:uid="{00000000-0005-0000-0000-00006E150000}"/>
    <cellStyle name="Heading 1 39 84" xfId="4247" xr:uid="{00000000-0005-0000-0000-00006F150000}"/>
    <cellStyle name="Heading 1 39 84 2" xfId="10121" xr:uid="{00000000-0005-0000-0000-000070150000}"/>
    <cellStyle name="Heading 1 39 85" xfId="4248" xr:uid="{00000000-0005-0000-0000-000071150000}"/>
    <cellStyle name="Heading 1 39 85 2" xfId="10122" xr:uid="{00000000-0005-0000-0000-000072150000}"/>
    <cellStyle name="Heading 1 39 86" xfId="4249" xr:uid="{00000000-0005-0000-0000-000073150000}"/>
    <cellStyle name="Heading 1 39 86 2" xfId="10123" xr:uid="{00000000-0005-0000-0000-000074150000}"/>
    <cellStyle name="Heading 1 39 87" xfId="4250" xr:uid="{00000000-0005-0000-0000-000075150000}"/>
    <cellStyle name="Heading 1 39 87 2" xfId="10124" xr:uid="{00000000-0005-0000-0000-000076150000}"/>
    <cellStyle name="Heading 1 39 88" xfId="4251" xr:uid="{00000000-0005-0000-0000-000077150000}"/>
    <cellStyle name="Heading 1 39 88 2" xfId="10125" xr:uid="{00000000-0005-0000-0000-000078150000}"/>
    <cellStyle name="Heading 1 39 89" xfId="4252" xr:uid="{00000000-0005-0000-0000-000079150000}"/>
    <cellStyle name="Heading 1 39 89 2" xfId="10126" xr:uid="{00000000-0005-0000-0000-00007A150000}"/>
    <cellStyle name="Heading 1 39 9" xfId="4253" xr:uid="{00000000-0005-0000-0000-00007B150000}"/>
    <cellStyle name="Heading 1 39 9 2" xfId="10127" xr:uid="{00000000-0005-0000-0000-00007C150000}"/>
    <cellStyle name="Heading 1 39 90" xfId="4254" xr:uid="{00000000-0005-0000-0000-00007D150000}"/>
    <cellStyle name="Heading 1 39 90 2" xfId="10128" xr:uid="{00000000-0005-0000-0000-00007E150000}"/>
    <cellStyle name="Heading 1 39 91" xfId="4255" xr:uid="{00000000-0005-0000-0000-00007F150000}"/>
    <cellStyle name="Heading 1 39 91 2" xfId="10129" xr:uid="{00000000-0005-0000-0000-000080150000}"/>
    <cellStyle name="Heading 1 39 92" xfId="4256" xr:uid="{00000000-0005-0000-0000-000081150000}"/>
    <cellStyle name="Heading 1 39 92 2" xfId="10130" xr:uid="{00000000-0005-0000-0000-000082150000}"/>
    <cellStyle name="Heading 1 39 93" xfId="4257" xr:uid="{00000000-0005-0000-0000-000083150000}"/>
    <cellStyle name="Heading 1 39 93 2" xfId="10131" xr:uid="{00000000-0005-0000-0000-000084150000}"/>
    <cellStyle name="Heading 1 39 94" xfId="4258" xr:uid="{00000000-0005-0000-0000-000085150000}"/>
    <cellStyle name="Heading 1 39 94 2" xfId="10132" xr:uid="{00000000-0005-0000-0000-000086150000}"/>
    <cellStyle name="Heading 1 39 95" xfId="4259" xr:uid="{00000000-0005-0000-0000-000087150000}"/>
    <cellStyle name="Heading 1 39 95 2" xfId="10133" xr:uid="{00000000-0005-0000-0000-000088150000}"/>
    <cellStyle name="Heading 1 39 96" xfId="4260" xr:uid="{00000000-0005-0000-0000-000089150000}"/>
    <cellStyle name="Heading 1 39 96 2" xfId="10134" xr:uid="{00000000-0005-0000-0000-00008A150000}"/>
    <cellStyle name="Heading 1 39 97" xfId="4261" xr:uid="{00000000-0005-0000-0000-00008B150000}"/>
    <cellStyle name="Heading 1 39 97 2" xfId="10135" xr:uid="{00000000-0005-0000-0000-00008C150000}"/>
    <cellStyle name="Heading 1 39 98" xfId="4262" xr:uid="{00000000-0005-0000-0000-00008D150000}"/>
    <cellStyle name="Heading 1 39 98 2" xfId="10136" xr:uid="{00000000-0005-0000-0000-00008E150000}"/>
    <cellStyle name="Heading 1 39 99" xfId="4263" xr:uid="{00000000-0005-0000-0000-00008F150000}"/>
    <cellStyle name="Heading 1 39 99 2" xfId="10137" xr:uid="{00000000-0005-0000-0000-000090150000}"/>
    <cellStyle name="Heading 1 4" xfId="655" xr:uid="{00000000-0005-0000-0000-000091150000}"/>
    <cellStyle name="Heading 1 4 2" xfId="656" xr:uid="{00000000-0005-0000-0000-000092150000}"/>
    <cellStyle name="Heading 1 4 2 2" xfId="657" xr:uid="{00000000-0005-0000-0000-000093150000}"/>
    <cellStyle name="Heading 1 4 2 2 2" xfId="8355" xr:uid="{00000000-0005-0000-0000-000094150000}"/>
    <cellStyle name="Heading 1 4 2 2 2 2" xfId="10141" xr:uid="{00000000-0005-0000-0000-000095150000}"/>
    <cellStyle name="Heading 1 4 2 2 3" xfId="10140" xr:uid="{00000000-0005-0000-0000-000096150000}"/>
    <cellStyle name="Heading 1 4 2 3" xfId="4265" xr:uid="{00000000-0005-0000-0000-000097150000}"/>
    <cellStyle name="Heading 1 4 2 3 2" xfId="10142" xr:uid="{00000000-0005-0000-0000-000098150000}"/>
    <cellStyle name="Heading 1 4 2 4" xfId="10139" xr:uid="{00000000-0005-0000-0000-000099150000}"/>
    <cellStyle name="Heading 1 4 3" xfId="658" xr:uid="{00000000-0005-0000-0000-00009A150000}"/>
    <cellStyle name="Heading 1 4 3 2" xfId="4266" xr:uid="{00000000-0005-0000-0000-00009B150000}"/>
    <cellStyle name="Heading 1 4 3 2 2" xfId="10144" xr:uid="{00000000-0005-0000-0000-00009C150000}"/>
    <cellStyle name="Heading 1 4 3 3" xfId="7493" xr:uid="{00000000-0005-0000-0000-00009D150000}"/>
    <cellStyle name="Heading 1 4 3 3 2" xfId="10145" xr:uid="{00000000-0005-0000-0000-00009E150000}"/>
    <cellStyle name="Heading 1 4 3 4" xfId="10143" xr:uid="{00000000-0005-0000-0000-00009F150000}"/>
    <cellStyle name="Heading 1 4 4" xfId="4267" xr:uid="{00000000-0005-0000-0000-0000A0150000}"/>
    <cellStyle name="Heading 1 4 4 2" xfId="8356" xr:uid="{00000000-0005-0000-0000-0000A1150000}"/>
    <cellStyle name="Heading 1 4 4 2 2" xfId="10147" xr:uid="{00000000-0005-0000-0000-0000A2150000}"/>
    <cellStyle name="Heading 1 4 4 3" xfId="7494" xr:uid="{00000000-0005-0000-0000-0000A3150000}"/>
    <cellStyle name="Heading 1 4 4 3 2" xfId="10148" xr:uid="{00000000-0005-0000-0000-0000A4150000}"/>
    <cellStyle name="Heading 1 4 4 4" xfId="10146" xr:uid="{00000000-0005-0000-0000-0000A5150000}"/>
    <cellStyle name="Heading 1 4 5" xfId="4268" xr:uid="{00000000-0005-0000-0000-0000A6150000}"/>
    <cellStyle name="Heading 1 4 5 2" xfId="10149" xr:uid="{00000000-0005-0000-0000-0000A7150000}"/>
    <cellStyle name="Heading 1 4 6" xfId="4264" xr:uid="{00000000-0005-0000-0000-0000A8150000}"/>
    <cellStyle name="Heading 1 4 6 2" xfId="10150" xr:uid="{00000000-0005-0000-0000-0000A9150000}"/>
    <cellStyle name="Heading 1 4 7" xfId="10138" xr:uid="{00000000-0005-0000-0000-0000AA150000}"/>
    <cellStyle name="Heading 1 40" xfId="4269" xr:uid="{00000000-0005-0000-0000-0000AB150000}"/>
    <cellStyle name="Heading 1 40 2" xfId="10151" xr:uid="{00000000-0005-0000-0000-0000AC150000}"/>
    <cellStyle name="Heading 1 41" xfId="4270" xr:uid="{00000000-0005-0000-0000-0000AD150000}"/>
    <cellStyle name="Heading 1 41 2" xfId="10152" xr:uid="{00000000-0005-0000-0000-0000AE150000}"/>
    <cellStyle name="Heading 1 42" xfId="4271" xr:uid="{00000000-0005-0000-0000-0000AF150000}"/>
    <cellStyle name="Heading 1 42 2" xfId="10153" xr:uid="{00000000-0005-0000-0000-0000B0150000}"/>
    <cellStyle name="Heading 1 43" xfId="4272" xr:uid="{00000000-0005-0000-0000-0000B1150000}"/>
    <cellStyle name="Heading 1 43 2" xfId="10154" xr:uid="{00000000-0005-0000-0000-0000B2150000}"/>
    <cellStyle name="Heading 1 44" xfId="4273" xr:uid="{00000000-0005-0000-0000-0000B3150000}"/>
    <cellStyle name="Heading 1 44 2" xfId="10155" xr:uid="{00000000-0005-0000-0000-0000B4150000}"/>
    <cellStyle name="Heading 1 45" xfId="4274" xr:uid="{00000000-0005-0000-0000-0000B5150000}"/>
    <cellStyle name="Heading 1 45 2" xfId="10156" xr:uid="{00000000-0005-0000-0000-0000B6150000}"/>
    <cellStyle name="Heading 1 46" xfId="4275" xr:uid="{00000000-0005-0000-0000-0000B7150000}"/>
    <cellStyle name="Heading 1 46 2" xfId="10157" xr:uid="{00000000-0005-0000-0000-0000B8150000}"/>
    <cellStyle name="Heading 1 47" xfId="4276" xr:uid="{00000000-0005-0000-0000-0000B9150000}"/>
    <cellStyle name="Heading 1 47 2" xfId="10158" xr:uid="{00000000-0005-0000-0000-0000BA150000}"/>
    <cellStyle name="Heading 1 48" xfId="4277" xr:uid="{00000000-0005-0000-0000-0000BB150000}"/>
    <cellStyle name="Heading 1 48 2" xfId="10159" xr:uid="{00000000-0005-0000-0000-0000BC150000}"/>
    <cellStyle name="Heading 1 49" xfId="4278" xr:uid="{00000000-0005-0000-0000-0000BD150000}"/>
    <cellStyle name="Heading 1 49 2" xfId="10160" xr:uid="{00000000-0005-0000-0000-0000BE150000}"/>
    <cellStyle name="Heading 1 5" xfId="659" xr:uid="{00000000-0005-0000-0000-0000BF150000}"/>
    <cellStyle name="Heading 1 5 2" xfId="660" xr:uid="{00000000-0005-0000-0000-0000C0150000}"/>
    <cellStyle name="Heading 1 5 2 2" xfId="661" xr:uid="{00000000-0005-0000-0000-0000C1150000}"/>
    <cellStyle name="Heading 1 5 2 2 2" xfId="8357" xr:uid="{00000000-0005-0000-0000-0000C2150000}"/>
    <cellStyle name="Heading 1 5 2 2 2 2" xfId="10164" xr:uid="{00000000-0005-0000-0000-0000C3150000}"/>
    <cellStyle name="Heading 1 5 2 2 3" xfId="10163" xr:uid="{00000000-0005-0000-0000-0000C4150000}"/>
    <cellStyle name="Heading 1 5 2 3" xfId="4280" xr:uid="{00000000-0005-0000-0000-0000C5150000}"/>
    <cellStyle name="Heading 1 5 2 3 2" xfId="10165" xr:uid="{00000000-0005-0000-0000-0000C6150000}"/>
    <cellStyle name="Heading 1 5 2 4" xfId="10162" xr:uid="{00000000-0005-0000-0000-0000C7150000}"/>
    <cellStyle name="Heading 1 5 3" xfId="662" xr:uid="{00000000-0005-0000-0000-0000C8150000}"/>
    <cellStyle name="Heading 1 5 3 2" xfId="4281" xr:uid="{00000000-0005-0000-0000-0000C9150000}"/>
    <cellStyle name="Heading 1 5 3 2 2" xfId="10167" xr:uid="{00000000-0005-0000-0000-0000CA150000}"/>
    <cellStyle name="Heading 1 5 3 3" xfId="7495" xr:uid="{00000000-0005-0000-0000-0000CB150000}"/>
    <cellStyle name="Heading 1 5 3 3 2" xfId="10168" xr:uid="{00000000-0005-0000-0000-0000CC150000}"/>
    <cellStyle name="Heading 1 5 3 4" xfId="10166" xr:uid="{00000000-0005-0000-0000-0000CD150000}"/>
    <cellStyle name="Heading 1 5 4" xfId="4282" xr:uid="{00000000-0005-0000-0000-0000CE150000}"/>
    <cellStyle name="Heading 1 5 4 2" xfId="8358" xr:uid="{00000000-0005-0000-0000-0000CF150000}"/>
    <cellStyle name="Heading 1 5 4 2 2" xfId="10170" xr:uid="{00000000-0005-0000-0000-0000D0150000}"/>
    <cellStyle name="Heading 1 5 4 3" xfId="7496" xr:uid="{00000000-0005-0000-0000-0000D1150000}"/>
    <cellStyle name="Heading 1 5 4 3 2" xfId="10171" xr:uid="{00000000-0005-0000-0000-0000D2150000}"/>
    <cellStyle name="Heading 1 5 4 4" xfId="10169" xr:uid="{00000000-0005-0000-0000-0000D3150000}"/>
    <cellStyle name="Heading 1 5 5" xfId="4283" xr:uid="{00000000-0005-0000-0000-0000D4150000}"/>
    <cellStyle name="Heading 1 5 5 2" xfId="10172" xr:uid="{00000000-0005-0000-0000-0000D5150000}"/>
    <cellStyle name="Heading 1 5 6" xfId="4279" xr:uid="{00000000-0005-0000-0000-0000D6150000}"/>
    <cellStyle name="Heading 1 5 6 2" xfId="10173" xr:uid="{00000000-0005-0000-0000-0000D7150000}"/>
    <cellStyle name="Heading 1 5 7" xfId="10161" xr:uid="{00000000-0005-0000-0000-0000D8150000}"/>
    <cellStyle name="Heading 1 50" xfId="4284" xr:uid="{00000000-0005-0000-0000-0000D9150000}"/>
    <cellStyle name="Heading 1 50 2" xfId="10174" xr:uid="{00000000-0005-0000-0000-0000DA150000}"/>
    <cellStyle name="Heading 1 51" xfId="4285" xr:uid="{00000000-0005-0000-0000-0000DB150000}"/>
    <cellStyle name="Heading 1 51 2" xfId="10175" xr:uid="{00000000-0005-0000-0000-0000DC150000}"/>
    <cellStyle name="Heading 1 52" xfId="4286" xr:uid="{00000000-0005-0000-0000-0000DD150000}"/>
    <cellStyle name="Heading 1 52 2" xfId="10176" xr:uid="{00000000-0005-0000-0000-0000DE150000}"/>
    <cellStyle name="Heading 1 53" xfId="4287" xr:uid="{00000000-0005-0000-0000-0000DF150000}"/>
    <cellStyle name="Heading 1 53 2" xfId="10177" xr:uid="{00000000-0005-0000-0000-0000E0150000}"/>
    <cellStyle name="Heading 1 54" xfId="4288" xr:uid="{00000000-0005-0000-0000-0000E1150000}"/>
    <cellStyle name="Heading 1 54 2" xfId="10178" xr:uid="{00000000-0005-0000-0000-0000E2150000}"/>
    <cellStyle name="Heading 1 55" xfId="4289" xr:uid="{00000000-0005-0000-0000-0000E3150000}"/>
    <cellStyle name="Heading 1 55 2" xfId="10179" xr:uid="{00000000-0005-0000-0000-0000E4150000}"/>
    <cellStyle name="Heading 1 56" xfId="4290" xr:uid="{00000000-0005-0000-0000-0000E5150000}"/>
    <cellStyle name="Heading 1 56 2" xfId="10180" xr:uid="{00000000-0005-0000-0000-0000E6150000}"/>
    <cellStyle name="Heading 1 57" xfId="4291" xr:uid="{00000000-0005-0000-0000-0000E7150000}"/>
    <cellStyle name="Heading 1 57 2" xfId="10181" xr:uid="{00000000-0005-0000-0000-0000E8150000}"/>
    <cellStyle name="Heading 1 58" xfId="4292" xr:uid="{00000000-0005-0000-0000-0000E9150000}"/>
    <cellStyle name="Heading 1 58 2" xfId="10182" xr:uid="{00000000-0005-0000-0000-0000EA150000}"/>
    <cellStyle name="Heading 1 59" xfId="4293" xr:uid="{00000000-0005-0000-0000-0000EB150000}"/>
    <cellStyle name="Heading 1 59 2" xfId="10183" xr:uid="{00000000-0005-0000-0000-0000EC150000}"/>
    <cellStyle name="Heading 1 6" xfId="663" xr:uid="{00000000-0005-0000-0000-0000ED150000}"/>
    <cellStyle name="Heading 1 6 2" xfId="664" xr:uid="{00000000-0005-0000-0000-0000EE150000}"/>
    <cellStyle name="Heading 1 6 2 2" xfId="665" xr:uid="{00000000-0005-0000-0000-0000EF150000}"/>
    <cellStyle name="Heading 1 6 2 2 2" xfId="8359" xr:uid="{00000000-0005-0000-0000-0000F0150000}"/>
    <cellStyle name="Heading 1 6 2 2 2 2" xfId="10187" xr:uid="{00000000-0005-0000-0000-0000F1150000}"/>
    <cellStyle name="Heading 1 6 2 2 3" xfId="10186" xr:uid="{00000000-0005-0000-0000-0000F2150000}"/>
    <cellStyle name="Heading 1 6 2 3" xfId="4295" xr:uid="{00000000-0005-0000-0000-0000F3150000}"/>
    <cellStyle name="Heading 1 6 2 3 2" xfId="10188" xr:uid="{00000000-0005-0000-0000-0000F4150000}"/>
    <cellStyle name="Heading 1 6 2 4" xfId="10185" xr:uid="{00000000-0005-0000-0000-0000F5150000}"/>
    <cellStyle name="Heading 1 6 3" xfId="666" xr:uid="{00000000-0005-0000-0000-0000F6150000}"/>
    <cellStyle name="Heading 1 6 3 2" xfId="4296" xr:uid="{00000000-0005-0000-0000-0000F7150000}"/>
    <cellStyle name="Heading 1 6 3 2 2" xfId="10190" xr:uid="{00000000-0005-0000-0000-0000F8150000}"/>
    <cellStyle name="Heading 1 6 3 3" xfId="7497" xr:uid="{00000000-0005-0000-0000-0000F9150000}"/>
    <cellStyle name="Heading 1 6 3 3 2" xfId="10191" xr:uid="{00000000-0005-0000-0000-0000FA150000}"/>
    <cellStyle name="Heading 1 6 3 4" xfId="10189" xr:uid="{00000000-0005-0000-0000-0000FB150000}"/>
    <cellStyle name="Heading 1 6 4" xfId="4297" xr:uid="{00000000-0005-0000-0000-0000FC150000}"/>
    <cellStyle name="Heading 1 6 4 2" xfId="8360" xr:uid="{00000000-0005-0000-0000-0000FD150000}"/>
    <cellStyle name="Heading 1 6 4 2 2" xfId="10193" xr:uid="{00000000-0005-0000-0000-0000FE150000}"/>
    <cellStyle name="Heading 1 6 4 3" xfId="7498" xr:uid="{00000000-0005-0000-0000-0000FF150000}"/>
    <cellStyle name="Heading 1 6 4 3 2" xfId="10194" xr:uid="{00000000-0005-0000-0000-000000160000}"/>
    <cellStyle name="Heading 1 6 4 4" xfId="10192" xr:uid="{00000000-0005-0000-0000-000001160000}"/>
    <cellStyle name="Heading 1 6 5" xfId="4298" xr:uid="{00000000-0005-0000-0000-000002160000}"/>
    <cellStyle name="Heading 1 6 5 2" xfId="10195" xr:uid="{00000000-0005-0000-0000-000003160000}"/>
    <cellStyle name="Heading 1 6 6" xfId="4294" xr:uid="{00000000-0005-0000-0000-000004160000}"/>
    <cellStyle name="Heading 1 6 6 2" xfId="10196" xr:uid="{00000000-0005-0000-0000-000005160000}"/>
    <cellStyle name="Heading 1 6 7" xfId="10184" xr:uid="{00000000-0005-0000-0000-000006160000}"/>
    <cellStyle name="Heading 1 60" xfId="4299" xr:uid="{00000000-0005-0000-0000-000007160000}"/>
    <cellStyle name="Heading 1 60 2" xfId="10197" xr:uid="{00000000-0005-0000-0000-000008160000}"/>
    <cellStyle name="Heading 1 61" xfId="3942" xr:uid="{00000000-0005-0000-0000-000009160000}"/>
    <cellStyle name="Heading 1 61 2" xfId="10198" xr:uid="{00000000-0005-0000-0000-00000A160000}"/>
    <cellStyle name="Heading 1 62" xfId="8702" xr:uid="{00000000-0005-0000-0000-00000B160000}"/>
    <cellStyle name="Heading 1 62 2" xfId="8900" xr:uid="{00000000-0005-0000-0000-00000C160000}"/>
    <cellStyle name="Heading 1 62 2 2" xfId="8901" xr:uid="{00000000-0005-0000-0000-00000D160000}"/>
    <cellStyle name="Heading 1 62 2 2 2" xfId="10201" xr:uid="{00000000-0005-0000-0000-00000E160000}"/>
    <cellStyle name="Heading 1 62 2 3" xfId="8902" xr:uid="{00000000-0005-0000-0000-00000F160000}"/>
    <cellStyle name="Heading 1 62 2 3 2" xfId="10202" xr:uid="{00000000-0005-0000-0000-000010160000}"/>
    <cellStyle name="Heading 1 62 2 4" xfId="10200" xr:uid="{00000000-0005-0000-0000-000011160000}"/>
    <cellStyle name="Heading 1 62 3" xfId="8903" xr:uid="{00000000-0005-0000-0000-000012160000}"/>
    <cellStyle name="Heading 1 62 3 2" xfId="10203" xr:uid="{00000000-0005-0000-0000-000013160000}"/>
    <cellStyle name="Heading 1 62 4" xfId="8904" xr:uid="{00000000-0005-0000-0000-000014160000}"/>
    <cellStyle name="Heading 1 62 4 2" xfId="10204" xr:uid="{00000000-0005-0000-0000-000015160000}"/>
    <cellStyle name="Heading 1 62 5" xfId="10199" xr:uid="{00000000-0005-0000-0000-000016160000}"/>
    <cellStyle name="Heading 1 63" xfId="9703" xr:uid="{00000000-0005-0000-0000-000017160000}"/>
    <cellStyle name="Heading 1 7" xfId="667" xr:uid="{00000000-0005-0000-0000-000018160000}"/>
    <cellStyle name="Heading 1 7 2" xfId="668" xr:uid="{00000000-0005-0000-0000-000019160000}"/>
    <cellStyle name="Heading 1 7 2 2" xfId="669" xr:uid="{00000000-0005-0000-0000-00001A160000}"/>
    <cellStyle name="Heading 1 7 2 2 2" xfId="8361" xr:uid="{00000000-0005-0000-0000-00001B160000}"/>
    <cellStyle name="Heading 1 7 2 2 2 2" xfId="10208" xr:uid="{00000000-0005-0000-0000-00001C160000}"/>
    <cellStyle name="Heading 1 7 2 2 3" xfId="10207" xr:uid="{00000000-0005-0000-0000-00001D160000}"/>
    <cellStyle name="Heading 1 7 2 3" xfId="4301" xr:uid="{00000000-0005-0000-0000-00001E160000}"/>
    <cellStyle name="Heading 1 7 2 3 2" xfId="10209" xr:uid="{00000000-0005-0000-0000-00001F160000}"/>
    <cellStyle name="Heading 1 7 2 4" xfId="10206" xr:uid="{00000000-0005-0000-0000-000020160000}"/>
    <cellStyle name="Heading 1 7 3" xfId="670" xr:uid="{00000000-0005-0000-0000-000021160000}"/>
    <cellStyle name="Heading 1 7 3 2" xfId="4302" xr:uid="{00000000-0005-0000-0000-000022160000}"/>
    <cellStyle name="Heading 1 7 3 2 2" xfId="10211" xr:uid="{00000000-0005-0000-0000-000023160000}"/>
    <cellStyle name="Heading 1 7 3 3" xfId="7499" xr:uid="{00000000-0005-0000-0000-000024160000}"/>
    <cellStyle name="Heading 1 7 3 3 2" xfId="10212" xr:uid="{00000000-0005-0000-0000-000025160000}"/>
    <cellStyle name="Heading 1 7 3 4" xfId="10210" xr:uid="{00000000-0005-0000-0000-000026160000}"/>
    <cellStyle name="Heading 1 7 4" xfId="4303" xr:uid="{00000000-0005-0000-0000-000027160000}"/>
    <cellStyle name="Heading 1 7 4 2" xfId="8362" xr:uid="{00000000-0005-0000-0000-000028160000}"/>
    <cellStyle name="Heading 1 7 4 2 2" xfId="10214" xr:uid="{00000000-0005-0000-0000-000029160000}"/>
    <cellStyle name="Heading 1 7 4 3" xfId="7500" xr:uid="{00000000-0005-0000-0000-00002A160000}"/>
    <cellStyle name="Heading 1 7 4 3 2" xfId="10215" xr:uid="{00000000-0005-0000-0000-00002B160000}"/>
    <cellStyle name="Heading 1 7 4 4" xfId="10213" xr:uid="{00000000-0005-0000-0000-00002C160000}"/>
    <cellStyle name="Heading 1 7 5" xfId="4304" xr:uid="{00000000-0005-0000-0000-00002D160000}"/>
    <cellStyle name="Heading 1 7 5 2" xfId="10216" xr:uid="{00000000-0005-0000-0000-00002E160000}"/>
    <cellStyle name="Heading 1 7 6" xfId="4300" xr:uid="{00000000-0005-0000-0000-00002F160000}"/>
    <cellStyle name="Heading 1 7 6 2" xfId="10217" xr:uid="{00000000-0005-0000-0000-000030160000}"/>
    <cellStyle name="Heading 1 7 7" xfId="10205" xr:uid="{00000000-0005-0000-0000-000031160000}"/>
    <cellStyle name="Heading 1 8" xfId="671" xr:uid="{00000000-0005-0000-0000-000032160000}"/>
    <cellStyle name="Heading 1 8 2" xfId="672" xr:uid="{00000000-0005-0000-0000-000033160000}"/>
    <cellStyle name="Heading 1 8 2 2" xfId="4306" xr:uid="{00000000-0005-0000-0000-000034160000}"/>
    <cellStyle name="Heading 1 8 2 2 2" xfId="10220" xr:uid="{00000000-0005-0000-0000-000035160000}"/>
    <cellStyle name="Heading 1 8 2 3" xfId="7501" xr:uid="{00000000-0005-0000-0000-000036160000}"/>
    <cellStyle name="Heading 1 8 2 3 2" xfId="10221" xr:uid="{00000000-0005-0000-0000-000037160000}"/>
    <cellStyle name="Heading 1 8 2 4" xfId="10219" xr:uid="{00000000-0005-0000-0000-000038160000}"/>
    <cellStyle name="Heading 1 8 3" xfId="4307" xr:uid="{00000000-0005-0000-0000-000039160000}"/>
    <cellStyle name="Heading 1 8 3 2" xfId="8363" xr:uid="{00000000-0005-0000-0000-00003A160000}"/>
    <cellStyle name="Heading 1 8 3 2 2" xfId="10223" xr:uid="{00000000-0005-0000-0000-00003B160000}"/>
    <cellStyle name="Heading 1 8 3 3" xfId="7502" xr:uid="{00000000-0005-0000-0000-00003C160000}"/>
    <cellStyle name="Heading 1 8 3 3 2" xfId="10224" xr:uid="{00000000-0005-0000-0000-00003D160000}"/>
    <cellStyle name="Heading 1 8 3 4" xfId="10222" xr:uid="{00000000-0005-0000-0000-00003E160000}"/>
    <cellStyle name="Heading 1 8 4" xfId="4308" xr:uid="{00000000-0005-0000-0000-00003F160000}"/>
    <cellStyle name="Heading 1 8 4 2" xfId="8364" xr:uid="{00000000-0005-0000-0000-000040160000}"/>
    <cellStyle name="Heading 1 8 4 2 2" xfId="10226" xr:uid="{00000000-0005-0000-0000-000041160000}"/>
    <cellStyle name="Heading 1 8 4 3" xfId="7503" xr:uid="{00000000-0005-0000-0000-000042160000}"/>
    <cellStyle name="Heading 1 8 4 3 2" xfId="10227" xr:uid="{00000000-0005-0000-0000-000043160000}"/>
    <cellStyle name="Heading 1 8 4 4" xfId="10225" xr:uid="{00000000-0005-0000-0000-000044160000}"/>
    <cellStyle name="Heading 1 8 5" xfId="4309" xr:uid="{00000000-0005-0000-0000-000045160000}"/>
    <cellStyle name="Heading 1 8 5 2" xfId="10228" xr:uid="{00000000-0005-0000-0000-000046160000}"/>
    <cellStyle name="Heading 1 8 6" xfId="4305" xr:uid="{00000000-0005-0000-0000-000047160000}"/>
    <cellStyle name="Heading 1 8 6 2" xfId="10229" xr:uid="{00000000-0005-0000-0000-000048160000}"/>
    <cellStyle name="Heading 1 8 7" xfId="10218" xr:uid="{00000000-0005-0000-0000-000049160000}"/>
    <cellStyle name="Heading 1 9" xfId="673" xr:uid="{00000000-0005-0000-0000-00004A160000}"/>
    <cellStyle name="Heading 1 9 2" xfId="674" xr:uid="{00000000-0005-0000-0000-00004B160000}"/>
    <cellStyle name="Heading 1 9 2 2" xfId="4311" xr:uid="{00000000-0005-0000-0000-00004C160000}"/>
    <cellStyle name="Heading 1 9 2 2 2" xfId="10232" xr:uid="{00000000-0005-0000-0000-00004D160000}"/>
    <cellStyle name="Heading 1 9 2 3" xfId="7504" xr:uid="{00000000-0005-0000-0000-00004E160000}"/>
    <cellStyle name="Heading 1 9 2 3 2" xfId="10233" xr:uid="{00000000-0005-0000-0000-00004F160000}"/>
    <cellStyle name="Heading 1 9 2 4" xfId="10231" xr:uid="{00000000-0005-0000-0000-000050160000}"/>
    <cellStyle name="Heading 1 9 3" xfId="4312" xr:uid="{00000000-0005-0000-0000-000051160000}"/>
    <cellStyle name="Heading 1 9 3 2" xfId="8365" xr:uid="{00000000-0005-0000-0000-000052160000}"/>
    <cellStyle name="Heading 1 9 3 2 2" xfId="10235" xr:uid="{00000000-0005-0000-0000-000053160000}"/>
    <cellStyle name="Heading 1 9 3 3" xfId="7505" xr:uid="{00000000-0005-0000-0000-000054160000}"/>
    <cellStyle name="Heading 1 9 3 3 2" xfId="10236" xr:uid="{00000000-0005-0000-0000-000055160000}"/>
    <cellStyle name="Heading 1 9 3 4" xfId="10234" xr:uid="{00000000-0005-0000-0000-000056160000}"/>
    <cellStyle name="Heading 1 9 4" xfId="4313" xr:uid="{00000000-0005-0000-0000-000057160000}"/>
    <cellStyle name="Heading 1 9 4 2" xfId="8366" xr:uid="{00000000-0005-0000-0000-000058160000}"/>
    <cellStyle name="Heading 1 9 4 2 2" xfId="10238" xr:uid="{00000000-0005-0000-0000-000059160000}"/>
    <cellStyle name="Heading 1 9 4 3" xfId="7506" xr:uid="{00000000-0005-0000-0000-00005A160000}"/>
    <cellStyle name="Heading 1 9 4 3 2" xfId="10239" xr:uid="{00000000-0005-0000-0000-00005B160000}"/>
    <cellStyle name="Heading 1 9 4 4" xfId="10237" xr:uid="{00000000-0005-0000-0000-00005C160000}"/>
    <cellStyle name="Heading 1 9 5" xfId="4314" xr:uid="{00000000-0005-0000-0000-00005D160000}"/>
    <cellStyle name="Heading 1 9 5 2" xfId="10240" xr:uid="{00000000-0005-0000-0000-00005E160000}"/>
    <cellStyle name="Heading 1 9 6" xfId="4310" xr:uid="{00000000-0005-0000-0000-00005F160000}"/>
    <cellStyle name="Heading 1 9 6 2" xfId="10241" xr:uid="{00000000-0005-0000-0000-000060160000}"/>
    <cellStyle name="Heading 1 9 7" xfId="10230" xr:uid="{00000000-0005-0000-0000-000061160000}"/>
    <cellStyle name="Heading 2" xfId="42" builtinId="17" customBuiltin="1"/>
    <cellStyle name="Heading 2 10" xfId="675" xr:uid="{00000000-0005-0000-0000-000063160000}"/>
    <cellStyle name="Heading 2 10 2" xfId="676" xr:uid="{00000000-0005-0000-0000-000064160000}"/>
    <cellStyle name="Heading 2 10 2 2" xfId="4317" xr:uid="{00000000-0005-0000-0000-000065160000}"/>
    <cellStyle name="Heading 2 10 2 2 2" xfId="10245" xr:uid="{00000000-0005-0000-0000-000066160000}"/>
    <cellStyle name="Heading 2 10 2 3" xfId="7507" xr:uid="{00000000-0005-0000-0000-000067160000}"/>
    <cellStyle name="Heading 2 10 2 3 2" xfId="10246" xr:uid="{00000000-0005-0000-0000-000068160000}"/>
    <cellStyle name="Heading 2 10 2 4" xfId="10244" xr:uid="{00000000-0005-0000-0000-000069160000}"/>
    <cellStyle name="Heading 2 10 3" xfId="4318" xr:uid="{00000000-0005-0000-0000-00006A160000}"/>
    <cellStyle name="Heading 2 10 3 2" xfId="8367" xr:uid="{00000000-0005-0000-0000-00006B160000}"/>
    <cellStyle name="Heading 2 10 3 2 2" xfId="10248" xr:uid="{00000000-0005-0000-0000-00006C160000}"/>
    <cellStyle name="Heading 2 10 3 3" xfId="7508" xr:uid="{00000000-0005-0000-0000-00006D160000}"/>
    <cellStyle name="Heading 2 10 3 3 2" xfId="10249" xr:uid="{00000000-0005-0000-0000-00006E160000}"/>
    <cellStyle name="Heading 2 10 3 4" xfId="10247" xr:uid="{00000000-0005-0000-0000-00006F160000}"/>
    <cellStyle name="Heading 2 10 4" xfId="4319" xr:uid="{00000000-0005-0000-0000-000070160000}"/>
    <cellStyle name="Heading 2 10 4 2" xfId="8368" xr:uid="{00000000-0005-0000-0000-000071160000}"/>
    <cellStyle name="Heading 2 10 4 2 2" xfId="10251" xr:uid="{00000000-0005-0000-0000-000072160000}"/>
    <cellStyle name="Heading 2 10 4 3" xfId="7509" xr:uid="{00000000-0005-0000-0000-000073160000}"/>
    <cellStyle name="Heading 2 10 4 3 2" xfId="10252" xr:uid="{00000000-0005-0000-0000-000074160000}"/>
    <cellStyle name="Heading 2 10 4 4" xfId="10250" xr:uid="{00000000-0005-0000-0000-000075160000}"/>
    <cellStyle name="Heading 2 10 5" xfId="4320" xr:uid="{00000000-0005-0000-0000-000076160000}"/>
    <cellStyle name="Heading 2 10 5 2" xfId="10253" xr:uid="{00000000-0005-0000-0000-000077160000}"/>
    <cellStyle name="Heading 2 10 6" xfId="4316" xr:uid="{00000000-0005-0000-0000-000078160000}"/>
    <cellStyle name="Heading 2 10 6 2" xfId="10254" xr:uid="{00000000-0005-0000-0000-000079160000}"/>
    <cellStyle name="Heading 2 10 7" xfId="10243" xr:uid="{00000000-0005-0000-0000-00007A160000}"/>
    <cellStyle name="Heading 2 11" xfId="677" xr:uid="{00000000-0005-0000-0000-00007B160000}"/>
    <cellStyle name="Heading 2 11 2" xfId="678" xr:uid="{00000000-0005-0000-0000-00007C160000}"/>
    <cellStyle name="Heading 2 11 2 2" xfId="4322" xr:uid="{00000000-0005-0000-0000-00007D160000}"/>
    <cellStyle name="Heading 2 11 2 2 2" xfId="10257" xr:uid="{00000000-0005-0000-0000-00007E160000}"/>
    <cellStyle name="Heading 2 11 2 3" xfId="7510" xr:uid="{00000000-0005-0000-0000-00007F160000}"/>
    <cellStyle name="Heading 2 11 2 3 2" xfId="10258" xr:uid="{00000000-0005-0000-0000-000080160000}"/>
    <cellStyle name="Heading 2 11 2 4" xfId="10256" xr:uid="{00000000-0005-0000-0000-000081160000}"/>
    <cellStyle name="Heading 2 11 3" xfId="4323" xr:uid="{00000000-0005-0000-0000-000082160000}"/>
    <cellStyle name="Heading 2 11 3 2" xfId="8369" xr:uid="{00000000-0005-0000-0000-000083160000}"/>
    <cellStyle name="Heading 2 11 3 2 2" xfId="10260" xr:uid="{00000000-0005-0000-0000-000084160000}"/>
    <cellStyle name="Heading 2 11 3 3" xfId="7511" xr:uid="{00000000-0005-0000-0000-000085160000}"/>
    <cellStyle name="Heading 2 11 3 3 2" xfId="10261" xr:uid="{00000000-0005-0000-0000-000086160000}"/>
    <cellStyle name="Heading 2 11 3 4" xfId="10259" xr:uid="{00000000-0005-0000-0000-000087160000}"/>
    <cellStyle name="Heading 2 11 4" xfId="4324" xr:uid="{00000000-0005-0000-0000-000088160000}"/>
    <cellStyle name="Heading 2 11 4 2" xfId="8370" xr:uid="{00000000-0005-0000-0000-000089160000}"/>
    <cellStyle name="Heading 2 11 4 2 2" xfId="10263" xr:uid="{00000000-0005-0000-0000-00008A160000}"/>
    <cellStyle name="Heading 2 11 4 3" xfId="7512" xr:uid="{00000000-0005-0000-0000-00008B160000}"/>
    <cellStyle name="Heading 2 11 4 3 2" xfId="10264" xr:uid="{00000000-0005-0000-0000-00008C160000}"/>
    <cellStyle name="Heading 2 11 4 4" xfId="10262" xr:uid="{00000000-0005-0000-0000-00008D160000}"/>
    <cellStyle name="Heading 2 11 5" xfId="4325" xr:uid="{00000000-0005-0000-0000-00008E160000}"/>
    <cellStyle name="Heading 2 11 5 2" xfId="10265" xr:uid="{00000000-0005-0000-0000-00008F160000}"/>
    <cellStyle name="Heading 2 11 6" xfId="4321" xr:uid="{00000000-0005-0000-0000-000090160000}"/>
    <cellStyle name="Heading 2 11 6 2" xfId="10266" xr:uid="{00000000-0005-0000-0000-000091160000}"/>
    <cellStyle name="Heading 2 11 7" xfId="10255" xr:uid="{00000000-0005-0000-0000-000092160000}"/>
    <cellStyle name="Heading 2 12" xfId="679" xr:uid="{00000000-0005-0000-0000-000093160000}"/>
    <cellStyle name="Heading 2 12 2" xfId="680" xr:uid="{00000000-0005-0000-0000-000094160000}"/>
    <cellStyle name="Heading 2 12 2 2" xfId="4327" xr:uid="{00000000-0005-0000-0000-000095160000}"/>
    <cellStyle name="Heading 2 12 2 2 2" xfId="10269" xr:uid="{00000000-0005-0000-0000-000096160000}"/>
    <cellStyle name="Heading 2 12 2 3" xfId="7513" xr:uid="{00000000-0005-0000-0000-000097160000}"/>
    <cellStyle name="Heading 2 12 2 3 2" xfId="10270" xr:uid="{00000000-0005-0000-0000-000098160000}"/>
    <cellStyle name="Heading 2 12 2 4" xfId="10268" xr:uid="{00000000-0005-0000-0000-000099160000}"/>
    <cellStyle name="Heading 2 12 3" xfId="4328" xr:uid="{00000000-0005-0000-0000-00009A160000}"/>
    <cellStyle name="Heading 2 12 3 2" xfId="8371" xr:uid="{00000000-0005-0000-0000-00009B160000}"/>
    <cellStyle name="Heading 2 12 3 2 2" xfId="10272" xr:uid="{00000000-0005-0000-0000-00009C160000}"/>
    <cellStyle name="Heading 2 12 3 3" xfId="7514" xr:uid="{00000000-0005-0000-0000-00009D160000}"/>
    <cellStyle name="Heading 2 12 3 3 2" xfId="10273" xr:uid="{00000000-0005-0000-0000-00009E160000}"/>
    <cellStyle name="Heading 2 12 3 4" xfId="10271" xr:uid="{00000000-0005-0000-0000-00009F160000}"/>
    <cellStyle name="Heading 2 12 4" xfId="4329" xr:uid="{00000000-0005-0000-0000-0000A0160000}"/>
    <cellStyle name="Heading 2 12 4 2" xfId="8372" xr:uid="{00000000-0005-0000-0000-0000A1160000}"/>
    <cellStyle name="Heading 2 12 4 2 2" xfId="10275" xr:uid="{00000000-0005-0000-0000-0000A2160000}"/>
    <cellStyle name="Heading 2 12 4 3" xfId="7515" xr:uid="{00000000-0005-0000-0000-0000A3160000}"/>
    <cellStyle name="Heading 2 12 4 3 2" xfId="10276" xr:uid="{00000000-0005-0000-0000-0000A4160000}"/>
    <cellStyle name="Heading 2 12 4 4" xfId="10274" xr:uid="{00000000-0005-0000-0000-0000A5160000}"/>
    <cellStyle name="Heading 2 12 5" xfId="4330" xr:uid="{00000000-0005-0000-0000-0000A6160000}"/>
    <cellStyle name="Heading 2 12 5 2" xfId="10277" xr:uid="{00000000-0005-0000-0000-0000A7160000}"/>
    <cellStyle name="Heading 2 12 6" xfId="4326" xr:uid="{00000000-0005-0000-0000-0000A8160000}"/>
    <cellStyle name="Heading 2 12 6 2" xfId="10278" xr:uid="{00000000-0005-0000-0000-0000A9160000}"/>
    <cellStyle name="Heading 2 12 7" xfId="10267" xr:uid="{00000000-0005-0000-0000-0000AA160000}"/>
    <cellStyle name="Heading 2 13" xfId="681" xr:uid="{00000000-0005-0000-0000-0000AB160000}"/>
    <cellStyle name="Heading 2 13 2" xfId="682" xr:uid="{00000000-0005-0000-0000-0000AC160000}"/>
    <cellStyle name="Heading 2 13 2 2" xfId="4332" xr:uid="{00000000-0005-0000-0000-0000AD160000}"/>
    <cellStyle name="Heading 2 13 2 2 2" xfId="10281" xr:uid="{00000000-0005-0000-0000-0000AE160000}"/>
    <cellStyle name="Heading 2 13 2 3" xfId="7516" xr:uid="{00000000-0005-0000-0000-0000AF160000}"/>
    <cellStyle name="Heading 2 13 2 3 2" xfId="10282" xr:uid="{00000000-0005-0000-0000-0000B0160000}"/>
    <cellStyle name="Heading 2 13 2 4" xfId="10280" xr:uid="{00000000-0005-0000-0000-0000B1160000}"/>
    <cellStyle name="Heading 2 13 3" xfId="4333" xr:uid="{00000000-0005-0000-0000-0000B2160000}"/>
    <cellStyle name="Heading 2 13 3 2" xfId="8373" xr:uid="{00000000-0005-0000-0000-0000B3160000}"/>
    <cellStyle name="Heading 2 13 3 2 2" xfId="10284" xr:uid="{00000000-0005-0000-0000-0000B4160000}"/>
    <cellStyle name="Heading 2 13 3 3" xfId="7517" xr:uid="{00000000-0005-0000-0000-0000B5160000}"/>
    <cellStyle name="Heading 2 13 3 3 2" xfId="10285" xr:uid="{00000000-0005-0000-0000-0000B6160000}"/>
    <cellStyle name="Heading 2 13 3 4" xfId="10283" xr:uid="{00000000-0005-0000-0000-0000B7160000}"/>
    <cellStyle name="Heading 2 13 4" xfId="4334" xr:uid="{00000000-0005-0000-0000-0000B8160000}"/>
    <cellStyle name="Heading 2 13 4 2" xfId="8374" xr:uid="{00000000-0005-0000-0000-0000B9160000}"/>
    <cellStyle name="Heading 2 13 4 2 2" xfId="10287" xr:uid="{00000000-0005-0000-0000-0000BA160000}"/>
    <cellStyle name="Heading 2 13 4 3" xfId="7518" xr:uid="{00000000-0005-0000-0000-0000BB160000}"/>
    <cellStyle name="Heading 2 13 4 3 2" xfId="10288" xr:uid="{00000000-0005-0000-0000-0000BC160000}"/>
    <cellStyle name="Heading 2 13 4 4" xfId="10286" xr:uid="{00000000-0005-0000-0000-0000BD160000}"/>
    <cellStyle name="Heading 2 13 5" xfId="4335" xr:uid="{00000000-0005-0000-0000-0000BE160000}"/>
    <cellStyle name="Heading 2 13 5 2" xfId="10289" xr:uid="{00000000-0005-0000-0000-0000BF160000}"/>
    <cellStyle name="Heading 2 13 6" xfId="4331" xr:uid="{00000000-0005-0000-0000-0000C0160000}"/>
    <cellStyle name="Heading 2 13 6 2" xfId="10290" xr:uid="{00000000-0005-0000-0000-0000C1160000}"/>
    <cellStyle name="Heading 2 13 7" xfId="10279" xr:uid="{00000000-0005-0000-0000-0000C2160000}"/>
    <cellStyle name="Heading 2 14" xfId="683" xr:uid="{00000000-0005-0000-0000-0000C3160000}"/>
    <cellStyle name="Heading 2 14 2" xfId="684" xr:uid="{00000000-0005-0000-0000-0000C4160000}"/>
    <cellStyle name="Heading 2 14 2 2" xfId="4337" xr:uid="{00000000-0005-0000-0000-0000C5160000}"/>
    <cellStyle name="Heading 2 14 2 2 2" xfId="10293" xr:uid="{00000000-0005-0000-0000-0000C6160000}"/>
    <cellStyle name="Heading 2 14 2 3" xfId="7519" xr:uid="{00000000-0005-0000-0000-0000C7160000}"/>
    <cellStyle name="Heading 2 14 2 3 2" xfId="10294" xr:uid="{00000000-0005-0000-0000-0000C8160000}"/>
    <cellStyle name="Heading 2 14 2 4" xfId="10292" xr:uid="{00000000-0005-0000-0000-0000C9160000}"/>
    <cellStyle name="Heading 2 14 3" xfId="4338" xr:uid="{00000000-0005-0000-0000-0000CA160000}"/>
    <cellStyle name="Heading 2 14 3 2" xfId="8375" xr:uid="{00000000-0005-0000-0000-0000CB160000}"/>
    <cellStyle name="Heading 2 14 3 2 2" xfId="10296" xr:uid="{00000000-0005-0000-0000-0000CC160000}"/>
    <cellStyle name="Heading 2 14 3 3" xfId="7520" xr:uid="{00000000-0005-0000-0000-0000CD160000}"/>
    <cellStyle name="Heading 2 14 3 3 2" xfId="10297" xr:uid="{00000000-0005-0000-0000-0000CE160000}"/>
    <cellStyle name="Heading 2 14 3 4" xfId="10295" xr:uid="{00000000-0005-0000-0000-0000CF160000}"/>
    <cellStyle name="Heading 2 14 4" xfId="4339" xr:uid="{00000000-0005-0000-0000-0000D0160000}"/>
    <cellStyle name="Heading 2 14 4 2" xfId="8376" xr:uid="{00000000-0005-0000-0000-0000D1160000}"/>
    <cellStyle name="Heading 2 14 4 2 2" xfId="10299" xr:uid="{00000000-0005-0000-0000-0000D2160000}"/>
    <cellStyle name="Heading 2 14 4 3" xfId="7521" xr:uid="{00000000-0005-0000-0000-0000D3160000}"/>
    <cellStyle name="Heading 2 14 4 3 2" xfId="10300" xr:uid="{00000000-0005-0000-0000-0000D4160000}"/>
    <cellStyle name="Heading 2 14 4 4" xfId="10298" xr:uid="{00000000-0005-0000-0000-0000D5160000}"/>
    <cellStyle name="Heading 2 14 5" xfId="4340" xr:uid="{00000000-0005-0000-0000-0000D6160000}"/>
    <cellStyle name="Heading 2 14 5 2" xfId="10301" xr:uid="{00000000-0005-0000-0000-0000D7160000}"/>
    <cellStyle name="Heading 2 14 6" xfId="4336" xr:uid="{00000000-0005-0000-0000-0000D8160000}"/>
    <cellStyle name="Heading 2 14 6 2" xfId="10302" xr:uid="{00000000-0005-0000-0000-0000D9160000}"/>
    <cellStyle name="Heading 2 14 7" xfId="10291" xr:uid="{00000000-0005-0000-0000-0000DA160000}"/>
    <cellStyle name="Heading 2 15" xfId="685" xr:uid="{00000000-0005-0000-0000-0000DB160000}"/>
    <cellStyle name="Heading 2 15 2" xfId="686" xr:uid="{00000000-0005-0000-0000-0000DC160000}"/>
    <cellStyle name="Heading 2 15 2 2" xfId="4342" xr:uid="{00000000-0005-0000-0000-0000DD160000}"/>
    <cellStyle name="Heading 2 15 2 2 2" xfId="10305" xr:uid="{00000000-0005-0000-0000-0000DE160000}"/>
    <cellStyle name="Heading 2 15 2 3" xfId="7522" xr:uid="{00000000-0005-0000-0000-0000DF160000}"/>
    <cellStyle name="Heading 2 15 2 3 2" xfId="10306" xr:uid="{00000000-0005-0000-0000-0000E0160000}"/>
    <cellStyle name="Heading 2 15 2 4" xfId="10304" xr:uid="{00000000-0005-0000-0000-0000E1160000}"/>
    <cellStyle name="Heading 2 15 3" xfId="4343" xr:uid="{00000000-0005-0000-0000-0000E2160000}"/>
    <cellStyle name="Heading 2 15 3 2" xfId="8377" xr:uid="{00000000-0005-0000-0000-0000E3160000}"/>
    <cellStyle name="Heading 2 15 3 2 2" xfId="10308" xr:uid="{00000000-0005-0000-0000-0000E4160000}"/>
    <cellStyle name="Heading 2 15 3 3" xfId="7523" xr:uid="{00000000-0005-0000-0000-0000E5160000}"/>
    <cellStyle name="Heading 2 15 3 3 2" xfId="10309" xr:uid="{00000000-0005-0000-0000-0000E6160000}"/>
    <cellStyle name="Heading 2 15 3 4" xfId="10307" xr:uid="{00000000-0005-0000-0000-0000E7160000}"/>
    <cellStyle name="Heading 2 15 4" xfId="4344" xr:uid="{00000000-0005-0000-0000-0000E8160000}"/>
    <cellStyle name="Heading 2 15 4 2" xfId="8378" xr:uid="{00000000-0005-0000-0000-0000E9160000}"/>
    <cellStyle name="Heading 2 15 4 2 2" xfId="10311" xr:uid="{00000000-0005-0000-0000-0000EA160000}"/>
    <cellStyle name="Heading 2 15 4 3" xfId="7524" xr:uid="{00000000-0005-0000-0000-0000EB160000}"/>
    <cellStyle name="Heading 2 15 4 3 2" xfId="10312" xr:uid="{00000000-0005-0000-0000-0000EC160000}"/>
    <cellStyle name="Heading 2 15 4 4" xfId="10310" xr:uid="{00000000-0005-0000-0000-0000ED160000}"/>
    <cellStyle name="Heading 2 15 5" xfId="4345" xr:uid="{00000000-0005-0000-0000-0000EE160000}"/>
    <cellStyle name="Heading 2 15 5 2" xfId="10313" xr:uid="{00000000-0005-0000-0000-0000EF160000}"/>
    <cellStyle name="Heading 2 15 6" xfId="4341" xr:uid="{00000000-0005-0000-0000-0000F0160000}"/>
    <cellStyle name="Heading 2 15 6 2" xfId="10314" xr:uid="{00000000-0005-0000-0000-0000F1160000}"/>
    <cellStyle name="Heading 2 15 7" xfId="10303" xr:uid="{00000000-0005-0000-0000-0000F2160000}"/>
    <cellStyle name="Heading 2 16" xfId="687" xr:uid="{00000000-0005-0000-0000-0000F3160000}"/>
    <cellStyle name="Heading 2 16 2" xfId="688" xr:uid="{00000000-0005-0000-0000-0000F4160000}"/>
    <cellStyle name="Heading 2 16 2 2" xfId="8379" xr:uid="{00000000-0005-0000-0000-0000F5160000}"/>
    <cellStyle name="Heading 2 16 2 2 2" xfId="10317" xr:uid="{00000000-0005-0000-0000-0000F6160000}"/>
    <cellStyle name="Heading 2 16 2 3" xfId="10316" xr:uid="{00000000-0005-0000-0000-0000F7160000}"/>
    <cellStyle name="Heading 2 16 3" xfId="4346" xr:uid="{00000000-0005-0000-0000-0000F8160000}"/>
    <cellStyle name="Heading 2 16 3 2" xfId="10318" xr:uid="{00000000-0005-0000-0000-0000F9160000}"/>
    <cellStyle name="Heading 2 16 4" xfId="10315" xr:uid="{00000000-0005-0000-0000-0000FA160000}"/>
    <cellStyle name="Heading 2 17" xfId="689" xr:uid="{00000000-0005-0000-0000-0000FB160000}"/>
    <cellStyle name="Heading 2 17 2" xfId="690" xr:uid="{00000000-0005-0000-0000-0000FC160000}"/>
    <cellStyle name="Heading 2 17 2 2" xfId="8380" xr:uid="{00000000-0005-0000-0000-0000FD160000}"/>
    <cellStyle name="Heading 2 17 2 2 2" xfId="10321" xr:uid="{00000000-0005-0000-0000-0000FE160000}"/>
    <cellStyle name="Heading 2 17 2 3" xfId="10320" xr:uid="{00000000-0005-0000-0000-0000FF160000}"/>
    <cellStyle name="Heading 2 17 3" xfId="4347" xr:uid="{00000000-0005-0000-0000-000000170000}"/>
    <cellStyle name="Heading 2 17 3 2" xfId="10322" xr:uid="{00000000-0005-0000-0000-000001170000}"/>
    <cellStyle name="Heading 2 17 4" xfId="10319" xr:uid="{00000000-0005-0000-0000-000002170000}"/>
    <cellStyle name="Heading 2 18" xfId="691" xr:uid="{00000000-0005-0000-0000-000003170000}"/>
    <cellStyle name="Heading 2 18 2" xfId="692" xr:uid="{00000000-0005-0000-0000-000004170000}"/>
    <cellStyle name="Heading 2 18 2 2" xfId="8381" xr:uid="{00000000-0005-0000-0000-000005170000}"/>
    <cellStyle name="Heading 2 18 2 2 2" xfId="10325" xr:uid="{00000000-0005-0000-0000-000006170000}"/>
    <cellStyle name="Heading 2 18 2 3" xfId="10324" xr:uid="{00000000-0005-0000-0000-000007170000}"/>
    <cellStyle name="Heading 2 18 3" xfId="4348" xr:uid="{00000000-0005-0000-0000-000008170000}"/>
    <cellStyle name="Heading 2 18 3 2" xfId="10326" xr:uid="{00000000-0005-0000-0000-000009170000}"/>
    <cellStyle name="Heading 2 18 4" xfId="10323" xr:uid="{00000000-0005-0000-0000-00000A170000}"/>
    <cellStyle name="Heading 2 19" xfId="693" xr:uid="{00000000-0005-0000-0000-00000B170000}"/>
    <cellStyle name="Heading 2 19 2" xfId="694" xr:uid="{00000000-0005-0000-0000-00000C170000}"/>
    <cellStyle name="Heading 2 19 2 2" xfId="8382" xr:uid="{00000000-0005-0000-0000-00000D170000}"/>
    <cellStyle name="Heading 2 19 2 2 2" xfId="10329" xr:uid="{00000000-0005-0000-0000-00000E170000}"/>
    <cellStyle name="Heading 2 19 2 3" xfId="10328" xr:uid="{00000000-0005-0000-0000-00000F170000}"/>
    <cellStyle name="Heading 2 19 3" xfId="4349" xr:uid="{00000000-0005-0000-0000-000010170000}"/>
    <cellStyle name="Heading 2 19 3 2" xfId="10330" xr:uid="{00000000-0005-0000-0000-000011170000}"/>
    <cellStyle name="Heading 2 19 4" xfId="10327" xr:uid="{00000000-0005-0000-0000-000012170000}"/>
    <cellStyle name="Heading 2 2" xfId="695" xr:uid="{00000000-0005-0000-0000-000013170000}"/>
    <cellStyle name="Heading 2 2 2" xfId="696" xr:uid="{00000000-0005-0000-0000-000014170000}"/>
    <cellStyle name="Heading 2 2 2 2" xfId="697" xr:uid="{00000000-0005-0000-0000-000015170000}"/>
    <cellStyle name="Heading 2 2 2 2 2" xfId="8383" xr:uid="{00000000-0005-0000-0000-000016170000}"/>
    <cellStyle name="Heading 2 2 2 2 2 2" xfId="10334" xr:uid="{00000000-0005-0000-0000-000017170000}"/>
    <cellStyle name="Heading 2 2 2 2 3" xfId="10333" xr:uid="{00000000-0005-0000-0000-000018170000}"/>
    <cellStyle name="Heading 2 2 2 3" xfId="4351" xr:uid="{00000000-0005-0000-0000-000019170000}"/>
    <cellStyle name="Heading 2 2 2 3 2" xfId="10335" xr:uid="{00000000-0005-0000-0000-00001A170000}"/>
    <cellStyle name="Heading 2 2 2 4" xfId="10332" xr:uid="{00000000-0005-0000-0000-00001B170000}"/>
    <cellStyle name="Heading 2 2 3" xfId="698" xr:uid="{00000000-0005-0000-0000-00001C170000}"/>
    <cellStyle name="Heading 2 2 3 2" xfId="4352" xr:uid="{00000000-0005-0000-0000-00001D170000}"/>
    <cellStyle name="Heading 2 2 3 2 2" xfId="10337" xr:uid="{00000000-0005-0000-0000-00001E170000}"/>
    <cellStyle name="Heading 2 2 3 3" xfId="7525" xr:uid="{00000000-0005-0000-0000-00001F170000}"/>
    <cellStyle name="Heading 2 2 3 3 2" xfId="10338" xr:uid="{00000000-0005-0000-0000-000020170000}"/>
    <cellStyle name="Heading 2 2 3 4" xfId="10336" xr:uid="{00000000-0005-0000-0000-000021170000}"/>
    <cellStyle name="Heading 2 2 4" xfId="4353" xr:uid="{00000000-0005-0000-0000-000022170000}"/>
    <cellStyle name="Heading 2 2 4 2" xfId="8384" xr:uid="{00000000-0005-0000-0000-000023170000}"/>
    <cellStyle name="Heading 2 2 4 2 2" xfId="10340" xr:uid="{00000000-0005-0000-0000-000024170000}"/>
    <cellStyle name="Heading 2 2 4 3" xfId="7526" xr:uid="{00000000-0005-0000-0000-000025170000}"/>
    <cellStyle name="Heading 2 2 4 3 2" xfId="10341" xr:uid="{00000000-0005-0000-0000-000026170000}"/>
    <cellStyle name="Heading 2 2 4 4" xfId="10339" xr:uid="{00000000-0005-0000-0000-000027170000}"/>
    <cellStyle name="Heading 2 2 5" xfId="4354" xr:uid="{00000000-0005-0000-0000-000028170000}"/>
    <cellStyle name="Heading 2 2 5 2" xfId="10342" xr:uid="{00000000-0005-0000-0000-000029170000}"/>
    <cellStyle name="Heading 2 2 6" xfId="4350" xr:uid="{00000000-0005-0000-0000-00002A170000}"/>
    <cellStyle name="Heading 2 2 6 2" xfId="10343" xr:uid="{00000000-0005-0000-0000-00002B170000}"/>
    <cellStyle name="Heading 2 2 7" xfId="10331" xr:uid="{00000000-0005-0000-0000-00002C170000}"/>
    <cellStyle name="Heading 2 20" xfId="699" xr:uid="{00000000-0005-0000-0000-00002D170000}"/>
    <cellStyle name="Heading 2 20 2" xfId="700" xr:uid="{00000000-0005-0000-0000-00002E170000}"/>
    <cellStyle name="Heading 2 20 2 2" xfId="8385" xr:uid="{00000000-0005-0000-0000-00002F170000}"/>
    <cellStyle name="Heading 2 20 2 2 2" xfId="10346" xr:uid="{00000000-0005-0000-0000-000030170000}"/>
    <cellStyle name="Heading 2 20 2 3" xfId="10345" xr:uid="{00000000-0005-0000-0000-000031170000}"/>
    <cellStyle name="Heading 2 20 3" xfId="4355" xr:uid="{00000000-0005-0000-0000-000032170000}"/>
    <cellStyle name="Heading 2 20 3 2" xfId="10347" xr:uid="{00000000-0005-0000-0000-000033170000}"/>
    <cellStyle name="Heading 2 20 4" xfId="10344" xr:uid="{00000000-0005-0000-0000-000034170000}"/>
    <cellStyle name="Heading 2 21" xfId="701" xr:uid="{00000000-0005-0000-0000-000035170000}"/>
    <cellStyle name="Heading 2 21 2" xfId="702" xr:uid="{00000000-0005-0000-0000-000036170000}"/>
    <cellStyle name="Heading 2 21 2 2" xfId="8386" xr:uid="{00000000-0005-0000-0000-000037170000}"/>
    <cellStyle name="Heading 2 21 2 2 2" xfId="10350" xr:uid="{00000000-0005-0000-0000-000038170000}"/>
    <cellStyle name="Heading 2 21 2 3" xfId="10349" xr:uid="{00000000-0005-0000-0000-000039170000}"/>
    <cellStyle name="Heading 2 21 3" xfId="4356" xr:uid="{00000000-0005-0000-0000-00003A170000}"/>
    <cellStyle name="Heading 2 21 3 2" xfId="10351" xr:uid="{00000000-0005-0000-0000-00003B170000}"/>
    <cellStyle name="Heading 2 21 4" xfId="10348" xr:uid="{00000000-0005-0000-0000-00003C170000}"/>
    <cellStyle name="Heading 2 22" xfId="703" xr:uid="{00000000-0005-0000-0000-00003D170000}"/>
    <cellStyle name="Heading 2 22 2" xfId="704" xr:uid="{00000000-0005-0000-0000-00003E170000}"/>
    <cellStyle name="Heading 2 22 2 2" xfId="8387" xr:uid="{00000000-0005-0000-0000-00003F170000}"/>
    <cellStyle name="Heading 2 22 2 2 2" xfId="10354" xr:uid="{00000000-0005-0000-0000-000040170000}"/>
    <cellStyle name="Heading 2 22 2 3" xfId="10353" xr:uid="{00000000-0005-0000-0000-000041170000}"/>
    <cellStyle name="Heading 2 22 3" xfId="4357" xr:uid="{00000000-0005-0000-0000-000042170000}"/>
    <cellStyle name="Heading 2 22 3 2" xfId="10355" xr:uid="{00000000-0005-0000-0000-000043170000}"/>
    <cellStyle name="Heading 2 22 4" xfId="10352" xr:uid="{00000000-0005-0000-0000-000044170000}"/>
    <cellStyle name="Heading 2 23" xfId="705" xr:uid="{00000000-0005-0000-0000-000045170000}"/>
    <cellStyle name="Heading 2 23 2" xfId="706" xr:uid="{00000000-0005-0000-0000-000046170000}"/>
    <cellStyle name="Heading 2 23 2 2" xfId="8388" xr:uid="{00000000-0005-0000-0000-000047170000}"/>
    <cellStyle name="Heading 2 23 2 2 2" xfId="10358" xr:uid="{00000000-0005-0000-0000-000048170000}"/>
    <cellStyle name="Heading 2 23 2 3" xfId="10357" xr:uid="{00000000-0005-0000-0000-000049170000}"/>
    <cellStyle name="Heading 2 23 3" xfId="4358" xr:uid="{00000000-0005-0000-0000-00004A170000}"/>
    <cellStyle name="Heading 2 23 3 2" xfId="10359" xr:uid="{00000000-0005-0000-0000-00004B170000}"/>
    <cellStyle name="Heading 2 23 4" xfId="10356" xr:uid="{00000000-0005-0000-0000-00004C170000}"/>
    <cellStyle name="Heading 2 24" xfId="707" xr:uid="{00000000-0005-0000-0000-00004D170000}"/>
    <cellStyle name="Heading 2 24 2" xfId="708" xr:uid="{00000000-0005-0000-0000-00004E170000}"/>
    <cellStyle name="Heading 2 24 2 2" xfId="8389" xr:uid="{00000000-0005-0000-0000-00004F170000}"/>
    <cellStyle name="Heading 2 24 2 2 2" xfId="10362" xr:uid="{00000000-0005-0000-0000-000050170000}"/>
    <cellStyle name="Heading 2 24 2 3" xfId="10361" xr:uid="{00000000-0005-0000-0000-000051170000}"/>
    <cellStyle name="Heading 2 24 3" xfId="4359" xr:uid="{00000000-0005-0000-0000-000052170000}"/>
    <cellStyle name="Heading 2 24 3 2" xfId="10363" xr:uid="{00000000-0005-0000-0000-000053170000}"/>
    <cellStyle name="Heading 2 24 4" xfId="10360" xr:uid="{00000000-0005-0000-0000-000054170000}"/>
    <cellStyle name="Heading 2 25" xfId="709" xr:uid="{00000000-0005-0000-0000-000055170000}"/>
    <cellStyle name="Heading 2 25 2" xfId="710" xr:uid="{00000000-0005-0000-0000-000056170000}"/>
    <cellStyle name="Heading 2 25 2 2" xfId="8390" xr:uid="{00000000-0005-0000-0000-000057170000}"/>
    <cellStyle name="Heading 2 25 2 2 2" xfId="10366" xr:uid="{00000000-0005-0000-0000-000058170000}"/>
    <cellStyle name="Heading 2 25 2 3" xfId="10365" xr:uid="{00000000-0005-0000-0000-000059170000}"/>
    <cellStyle name="Heading 2 25 3" xfId="4360" xr:uid="{00000000-0005-0000-0000-00005A170000}"/>
    <cellStyle name="Heading 2 25 3 2" xfId="10367" xr:uid="{00000000-0005-0000-0000-00005B170000}"/>
    <cellStyle name="Heading 2 25 4" xfId="10364" xr:uid="{00000000-0005-0000-0000-00005C170000}"/>
    <cellStyle name="Heading 2 26" xfId="711" xr:uid="{00000000-0005-0000-0000-00005D170000}"/>
    <cellStyle name="Heading 2 26 2" xfId="712" xr:uid="{00000000-0005-0000-0000-00005E170000}"/>
    <cellStyle name="Heading 2 26 2 2" xfId="8391" xr:uid="{00000000-0005-0000-0000-00005F170000}"/>
    <cellStyle name="Heading 2 26 2 2 2" xfId="10370" xr:uid="{00000000-0005-0000-0000-000060170000}"/>
    <cellStyle name="Heading 2 26 2 3" xfId="10369" xr:uid="{00000000-0005-0000-0000-000061170000}"/>
    <cellStyle name="Heading 2 26 3" xfId="4361" xr:uid="{00000000-0005-0000-0000-000062170000}"/>
    <cellStyle name="Heading 2 26 3 2" xfId="10371" xr:uid="{00000000-0005-0000-0000-000063170000}"/>
    <cellStyle name="Heading 2 26 4" xfId="10368" xr:uid="{00000000-0005-0000-0000-000064170000}"/>
    <cellStyle name="Heading 2 27" xfId="713" xr:uid="{00000000-0005-0000-0000-000065170000}"/>
    <cellStyle name="Heading 2 27 2" xfId="714" xr:uid="{00000000-0005-0000-0000-000066170000}"/>
    <cellStyle name="Heading 2 27 2 2" xfId="8392" xr:uid="{00000000-0005-0000-0000-000067170000}"/>
    <cellStyle name="Heading 2 27 2 2 2" xfId="10374" xr:uid="{00000000-0005-0000-0000-000068170000}"/>
    <cellStyle name="Heading 2 27 2 3" xfId="10373" xr:uid="{00000000-0005-0000-0000-000069170000}"/>
    <cellStyle name="Heading 2 27 3" xfId="4362" xr:uid="{00000000-0005-0000-0000-00006A170000}"/>
    <cellStyle name="Heading 2 27 3 2" xfId="10375" xr:uid="{00000000-0005-0000-0000-00006B170000}"/>
    <cellStyle name="Heading 2 27 4" xfId="10372" xr:uid="{00000000-0005-0000-0000-00006C170000}"/>
    <cellStyle name="Heading 2 28" xfId="715" xr:uid="{00000000-0005-0000-0000-00006D170000}"/>
    <cellStyle name="Heading 2 28 2" xfId="716" xr:uid="{00000000-0005-0000-0000-00006E170000}"/>
    <cellStyle name="Heading 2 28 2 2" xfId="8393" xr:uid="{00000000-0005-0000-0000-00006F170000}"/>
    <cellStyle name="Heading 2 28 2 2 2" xfId="10378" xr:uid="{00000000-0005-0000-0000-000070170000}"/>
    <cellStyle name="Heading 2 28 2 3" xfId="10377" xr:uid="{00000000-0005-0000-0000-000071170000}"/>
    <cellStyle name="Heading 2 28 3" xfId="4363" xr:uid="{00000000-0005-0000-0000-000072170000}"/>
    <cellStyle name="Heading 2 28 3 2" xfId="10379" xr:uid="{00000000-0005-0000-0000-000073170000}"/>
    <cellStyle name="Heading 2 28 4" xfId="10376" xr:uid="{00000000-0005-0000-0000-000074170000}"/>
    <cellStyle name="Heading 2 29" xfId="717" xr:uid="{00000000-0005-0000-0000-000075170000}"/>
    <cellStyle name="Heading 2 29 2" xfId="718" xr:uid="{00000000-0005-0000-0000-000076170000}"/>
    <cellStyle name="Heading 2 29 2 2" xfId="8394" xr:uid="{00000000-0005-0000-0000-000077170000}"/>
    <cellStyle name="Heading 2 29 2 2 2" xfId="10382" xr:uid="{00000000-0005-0000-0000-000078170000}"/>
    <cellStyle name="Heading 2 29 2 3" xfId="10381" xr:uid="{00000000-0005-0000-0000-000079170000}"/>
    <cellStyle name="Heading 2 29 3" xfId="4364" xr:uid="{00000000-0005-0000-0000-00007A170000}"/>
    <cellStyle name="Heading 2 29 3 2" xfId="10383" xr:uid="{00000000-0005-0000-0000-00007B170000}"/>
    <cellStyle name="Heading 2 29 4" xfId="10380" xr:uid="{00000000-0005-0000-0000-00007C170000}"/>
    <cellStyle name="Heading 2 3" xfId="719" xr:uid="{00000000-0005-0000-0000-00007D170000}"/>
    <cellStyle name="Heading 2 3 2" xfId="720" xr:uid="{00000000-0005-0000-0000-00007E170000}"/>
    <cellStyle name="Heading 2 3 2 2" xfId="721" xr:uid="{00000000-0005-0000-0000-00007F170000}"/>
    <cellStyle name="Heading 2 3 2 2 2" xfId="8395" xr:uid="{00000000-0005-0000-0000-000080170000}"/>
    <cellStyle name="Heading 2 3 2 2 2 2" xfId="10387" xr:uid="{00000000-0005-0000-0000-000081170000}"/>
    <cellStyle name="Heading 2 3 2 2 3" xfId="10386" xr:uid="{00000000-0005-0000-0000-000082170000}"/>
    <cellStyle name="Heading 2 3 2 3" xfId="4366" xr:uid="{00000000-0005-0000-0000-000083170000}"/>
    <cellStyle name="Heading 2 3 2 3 2" xfId="10388" xr:uid="{00000000-0005-0000-0000-000084170000}"/>
    <cellStyle name="Heading 2 3 2 4" xfId="10385" xr:uid="{00000000-0005-0000-0000-000085170000}"/>
    <cellStyle name="Heading 2 3 3" xfId="722" xr:uid="{00000000-0005-0000-0000-000086170000}"/>
    <cellStyle name="Heading 2 3 3 2" xfId="4367" xr:uid="{00000000-0005-0000-0000-000087170000}"/>
    <cellStyle name="Heading 2 3 3 2 2" xfId="10390" xr:uid="{00000000-0005-0000-0000-000088170000}"/>
    <cellStyle name="Heading 2 3 3 3" xfId="7527" xr:uid="{00000000-0005-0000-0000-000089170000}"/>
    <cellStyle name="Heading 2 3 3 3 2" xfId="10391" xr:uid="{00000000-0005-0000-0000-00008A170000}"/>
    <cellStyle name="Heading 2 3 3 4" xfId="10389" xr:uid="{00000000-0005-0000-0000-00008B170000}"/>
    <cellStyle name="Heading 2 3 4" xfId="4368" xr:uid="{00000000-0005-0000-0000-00008C170000}"/>
    <cellStyle name="Heading 2 3 4 2" xfId="8396" xr:uid="{00000000-0005-0000-0000-00008D170000}"/>
    <cellStyle name="Heading 2 3 4 2 2" xfId="10393" xr:uid="{00000000-0005-0000-0000-00008E170000}"/>
    <cellStyle name="Heading 2 3 4 3" xfId="7528" xr:uid="{00000000-0005-0000-0000-00008F170000}"/>
    <cellStyle name="Heading 2 3 4 3 2" xfId="10394" xr:uid="{00000000-0005-0000-0000-000090170000}"/>
    <cellStyle name="Heading 2 3 4 4" xfId="10392" xr:uid="{00000000-0005-0000-0000-000091170000}"/>
    <cellStyle name="Heading 2 3 5" xfId="4369" xr:uid="{00000000-0005-0000-0000-000092170000}"/>
    <cellStyle name="Heading 2 3 5 2" xfId="10395" xr:uid="{00000000-0005-0000-0000-000093170000}"/>
    <cellStyle name="Heading 2 3 6" xfId="4365" xr:uid="{00000000-0005-0000-0000-000094170000}"/>
    <cellStyle name="Heading 2 3 6 2" xfId="10396" xr:uid="{00000000-0005-0000-0000-000095170000}"/>
    <cellStyle name="Heading 2 3 7" xfId="10384" xr:uid="{00000000-0005-0000-0000-000096170000}"/>
    <cellStyle name="Heading 2 30" xfId="723" xr:uid="{00000000-0005-0000-0000-000097170000}"/>
    <cellStyle name="Heading 2 30 2" xfId="724" xr:uid="{00000000-0005-0000-0000-000098170000}"/>
    <cellStyle name="Heading 2 30 2 2" xfId="8397" xr:uid="{00000000-0005-0000-0000-000099170000}"/>
    <cellStyle name="Heading 2 30 2 2 2" xfId="10399" xr:uid="{00000000-0005-0000-0000-00009A170000}"/>
    <cellStyle name="Heading 2 30 2 3" xfId="10398" xr:uid="{00000000-0005-0000-0000-00009B170000}"/>
    <cellStyle name="Heading 2 30 3" xfId="4370" xr:uid="{00000000-0005-0000-0000-00009C170000}"/>
    <cellStyle name="Heading 2 30 3 2" xfId="10400" xr:uid="{00000000-0005-0000-0000-00009D170000}"/>
    <cellStyle name="Heading 2 30 4" xfId="10397" xr:uid="{00000000-0005-0000-0000-00009E170000}"/>
    <cellStyle name="Heading 2 31" xfId="725" xr:uid="{00000000-0005-0000-0000-00009F170000}"/>
    <cellStyle name="Heading 2 31 2" xfId="726" xr:uid="{00000000-0005-0000-0000-0000A0170000}"/>
    <cellStyle name="Heading 2 31 2 2" xfId="8398" xr:uid="{00000000-0005-0000-0000-0000A1170000}"/>
    <cellStyle name="Heading 2 31 2 2 2" xfId="10403" xr:uid="{00000000-0005-0000-0000-0000A2170000}"/>
    <cellStyle name="Heading 2 31 2 3" xfId="10402" xr:uid="{00000000-0005-0000-0000-0000A3170000}"/>
    <cellStyle name="Heading 2 31 3" xfId="4371" xr:uid="{00000000-0005-0000-0000-0000A4170000}"/>
    <cellStyle name="Heading 2 31 3 2" xfId="10404" xr:uid="{00000000-0005-0000-0000-0000A5170000}"/>
    <cellStyle name="Heading 2 31 4" xfId="10401" xr:uid="{00000000-0005-0000-0000-0000A6170000}"/>
    <cellStyle name="Heading 2 32" xfId="727" xr:uid="{00000000-0005-0000-0000-0000A7170000}"/>
    <cellStyle name="Heading 2 32 2" xfId="728" xr:uid="{00000000-0005-0000-0000-0000A8170000}"/>
    <cellStyle name="Heading 2 32 2 2" xfId="8399" xr:uid="{00000000-0005-0000-0000-0000A9170000}"/>
    <cellStyle name="Heading 2 32 2 2 2" xfId="10407" xr:uid="{00000000-0005-0000-0000-0000AA170000}"/>
    <cellStyle name="Heading 2 32 2 3" xfId="10406" xr:uid="{00000000-0005-0000-0000-0000AB170000}"/>
    <cellStyle name="Heading 2 32 3" xfId="4372" xr:uid="{00000000-0005-0000-0000-0000AC170000}"/>
    <cellStyle name="Heading 2 32 3 2" xfId="10408" xr:uid="{00000000-0005-0000-0000-0000AD170000}"/>
    <cellStyle name="Heading 2 32 4" xfId="10405" xr:uid="{00000000-0005-0000-0000-0000AE170000}"/>
    <cellStyle name="Heading 2 33" xfId="729" xr:uid="{00000000-0005-0000-0000-0000AF170000}"/>
    <cellStyle name="Heading 2 33 2" xfId="4374" xr:uid="{00000000-0005-0000-0000-0000B0170000}"/>
    <cellStyle name="Heading 2 33 2 2" xfId="10410" xr:uid="{00000000-0005-0000-0000-0000B1170000}"/>
    <cellStyle name="Heading 2 33 3" xfId="4373" xr:uid="{00000000-0005-0000-0000-0000B2170000}"/>
    <cellStyle name="Heading 2 33 3 2" xfId="10411" xr:uid="{00000000-0005-0000-0000-0000B3170000}"/>
    <cellStyle name="Heading 2 33 4" xfId="7529" xr:uid="{00000000-0005-0000-0000-0000B4170000}"/>
    <cellStyle name="Heading 2 33 4 2" xfId="10412" xr:uid="{00000000-0005-0000-0000-0000B5170000}"/>
    <cellStyle name="Heading 2 33 5" xfId="10409" xr:uid="{00000000-0005-0000-0000-0000B6170000}"/>
    <cellStyle name="Heading 2 34" xfId="4375" xr:uid="{00000000-0005-0000-0000-0000B7170000}"/>
    <cellStyle name="Heading 2 34 2" xfId="4376" xr:uid="{00000000-0005-0000-0000-0000B8170000}"/>
    <cellStyle name="Heading 2 34 2 2" xfId="10414" xr:uid="{00000000-0005-0000-0000-0000B9170000}"/>
    <cellStyle name="Heading 2 34 3" xfId="8400" xr:uid="{00000000-0005-0000-0000-0000BA170000}"/>
    <cellStyle name="Heading 2 34 3 2" xfId="10415" xr:uid="{00000000-0005-0000-0000-0000BB170000}"/>
    <cellStyle name="Heading 2 34 4" xfId="7530" xr:uid="{00000000-0005-0000-0000-0000BC170000}"/>
    <cellStyle name="Heading 2 34 4 2" xfId="10416" xr:uid="{00000000-0005-0000-0000-0000BD170000}"/>
    <cellStyle name="Heading 2 34 5" xfId="10413" xr:uid="{00000000-0005-0000-0000-0000BE170000}"/>
    <cellStyle name="Heading 2 35" xfId="4377" xr:uid="{00000000-0005-0000-0000-0000BF170000}"/>
    <cellStyle name="Heading 2 35 2" xfId="4378" xr:uid="{00000000-0005-0000-0000-0000C0170000}"/>
    <cellStyle name="Heading 2 35 2 2" xfId="10418" xr:uid="{00000000-0005-0000-0000-0000C1170000}"/>
    <cellStyle name="Heading 2 35 3" xfId="10417" xr:uid="{00000000-0005-0000-0000-0000C2170000}"/>
    <cellStyle name="Heading 2 36" xfId="4379" xr:uid="{00000000-0005-0000-0000-0000C3170000}"/>
    <cellStyle name="Heading 2 36 2" xfId="10419" xr:uid="{00000000-0005-0000-0000-0000C4170000}"/>
    <cellStyle name="Heading 2 37" xfId="4380" xr:uid="{00000000-0005-0000-0000-0000C5170000}"/>
    <cellStyle name="Heading 2 37 2" xfId="10420" xr:uid="{00000000-0005-0000-0000-0000C6170000}"/>
    <cellStyle name="Heading 2 38" xfId="4381" xr:uid="{00000000-0005-0000-0000-0000C7170000}"/>
    <cellStyle name="Heading 2 38 2" xfId="10421" xr:uid="{00000000-0005-0000-0000-0000C8170000}"/>
    <cellStyle name="Heading 2 39" xfId="4382" xr:uid="{00000000-0005-0000-0000-0000C9170000}"/>
    <cellStyle name="Heading 2 39 10" xfId="4383" xr:uid="{00000000-0005-0000-0000-0000CA170000}"/>
    <cellStyle name="Heading 2 39 10 2" xfId="10423" xr:uid="{00000000-0005-0000-0000-0000CB170000}"/>
    <cellStyle name="Heading 2 39 100" xfId="4384" xr:uid="{00000000-0005-0000-0000-0000CC170000}"/>
    <cellStyle name="Heading 2 39 100 2" xfId="10424" xr:uid="{00000000-0005-0000-0000-0000CD170000}"/>
    <cellStyle name="Heading 2 39 101" xfId="4385" xr:uid="{00000000-0005-0000-0000-0000CE170000}"/>
    <cellStyle name="Heading 2 39 101 2" xfId="10425" xr:uid="{00000000-0005-0000-0000-0000CF170000}"/>
    <cellStyle name="Heading 2 39 102" xfId="4386" xr:uid="{00000000-0005-0000-0000-0000D0170000}"/>
    <cellStyle name="Heading 2 39 102 2" xfId="10426" xr:uid="{00000000-0005-0000-0000-0000D1170000}"/>
    <cellStyle name="Heading 2 39 103" xfId="4387" xr:uid="{00000000-0005-0000-0000-0000D2170000}"/>
    <cellStyle name="Heading 2 39 103 2" xfId="10427" xr:uid="{00000000-0005-0000-0000-0000D3170000}"/>
    <cellStyle name="Heading 2 39 104" xfId="4388" xr:uid="{00000000-0005-0000-0000-0000D4170000}"/>
    <cellStyle name="Heading 2 39 104 2" xfId="10428" xr:uid="{00000000-0005-0000-0000-0000D5170000}"/>
    <cellStyle name="Heading 2 39 105" xfId="4389" xr:uid="{00000000-0005-0000-0000-0000D6170000}"/>
    <cellStyle name="Heading 2 39 105 2" xfId="10429" xr:uid="{00000000-0005-0000-0000-0000D7170000}"/>
    <cellStyle name="Heading 2 39 106" xfId="4390" xr:uid="{00000000-0005-0000-0000-0000D8170000}"/>
    <cellStyle name="Heading 2 39 106 2" xfId="10430" xr:uid="{00000000-0005-0000-0000-0000D9170000}"/>
    <cellStyle name="Heading 2 39 107" xfId="4391" xr:uid="{00000000-0005-0000-0000-0000DA170000}"/>
    <cellStyle name="Heading 2 39 107 2" xfId="10431" xr:uid="{00000000-0005-0000-0000-0000DB170000}"/>
    <cellStyle name="Heading 2 39 108" xfId="4392" xr:uid="{00000000-0005-0000-0000-0000DC170000}"/>
    <cellStyle name="Heading 2 39 108 2" xfId="10432" xr:uid="{00000000-0005-0000-0000-0000DD170000}"/>
    <cellStyle name="Heading 2 39 109" xfId="4393" xr:uid="{00000000-0005-0000-0000-0000DE170000}"/>
    <cellStyle name="Heading 2 39 109 2" xfId="10433" xr:uid="{00000000-0005-0000-0000-0000DF170000}"/>
    <cellStyle name="Heading 2 39 11" xfId="4394" xr:uid="{00000000-0005-0000-0000-0000E0170000}"/>
    <cellStyle name="Heading 2 39 11 2" xfId="10434" xr:uid="{00000000-0005-0000-0000-0000E1170000}"/>
    <cellStyle name="Heading 2 39 110" xfId="4395" xr:uid="{00000000-0005-0000-0000-0000E2170000}"/>
    <cellStyle name="Heading 2 39 110 2" xfId="10435" xr:uid="{00000000-0005-0000-0000-0000E3170000}"/>
    <cellStyle name="Heading 2 39 111" xfId="4396" xr:uid="{00000000-0005-0000-0000-0000E4170000}"/>
    <cellStyle name="Heading 2 39 111 2" xfId="10436" xr:uid="{00000000-0005-0000-0000-0000E5170000}"/>
    <cellStyle name="Heading 2 39 112" xfId="4397" xr:uid="{00000000-0005-0000-0000-0000E6170000}"/>
    <cellStyle name="Heading 2 39 112 2" xfId="10437" xr:uid="{00000000-0005-0000-0000-0000E7170000}"/>
    <cellStyle name="Heading 2 39 113" xfId="4398" xr:uid="{00000000-0005-0000-0000-0000E8170000}"/>
    <cellStyle name="Heading 2 39 113 2" xfId="10438" xr:uid="{00000000-0005-0000-0000-0000E9170000}"/>
    <cellStyle name="Heading 2 39 114" xfId="4399" xr:uid="{00000000-0005-0000-0000-0000EA170000}"/>
    <cellStyle name="Heading 2 39 114 2" xfId="10439" xr:uid="{00000000-0005-0000-0000-0000EB170000}"/>
    <cellStyle name="Heading 2 39 115" xfId="4400" xr:uid="{00000000-0005-0000-0000-0000EC170000}"/>
    <cellStyle name="Heading 2 39 115 2" xfId="10440" xr:uid="{00000000-0005-0000-0000-0000ED170000}"/>
    <cellStyle name="Heading 2 39 116" xfId="4401" xr:uid="{00000000-0005-0000-0000-0000EE170000}"/>
    <cellStyle name="Heading 2 39 116 2" xfId="10441" xr:uid="{00000000-0005-0000-0000-0000EF170000}"/>
    <cellStyle name="Heading 2 39 117" xfId="4402" xr:uid="{00000000-0005-0000-0000-0000F0170000}"/>
    <cellStyle name="Heading 2 39 117 2" xfId="10442" xr:uid="{00000000-0005-0000-0000-0000F1170000}"/>
    <cellStyle name="Heading 2 39 118" xfId="4403" xr:uid="{00000000-0005-0000-0000-0000F2170000}"/>
    <cellStyle name="Heading 2 39 118 2" xfId="10443" xr:uid="{00000000-0005-0000-0000-0000F3170000}"/>
    <cellStyle name="Heading 2 39 119" xfId="4404" xr:uid="{00000000-0005-0000-0000-0000F4170000}"/>
    <cellStyle name="Heading 2 39 119 2" xfId="10444" xr:uid="{00000000-0005-0000-0000-0000F5170000}"/>
    <cellStyle name="Heading 2 39 12" xfId="4405" xr:uid="{00000000-0005-0000-0000-0000F6170000}"/>
    <cellStyle name="Heading 2 39 12 2" xfId="10445" xr:uid="{00000000-0005-0000-0000-0000F7170000}"/>
    <cellStyle name="Heading 2 39 120" xfId="4406" xr:uid="{00000000-0005-0000-0000-0000F8170000}"/>
    <cellStyle name="Heading 2 39 120 2" xfId="10446" xr:uid="{00000000-0005-0000-0000-0000F9170000}"/>
    <cellStyle name="Heading 2 39 121" xfId="4407" xr:uid="{00000000-0005-0000-0000-0000FA170000}"/>
    <cellStyle name="Heading 2 39 121 2" xfId="10447" xr:uid="{00000000-0005-0000-0000-0000FB170000}"/>
    <cellStyle name="Heading 2 39 122" xfId="4408" xr:uid="{00000000-0005-0000-0000-0000FC170000}"/>
    <cellStyle name="Heading 2 39 122 2" xfId="10448" xr:uid="{00000000-0005-0000-0000-0000FD170000}"/>
    <cellStyle name="Heading 2 39 123" xfId="4409" xr:uid="{00000000-0005-0000-0000-0000FE170000}"/>
    <cellStyle name="Heading 2 39 123 2" xfId="10449" xr:uid="{00000000-0005-0000-0000-0000FF170000}"/>
    <cellStyle name="Heading 2 39 124" xfId="4410" xr:uid="{00000000-0005-0000-0000-000000180000}"/>
    <cellStyle name="Heading 2 39 124 2" xfId="10450" xr:uid="{00000000-0005-0000-0000-000001180000}"/>
    <cellStyle name="Heading 2 39 125" xfId="4411" xr:uid="{00000000-0005-0000-0000-000002180000}"/>
    <cellStyle name="Heading 2 39 125 2" xfId="10451" xr:uid="{00000000-0005-0000-0000-000003180000}"/>
    <cellStyle name="Heading 2 39 126" xfId="4412" xr:uid="{00000000-0005-0000-0000-000004180000}"/>
    <cellStyle name="Heading 2 39 126 2" xfId="10452" xr:uid="{00000000-0005-0000-0000-000005180000}"/>
    <cellStyle name="Heading 2 39 127" xfId="4413" xr:uid="{00000000-0005-0000-0000-000006180000}"/>
    <cellStyle name="Heading 2 39 127 2" xfId="10453" xr:uid="{00000000-0005-0000-0000-000007180000}"/>
    <cellStyle name="Heading 2 39 128" xfId="4414" xr:uid="{00000000-0005-0000-0000-000008180000}"/>
    <cellStyle name="Heading 2 39 128 2" xfId="10454" xr:uid="{00000000-0005-0000-0000-000009180000}"/>
    <cellStyle name="Heading 2 39 129" xfId="4415" xr:uid="{00000000-0005-0000-0000-00000A180000}"/>
    <cellStyle name="Heading 2 39 129 2" xfId="10455" xr:uid="{00000000-0005-0000-0000-00000B180000}"/>
    <cellStyle name="Heading 2 39 13" xfId="4416" xr:uid="{00000000-0005-0000-0000-00000C180000}"/>
    <cellStyle name="Heading 2 39 13 2" xfId="10456" xr:uid="{00000000-0005-0000-0000-00000D180000}"/>
    <cellStyle name="Heading 2 39 130" xfId="4417" xr:uid="{00000000-0005-0000-0000-00000E180000}"/>
    <cellStyle name="Heading 2 39 130 2" xfId="10457" xr:uid="{00000000-0005-0000-0000-00000F180000}"/>
    <cellStyle name="Heading 2 39 131" xfId="4418" xr:uid="{00000000-0005-0000-0000-000010180000}"/>
    <cellStyle name="Heading 2 39 131 2" xfId="10458" xr:uid="{00000000-0005-0000-0000-000011180000}"/>
    <cellStyle name="Heading 2 39 132" xfId="4419" xr:uid="{00000000-0005-0000-0000-000012180000}"/>
    <cellStyle name="Heading 2 39 132 2" xfId="10459" xr:uid="{00000000-0005-0000-0000-000013180000}"/>
    <cellStyle name="Heading 2 39 133" xfId="4420" xr:uid="{00000000-0005-0000-0000-000014180000}"/>
    <cellStyle name="Heading 2 39 133 2" xfId="10460" xr:uid="{00000000-0005-0000-0000-000015180000}"/>
    <cellStyle name="Heading 2 39 134" xfId="4421" xr:uid="{00000000-0005-0000-0000-000016180000}"/>
    <cellStyle name="Heading 2 39 134 2" xfId="10461" xr:uid="{00000000-0005-0000-0000-000017180000}"/>
    <cellStyle name="Heading 2 39 135" xfId="4422" xr:uid="{00000000-0005-0000-0000-000018180000}"/>
    <cellStyle name="Heading 2 39 135 2" xfId="10462" xr:uid="{00000000-0005-0000-0000-000019180000}"/>
    <cellStyle name="Heading 2 39 136" xfId="4423" xr:uid="{00000000-0005-0000-0000-00001A180000}"/>
    <cellStyle name="Heading 2 39 136 2" xfId="10463" xr:uid="{00000000-0005-0000-0000-00001B180000}"/>
    <cellStyle name="Heading 2 39 137" xfId="4424" xr:uid="{00000000-0005-0000-0000-00001C180000}"/>
    <cellStyle name="Heading 2 39 137 2" xfId="10464" xr:uid="{00000000-0005-0000-0000-00001D180000}"/>
    <cellStyle name="Heading 2 39 138" xfId="4425" xr:uid="{00000000-0005-0000-0000-00001E180000}"/>
    <cellStyle name="Heading 2 39 138 2" xfId="10465" xr:uid="{00000000-0005-0000-0000-00001F180000}"/>
    <cellStyle name="Heading 2 39 139" xfId="4426" xr:uid="{00000000-0005-0000-0000-000020180000}"/>
    <cellStyle name="Heading 2 39 139 2" xfId="10466" xr:uid="{00000000-0005-0000-0000-000021180000}"/>
    <cellStyle name="Heading 2 39 14" xfId="4427" xr:uid="{00000000-0005-0000-0000-000022180000}"/>
    <cellStyle name="Heading 2 39 14 2" xfId="10467" xr:uid="{00000000-0005-0000-0000-000023180000}"/>
    <cellStyle name="Heading 2 39 140" xfId="4428" xr:uid="{00000000-0005-0000-0000-000024180000}"/>
    <cellStyle name="Heading 2 39 140 2" xfId="10468" xr:uid="{00000000-0005-0000-0000-000025180000}"/>
    <cellStyle name="Heading 2 39 141" xfId="4429" xr:uid="{00000000-0005-0000-0000-000026180000}"/>
    <cellStyle name="Heading 2 39 141 2" xfId="10469" xr:uid="{00000000-0005-0000-0000-000027180000}"/>
    <cellStyle name="Heading 2 39 142" xfId="4430" xr:uid="{00000000-0005-0000-0000-000028180000}"/>
    <cellStyle name="Heading 2 39 142 2" xfId="10470" xr:uid="{00000000-0005-0000-0000-000029180000}"/>
    <cellStyle name="Heading 2 39 143" xfId="4431" xr:uid="{00000000-0005-0000-0000-00002A180000}"/>
    <cellStyle name="Heading 2 39 143 2" xfId="10471" xr:uid="{00000000-0005-0000-0000-00002B180000}"/>
    <cellStyle name="Heading 2 39 144" xfId="4432" xr:uid="{00000000-0005-0000-0000-00002C180000}"/>
    <cellStyle name="Heading 2 39 144 2" xfId="10472" xr:uid="{00000000-0005-0000-0000-00002D180000}"/>
    <cellStyle name="Heading 2 39 145" xfId="4433" xr:uid="{00000000-0005-0000-0000-00002E180000}"/>
    <cellStyle name="Heading 2 39 145 2" xfId="10473" xr:uid="{00000000-0005-0000-0000-00002F180000}"/>
    <cellStyle name="Heading 2 39 146" xfId="4434" xr:uid="{00000000-0005-0000-0000-000030180000}"/>
    <cellStyle name="Heading 2 39 146 2" xfId="10474" xr:uid="{00000000-0005-0000-0000-000031180000}"/>
    <cellStyle name="Heading 2 39 147" xfId="4435" xr:uid="{00000000-0005-0000-0000-000032180000}"/>
    <cellStyle name="Heading 2 39 147 2" xfId="10475" xr:uid="{00000000-0005-0000-0000-000033180000}"/>
    <cellStyle name="Heading 2 39 148" xfId="4436" xr:uid="{00000000-0005-0000-0000-000034180000}"/>
    <cellStyle name="Heading 2 39 148 2" xfId="10476" xr:uid="{00000000-0005-0000-0000-000035180000}"/>
    <cellStyle name="Heading 2 39 149" xfId="4437" xr:uid="{00000000-0005-0000-0000-000036180000}"/>
    <cellStyle name="Heading 2 39 149 2" xfId="10477" xr:uid="{00000000-0005-0000-0000-000037180000}"/>
    <cellStyle name="Heading 2 39 15" xfId="4438" xr:uid="{00000000-0005-0000-0000-000038180000}"/>
    <cellStyle name="Heading 2 39 15 2" xfId="10478" xr:uid="{00000000-0005-0000-0000-000039180000}"/>
    <cellStyle name="Heading 2 39 150" xfId="4439" xr:uid="{00000000-0005-0000-0000-00003A180000}"/>
    <cellStyle name="Heading 2 39 150 2" xfId="10479" xr:uid="{00000000-0005-0000-0000-00003B180000}"/>
    <cellStyle name="Heading 2 39 151" xfId="4440" xr:uid="{00000000-0005-0000-0000-00003C180000}"/>
    <cellStyle name="Heading 2 39 151 2" xfId="10480" xr:uid="{00000000-0005-0000-0000-00003D180000}"/>
    <cellStyle name="Heading 2 39 152" xfId="4441" xr:uid="{00000000-0005-0000-0000-00003E180000}"/>
    <cellStyle name="Heading 2 39 152 2" xfId="10481" xr:uid="{00000000-0005-0000-0000-00003F180000}"/>
    <cellStyle name="Heading 2 39 153" xfId="4442" xr:uid="{00000000-0005-0000-0000-000040180000}"/>
    <cellStyle name="Heading 2 39 153 2" xfId="10482" xr:uid="{00000000-0005-0000-0000-000041180000}"/>
    <cellStyle name="Heading 2 39 154" xfId="4443" xr:uid="{00000000-0005-0000-0000-000042180000}"/>
    <cellStyle name="Heading 2 39 154 2" xfId="10483" xr:uid="{00000000-0005-0000-0000-000043180000}"/>
    <cellStyle name="Heading 2 39 155" xfId="4444" xr:uid="{00000000-0005-0000-0000-000044180000}"/>
    <cellStyle name="Heading 2 39 155 2" xfId="10484" xr:uid="{00000000-0005-0000-0000-000045180000}"/>
    <cellStyle name="Heading 2 39 156" xfId="4445" xr:uid="{00000000-0005-0000-0000-000046180000}"/>
    <cellStyle name="Heading 2 39 156 2" xfId="10485" xr:uid="{00000000-0005-0000-0000-000047180000}"/>
    <cellStyle name="Heading 2 39 157" xfId="4446" xr:uid="{00000000-0005-0000-0000-000048180000}"/>
    <cellStyle name="Heading 2 39 157 2" xfId="10486" xr:uid="{00000000-0005-0000-0000-000049180000}"/>
    <cellStyle name="Heading 2 39 158" xfId="4447" xr:uid="{00000000-0005-0000-0000-00004A180000}"/>
    <cellStyle name="Heading 2 39 158 2" xfId="10487" xr:uid="{00000000-0005-0000-0000-00004B180000}"/>
    <cellStyle name="Heading 2 39 159" xfId="4448" xr:uid="{00000000-0005-0000-0000-00004C180000}"/>
    <cellStyle name="Heading 2 39 159 2" xfId="10488" xr:uid="{00000000-0005-0000-0000-00004D180000}"/>
    <cellStyle name="Heading 2 39 16" xfId="4449" xr:uid="{00000000-0005-0000-0000-00004E180000}"/>
    <cellStyle name="Heading 2 39 16 2" xfId="10489" xr:uid="{00000000-0005-0000-0000-00004F180000}"/>
    <cellStyle name="Heading 2 39 160" xfId="4450" xr:uid="{00000000-0005-0000-0000-000050180000}"/>
    <cellStyle name="Heading 2 39 160 2" xfId="10490" xr:uid="{00000000-0005-0000-0000-000051180000}"/>
    <cellStyle name="Heading 2 39 161" xfId="4451" xr:uid="{00000000-0005-0000-0000-000052180000}"/>
    <cellStyle name="Heading 2 39 161 2" xfId="10491" xr:uid="{00000000-0005-0000-0000-000053180000}"/>
    <cellStyle name="Heading 2 39 162" xfId="4452" xr:uid="{00000000-0005-0000-0000-000054180000}"/>
    <cellStyle name="Heading 2 39 162 2" xfId="10492" xr:uid="{00000000-0005-0000-0000-000055180000}"/>
    <cellStyle name="Heading 2 39 163" xfId="4453" xr:uid="{00000000-0005-0000-0000-000056180000}"/>
    <cellStyle name="Heading 2 39 163 2" xfId="10493" xr:uid="{00000000-0005-0000-0000-000057180000}"/>
    <cellStyle name="Heading 2 39 164" xfId="4454" xr:uid="{00000000-0005-0000-0000-000058180000}"/>
    <cellStyle name="Heading 2 39 164 2" xfId="10494" xr:uid="{00000000-0005-0000-0000-000059180000}"/>
    <cellStyle name="Heading 2 39 165" xfId="4455" xr:uid="{00000000-0005-0000-0000-00005A180000}"/>
    <cellStyle name="Heading 2 39 165 2" xfId="10495" xr:uid="{00000000-0005-0000-0000-00005B180000}"/>
    <cellStyle name="Heading 2 39 166" xfId="4456" xr:uid="{00000000-0005-0000-0000-00005C180000}"/>
    <cellStyle name="Heading 2 39 166 2" xfId="10496" xr:uid="{00000000-0005-0000-0000-00005D180000}"/>
    <cellStyle name="Heading 2 39 167" xfId="4457" xr:uid="{00000000-0005-0000-0000-00005E180000}"/>
    <cellStyle name="Heading 2 39 167 2" xfId="10497" xr:uid="{00000000-0005-0000-0000-00005F180000}"/>
    <cellStyle name="Heading 2 39 168" xfId="4458" xr:uid="{00000000-0005-0000-0000-000060180000}"/>
    <cellStyle name="Heading 2 39 168 2" xfId="10498" xr:uid="{00000000-0005-0000-0000-000061180000}"/>
    <cellStyle name="Heading 2 39 169" xfId="4459" xr:uid="{00000000-0005-0000-0000-000062180000}"/>
    <cellStyle name="Heading 2 39 169 2" xfId="10499" xr:uid="{00000000-0005-0000-0000-000063180000}"/>
    <cellStyle name="Heading 2 39 17" xfId="4460" xr:uid="{00000000-0005-0000-0000-000064180000}"/>
    <cellStyle name="Heading 2 39 17 2" xfId="10500" xr:uid="{00000000-0005-0000-0000-000065180000}"/>
    <cellStyle name="Heading 2 39 170" xfId="4461" xr:uid="{00000000-0005-0000-0000-000066180000}"/>
    <cellStyle name="Heading 2 39 170 2" xfId="10501" xr:uid="{00000000-0005-0000-0000-000067180000}"/>
    <cellStyle name="Heading 2 39 171" xfId="4462" xr:uid="{00000000-0005-0000-0000-000068180000}"/>
    <cellStyle name="Heading 2 39 171 2" xfId="10502" xr:uid="{00000000-0005-0000-0000-000069180000}"/>
    <cellStyle name="Heading 2 39 172" xfId="4463" xr:uid="{00000000-0005-0000-0000-00006A180000}"/>
    <cellStyle name="Heading 2 39 172 2" xfId="10503" xr:uid="{00000000-0005-0000-0000-00006B180000}"/>
    <cellStyle name="Heading 2 39 173" xfId="4464" xr:uid="{00000000-0005-0000-0000-00006C180000}"/>
    <cellStyle name="Heading 2 39 173 2" xfId="10504" xr:uid="{00000000-0005-0000-0000-00006D180000}"/>
    <cellStyle name="Heading 2 39 174" xfId="4465" xr:uid="{00000000-0005-0000-0000-00006E180000}"/>
    <cellStyle name="Heading 2 39 174 2" xfId="10505" xr:uid="{00000000-0005-0000-0000-00006F180000}"/>
    <cellStyle name="Heading 2 39 175" xfId="4466" xr:uid="{00000000-0005-0000-0000-000070180000}"/>
    <cellStyle name="Heading 2 39 175 2" xfId="10506" xr:uid="{00000000-0005-0000-0000-000071180000}"/>
    <cellStyle name="Heading 2 39 176" xfId="4467" xr:uid="{00000000-0005-0000-0000-000072180000}"/>
    <cellStyle name="Heading 2 39 176 2" xfId="10507" xr:uid="{00000000-0005-0000-0000-000073180000}"/>
    <cellStyle name="Heading 2 39 177" xfId="4468" xr:uid="{00000000-0005-0000-0000-000074180000}"/>
    <cellStyle name="Heading 2 39 177 2" xfId="10508" xr:uid="{00000000-0005-0000-0000-000075180000}"/>
    <cellStyle name="Heading 2 39 178" xfId="4469" xr:uid="{00000000-0005-0000-0000-000076180000}"/>
    <cellStyle name="Heading 2 39 178 2" xfId="10509" xr:uid="{00000000-0005-0000-0000-000077180000}"/>
    <cellStyle name="Heading 2 39 179" xfId="4470" xr:uid="{00000000-0005-0000-0000-000078180000}"/>
    <cellStyle name="Heading 2 39 179 2" xfId="10510" xr:uid="{00000000-0005-0000-0000-000079180000}"/>
    <cellStyle name="Heading 2 39 18" xfId="4471" xr:uid="{00000000-0005-0000-0000-00007A180000}"/>
    <cellStyle name="Heading 2 39 18 2" xfId="10511" xr:uid="{00000000-0005-0000-0000-00007B180000}"/>
    <cellStyle name="Heading 2 39 180" xfId="4472" xr:uid="{00000000-0005-0000-0000-00007C180000}"/>
    <cellStyle name="Heading 2 39 180 2" xfId="10512" xr:uid="{00000000-0005-0000-0000-00007D180000}"/>
    <cellStyle name="Heading 2 39 181" xfId="4473" xr:uid="{00000000-0005-0000-0000-00007E180000}"/>
    <cellStyle name="Heading 2 39 181 2" xfId="10513" xr:uid="{00000000-0005-0000-0000-00007F180000}"/>
    <cellStyle name="Heading 2 39 182" xfId="4474" xr:uid="{00000000-0005-0000-0000-000080180000}"/>
    <cellStyle name="Heading 2 39 182 2" xfId="10514" xr:uid="{00000000-0005-0000-0000-000081180000}"/>
    <cellStyle name="Heading 2 39 183" xfId="4475" xr:uid="{00000000-0005-0000-0000-000082180000}"/>
    <cellStyle name="Heading 2 39 183 2" xfId="10515" xr:uid="{00000000-0005-0000-0000-000083180000}"/>
    <cellStyle name="Heading 2 39 184" xfId="4476" xr:uid="{00000000-0005-0000-0000-000084180000}"/>
    <cellStyle name="Heading 2 39 184 2" xfId="10516" xr:uid="{00000000-0005-0000-0000-000085180000}"/>
    <cellStyle name="Heading 2 39 185" xfId="4477" xr:uid="{00000000-0005-0000-0000-000086180000}"/>
    <cellStyle name="Heading 2 39 185 2" xfId="10517" xr:uid="{00000000-0005-0000-0000-000087180000}"/>
    <cellStyle name="Heading 2 39 186" xfId="4478" xr:uid="{00000000-0005-0000-0000-000088180000}"/>
    <cellStyle name="Heading 2 39 186 2" xfId="10518" xr:uid="{00000000-0005-0000-0000-000089180000}"/>
    <cellStyle name="Heading 2 39 187" xfId="4479" xr:uid="{00000000-0005-0000-0000-00008A180000}"/>
    <cellStyle name="Heading 2 39 187 2" xfId="10519" xr:uid="{00000000-0005-0000-0000-00008B180000}"/>
    <cellStyle name="Heading 2 39 188" xfId="4480" xr:uid="{00000000-0005-0000-0000-00008C180000}"/>
    <cellStyle name="Heading 2 39 188 2" xfId="10520" xr:uid="{00000000-0005-0000-0000-00008D180000}"/>
    <cellStyle name="Heading 2 39 189" xfId="4481" xr:uid="{00000000-0005-0000-0000-00008E180000}"/>
    <cellStyle name="Heading 2 39 189 2" xfId="10521" xr:uid="{00000000-0005-0000-0000-00008F180000}"/>
    <cellStyle name="Heading 2 39 19" xfId="4482" xr:uid="{00000000-0005-0000-0000-000090180000}"/>
    <cellStyle name="Heading 2 39 19 2" xfId="10522" xr:uid="{00000000-0005-0000-0000-000091180000}"/>
    <cellStyle name="Heading 2 39 190" xfId="4483" xr:uid="{00000000-0005-0000-0000-000092180000}"/>
    <cellStyle name="Heading 2 39 190 2" xfId="10523" xr:uid="{00000000-0005-0000-0000-000093180000}"/>
    <cellStyle name="Heading 2 39 191" xfId="4484" xr:uid="{00000000-0005-0000-0000-000094180000}"/>
    <cellStyle name="Heading 2 39 191 2" xfId="10524" xr:uid="{00000000-0005-0000-0000-000095180000}"/>
    <cellStyle name="Heading 2 39 192" xfId="4485" xr:uid="{00000000-0005-0000-0000-000096180000}"/>
    <cellStyle name="Heading 2 39 192 2" xfId="10525" xr:uid="{00000000-0005-0000-0000-000097180000}"/>
    <cellStyle name="Heading 2 39 193" xfId="4486" xr:uid="{00000000-0005-0000-0000-000098180000}"/>
    <cellStyle name="Heading 2 39 193 2" xfId="10526" xr:uid="{00000000-0005-0000-0000-000099180000}"/>
    <cellStyle name="Heading 2 39 194" xfId="4487" xr:uid="{00000000-0005-0000-0000-00009A180000}"/>
    <cellStyle name="Heading 2 39 194 2" xfId="10527" xr:uid="{00000000-0005-0000-0000-00009B180000}"/>
    <cellStyle name="Heading 2 39 195" xfId="4488" xr:uid="{00000000-0005-0000-0000-00009C180000}"/>
    <cellStyle name="Heading 2 39 195 2" xfId="10528" xr:uid="{00000000-0005-0000-0000-00009D180000}"/>
    <cellStyle name="Heading 2 39 196" xfId="4489" xr:uid="{00000000-0005-0000-0000-00009E180000}"/>
    <cellStyle name="Heading 2 39 196 2" xfId="10529" xr:uid="{00000000-0005-0000-0000-00009F180000}"/>
    <cellStyle name="Heading 2 39 197" xfId="4490" xr:uid="{00000000-0005-0000-0000-0000A0180000}"/>
    <cellStyle name="Heading 2 39 197 2" xfId="10530" xr:uid="{00000000-0005-0000-0000-0000A1180000}"/>
    <cellStyle name="Heading 2 39 198" xfId="4491" xr:uid="{00000000-0005-0000-0000-0000A2180000}"/>
    <cellStyle name="Heading 2 39 198 2" xfId="10531" xr:uid="{00000000-0005-0000-0000-0000A3180000}"/>
    <cellStyle name="Heading 2 39 199" xfId="4492" xr:uid="{00000000-0005-0000-0000-0000A4180000}"/>
    <cellStyle name="Heading 2 39 199 2" xfId="10532" xr:uid="{00000000-0005-0000-0000-0000A5180000}"/>
    <cellStyle name="Heading 2 39 2" xfId="4493" xr:uid="{00000000-0005-0000-0000-0000A6180000}"/>
    <cellStyle name="Heading 2 39 2 2" xfId="10533" xr:uid="{00000000-0005-0000-0000-0000A7180000}"/>
    <cellStyle name="Heading 2 39 20" xfId="4494" xr:uid="{00000000-0005-0000-0000-0000A8180000}"/>
    <cellStyle name="Heading 2 39 20 2" xfId="10534" xr:uid="{00000000-0005-0000-0000-0000A9180000}"/>
    <cellStyle name="Heading 2 39 200" xfId="4495" xr:uid="{00000000-0005-0000-0000-0000AA180000}"/>
    <cellStyle name="Heading 2 39 200 2" xfId="10535" xr:uid="{00000000-0005-0000-0000-0000AB180000}"/>
    <cellStyle name="Heading 2 39 201" xfId="4496" xr:uid="{00000000-0005-0000-0000-0000AC180000}"/>
    <cellStyle name="Heading 2 39 201 2" xfId="10536" xr:uid="{00000000-0005-0000-0000-0000AD180000}"/>
    <cellStyle name="Heading 2 39 202" xfId="4497" xr:uid="{00000000-0005-0000-0000-0000AE180000}"/>
    <cellStyle name="Heading 2 39 202 2" xfId="10537" xr:uid="{00000000-0005-0000-0000-0000AF180000}"/>
    <cellStyle name="Heading 2 39 203" xfId="4498" xr:uid="{00000000-0005-0000-0000-0000B0180000}"/>
    <cellStyle name="Heading 2 39 203 2" xfId="10538" xr:uid="{00000000-0005-0000-0000-0000B1180000}"/>
    <cellStyle name="Heading 2 39 204" xfId="4499" xr:uid="{00000000-0005-0000-0000-0000B2180000}"/>
    <cellStyle name="Heading 2 39 204 2" xfId="10539" xr:uid="{00000000-0005-0000-0000-0000B3180000}"/>
    <cellStyle name="Heading 2 39 205" xfId="4500" xr:uid="{00000000-0005-0000-0000-0000B4180000}"/>
    <cellStyle name="Heading 2 39 205 2" xfId="10540" xr:uid="{00000000-0005-0000-0000-0000B5180000}"/>
    <cellStyle name="Heading 2 39 206" xfId="4501" xr:uid="{00000000-0005-0000-0000-0000B6180000}"/>
    <cellStyle name="Heading 2 39 206 2" xfId="10541" xr:uid="{00000000-0005-0000-0000-0000B7180000}"/>
    <cellStyle name="Heading 2 39 207" xfId="4502" xr:uid="{00000000-0005-0000-0000-0000B8180000}"/>
    <cellStyle name="Heading 2 39 207 2" xfId="10542" xr:uid="{00000000-0005-0000-0000-0000B9180000}"/>
    <cellStyle name="Heading 2 39 208" xfId="4503" xr:uid="{00000000-0005-0000-0000-0000BA180000}"/>
    <cellStyle name="Heading 2 39 208 2" xfId="10543" xr:uid="{00000000-0005-0000-0000-0000BB180000}"/>
    <cellStyle name="Heading 2 39 209" xfId="4504" xr:uid="{00000000-0005-0000-0000-0000BC180000}"/>
    <cellStyle name="Heading 2 39 209 2" xfId="10544" xr:uid="{00000000-0005-0000-0000-0000BD180000}"/>
    <cellStyle name="Heading 2 39 21" xfId="4505" xr:uid="{00000000-0005-0000-0000-0000BE180000}"/>
    <cellStyle name="Heading 2 39 21 2" xfId="10545" xr:uid="{00000000-0005-0000-0000-0000BF180000}"/>
    <cellStyle name="Heading 2 39 210" xfId="4506" xr:uid="{00000000-0005-0000-0000-0000C0180000}"/>
    <cellStyle name="Heading 2 39 210 2" xfId="10546" xr:uid="{00000000-0005-0000-0000-0000C1180000}"/>
    <cellStyle name="Heading 2 39 211" xfId="4507" xr:uid="{00000000-0005-0000-0000-0000C2180000}"/>
    <cellStyle name="Heading 2 39 211 2" xfId="10547" xr:uid="{00000000-0005-0000-0000-0000C3180000}"/>
    <cellStyle name="Heading 2 39 212" xfId="4508" xr:uid="{00000000-0005-0000-0000-0000C4180000}"/>
    <cellStyle name="Heading 2 39 212 2" xfId="10548" xr:uid="{00000000-0005-0000-0000-0000C5180000}"/>
    <cellStyle name="Heading 2 39 213" xfId="4509" xr:uid="{00000000-0005-0000-0000-0000C6180000}"/>
    <cellStyle name="Heading 2 39 213 2" xfId="10549" xr:uid="{00000000-0005-0000-0000-0000C7180000}"/>
    <cellStyle name="Heading 2 39 214" xfId="4510" xr:uid="{00000000-0005-0000-0000-0000C8180000}"/>
    <cellStyle name="Heading 2 39 214 2" xfId="10550" xr:uid="{00000000-0005-0000-0000-0000C9180000}"/>
    <cellStyle name="Heading 2 39 215" xfId="4511" xr:uid="{00000000-0005-0000-0000-0000CA180000}"/>
    <cellStyle name="Heading 2 39 215 2" xfId="10551" xr:uid="{00000000-0005-0000-0000-0000CB180000}"/>
    <cellStyle name="Heading 2 39 216" xfId="4512" xr:uid="{00000000-0005-0000-0000-0000CC180000}"/>
    <cellStyle name="Heading 2 39 216 2" xfId="10552" xr:uid="{00000000-0005-0000-0000-0000CD180000}"/>
    <cellStyle name="Heading 2 39 217" xfId="4513" xr:uid="{00000000-0005-0000-0000-0000CE180000}"/>
    <cellStyle name="Heading 2 39 217 2" xfId="10553" xr:uid="{00000000-0005-0000-0000-0000CF180000}"/>
    <cellStyle name="Heading 2 39 218" xfId="4514" xr:uid="{00000000-0005-0000-0000-0000D0180000}"/>
    <cellStyle name="Heading 2 39 218 2" xfId="10554" xr:uid="{00000000-0005-0000-0000-0000D1180000}"/>
    <cellStyle name="Heading 2 39 219" xfId="4515" xr:uid="{00000000-0005-0000-0000-0000D2180000}"/>
    <cellStyle name="Heading 2 39 219 2" xfId="10555" xr:uid="{00000000-0005-0000-0000-0000D3180000}"/>
    <cellStyle name="Heading 2 39 22" xfId="4516" xr:uid="{00000000-0005-0000-0000-0000D4180000}"/>
    <cellStyle name="Heading 2 39 22 2" xfId="10556" xr:uid="{00000000-0005-0000-0000-0000D5180000}"/>
    <cellStyle name="Heading 2 39 220" xfId="4517" xr:uid="{00000000-0005-0000-0000-0000D6180000}"/>
    <cellStyle name="Heading 2 39 220 2" xfId="10557" xr:uid="{00000000-0005-0000-0000-0000D7180000}"/>
    <cellStyle name="Heading 2 39 221" xfId="4518" xr:uid="{00000000-0005-0000-0000-0000D8180000}"/>
    <cellStyle name="Heading 2 39 221 2" xfId="10558" xr:uid="{00000000-0005-0000-0000-0000D9180000}"/>
    <cellStyle name="Heading 2 39 222" xfId="4519" xr:uid="{00000000-0005-0000-0000-0000DA180000}"/>
    <cellStyle name="Heading 2 39 222 2" xfId="10559" xr:uid="{00000000-0005-0000-0000-0000DB180000}"/>
    <cellStyle name="Heading 2 39 223" xfId="4520" xr:uid="{00000000-0005-0000-0000-0000DC180000}"/>
    <cellStyle name="Heading 2 39 223 2" xfId="10560" xr:uid="{00000000-0005-0000-0000-0000DD180000}"/>
    <cellStyle name="Heading 2 39 224" xfId="4521" xr:uid="{00000000-0005-0000-0000-0000DE180000}"/>
    <cellStyle name="Heading 2 39 224 2" xfId="10561" xr:uid="{00000000-0005-0000-0000-0000DF180000}"/>
    <cellStyle name="Heading 2 39 225" xfId="4522" xr:uid="{00000000-0005-0000-0000-0000E0180000}"/>
    <cellStyle name="Heading 2 39 225 2" xfId="10562" xr:uid="{00000000-0005-0000-0000-0000E1180000}"/>
    <cellStyle name="Heading 2 39 226" xfId="4523" xr:uid="{00000000-0005-0000-0000-0000E2180000}"/>
    <cellStyle name="Heading 2 39 226 2" xfId="10563" xr:uid="{00000000-0005-0000-0000-0000E3180000}"/>
    <cellStyle name="Heading 2 39 227" xfId="4524" xr:uid="{00000000-0005-0000-0000-0000E4180000}"/>
    <cellStyle name="Heading 2 39 227 2" xfId="10564" xr:uid="{00000000-0005-0000-0000-0000E5180000}"/>
    <cellStyle name="Heading 2 39 228" xfId="4525" xr:uid="{00000000-0005-0000-0000-0000E6180000}"/>
    <cellStyle name="Heading 2 39 228 2" xfId="10565" xr:uid="{00000000-0005-0000-0000-0000E7180000}"/>
    <cellStyle name="Heading 2 39 229" xfId="4526" xr:uid="{00000000-0005-0000-0000-0000E8180000}"/>
    <cellStyle name="Heading 2 39 229 2" xfId="10566" xr:uid="{00000000-0005-0000-0000-0000E9180000}"/>
    <cellStyle name="Heading 2 39 23" xfId="4527" xr:uid="{00000000-0005-0000-0000-0000EA180000}"/>
    <cellStyle name="Heading 2 39 23 2" xfId="10567" xr:uid="{00000000-0005-0000-0000-0000EB180000}"/>
    <cellStyle name="Heading 2 39 230" xfId="4528" xr:uid="{00000000-0005-0000-0000-0000EC180000}"/>
    <cellStyle name="Heading 2 39 230 2" xfId="10568" xr:uid="{00000000-0005-0000-0000-0000ED180000}"/>
    <cellStyle name="Heading 2 39 231" xfId="4529" xr:uid="{00000000-0005-0000-0000-0000EE180000}"/>
    <cellStyle name="Heading 2 39 231 2" xfId="10569" xr:uid="{00000000-0005-0000-0000-0000EF180000}"/>
    <cellStyle name="Heading 2 39 232" xfId="4530" xr:uid="{00000000-0005-0000-0000-0000F0180000}"/>
    <cellStyle name="Heading 2 39 232 2" xfId="10570" xr:uid="{00000000-0005-0000-0000-0000F1180000}"/>
    <cellStyle name="Heading 2 39 233" xfId="4531" xr:uid="{00000000-0005-0000-0000-0000F2180000}"/>
    <cellStyle name="Heading 2 39 233 2" xfId="10571" xr:uid="{00000000-0005-0000-0000-0000F3180000}"/>
    <cellStyle name="Heading 2 39 234" xfId="4532" xr:uid="{00000000-0005-0000-0000-0000F4180000}"/>
    <cellStyle name="Heading 2 39 234 2" xfId="10572" xr:uid="{00000000-0005-0000-0000-0000F5180000}"/>
    <cellStyle name="Heading 2 39 235" xfId="4533" xr:uid="{00000000-0005-0000-0000-0000F6180000}"/>
    <cellStyle name="Heading 2 39 235 2" xfId="10573" xr:uid="{00000000-0005-0000-0000-0000F7180000}"/>
    <cellStyle name="Heading 2 39 236" xfId="4534" xr:uid="{00000000-0005-0000-0000-0000F8180000}"/>
    <cellStyle name="Heading 2 39 236 2" xfId="10574" xr:uid="{00000000-0005-0000-0000-0000F9180000}"/>
    <cellStyle name="Heading 2 39 237" xfId="4535" xr:uid="{00000000-0005-0000-0000-0000FA180000}"/>
    <cellStyle name="Heading 2 39 237 2" xfId="10575" xr:uid="{00000000-0005-0000-0000-0000FB180000}"/>
    <cellStyle name="Heading 2 39 238" xfId="4536" xr:uid="{00000000-0005-0000-0000-0000FC180000}"/>
    <cellStyle name="Heading 2 39 238 2" xfId="10576" xr:uid="{00000000-0005-0000-0000-0000FD180000}"/>
    <cellStyle name="Heading 2 39 239" xfId="4537" xr:uid="{00000000-0005-0000-0000-0000FE180000}"/>
    <cellStyle name="Heading 2 39 239 2" xfId="10577" xr:uid="{00000000-0005-0000-0000-0000FF180000}"/>
    <cellStyle name="Heading 2 39 24" xfId="4538" xr:uid="{00000000-0005-0000-0000-000000190000}"/>
    <cellStyle name="Heading 2 39 24 2" xfId="10578" xr:uid="{00000000-0005-0000-0000-000001190000}"/>
    <cellStyle name="Heading 2 39 240" xfId="4539" xr:uid="{00000000-0005-0000-0000-000002190000}"/>
    <cellStyle name="Heading 2 39 240 2" xfId="10579" xr:uid="{00000000-0005-0000-0000-000003190000}"/>
    <cellStyle name="Heading 2 39 241" xfId="4540" xr:uid="{00000000-0005-0000-0000-000004190000}"/>
    <cellStyle name="Heading 2 39 241 2" xfId="10580" xr:uid="{00000000-0005-0000-0000-000005190000}"/>
    <cellStyle name="Heading 2 39 242" xfId="4541" xr:uid="{00000000-0005-0000-0000-000006190000}"/>
    <cellStyle name="Heading 2 39 242 2" xfId="10581" xr:uid="{00000000-0005-0000-0000-000007190000}"/>
    <cellStyle name="Heading 2 39 243" xfId="4542" xr:uid="{00000000-0005-0000-0000-000008190000}"/>
    <cellStyle name="Heading 2 39 243 2" xfId="10582" xr:uid="{00000000-0005-0000-0000-000009190000}"/>
    <cellStyle name="Heading 2 39 244" xfId="4543" xr:uid="{00000000-0005-0000-0000-00000A190000}"/>
    <cellStyle name="Heading 2 39 244 2" xfId="10583" xr:uid="{00000000-0005-0000-0000-00000B190000}"/>
    <cellStyle name="Heading 2 39 245" xfId="4544" xr:uid="{00000000-0005-0000-0000-00000C190000}"/>
    <cellStyle name="Heading 2 39 245 2" xfId="10584" xr:uid="{00000000-0005-0000-0000-00000D190000}"/>
    <cellStyle name="Heading 2 39 246" xfId="4545" xr:uid="{00000000-0005-0000-0000-00000E190000}"/>
    <cellStyle name="Heading 2 39 246 2" xfId="10585" xr:uid="{00000000-0005-0000-0000-00000F190000}"/>
    <cellStyle name="Heading 2 39 247" xfId="4546" xr:uid="{00000000-0005-0000-0000-000010190000}"/>
    <cellStyle name="Heading 2 39 247 2" xfId="10586" xr:uid="{00000000-0005-0000-0000-000011190000}"/>
    <cellStyle name="Heading 2 39 248" xfId="4547" xr:uid="{00000000-0005-0000-0000-000012190000}"/>
    <cellStyle name="Heading 2 39 248 2" xfId="10587" xr:uid="{00000000-0005-0000-0000-000013190000}"/>
    <cellStyle name="Heading 2 39 249" xfId="4548" xr:uid="{00000000-0005-0000-0000-000014190000}"/>
    <cellStyle name="Heading 2 39 249 2" xfId="10588" xr:uid="{00000000-0005-0000-0000-000015190000}"/>
    <cellStyle name="Heading 2 39 25" xfId="4549" xr:uid="{00000000-0005-0000-0000-000016190000}"/>
    <cellStyle name="Heading 2 39 25 2" xfId="10589" xr:uid="{00000000-0005-0000-0000-000017190000}"/>
    <cellStyle name="Heading 2 39 250" xfId="4550" xr:uid="{00000000-0005-0000-0000-000018190000}"/>
    <cellStyle name="Heading 2 39 250 2" xfId="10590" xr:uid="{00000000-0005-0000-0000-000019190000}"/>
    <cellStyle name="Heading 2 39 251" xfId="4551" xr:uid="{00000000-0005-0000-0000-00001A190000}"/>
    <cellStyle name="Heading 2 39 251 2" xfId="10591" xr:uid="{00000000-0005-0000-0000-00001B190000}"/>
    <cellStyle name="Heading 2 39 252" xfId="4552" xr:uid="{00000000-0005-0000-0000-00001C190000}"/>
    <cellStyle name="Heading 2 39 252 2" xfId="10592" xr:uid="{00000000-0005-0000-0000-00001D190000}"/>
    <cellStyle name="Heading 2 39 253" xfId="4553" xr:uid="{00000000-0005-0000-0000-00001E190000}"/>
    <cellStyle name="Heading 2 39 253 2" xfId="10593" xr:uid="{00000000-0005-0000-0000-00001F190000}"/>
    <cellStyle name="Heading 2 39 254" xfId="4554" xr:uid="{00000000-0005-0000-0000-000020190000}"/>
    <cellStyle name="Heading 2 39 254 2" xfId="10594" xr:uid="{00000000-0005-0000-0000-000021190000}"/>
    <cellStyle name="Heading 2 39 255" xfId="4555" xr:uid="{00000000-0005-0000-0000-000022190000}"/>
    <cellStyle name="Heading 2 39 255 2" xfId="10595" xr:uid="{00000000-0005-0000-0000-000023190000}"/>
    <cellStyle name="Heading 2 39 256" xfId="10422" xr:uid="{00000000-0005-0000-0000-000024190000}"/>
    <cellStyle name="Heading 2 39 26" xfId="4556" xr:uid="{00000000-0005-0000-0000-000025190000}"/>
    <cellStyle name="Heading 2 39 26 2" xfId="10596" xr:uid="{00000000-0005-0000-0000-000026190000}"/>
    <cellStyle name="Heading 2 39 27" xfId="4557" xr:uid="{00000000-0005-0000-0000-000027190000}"/>
    <cellStyle name="Heading 2 39 27 2" xfId="10597" xr:uid="{00000000-0005-0000-0000-000028190000}"/>
    <cellStyle name="Heading 2 39 28" xfId="4558" xr:uid="{00000000-0005-0000-0000-000029190000}"/>
    <cellStyle name="Heading 2 39 28 2" xfId="10598" xr:uid="{00000000-0005-0000-0000-00002A190000}"/>
    <cellStyle name="Heading 2 39 29" xfId="4559" xr:uid="{00000000-0005-0000-0000-00002B190000}"/>
    <cellStyle name="Heading 2 39 29 2" xfId="10599" xr:uid="{00000000-0005-0000-0000-00002C190000}"/>
    <cellStyle name="Heading 2 39 3" xfId="4560" xr:uid="{00000000-0005-0000-0000-00002D190000}"/>
    <cellStyle name="Heading 2 39 3 2" xfId="10600" xr:uid="{00000000-0005-0000-0000-00002E190000}"/>
    <cellStyle name="Heading 2 39 30" xfId="4561" xr:uid="{00000000-0005-0000-0000-00002F190000}"/>
    <cellStyle name="Heading 2 39 30 2" xfId="10601" xr:uid="{00000000-0005-0000-0000-000030190000}"/>
    <cellStyle name="Heading 2 39 31" xfId="4562" xr:uid="{00000000-0005-0000-0000-000031190000}"/>
    <cellStyle name="Heading 2 39 31 2" xfId="10602" xr:uid="{00000000-0005-0000-0000-000032190000}"/>
    <cellStyle name="Heading 2 39 32" xfId="4563" xr:uid="{00000000-0005-0000-0000-000033190000}"/>
    <cellStyle name="Heading 2 39 32 2" xfId="10603" xr:uid="{00000000-0005-0000-0000-000034190000}"/>
    <cellStyle name="Heading 2 39 33" xfId="4564" xr:uid="{00000000-0005-0000-0000-000035190000}"/>
    <cellStyle name="Heading 2 39 33 2" xfId="10604" xr:uid="{00000000-0005-0000-0000-000036190000}"/>
    <cellStyle name="Heading 2 39 34" xfId="4565" xr:uid="{00000000-0005-0000-0000-000037190000}"/>
    <cellStyle name="Heading 2 39 34 2" xfId="10605" xr:uid="{00000000-0005-0000-0000-000038190000}"/>
    <cellStyle name="Heading 2 39 35" xfId="4566" xr:uid="{00000000-0005-0000-0000-000039190000}"/>
    <cellStyle name="Heading 2 39 35 2" xfId="10606" xr:uid="{00000000-0005-0000-0000-00003A190000}"/>
    <cellStyle name="Heading 2 39 36" xfId="4567" xr:uid="{00000000-0005-0000-0000-00003B190000}"/>
    <cellStyle name="Heading 2 39 36 2" xfId="10607" xr:uid="{00000000-0005-0000-0000-00003C190000}"/>
    <cellStyle name="Heading 2 39 37" xfId="4568" xr:uid="{00000000-0005-0000-0000-00003D190000}"/>
    <cellStyle name="Heading 2 39 37 2" xfId="10608" xr:uid="{00000000-0005-0000-0000-00003E190000}"/>
    <cellStyle name="Heading 2 39 38" xfId="4569" xr:uid="{00000000-0005-0000-0000-00003F190000}"/>
    <cellStyle name="Heading 2 39 38 2" xfId="10609" xr:uid="{00000000-0005-0000-0000-000040190000}"/>
    <cellStyle name="Heading 2 39 39" xfId="4570" xr:uid="{00000000-0005-0000-0000-000041190000}"/>
    <cellStyle name="Heading 2 39 39 2" xfId="10610" xr:uid="{00000000-0005-0000-0000-000042190000}"/>
    <cellStyle name="Heading 2 39 4" xfId="4571" xr:uid="{00000000-0005-0000-0000-000043190000}"/>
    <cellStyle name="Heading 2 39 4 2" xfId="10611" xr:uid="{00000000-0005-0000-0000-000044190000}"/>
    <cellStyle name="Heading 2 39 40" xfId="4572" xr:uid="{00000000-0005-0000-0000-000045190000}"/>
    <cellStyle name="Heading 2 39 40 2" xfId="10612" xr:uid="{00000000-0005-0000-0000-000046190000}"/>
    <cellStyle name="Heading 2 39 41" xfId="4573" xr:uid="{00000000-0005-0000-0000-000047190000}"/>
    <cellStyle name="Heading 2 39 41 2" xfId="10613" xr:uid="{00000000-0005-0000-0000-000048190000}"/>
    <cellStyle name="Heading 2 39 42" xfId="4574" xr:uid="{00000000-0005-0000-0000-000049190000}"/>
    <cellStyle name="Heading 2 39 42 2" xfId="10614" xr:uid="{00000000-0005-0000-0000-00004A190000}"/>
    <cellStyle name="Heading 2 39 43" xfId="4575" xr:uid="{00000000-0005-0000-0000-00004B190000}"/>
    <cellStyle name="Heading 2 39 43 2" xfId="10615" xr:uid="{00000000-0005-0000-0000-00004C190000}"/>
    <cellStyle name="Heading 2 39 44" xfId="4576" xr:uid="{00000000-0005-0000-0000-00004D190000}"/>
    <cellStyle name="Heading 2 39 44 2" xfId="10616" xr:uid="{00000000-0005-0000-0000-00004E190000}"/>
    <cellStyle name="Heading 2 39 45" xfId="4577" xr:uid="{00000000-0005-0000-0000-00004F190000}"/>
    <cellStyle name="Heading 2 39 45 2" xfId="10617" xr:uid="{00000000-0005-0000-0000-000050190000}"/>
    <cellStyle name="Heading 2 39 46" xfId="4578" xr:uid="{00000000-0005-0000-0000-000051190000}"/>
    <cellStyle name="Heading 2 39 46 2" xfId="10618" xr:uid="{00000000-0005-0000-0000-000052190000}"/>
    <cellStyle name="Heading 2 39 47" xfId="4579" xr:uid="{00000000-0005-0000-0000-000053190000}"/>
    <cellStyle name="Heading 2 39 47 2" xfId="10619" xr:uid="{00000000-0005-0000-0000-000054190000}"/>
    <cellStyle name="Heading 2 39 48" xfId="4580" xr:uid="{00000000-0005-0000-0000-000055190000}"/>
    <cellStyle name="Heading 2 39 48 2" xfId="10620" xr:uid="{00000000-0005-0000-0000-000056190000}"/>
    <cellStyle name="Heading 2 39 49" xfId="4581" xr:uid="{00000000-0005-0000-0000-000057190000}"/>
    <cellStyle name="Heading 2 39 49 2" xfId="10621" xr:uid="{00000000-0005-0000-0000-000058190000}"/>
    <cellStyle name="Heading 2 39 5" xfId="4582" xr:uid="{00000000-0005-0000-0000-000059190000}"/>
    <cellStyle name="Heading 2 39 5 2" xfId="10622" xr:uid="{00000000-0005-0000-0000-00005A190000}"/>
    <cellStyle name="Heading 2 39 50" xfId="4583" xr:uid="{00000000-0005-0000-0000-00005B190000}"/>
    <cellStyle name="Heading 2 39 50 2" xfId="10623" xr:uid="{00000000-0005-0000-0000-00005C190000}"/>
    <cellStyle name="Heading 2 39 51" xfId="4584" xr:uid="{00000000-0005-0000-0000-00005D190000}"/>
    <cellStyle name="Heading 2 39 51 2" xfId="10624" xr:uid="{00000000-0005-0000-0000-00005E190000}"/>
    <cellStyle name="Heading 2 39 52" xfId="4585" xr:uid="{00000000-0005-0000-0000-00005F190000}"/>
    <cellStyle name="Heading 2 39 52 2" xfId="10625" xr:uid="{00000000-0005-0000-0000-000060190000}"/>
    <cellStyle name="Heading 2 39 53" xfId="4586" xr:uid="{00000000-0005-0000-0000-000061190000}"/>
    <cellStyle name="Heading 2 39 53 2" xfId="10626" xr:uid="{00000000-0005-0000-0000-000062190000}"/>
    <cellStyle name="Heading 2 39 54" xfId="4587" xr:uid="{00000000-0005-0000-0000-000063190000}"/>
    <cellStyle name="Heading 2 39 54 2" xfId="10627" xr:uid="{00000000-0005-0000-0000-000064190000}"/>
    <cellStyle name="Heading 2 39 55" xfId="4588" xr:uid="{00000000-0005-0000-0000-000065190000}"/>
    <cellStyle name="Heading 2 39 55 2" xfId="10628" xr:uid="{00000000-0005-0000-0000-000066190000}"/>
    <cellStyle name="Heading 2 39 56" xfId="4589" xr:uid="{00000000-0005-0000-0000-000067190000}"/>
    <cellStyle name="Heading 2 39 56 2" xfId="10629" xr:uid="{00000000-0005-0000-0000-000068190000}"/>
    <cellStyle name="Heading 2 39 57" xfId="4590" xr:uid="{00000000-0005-0000-0000-000069190000}"/>
    <cellStyle name="Heading 2 39 57 2" xfId="10630" xr:uid="{00000000-0005-0000-0000-00006A190000}"/>
    <cellStyle name="Heading 2 39 58" xfId="4591" xr:uid="{00000000-0005-0000-0000-00006B190000}"/>
    <cellStyle name="Heading 2 39 58 2" xfId="10631" xr:uid="{00000000-0005-0000-0000-00006C190000}"/>
    <cellStyle name="Heading 2 39 59" xfId="4592" xr:uid="{00000000-0005-0000-0000-00006D190000}"/>
    <cellStyle name="Heading 2 39 59 2" xfId="10632" xr:uid="{00000000-0005-0000-0000-00006E190000}"/>
    <cellStyle name="Heading 2 39 6" xfId="4593" xr:uid="{00000000-0005-0000-0000-00006F190000}"/>
    <cellStyle name="Heading 2 39 6 2" xfId="10633" xr:uid="{00000000-0005-0000-0000-000070190000}"/>
    <cellStyle name="Heading 2 39 60" xfId="4594" xr:uid="{00000000-0005-0000-0000-000071190000}"/>
    <cellStyle name="Heading 2 39 60 2" xfId="10634" xr:uid="{00000000-0005-0000-0000-000072190000}"/>
    <cellStyle name="Heading 2 39 61" xfId="4595" xr:uid="{00000000-0005-0000-0000-000073190000}"/>
    <cellStyle name="Heading 2 39 61 2" xfId="10635" xr:uid="{00000000-0005-0000-0000-000074190000}"/>
    <cellStyle name="Heading 2 39 62" xfId="4596" xr:uid="{00000000-0005-0000-0000-000075190000}"/>
    <cellStyle name="Heading 2 39 62 2" xfId="10636" xr:uid="{00000000-0005-0000-0000-000076190000}"/>
    <cellStyle name="Heading 2 39 63" xfId="4597" xr:uid="{00000000-0005-0000-0000-000077190000}"/>
    <cellStyle name="Heading 2 39 63 2" xfId="10637" xr:uid="{00000000-0005-0000-0000-000078190000}"/>
    <cellStyle name="Heading 2 39 64" xfId="4598" xr:uid="{00000000-0005-0000-0000-000079190000}"/>
    <cellStyle name="Heading 2 39 64 2" xfId="10638" xr:uid="{00000000-0005-0000-0000-00007A190000}"/>
    <cellStyle name="Heading 2 39 65" xfId="4599" xr:uid="{00000000-0005-0000-0000-00007B190000}"/>
    <cellStyle name="Heading 2 39 65 2" xfId="10639" xr:uid="{00000000-0005-0000-0000-00007C190000}"/>
    <cellStyle name="Heading 2 39 66" xfId="4600" xr:uid="{00000000-0005-0000-0000-00007D190000}"/>
    <cellStyle name="Heading 2 39 66 2" xfId="10640" xr:uid="{00000000-0005-0000-0000-00007E190000}"/>
    <cellStyle name="Heading 2 39 67" xfId="4601" xr:uid="{00000000-0005-0000-0000-00007F190000}"/>
    <cellStyle name="Heading 2 39 67 2" xfId="10641" xr:uid="{00000000-0005-0000-0000-000080190000}"/>
    <cellStyle name="Heading 2 39 68" xfId="4602" xr:uid="{00000000-0005-0000-0000-000081190000}"/>
    <cellStyle name="Heading 2 39 68 2" xfId="10642" xr:uid="{00000000-0005-0000-0000-000082190000}"/>
    <cellStyle name="Heading 2 39 69" xfId="4603" xr:uid="{00000000-0005-0000-0000-000083190000}"/>
    <cellStyle name="Heading 2 39 69 2" xfId="10643" xr:uid="{00000000-0005-0000-0000-000084190000}"/>
    <cellStyle name="Heading 2 39 7" xfId="4604" xr:uid="{00000000-0005-0000-0000-000085190000}"/>
    <cellStyle name="Heading 2 39 7 2" xfId="10644" xr:uid="{00000000-0005-0000-0000-000086190000}"/>
    <cellStyle name="Heading 2 39 70" xfId="4605" xr:uid="{00000000-0005-0000-0000-000087190000}"/>
    <cellStyle name="Heading 2 39 70 2" xfId="10645" xr:uid="{00000000-0005-0000-0000-000088190000}"/>
    <cellStyle name="Heading 2 39 71" xfId="4606" xr:uid="{00000000-0005-0000-0000-000089190000}"/>
    <cellStyle name="Heading 2 39 71 2" xfId="10646" xr:uid="{00000000-0005-0000-0000-00008A190000}"/>
    <cellStyle name="Heading 2 39 72" xfId="4607" xr:uid="{00000000-0005-0000-0000-00008B190000}"/>
    <cellStyle name="Heading 2 39 72 2" xfId="10647" xr:uid="{00000000-0005-0000-0000-00008C190000}"/>
    <cellStyle name="Heading 2 39 73" xfId="4608" xr:uid="{00000000-0005-0000-0000-00008D190000}"/>
    <cellStyle name="Heading 2 39 73 2" xfId="10648" xr:uid="{00000000-0005-0000-0000-00008E190000}"/>
    <cellStyle name="Heading 2 39 74" xfId="4609" xr:uid="{00000000-0005-0000-0000-00008F190000}"/>
    <cellStyle name="Heading 2 39 74 2" xfId="10649" xr:uid="{00000000-0005-0000-0000-000090190000}"/>
    <cellStyle name="Heading 2 39 75" xfId="4610" xr:uid="{00000000-0005-0000-0000-000091190000}"/>
    <cellStyle name="Heading 2 39 75 2" xfId="10650" xr:uid="{00000000-0005-0000-0000-000092190000}"/>
    <cellStyle name="Heading 2 39 76" xfId="4611" xr:uid="{00000000-0005-0000-0000-000093190000}"/>
    <cellStyle name="Heading 2 39 76 2" xfId="10651" xr:uid="{00000000-0005-0000-0000-000094190000}"/>
    <cellStyle name="Heading 2 39 77" xfId="4612" xr:uid="{00000000-0005-0000-0000-000095190000}"/>
    <cellStyle name="Heading 2 39 77 2" xfId="10652" xr:uid="{00000000-0005-0000-0000-000096190000}"/>
    <cellStyle name="Heading 2 39 78" xfId="4613" xr:uid="{00000000-0005-0000-0000-000097190000}"/>
    <cellStyle name="Heading 2 39 78 2" xfId="10653" xr:uid="{00000000-0005-0000-0000-000098190000}"/>
    <cellStyle name="Heading 2 39 79" xfId="4614" xr:uid="{00000000-0005-0000-0000-000099190000}"/>
    <cellStyle name="Heading 2 39 79 2" xfId="10654" xr:uid="{00000000-0005-0000-0000-00009A190000}"/>
    <cellStyle name="Heading 2 39 8" xfId="4615" xr:uid="{00000000-0005-0000-0000-00009B190000}"/>
    <cellStyle name="Heading 2 39 8 2" xfId="10655" xr:uid="{00000000-0005-0000-0000-00009C190000}"/>
    <cellStyle name="Heading 2 39 80" xfId="4616" xr:uid="{00000000-0005-0000-0000-00009D190000}"/>
    <cellStyle name="Heading 2 39 80 2" xfId="10656" xr:uid="{00000000-0005-0000-0000-00009E190000}"/>
    <cellStyle name="Heading 2 39 81" xfId="4617" xr:uid="{00000000-0005-0000-0000-00009F190000}"/>
    <cellStyle name="Heading 2 39 81 2" xfId="10657" xr:uid="{00000000-0005-0000-0000-0000A0190000}"/>
    <cellStyle name="Heading 2 39 82" xfId="4618" xr:uid="{00000000-0005-0000-0000-0000A1190000}"/>
    <cellStyle name="Heading 2 39 82 2" xfId="10658" xr:uid="{00000000-0005-0000-0000-0000A2190000}"/>
    <cellStyle name="Heading 2 39 83" xfId="4619" xr:uid="{00000000-0005-0000-0000-0000A3190000}"/>
    <cellStyle name="Heading 2 39 83 2" xfId="10659" xr:uid="{00000000-0005-0000-0000-0000A4190000}"/>
    <cellStyle name="Heading 2 39 84" xfId="4620" xr:uid="{00000000-0005-0000-0000-0000A5190000}"/>
    <cellStyle name="Heading 2 39 84 2" xfId="10660" xr:uid="{00000000-0005-0000-0000-0000A6190000}"/>
    <cellStyle name="Heading 2 39 85" xfId="4621" xr:uid="{00000000-0005-0000-0000-0000A7190000}"/>
    <cellStyle name="Heading 2 39 85 2" xfId="10661" xr:uid="{00000000-0005-0000-0000-0000A8190000}"/>
    <cellStyle name="Heading 2 39 86" xfId="4622" xr:uid="{00000000-0005-0000-0000-0000A9190000}"/>
    <cellStyle name="Heading 2 39 86 2" xfId="10662" xr:uid="{00000000-0005-0000-0000-0000AA190000}"/>
    <cellStyle name="Heading 2 39 87" xfId="4623" xr:uid="{00000000-0005-0000-0000-0000AB190000}"/>
    <cellStyle name="Heading 2 39 87 2" xfId="10663" xr:uid="{00000000-0005-0000-0000-0000AC190000}"/>
    <cellStyle name="Heading 2 39 88" xfId="4624" xr:uid="{00000000-0005-0000-0000-0000AD190000}"/>
    <cellStyle name="Heading 2 39 88 2" xfId="10664" xr:uid="{00000000-0005-0000-0000-0000AE190000}"/>
    <cellStyle name="Heading 2 39 89" xfId="4625" xr:uid="{00000000-0005-0000-0000-0000AF190000}"/>
    <cellStyle name="Heading 2 39 89 2" xfId="10665" xr:uid="{00000000-0005-0000-0000-0000B0190000}"/>
    <cellStyle name="Heading 2 39 9" xfId="4626" xr:uid="{00000000-0005-0000-0000-0000B1190000}"/>
    <cellStyle name="Heading 2 39 9 2" xfId="10666" xr:uid="{00000000-0005-0000-0000-0000B2190000}"/>
    <cellStyle name="Heading 2 39 90" xfId="4627" xr:uid="{00000000-0005-0000-0000-0000B3190000}"/>
    <cellStyle name="Heading 2 39 90 2" xfId="10667" xr:uid="{00000000-0005-0000-0000-0000B4190000}"/>
    <cellStyle name="Heading 2 39 91" xfId="4628" xr:uid="{00000000-0005-0000-0000-0000B5190000}"/>
    <cellStyle name="Heading 2 39 91 2" xfId="10668" xr:uid="{00000000-0005-0000-0000-0000B6190000}"/>
    <cellStyle name="Heading 2 39 92" xfId="4629" xr:uid="{00000000-0005-0000-0000-0000B7190000}"/>
    <cellStyle name="Heading 2 39 92 2" xfId="10669" xr:uid="{00000000-0005-0000-0000-0000B8190000}"/>
    <cellStyle name="Heading 2 39 93" xfId="4630" xr:uid="{00000000-0005-0000-0000-0000B9190000}"/>
    <cellStyle name="Heading 2 39 93 2" xfId="10670" xr:uid="{00000000-0005-0000-0000-0000BA190000}"/>
    <cellStyle name="Heading 2 39 94" xfId="4631" xr:uid="{00000000-0005-0000-0000-0000BB190000}"/>
    <cellStyle name="Heading 2 39 94 2" xfId="10671" xr:uid="{00000000-0005-0000-0000-0000BC190000}"/>
    <cellStyle name="Heading 2 39 95" xfId="4632" xr:uid="{00000000-0005-0000-0000-0000BD190000}"/>
    <cellStyle name="Heading 2 39 95 2" xfId="10672" xr:uid="{00000000-0005-0000-0000-0000BE190000}"/>
    <cellStyle name="Heading 2 39 96" xfId="4633" xr:uid="{00000000-0005-0000-0000-0000BF190000}"/>
    <cellStyle name="Heading 2 39 96 2" xfId="10673" xr:uid="{00000000-0005-0000-0000-0000C0190000}"/>
    <cellStyle name="Heading 2 39 97" xfId="4634" xr:uid="{00000000-0005-0000-0000-0000C1190000}"/>
    <cellStyle name="Heading 2 39 97 2" xfId="10674" xr:uid="{00000000-0005-0000-0000-0000C2190000}"/>
    <cellStyle name="Heading 2 39 98" xfId="4635" xr:uid="{00000000-0005-0000-0000-0000C3190000}"/>
    <cellStyle name="Heading 2 39 98 2" xfId="10675" xr:uid="{00000000-0005-0000-0000-0000C4190000}"/>
    <cellStyle name="Heading 2 39 99" xfId="4636" xr:uid="{00000000-0005-0000-0000-0000C5190000}"/>
    <cellStyle name="Heading 2 39 99 2" xfId="10676" xr:uid="{00000000-0005-0000-0000-0000C6190000}"/>
    <cellStyle name="Heading 2 4" xfId="730" xr:uid="{00000000-0005-0000-0000-0000C7190000}"/>
    <cellStyle name="Heading 2 4 2" xfId="731" xr:uid="{00000000-0005-0000-0000-0000C8190000}"/>
    <cellStyle name="Heading 2 4 2 2" xfId="732" xr:uid="{00000000-0005-0000-0000-0000C9190000}"/>
    <cellStyle name="Heading 2 4 2 2 2" xfId="8401" xr:uid="{00000000-0005-0000-0000-0000CA190000}"/>
    <cellStyle name="Heading 2 4 2 2 2 2" xfId="10680" xr:uid="{00000000-0005-0000-0000-0000CB190000}"/>
    <cellStyle name="Heading 2 4 2 2 3" xfId="10679" xr:uid="{00000000-0005-0000-0000-0000CC190000}"/>
    <cellStyle name="Heading 2 4 2 3" xfId="4638" xr:uid="{00000000-0005-0000-0000-0000CD190000}"/>
    <cellStyle name="Heading 2 4 2 3 2" xfId="10681" xr:uid="{00000000-0005-0000-0000-0000CE190000}"/>
    <cellStyle name="Heading 2 4 2 4" xfId="10678" xr:uid="{00000000-0005-0000-0000-0000CF190000}"/>
    <cellStyle name="Heading 2 4 3" xfId="733" xr:uid="{00000000-0005-0000-0000-0000D0190000}"/>
    <cellStyle name="Heading 2 4 3 2" xfId="4639" xr:uid="{00000000-0005-0000-0000-0000D1190000}"/>
    <cellStyle name="Heading 2 4 3 2 2" xfId="10683" xr:uid="{00000000-0005-0000-0000-0000D2190000}"/>
    <cellStyle name="Heading 2 4 3 3" xfId="7531" xr:uid="{00000000-0005-0000-0000-0000D3190000}"/>
    <cellStyle name="Heading 2 4 3 3 2" xfId="10684" xr:uid="{00000000-0005-0000-0000-0000D4190000}"/>
    <cellStyle name="Heading 2 4 3 4" xfId="10682" xr:uid="{00000000-0005-0000-0000-0000D5190000}"/>
    <cellStyle name="Heading 2 4 4" xfId="4640" xr:uid="{00000000-0005-0000-0000-0000D6190000}"/>
    <cellStyle name="Heading 2 4 4 2" xfId="8402" xr:uid="{00000000-0005-0000-0000-0000D7190000}"/>
    <cellStyle name="Heading 2 4 4 2 2" xfId="10686" xr:uid="{00000000-0005-0000-0000-0000D8190000}"/>
    <cellStyle name="Heading 2 4 4 3" xfId="7532" xr:uid="{00000000-0005-0000-0000-0000D9190000}"/>
    <cellStyle name="Heading 2 4 4 3 2" xfId="10687" xr:uid="{00000000-0005-0000-0000-0000DA190000}"/>
    <cellStyle name="Heading 2 4 4 4" xfId="10685" xr:uid="{00000000-0005-0000-0000-0000DB190000}"/>
    <cellStyle name="Heading 2 4 5" xfId="4641" xr:uid="{00000000-0005-0000-0000-0000DC190000}"/>
    <cellStyle name="Heading 2 4 5 2" xfId="10688" xr:uid="{00000000-0005-0000-0000-0000DD190000}"/>
    <cellStyle name="Heading 2 4 6" xfId="4637" xr:uid="{00000000-0005-0000-0000-0000DE190000}"/>
    <cellStyle name="Heading 2 4 6 2" xfId="10689" xr:uid="{00000000-0005-0000-0000-0000DF190000}"/>
    <cellStyle name="Heading 2 4 7" xfId="10677" xr:uid="{00000000-0005-0000-0000-0000E0190000}"/>
    <cellStyle name="Heading 2 40" xfId="4642" xr:uid="{00000000-0005-0000-0000-0000E1190000}"/>
    <cellStyle name="Heading 2 40 2" xfId="10690" xr:uid="{00000000-0005-0000-0000-0000E2190000}"/>
    <cellStyle name="Heading 2 41" xfId="4643" xr:uid="{00000000-0005-0000-0000-0000E3190000}"/>
    <cellStyle name="Heading 2 41 2" xfId="10691" xr:uid="{00000000-0005-0000-0000-0000E4190000}"/>
    <cellStyle name="Heading 2 42" xfId="4644" xr:uid="{00000000-0005-0000-0000-0000E5190000}"/>
    <cellStyle name="Heading 2 42 2" xfId="10692" xr:uid="{00000000-0005-0000-0000-0000E6190000}"/>
    <cellStyle name="Heading 2 43" xfId="4645" xr:uid="{00000000-0005-0000-0000-0000E7190000}"/>
    <cellStyle name="Heading 2 43 2" xfId="10693" xr:uid="{00000000-0005-0000-0000-0000E8190000}"/>
    <cellStyle name="Heading 2 44" xfId="4646" xr:uid="{00000000-0005-0000-0000-0000E9190000}"/>
    <cellStyle name="Heading 2 44 2" xfId="10694" xr:uid="{00000000-0005-0000-0000-0000EA190000}"/>
    <cellStyle name="Heading 2 45" xfId="4647" xr:uid="{00000000-0005-0000-0000-0000EB190000}"/>
    <cellStyle name="Heading 2 45 2" xfId="10695" xr:uid="{00000000-0005-0000-0000-0000EC190000}"/>
    <cellStyle name="Heading 2 46" xfId="4648" xr:uid="{00000000-0005-0000-0000-0000ED190000}"/>
    <cellStyle name="Heading 2 46 2" xfId="10696" xr:uid="{00000000-0005-0000-0000-0000EE190000}"/>
    <cellStyle name="Heading 2 47" xfId="4649" xr:uid="{00000000-0005-0000-0000-0000EF190000}"/>
    <cellStyle name="Heading 2 47 2" xfId="10697" xr:uid="{00000000-0005-0000-0000-0000F0190000}"/>
    <cellStyle name="Heading 2 48" xfId="4650" xr:uid="{00000000-0005-0000-0000-0000F1190000}"/>
    <cellStyle name="Heading 2 48 2" xfId="10698" xr:uid="{00000000-0005-0000-0000-0000F2190000}"/>
    <cellStyle name="Heading 2 49" xfId="4651" xr:uid="{00000000-0005-0000-0000-0000F3190000}"/>
    <cellStyle name="Heading 2 49 2" xfId="10699" xr:uid="{00000000-0005-0000-0000-0000F4190000}"/>
    <cellStyle name="Heading 2 5" xfId="734" xr:uid="{00000000-0005-0000-0000-0000F5190000}"/>
    <cellStyle name="Heading 2 5 2" xfId="735" xr:uid="{00000000-0005-0000-0000-0000F6190000}"/>
    <cellStyle name="Heading 2 5 2 2" xfId="736" xr:uid="{00000000-0005-0000-0000-0000F7190000}"/>
    <cellStyle name="Heading 2 5 2 2 2" xfId="8403" xr:uid="{00000000-0005-0000-0000-0000F8190000}"/>
    <cellStyle name="Heading 2 5 2 2 2 2" xfId="10703" xr:uid="{00000000-0005-0000-0000-0000F9190000}"/>
    <cellStyle name="Heading 2 5 2 2 3" xfId="10702" xr:uid="{00000000-0005-0000-0000-0000FA190000}"/>
    <cellStyle name="Heading 2 5 2 3" xfId="4653" xr:uid="{00000000-0005-0000-0000-0000FB190000}"/>
    <cellStyle name="Heading 2 5 2 3 2" xfId="10704" xr:uid="{00000000-0005-0000-0000-0000FC190000}"/>
    <cellStyle name="Heading 2 5 2 4" xfId="10701" xr:uid="{00000000-0005-0000-0000-0000FD190000}"/>
    <cellStyle name="Heading 2 5 3" xfId="737" xr:uid="{00000000-0005-0000-0000-0000FE190000}"/>
    <cellStyle name="Heading 2 5 3 2" xfId="4654" xr:uid="{00000000-0005-0000-0000-0000FF190000}"/>
    <cellStyle name="Heading 2 5 3 2 2" xfId="10706" xr:uid="{00000000-0005-0000-0000-0000001A0000}"/>
    <cellStyle name="Heading 2 5 3 3" xfId="7533" xr:uid="{00000000-0005-0000-0000-0000011A0000}"/>
    <cellStyle name="Heading 2 5 3 3 2" xfId="10707" xr:uid="{00000000-0005-0000-0000-0000021A0000}"/>
    <cellStyle name="Heading 2 5 3 4" xfId="10705" xr:uid="{00000000-0005-0000-0000-0000031A0000}"/>
    <cellStyle name="Heading 2 5 4" xfId="4655" xr:uid="{00000000-0005-0000-0000-0000041A0000}"/>
    <cellStyle name="Heading 2 5 4 2" xfId="8404" xr:uid="{00000000-0005-0000-0000-0000051A0000}"/>
    <cellStyle name="Heading 2 5 4 2 2" xfId="10709" xr:uid="{00000000-0005-0000-0000-0000061A0000}"/>
    <cellStyle name="Heading 2 5 4 3" xfId="7534" xr:uid="{00000000-0005-0000-0000-0000071A0000}"/>
    <cellStyle name="Heading 2 5 4 3 2" xfId="10710" xr:uid="{00000000-0005-0000-0000-0000081A0000}"/>
    <cellStyle name="Heading 2 5 4 4" xfId="10708" xr:uid="{00000000-0005-0000-0000-0000091A0000}"/>
    <cellStyle name="Heading 2 5 5" xfId="4656" xr:uid="{00000000-0005-0000-0000-00000A1A0000}"/>
    <cellStyle name="Heading 2 5 5 2" xfId="10711" xr:uid="{00000000-0005-0000-0000-00000B1A0000}"/>
    <cellStyle name="Heading 2 5 6" xfId="4652" xr:uid="{00000000-0005-0000-0000-00000C1A0000}"/>
    <cellStyle name="Heading 2 5 6 2" xfId="10712" xr:uid="{00000000-0005-0000-0000-00000D1A0000}"/>
    <cellStyle name="Heading 2 5 7" xfId="10700" xr:uid="{00000000-0005-0000-0000-00000E1A0000}"/>
    <cellStyle name="Heading 2 50" xfId="4657" xr:uid="{00000000-0005-0000-0000-00000F1A0000}"/>
    <cellStyle name="Heading 2 50 2" xfId="10713" xr:uid="{00000000-0005-0000-0000-0000101A0000}"/>
    <cellStyle name="Heading 2 51" xfId="4658" xr:uid="{00000000-0005-0000-0000-0000111A0000}"/>
    <cellStyle name="Heading 2 51 2" xfId="10714" xr:uid="{00000000-0005-0000-0000-0000121A0000}"/>
    <cellStyle name="Heading 2 52" xfId="4659" xr:uid="{00000000-0005-0000-0000-0000131A0000}"/>
    <cellStyle name="Heading 2 52 2" xfId="10715" xr:uid="{00000000-0005-0000-0000-0000141A0000}"/>
    <cellStyle name="Heading 2 53" xfId="4660" xr:uid="{00000000-0005-0000-0000-0000151A0000}"/>
    <cellStyle name="Heading 2 53 2" xfId="10716" xr:uid="{00000000-0005-0000-0000-0000161A0000}"/>
    <cellStyle name="Heading 2 54" xfId="4661" xr:uid="{00000000-0005-0000-0000-0000171A0000}"/>
    <cellStyle name="Heading 2 54 2" xfId="10717" xr:uid="{00000000-0005-0000-0000-0000181A0000}"/>
    <cellStyle name="Heading 2 55" xfId="4662" xr:uid="{00000000-0005-0000-0000-0000191A0000}"/>
    <cellStyle name="Heading 2 55 2" xfId="10718" xr:uid="{00000000-0005-0000-0000-00001A1A0000}"/>
    <cellStyle name="Heading 2 56" xfId="4663" xr:uid="{00000000-0005-0000-0000-00001B1A0000}"/>
    <cellStyle name="Heading 2 56 2" xfId="10719" xr:uid="{00000000-0005-0000-0000-00001C1A0000}"/>
    <cellStyle name="Heading 2 57" xfId="4664" xr:uid="{00000000-0005-0000-0000-00001D1A0000}"/>
    <cellStyle name="Heading 2 57 2" xfId="10720" xr:uid="{00000000-0005-0000-0000-00001E1A0000}"/>
    <cellStyle name="Heading 2 58" xfId="4665" xr:uid="{00000000-0005-0000-0000-00001F1A0000}"/>
    <cellStyle name="Heading 2 58 2" xfId="10721" xr:uid="{00000000-0005-0000-0000-0000201A0000}"/>
    <cellStyle name="Heading 2 59" xfId="4666" xr:uid="{00000000-0005-0000-0000-0000211A0000}"/>
    <cellStyle name="Heading 2 59 2" xfId="10722" xr:uid="{00000000-0005-0000-0000-0000221A0000}"/>
    <cellStyle name="Heading 2 6" xfId="738" xr:uid="{00000000-0005-0000-0000-0000231A0000}"/>
    <cellStyle name="Heading 2 6 2" xfId="739" xr:uid="{00000000-0005-0000-0000-0000241A0000}"/>
    <cellStyle name="Heading 2 6 2 2" xfId="740" xr:uid="{00000000-0005-0000-0000-0000251A0000}"/>
    <cellStyle name="Heading 2 6 2 2 2" xfId="8405" xr:uid="{00000000-0005-0000-0000-0000261A0000}"/>
    <cellStyle name="Heading 2 6 2 2 2 2" xfId="10726" xr:uid="{00000000-0005-0000-0000-0000271A0000}"/>
    <cellStyle name="Heading 2 6 2 2 3" xfId="10725" xr:uid="{00000000-0005-0000-0000-0000281A0000}"/>
    <cellStyle name="Heading 2 6 2 3" xfId="4668" xr:uid="{00000000-0005-0000-0000-0000291A0000}"/>
    <cellStyle name="Heading 2 6 2 3 2" xfId="10727" xr:uid="{00000000-0005-0000-0000-00002A1A0000}"/>
    <cellStyle name="Heading 2 6 2 4" xfId="10724" xr:uid="{00000000-0005-0000-0000-00002B1A0000}"/>
    <cellStyle name="Heading 2 6 3" xfId="741" xr:uid="{00000000-0005-0000-0000-00002C1A0000}"/>
    <cellStyle name="Heading 2 6 3 2" xfId="4669" xr:uid="{00000000-0005-0000-0000-00002D1A0000}"/>
    <cellStyle name="Heading 2 6 3 2 2" xfId="10729" xr:uid="{00000000-0005-0000-0000-00002E1A0000}"/>
    <cellStyle name="Heading 2 6 3 3" xfId="7535" xr:uid="{00000000-0005-0000-0000-00002F1A0000}"/>
    <cellStyle name="Heading 2 6 3 3 2" xfId="10730" xr:uid="{00000000-0005-0000-0000-0000301A0000}"/>
    <cellStyle name="Heading 2 6 3 4" xfId="10728" xr:uid="{00000000-0005-0000-0000-0000311A0000}"/>
    <cellStyle name="Heading 2 6 4" xfId="4670" xr:uid="{00000000-0005-0000-0000-0000321A0000}"/>
    <cellStyle name="Heading 2 6 4 2" xfId="8406" xr:uid="{00000000-0005-0000-0000-0000331A0000}"/>
    <cellStyle name="Heading 2 6 4 2 2" xfId="10732" xr:uid="{00000000-0005-0000-0000-0000341A0000}"/>
    <cellStyle name="Heading 2 6 4 3" xfId="7536" xr:uid="{00000000-0005-0000-0000-0000351A0000}"/>
    <cellStyle name="Heading 2 6 4 3 2" xfId="10733" xr:uid="{00000000-0005-0000-0000-0000361A0000}"/>
    <cellStyle name="Heading 2 6 4 4" xfId="10731" xr:uid="{00000000-0005-0000-0000-0000371A0000}"/>
    <cellStyle name="Heading 2 6 5" xfId="4671" xr:uid="{00000000-0005-0000-0000-0000381A0000}"/>
    <cellStyle name="Heading 2 6 5 2" xfId="10734" xr:uid="{00000000-0005-0000-0000-0000391A0000}"/>
    <cellStyle name="Heading 2 6 6" xfId="4667" xr:uid="{00000000-0005-0000-0000-00003A1A0000}"/>
    <cellStyle name="Heading 2 6 6 2" xfId="10735" xr:uid="{00000000-0005-0000-0000-00003B1A0000}"/>
    <cellStyle name="Heading 2 6 7" xfId="10723" xr:uid="{00000000-0005-0000-0000-00003C1A0000}"/>
    <cellStyle name="Heading 2 60" xfId="4672" xr:uid="{00000000-0005-0000-0000-00003D1A0000}"/>
    <cellStyle name="Heading 2 60 2" xfId="10736" xr:uid="{00000000-0005-0000-0000-00003E1A0000}"/>
    <cellStyle name="Heading 2 61" xfId="4315" xr:uid="{00000000-0005-0000-0000-00003F1A0000}"/>
    <cellStyle name="Heading 2 61 2" xfId="10737" xr:uid="{00000000-0005-0000-0000-0000401A0000}"/>
    <cellStyle name="Heading 2 62" xfId="8703" xr:uid="{00000000-0005-0000-0000-0000411A0000}"/>
    <cellStyle name="Heading 2 62 2" xfId="8905" xr:uid="{00000000-0005-0000-0000-0000421A0000}"/>
    <cellStyle name="Heading 2 62 2 2" xfId="8906" xr:uid="{00000000-0005-0000-0000-0000431A0000}"/>
    <cellStyle name="Heading 2 62 2 2 2" xfId="10740" xr:uid="{00000000-0005-0000-0000-0000441A0000}"/>
    <cellStyle name="Heading 2 62 2 3" xfId="8907" xr:uid="{00000000-0005-0000-0000-0000451A0000}"/>
    <cellStyle name="Heading 2 62 2 3 2" xfId="10741" xr:uid="{00000000-0005-0000-0000-0000461A0000}"/>
    <cellStyle name="Heading 2 62 2 4" xfId="10739" xr:uid="{00000000-0005-0000-0000-0000471A0000}"/>
    <cellStyle name="Heading 2 62 3" xfId="8908" xr:uid="{00000000-0005-0000-0000-0000481A0000}"/>
    <cellStyle name="Heading 2 62 3 2" xfId="10742" xr:uid="{00000000-0005-0000-0000-0000491A0000}"/>
    <cellStyle name="Heading 2 62 4" xfId="8909" xr:uid="{00000000-0005-0000-0000-00004A1A0000}"/>
    <cellStyle name="Heading 2 62 4 2" xfId="10743" xr:uid="{00000000-0005-0000-0000-00004B1A0000}"/>
    <cellStyle name="Heading 2 62 5" xfId="10738" xr:uid="{00000000-0005-0000-0000-00004C1A0000}"/>
    <cellStyle name="Heading 2 63" xfId="10242" xr:uid="{00000000-0005-0000-0000-00004D1A0000}"/>
    <cellStyle name="Heading 2 64" xfId="62" xr:uid="{00000000-0005-0000-0000-00004E1A0000}"/>
    <cellStyle name="Heading 2 7" xfId="742" xr:uid="{00000000-0005-0000-0000-00004F1A0000}"/>
    <cellStyle name="Heading 2 7 2" xfId="743" xr:uid="{00000000-0005-0000-0000-0000501A0000}"/>
    <cellStyle name="Heading 2 7 2 2" xfId="744" xr:uid="{00000000-0005-0000-0000-0000511A0000}"/>
    <cellStyle name="Heading 2 7 2 2 2" xfId="8407" xr:uid="{00000000-0005-0000-0000-0000521A0000}"/>
    <cellStyle name="Heading 2 7 2 2 2 2" xfId="10747" xr:uid="{00000000-0005-0000-0000-0000531A0000}"/>
    <cellStyle name="Heading 2 7 2 2 3" xfId="10746" xr:uid="{00000000-0005-0000-0000-0000541A0000}"/>
    <cellStyle name="Heading 2 7 2 3" xfId="4674" xr:uid="{00000000-0005-0000-0000-0000551A0000}"/>
    <cellStyle name="Heading 2 7 2 3 2" xfId="10748" xr:uid="{00000000-0005-0000-0000-0000561A0000}"/>
    <cellStyle name="Heading 2 7 2 4" xfId="10745" xr:uid="{00000000-0005-0000-0000-0000571A0000}"/>
    <cellStyle name="Heading 2 7 3" xfId="745" xr:uid="{00000000-0005-0000-0000-0000581A0000}"/>
    <cellStyle name="Heading 2 7 3 2" xfId="4675" xr:uid="{00000000-0005-0000-0000-0000591A0000}"/>
    <cellStyle name="Heading 2 7 3 2 2" xfId="10750" xr:uid="{00000000-0005-0000-0000-00005A1A0000}"/>
    <cellStyle name="Heading 2 7 3 3" xfId="7537" xr:uid="{00000000-0005-0000-0000-00005B1A0000}"/>
    <cellStyle name="Heading 2 7 3 3 2" xfId="10751" xr:uid="{00000000-0005-0000-0000-00005C1A0000}"/>
    <cellStyle name="Heading 2 7 3 4" xfId="10749" xr:uid="{00000000-0005-0000-0000-00005D1A0000}"/>
    <cellStyle name="Heading 2 7 4" xfId="4676" xr:uid="{00000000-0005-0000-0000-00005E1A0000}"/>
    <cellStyle name="Heading 2 7 4 2" xfId="8408" xr:uid="{00000000-0005-0000-0000-00005F1A0000}"/>
    <cellStyle name="Heading 2 7 4 2 2" xfId="10753" xr:uid="{00000000-0005-0000-0000-0000601A0000}"/>
    <cellStyle name="Heading 2 7 4 3" xfId="7538" xr:uid="{00000000-0005-0000-0000-0000611A0000}"/>
    <cellStyle name="Heading 2 7 4 3 2" xfId="10754" xr:uid="{00000000-0005-0000-0000-0000621A0000}"/>
    <cellStyle name="Heading 2 7 4 4" xfId="10752" xr:uid="{00000000-0005-0000-0000-0000631A0000}"/>
    <cellStyle name="Heading 2 7 5" xfId="4677" xr:uid="{00000000-0005-0000-0000-0000641A0000}"/>
    <cellStyle name="Heading 2 7 5 2" xfId="10755" xr:uid="{00000000-0005-0000-0000-0000651A0000}"/>
    <cellStyle name="Heading 2 7 6" xfId="4673" xr:uid="{00000000-0005-0000-0000-0000661A0000}"/>
    <cellStyle name="Heading 2 7 6 2" xfId="10756" xr:uid="{00000000-0005-0000-0000-0000671A0000}"/>
    <cellStyle name="Heading 2 7 7" xfId="10744" xr:uid="{00000000-0005-0000-0000-0000681A0000}"/>
    <cellStyle name="Heading 2 8" xfId="746" xr:uid="{00000000-0005-0000-0000-0000691A0000}"/>
    <cellStyle name="Heading 2 8 2" xfId="747" xr:uid="{00000000-0005-0000-0000-00006A1A0000}"/>
    <cellStyle name="Heading 2 8 2 2" xfId="4679" xr:uid="{00000000-0005-0000-0000-00006B1A0000}"/>
    <cellStyle name="Heading 2 8 2 2 2" xfId="10759" xr:uid="{00000000-0005-0000-0000-00006C1A0000}"/>
    <cellStyle name="Heading 2 8 2 3" xfId="7539" xr:uid="{00000000-0005-0000-0000-00006D1A0000}"/>
    <cellStyle name="Heading 2 8 2 3 2" xfId="10760" xr:uid="{00000000-0005-0000-0000-00006E1A0000}"/>
    <cellStyle name="Heading 2 8 2 4" xfId="10758" xr:uid="{00000000-0005-0000-0000-00006F1A0000}"/>
    <cellStyle name="Heading 2 8 3" xfId="4680" xr:uid="{00000000-0005-0000-0000-0000701A0000}"/>
    <cellStyle name="Heading 2 8 3 2" xfId="8409" xr:uid="{00000000-0005-0000-0000-0000711A0000}"/>
    <cellStyle name="Heading 2 8 3 2 2" xfId="10762" xr:uid="{00000000-0005-0000-0000-0000721A0000}"/>
    <cellStyle name="Heading 2 8 3 3" xfId="7540" xr:uid="{00000000-0005-0000-0000-0000731A0000}"/>
    <cellStyle name="Heading 2 8 3 3 2" xfId="10763" xr:uid="{00000000-0005-0000-0000-0000741A0000}"/>
    <cellStyle name="Heading 2 8 3 4" xfId="10761" xr:uid="{00000000-0005-0000-0000-0000751A0000}"/>
    <cellStyle name="Heading 2 8 4" xfId="4681" xr:uid="{00000000-0005-0000-0000-0000761A0000}"/>
    <cellStyle name="Heading 2 8 4 2" xfId="8410" xr:uid="{00000000-0005-0000-0000-0000771A0000}"/>
    <cellStyle name="Heading 2 8 4 2 2" xfId="10765" xr:uid="{00000000-0005-0000-0000-0000781A0000}"/>
    <cellStyle name="Heading 2 8 4 3" xfId="7541" xr:uid="{00000000-0005-0000-0000-0000791A0000}"/>
    <cellStyle name="Heading 2 8 4 3 2" xfId="10766" xr:uid="{00000000-0005-0000-0000-00007A1A0000}"/>
    <cellStyle name="Heading 2 8 4 4" xfId="10764" xr:uid="{00000000-0005-0000-0000-00007B1A0000}"/>
    <cellStyle name="Heading 2 8 5" xfId="4682" xr:uid="{00000000-0005-0000-0000-00007C1A0000}"/>
    <cellStyle name="Heading 2 8 5 2" xfId="10767" xr:uid="{00000000-0005-0000-0000-00007D1A0000}"/>
    <cellStyle name="Heading 2 8 6" xfId="4678" xr:uid="{00000000-0005-0000-0000-00007E1A0000}"/>
    <cellStyle name="Heading 2 8 6 2" xfId="10768" xr:uid="{00000000-0005-0000-0000-00007F1A0000}"/>
    <cellStyle name="Heading 2 8 7" xfId="10757" xr:uid="{00000000-0005-0000-0000-0000801A0000}"/>
    <cellStyle name="Heading 2 9" xfId="748" xr:uid="{00000000-0005-0000-0000-0000811A0000}"/>
    <cellStyle name="Heading 2 9 2" xfId="749" xr:uid="{00000000-0005-0000-0000-0000821A0000}"/>
    <cellStyle name="Heading 2 9 2 2" xfId="4684" xr:uid="{00000000-0005-0000-0000-0000831A0000}"/>
    <cellStyle name="Heading 2 9 2 2 2" xfId="10771" xr:uid="{00000000-0005-0000-0000-0000841A0000}"/>
    <cellStyle name="Heading 2 9 2 3" xfId="7542" xr:uid="{00000000-0005-0000-0000-0000851A0000}"/>
    <cellStyle name="Heading 2 9 2 3 2" xfId="10772" xr:uid="{00000000-0005-0000-0000-0000861A0000}"/>
    <cellStyle name="Heading 2 9 2 4" xfId="10770" xr:uid="{00000000-0005-0000-0000-0000871A0000}"/>
    <cellStyle name="Heading 2 9 3" xfId="4685" xr:uid="{00000000-0005-0000-0000-0000881A0000}"/>
    <cellStyle name="Heading 2 9 3 2" xfId="8411" xr:uid="{00000000-0005-0000-0000-0000891A0000}"/>
    <cellStyle name="Heading 2 9 3 2 2" xfId="10774" xr:uid="{00000000-0005-0000-0000-00008A1A0000}"/>
    <cellStyle name="Heading 2 9 3 3" xfId="7543" xr:uid="{00000000-0005-0000-0000-00008B1A0000}"/>
    <cellStyle name="Heading 2 9 3 3 2" xfId="10775" xr:uid="{00000000-0005-0000-0000-00008C1A0000}"/>
    <cellStyle name="Heading 2 9 3 4" xfId="10773" xr:uid="{00000000-0005-0000-0000-00008D1A0000}"/>
    <cellStyle name="Heading 2 9 4" xfId="4686" xr:uid="{00000000-0005-0000-0000-00008E1A0000}"/>
    <cellStyle name="Heading 2 9 4 2" xfId="8412" xr:uid="{00000000-0005-0000-0000-00008F1A0000}"/>
    <cellStyle name="Heading 2 9 4 2 2" xfId="10777" xr:uid="{00000000-0005-0000-0000-0000901A0000}"/>
    <cellStyle name="Heading 2 9 4 3" xfId="7544" xr:uid="{00000000-0005-0000-0000-0000911A0000}"/>
    <cellStyle name="Heading 2 9 4 3 2" xfId="10778" xr:uid="{00000000-0005-0000-0000-0000921A0000}"/>
    <cellStyle name="Heading 2 9 4 4" xfId="10776" xr:uid="{00000000-0005-0000-0000-0000931A0000}"/>
    <cellStyle name="Heading 2 9 5" xfId="4687" xr:uid="{00000000-0005-0000-0000-0000941A0000}"/>
    <cellStyle name="Heading 2 9 5 2" xfId="10779" xr:uid="{00000000-0005-0000-0000-0000951A0000}"/>
    <cellStyle name="Heading 2 9 6" xfId="4683" xr:uid="{00000000-0005-0000-0000-0000961A0000}"/>
    <cellStyle name="Heading 2 9 6 2" xfId="10780" xr:uid="{00000000-0005-0000-0000-0000971A0000}"/>
    <cellStyle name="Heading 2 9 7" xfId="10769" xr:uid="{00000000-0005-0000-0000-0000981A0000}"/>
    <cellStyle name="Heading 3" xfId="43" builtinId="18" customBuiltin="1"/>
    <cellStyle name="Heading 3 10" xfId="4688" xr:uid="{00000000-0005-0000-0000-00009A1A0000}"/>
    <cellStyle name="Heading 3 10 2" xfId="8413" xr:uid="{00000000-0005-0000-0000-00009B1A0000}"/>
    <cellStyle name="Heading 3 10 2 2" xfId="10783" xr:uid="{00000000-0005-0000-0000-00009C1A0000}"/>
    <cellStyle name="Heading 3 10 3" xfId="7545" xr:uid="{00000000-0005-0000-0000-00009D1A0000}"/>
    <cellStyle name="Heading 3 10 3 2" xfId="10784" xr:uid="{00000000-0005-0000-0000-00009E1A0000}"/>
    <cellStyle name="Heading 3 10 4" xfId="10782" xr:uid="{00000000-0005-0000-0000-00009F1A0000}"/>
    <cellStyle name="Heading 3 11" xfId="4689" xr:uid="{00000000-0005-0000-0000-0000A01A0000}"/>
    <cellStyle name="Heading 3 11 2" xfId="8414" xr:uid="{00000000-0005-0000-0000-0000A11A0000}"/>
    <cellStyle name="Heading 3 11 2 2" xfId="10786" xr:uid="{00000000-0005-0000-0000-0000A21A0000}"/>
    <cellStyle name="Heading 3 11 3" xfId="7546" xr:uid="{00000000-0005-0000-0000-0000A31A0000}"/>
    <cellStyle name="Heading 3 11 3 2" xfId="10787" xr:uid="{00000000-0005-0000-0000-0000A41A0000}"/>
    <cellStyle name="Heading 3 11 4" xfId="10785" xr:uid="{00000000-0005-0000-0000-0000A51A0000}"/>
    <cellStyle name="Heading 3 12" xfId="10781" xr:uid="{00000000-0005-0000-0000-0000A61A0000}"/>
    <cellStyle name="Heading 3 2" xfId="750" xr:uid="{00000000-0005-0000-0000-0000A71A0000}"/>
    <cellStyle name="Heading 3 2 2" xfId="751" xr:uid="{00000000-0005-0000-0000-0000A81A0000}"/>
    <cellStyle name="Heading 3 2 2 2" xfId="4691" xr:uid="{00000000-0005-0000-0000-0000A91A0000}"/>
    <cellStyle name="Heading 3 2 2 2 2" xfId="10790" xr:uid="{00000000-0005-0000-0000-0000AA1A0000}"/>
    <cellStyle name="Heading 3 2 2 3" xfId="7547" xr:uid="{00000000-0005-0000-0000-0000AB1A0000}"/>
    <cellStyle name="Heading 3 2 2 3 2" xfId="10791" xr:uid="{00000000-0005-0000-0000-0000AC1A0000}"/>
    <cellStyle name="Heading 3 2 2 4" xfId="10789" xr:uid="{00000000-0005-0000-0000-0000AD1A0000}"/>
    <cellStyle name="Heading 3 2 3" xfId="4692" xr:uid="{00000000-0005-0000-0000-0000AE1A0000}"/>
    <cellStyle name="Heading 3 2 3 2" xfId="8415" xr:uid="{00000000-0005-0000-0000-0000AF1A0000}"/>
    <cellStyle name="Heading 3 2 3 2 2" xfId="10793" xr:uid="{00000000-0005-0000-0000-0000B01A0000}"/>
    <cellStyle name="Heading 3 2 3 3" xfId="7548" xr:uid="{00000000-0005-0000-0000-0000B11A0000}"/>
    <cellStyle name="Heading 3 2 3 3 2" xfId="10794" xr:uid="{00000000-0005-0000-0000-0000B21A0000}"/>
    <cellStyle name="Heading 3 2 3 4" xfId="10792" xr:uid="{00000000-0005-0000-0000-0000B31A0000}"/>
    <cellStyle name="Heading 3 2 4" xfId="4693" xr:uid="{00000000-0005-0000-0000-0000B41A0000}"/>
    <cellStyle name="Heading 3 2 4 2" xfId="8416" xr:uid="{00000000-0005-0000-0000-0000B51A0000}"/>
    <cellStyle name="Heading 3 2 4 2 2" xfId="10796" xr:uid="{00000000-0005-0000-0000-0000B61A0000}"/>
    <cellStyle name="Heading 3 2 4 3" xfId="7549" xr:uid="{00000000-0005-0000-0000-0000B71A0000}"/>
    <cellStyle name="Heading 3 2 4 3 2" xfId="10797" xr:uid="{00000000-0005-0000-0000-0000B81A0000}"/>
    <cellStyle name="Heading 3 2 4 4" xfId="10795" xr:uid="{00000000-0005-0000-0000-0000B91A0000}"/>
    <cellStyle name="Heading 3 2 5" xfId="4694" xr:uid="{00000000-0005-0000-0000-0000BA1A0000}"/>
    <cellStyle name="Heading 3 2 5 2" xfId="10798" xr:uid="{00000000-0005-0000-0000-0000BB1A0000}"/>
    <cellStyle name="Heading 3 2 6" xfId="4690" xr:uid="{00000000-0005-0000-0000-0000BC1A0000}"/>
    <cellStyle name="Heading 3 2 6 2" xfId="10799" xr:uid="{00000000-0005-0000-0000-0000BD1A0000}"/>
    <cellStyle name="Heading 3 2 7" xfId="10788" xr:uid="{00000000-0005-0000-0000-0000BE1A0000}"/>
    <cellStyle name="Heading 3 3" xfId="752" xr:uid="{00000000-0005-0000-0000-0000BF1A0000}"/>
    <cellStyle name="Heading 3 3 2" xfId="753" xr:uid="{00000000-0005-0000-0000-0000C01A0000}"/>
    <cellStyle name="Heading 3 3 2 2" xfId="4696" xr:uid="{00000000-0005-0000-0000-0000C11A0000}"/>
    <cellStyle name="Heading 3 3 2 2 2" xfId="10802" xr:uid="{00000000-0005-0000-0000-0000C21A0000}"/>
    <cellStyle name="Heading 3 3 2 3" xfId="7550" xr:uid="{00000000-0005-0000-0000-0000C31A0000}"/>
    <cellStyle name="Heading 3 3 2 3 2" xfId="10803" xr:uid="{00000000-0005-0000-0000-0000C41A0000}"/>
    <cellStyle name="Heading 3 3 2 4" xfId="10801" xr:uid="{00000000-0005-0000-0000-0000C51A0000}"/>
    <cellStyle name="Heading 3 3 3" xfId="4697" xr:uid="{00000000-0005-0000-0000-0000C61A0000}"/>
    <cellStyle name="Heading 3 3 3 2" xfId="8417" xr:uid="{00000000-0005-0000-0000-0000C71A0000}"/>
    <cellStyle name="Heading 3 3 3 2 2" xfId="10805" xr:uid="{00000000-0005-0000-0000-0000C81A0000}"/>
    <cellStyle name="Heading 3 3 3 3" xfId="7551" xr:uid="{00000000-0005-0000-0000-0000C91A0000}"/>
    <cellStyle name="Heading 3 3 3 3 2" xfId="10806" xr:uid="{00000000-0005-0000-0000-0000CA1A0000}"/>
    <cellStyle name="Heading 3 3 3 4" xfId="10804" xr:uid="{00000000-0005-0000-0000-0000CB1A0000}"/>
    <cellStyle name="Heading 3 3 4" xfId="4698" xr:uid="{00000000-0005-0000-0000-0000CC1A0000}"/>
    <cellStyle name="Heading 3 3 4 2" xfId="8418" xr:uid="{00000000-0005-0000-0000-0000CD1A0000}"/>
    <cellStyle name="Heading 3 3 4 2 2" xfId="10808" xr:uid="{00000000-0005-0000-0000-0000CE1A0000}"/>
    <cellStyle name="Heading 3 3 4 3" xfId="7552" xr:uid="{00000000-0005-0000-0000-0000CF1A0000}"/>
    <cellStyle name="Heading 3 3 4 3 2" xfId="10809" xr:uid="{00000000-0005-0000-0000-0000D01A0000}"/>
    <cellStyle name="Heading 3 3 4 4" xfId="10807" xr:uid="{00000000-0005-0000-0000-0000D11A0000}"/>
    <cellStyle name="Heading 3 3 5" xfId="4699" xr:uid="{00000000-0005-0000-0000-0000D21A0000}"/>
    <cellStyle name="Heading 3 3 5 2" xfId="10810" xr:uid="{00000000-0005-0000-0000-0000D31A0000}"/>
    <cellStyle name="Heading 3 3 6" xfId="4695" xr:uid="{00000000-0005-0000-0000-0000D41A0000}"/>
    <cellStyle name="Heading 3 3 6 2" xfId="10811" xr:uid="{00000000-0005-0000-0000-0000D51A0000}"/>
    <cellStyle name="Heading 3 3 7" xfId="10800" xr:uid="{00000000-0005-0000-0000-0000D61A0000}"/>
    <cellStyle name="Heading 3 4" xfId="754" xr:uid="{00000000-0005-0000-0000-0000D71A0000}"/>
    <cellStyle name="Heading 3 4 2" xfId="755" xr:uid="{00000000-0005-0000-0000-0000D81A0000}"/>
    <cellStyle name="Heading 3 4 2 2" xfId="4701" xr:uid="{00000000-0005-0000-0000-0000D91A0000}"/>
    <cellStyle name="Heading 3 4 2 2 2" xfId="10814" xr:uid="{00000000-0005-0000-0000-0000DA1A0000}"/>
    <cellStyle name="Heading 3 4 2 3" xfId="7553" xr:uid="{00000000-0005-0000-0000-0000DB1A0000}"/>
    <cellStyle name="Heading 3 4 2 3 2" xfId="10815" xr:uid="{00000000-0005-0000-0000-0000DC1A0000}"/>
    <cellStyle name="Heading 3 4 2 4" xfId="10813" xr:uid="{00000000-0005-0000-0000-0000DD1A0000}"/>
    <cellStyle name="Heading 3 4 3" xfId="4702" xr:uid="{00000000-0005-0000-0000-0000DE1A0000}"/>
    <cellStyle name="Heading 3 4 3 2" xfId="8419" xr:uid="{00000000-0005-0000-0000-0000DF1A0000}"/>
    <cellStyle name="Heading 3 4 3 2 2" xfId="10817" xr:uid="{00000000-0005-0000-0000-0000E01A0000}"/>
    <cellStyle name="Heading 3 4 3 3" xfId="7554" xr:uid="{00000000-0005-0000-0000-0000E11A0000}"/>
    <cellStyle name="Heading 3 4 3 3 2" xfId="10818" xr:uid="{00000000-0005-0000-0000-0000E21A0000}"/>
    <cellStyle name="Heading 3 4 3 4" xfId="10816" xr:uid="{00000000-0005-0000-0000-0000E31A0000}"/>
    <cellStyle name="Heading 3 4 4" xfId="4703" xr:uid="{00000000-0005-0000-0000-0000E41A0000}"/>
    <cellStyle name="Heading 3 4 4 2" xfId="8420" xr:uid="{00000000-0005-0000-0000-0000E51A0000}"/>
    <cellStyle name="Heading 3 4 4 2 2" xfId="10820" xr:uid="{00000000-0005-0000-0000-0000E61A0000}"/>
    <cellStyle name="Heading 3 4 4 3" xfId="7555" xr:uid="{00000000-0005-0000-0000-0000E71A0000}"/>
    <cellStyle name="Heading 3 4 4 3 2" xfId="10821" xr:uid="{00000000-0005-0000-0000-0000E81A0000}"/>
    <cellStyle name="Heading 3 4 4 4" xfId="10819" xr:uid="{00000000-0005-0000-0000-0000E91A0000}"/>
    <cellStyle name="Heading 3 4 5" xfId="4704" xr:uid="{00000000-0005-0000-0000-0000EA1A0000}"/>
    <cellStyle name="Heading 3 4 5 2" xfId="10822" xr:uid="{00000000-0005-0000-0000-0000EB1A0000}"/>
    <cellStyle name="Heading 3 4 6" xfId="4700" xr:uid="{00000000-0005-0000-0000-0000EC1A0000}"/>
    <cellStyle name="Heading 3 4 6 2" xfId="10823" xr:uid="{00000000-0005-0000-0000-0000ED1A0000}"/>
    <cellStyle name="Heading 3 4 7" xfId="10812" xr:uid="{00000000-0005-0000-0000-0000EE1A0000}"/>
    <cellStyle name="Heading 3 5" xfId="4705" xr:uid="{00000000-0005-0000-0000-0000EF1A0000}"/>
    <cellStyle name="Heading 3 5 2" xfId="8421" xr:uid="{00000000-0005-0000-0000-0000F01A0000}"/>
    <cellStyle name="Heading 3 5 2 2" xfId="10825" xr:uid="{00000000-0005-0000-0000-0000F11A0000}"/>
    <cellStyle name="Heading 3 5 3" xfId="7556" xr:uid="{00000000-0005-0000-0000-0000F21A0000}"/>
    <cellStyle name="Heading 3 5 3 2" xfId="10826" xr:uid="{00000000-0005-0000-0000-0000F31A0000}"/>
    <cellStyle name="Heading 3 5 4" xfId="10824" xr:uid="{00000000-0005-0000-0000-0000F41A0000}"/>
    <cellStyle name="Heading 3 6" xfId="4706" xr:uid="{00000000-0005-0000-0000-0000F51A0000}"/>
    <cellStyle name="Heading 3 6 2" xfId="8422" xr:uid="{00000000-0005-0000-0000-0000F61A0000}"/>
    <cellStyle name="Heading 3 6 2 2" xfId="10828" xr:uid="{00000000-0005-0000-0000-0000F71A0000}"/>
    <cellStyle name="Heading 3 6 3" xfId="7557" xr:uid="{00000000-0005-0000-0000-0000F81A0000}"/>
    <cellStyle name="Heading 3 6 3 2" xfId="10829" xr:uid="{00000000-0005-0000-0000-0000F91A0000}"/>
    <cellStyle name="Heading 3 6 4" xfId="10827" xr:uid="{00000000-0005-0000-0000-0000FA1A0000}"/>
    <cellStyle name="Heading 3 7" xfId="4707" xr:uid="{00000000-0005-0000-0000-0000FB1A0000}"/>
    <cellStyle name="Heading 3 7 2" xfId="8423" xr:uid="{00000000-0005-0000-0000-0000FC1A0000}"/>
    <cellStyle name="Heading 3 7 2 2" xfId="10831" xr:uid="{00000000-0005-0000-0000-0000FD1A0000}"/>
    <cellStyle name="Heading 3 7 3" xfId="7558" xr:uid="{00000000-0005-0000-0000-0000FE1A0000}"/>
    <cellStyle name="Heading 3 7 3 2" xfId="10832" xr:uid="{00000000-0005-0000-0000-0000FF1A0000}"/>
    <cellStyle name="Heading 3 7 4" xfId="10830" xr:uid="{00000000-0005-0000-0000-0000001B0000}"/>
    <cellStyle name="Heading 3 8" xfId="4708" xr:uid="{00000000-0005-0000-0000-0000011B0000}"/>
    <cellStyle name="Heading 3 8 2" xfId="8424" xr:uid="{00000000-0005-0000-0000-0000021B0000}"/>
    <cellStyle name="Heading 3 8 2 2" xfId="10834" xr:uid="{00000000-0005-0000-0000-0000031B0000}"/>
    <cellStyle name="Heading 3 8 3" xfId="7559" xr:uid="{00000000-0005-0000-0000-0000041B0000}"/>
    <cellStyle name="Heading 3 8 3 2" xfId="10835" xr:uid="{00000000-0005-0000-0000-0000051B0000}"/>
    <cellStyle name="Heading 3 8 4" xfId="10833" xr:uid="{00000000-0005-0000-0000-0000061B0000}"/>
    <cellStyle name="Heading 3 9" xfId="4709" xr:uid="{00000000-0005-0000-0000-0000071B0000}"/>
    <cellStyle name="Heading 3 9 2" xfId="8425" xr:uid="{00000000-0005-0000-0000-0000081B0000}"/>
    <cellStyle name="Heading 3 9 2 2" xfId="10837" xr:uid="{00000000-0005-0000-0000-0000091B0000}"/>
    <cellStyle name="Heading 3 9 3" xfId="7560" xr:uid="{00000000-0005-0000-0000-00000A1B0000}"/>
    <cellStyle name="Heading 3 9 3 2" xfId="10838" xr:uid="{00000000-0005-0000-0000-00000B1B0000}"/>
    <cellStyle name="Heading 3 9 4" xfId="10836" xr:uid="{00000000-0005-0000-0000-00000C1B0000}"/>
    <cellStyle name="Heading 4" xfId="44" builtinId="19" customBuiltin="1"/>
    <cellStyle name="Heading 4 10" xfId="4710" xr:uid="{00000000-0005-0000-0000-00000E1B0000}"/>
    <cellStyle name="Heading 4 10 2" xfId="8426" xr:uid="{00000000-0005-0000-0000-00000F1B0000}"/>
    <cellStyle name="Heading 4 10 2 2" xfId="10841" xr:uid="{00000000-0005-0000-0000-0000101B0000}"/>
    <cellStyle name="Heading 4 10 3" xfId="7561" xr:uid="{00000000-0005-0000-0000-0000111B0000}"/>
    <cellStyle name="Heading 4 10 3 2" xfId="10842" xr:uid="{00000000-0005-0000-0000-0000121B0000}"/>
    <cellStyle name="Heading 4 10 4" xfId="10840" xr:uid="{00000000-0005-0000-0000-0000131B0000}"/>
    <cellStyle name="Heading 4 11" xfId="4711" xr:uid="{00000000-0005-0000-0000-0000141B0000}"/>
    <cellStyle name="Heading 4 11 2" xfId="8427" xr:uid="{00000000-0005-0000-0000-0000151B0000}"/>
    <cellStyle name="Heading 4 11 2 2" xfId="10844" xr:uid="{00000000-0005-0000-0000-0000161B0000}"/>
    <cellStyle name="Heading 4 11 3" xfId="7562" xr:uid="{00000000-0005-0000-0000-0000171B0000}"/>
    <cellStyle name="Heading 4 11 3 2" xfId="10845" xr:uid="{00000000-0005-0000-0000-0000181B0000}"/>
    <cellStyle name="Heading 4 11 4" xfId="10843" xr:uid="{00000000-0005-0000-0000-0000191B0000}"/>
    <cellStyle name="Heading 4 12" xfId="10839" xr:uid="{00000000-0005-0000-0000-00001A1B0000}"/>
    <cellStyle name="Heading 4 2" xfId="756" xr:uid="{00000000-0005-0000-0000-00001B1B0000}"/>
    <cellStyle name="Heading 4 2 2" xfId="757" xr:uid="{00000000-0005-0000-0000-00001C1B0000}"/>
    <cellStyle name="Heading 4 2 2 2" xfId="4713" xr:uid="{00000000-0005-0000-0000-00001D1B0000}"/>
    <cellStyle name="Heading 4 2 2 2 2" xfId="10848" xr:uid="{00000000-0005-0000-0000-00001E1B0000}"/>
    <cellStyle name="Heading 4 2 2 3" xfId="7563" xr:uid="{00000000-0005-0000-0000-00001F1B0000}"/>
    <cellStyle name="Heading 4 2 2 3 2" xfId="10849" xr:uid="{00000000-0005-0000-0000-0000201B0000}"/>
    <cellStyle name="Heading 4 2 2 4" xfId="10847" xr:uid="{00000000-0005-0000-0000-0000211B0000}"/>
    <cellStyle name="Heading 4 2 3" xfId="4714" xr:uid="{00000000-0005-0000-0000-0000221B0000}"/>
    <cellStyle name="Heading 4 2 3 2" xfId="8428" xr:uid="{00000000-0005-0000-0000-0000231B0000}"/>
    <cellStyle name="Heading 4 2 3 2 2" xfId="10851" xr:uid="{00000000-0005-0000-0000-0000241B0000}"/>
    <cellStyle name="Heading 4 2 3 3" xfId="7564" xr:uid="{00000000-0005-0000-0000-0000251B0000}"/>
    <cellStyle name="Heading 4 2 3 3 2" xfId="10852" xr:uid="{00000000-0005-0000-0000-0000261B0000}"/>
    <cellStyle name="Heading 4 2 3 4" xfId="10850" xr:uid="{00000000-0005-0000-0000-0000271B0000}"/>
    <cellStyle name="Heading 4 2 4" xfId="4715" xr:uid="{00000000-0005-0000-0000-0000281B0000}"/>
    <cellStyle name="Heading 4 2 4 2" xfId="8429" xr:uid="{00000000-0005-0000-0000-0000291B0000}"/>
    <cellStyle name="Heading 4 2 4 2 2" xfId="10854" xr:uid="{00000000-0005-0000-0000-00002A1B0000}"/>
    <cellStyle name="Heading 4 2 4 3" xfId="7565" xr:uid="{00000000-0005-0000-0000-00002B1B0000}"/>
    <cellStyle name="Heading 4 2 4 3 2" xfId="10855" xr:uid="{00000000-0005-0000-0000-00002C1B0000}"/>
    <cellStyle name="Heading 4 2 4 4" xfId="10853" xr:uid="{00000000-0005-0000-0000-00002D1B0000}"/>
    <cellStyle name="Heading 4 2 5" xfId="4716" xr:uid="{00000000-0005-0000-0000-00002E1B0000}"/>
    <cellStyle name="Heading 4 2 5 2" xfId="10856" xr:uid="{00000000-0005-0000-0000-00002F1B0000}"/>
    <cellStyle name="Heading 4 2 6" xfId="4712" xr:uid="{00000000-0005-0000-0000-0000301B0000}"/>
    <cellStyle name="Heading 4 2 6 2" xfId="10857" xr:uid="{00000000-0005-0000-0000-0000311B0000}"/>
    <cellStyle name="Heading 4 2 7" xfId="10846" xr:uid="{00000000-0005-0000-0000-0000321B0000}"/>
    <cellStyle name="Heading 4 3" xfId="758" xr:uid="{00000000-0005-0000-0000-0000331B0000}"/>
    <cellStyle name="Heading 4 3 2" xfId="759" xr:uid="{00000000-0005-0000-0000-0000341B0000}"/>
    <cellStyle name="Heading 4 3 2 2" xfId="4718" xr:uid="{00000000-0005-0000-0000-0000351B0000}"/>
    <cellStyle name="Heading 4 3 2 2 2" xfId="10860" xr:uid="{00000000-0005-0000-0000-0000361B0000}"/>
    <cellStyle name="Heading 4 3 2 3" xfId="7566" xr:uid="{00000000-0005-0000-0000-0000371B0000}"/>
    <cellStyle name="Heading 4 3 2 3 2" xfId="10861" xr:uid="{00000000-0005-0000-0000-0000381B0000}"/>
    <cellStyle name="Heading 4 3 2 4" xfId="10859" xr:uid="{00000000-0005-0000-0000-0000391B0000}"/>
    <cellStyle name="Heading 4 3 3" xfId="4719" xr:uid="{00000000-0005-0000-0000-00003A1B0000}"/>
    <cellStyle name="Heading 4 3 3 2" xfId="8430" xr:uid="{00000000-0005-0000-0000-00003B1B0000}"/>
    <cellStyle name="Heading 4 3 3 2 2" xfId="10863" xr:uid="{00000000-0005-0000-0000-00003C1B0000}"/>
    <cellStyle name="Heading 4 3 3 3" xfId="7567" xr:uid="{00000000-0005-0000-0000-00003D1B0000}"/>
    <cellStyle name="Heading 4 3 3 3 2" xfId="10864" xr:uid="{00000000-0005-0000-0000-00003E1B0000}"/>
    <cellStyle name="Heading 4 3 3 4" xfId="10862" xr:uid="{00000000-0005-0000-0000-00003F1B0000}"/>
    <cellStyle name="Heading 4 3 4" xfId="4720" xr:uid="{00000000-0005-0000-0000-0000401B0000}"/>
    <cellStyle name="Heading 4 3 4 2" xfId="8431" xr:uid="{00000000-0005-0000-0000-0000411B0000}"/>
    <cellStyle name="Heading 4 3 4 2 2" xfId="10866" xr:uid="{00000000-0005-0000-0000-0000421B0000}"/>
    <cellStyle name="Heading 4 3 4 3" xfId="7568" xr:uid="{00000000-0005-0000-0000-0000431B0000}"/>
    <cellStyle name="Heading 4 3 4 3 2" xfId="10867" xr:uid="{00000000-0005-0000-0000-0000441B0000}"/>
    <cellStyle name="Heading 4 3 4 4" xfId="10865" xr:uid="{00000000-0005-0000-0000-0000451B0000}"/>
    <cellStyle name="Heading 4 3 5" xfId="4721" xr:uid="{00000000-0005-0000-0000-0000461B0000}"/>
    <cellStyle name="Heading 4 3 5 2" xfId="10868" xr:uid="{00000000-0005-0000-0000-0000471B0000}"/>
    <cellStyle name="Heading 4 3 6" xfId="4717" xr:uid="{00000000-0005-0000-0000-0000481B0000}"/>
    <cellStyle name="Heading 4 3 6 2" xfId="10869" xr:uid="{00000000-0005-0000-0000-0000491B0000}"/>
    <cellStyle name="Heading 4 3 7" xfId="10858" xr:uid="{00000000-0005-0000-0000-00004A1B0000}"/>
    <cellStyle name="Heading 4 4" xfId="760" xr:uid="{00000000-0005-0000-0000-00004B1B0000}"/>
    <cellStyle name="Heading 4 4 2" xfId="761" xr:uid="{00000000-0005-0000-0000-00004C1B0000}"/>
    <cellStyle name="Heading 4 4 2 2" xfId="4723" xr:uid="{00000000-0005-0000-0000-00004D1B0000}"/>
    <cellStyle name="Heading 4 4 2 2 2" xfId="10872" xr:uid="{00000000-0005-0000-0000-00004E1B0000}"/>
    <cellStyle name="Heading 4 4 2 3" xfId="7569" xr:uid="{00000000-0005-0000-0000-00004F1B0000}"/>
    <cellStyle name="Heading 4 4 2 3 2" xfId="10873" xr:uid="{00000000-0005-0000-0000-0000501B0000}"/>
    <cellStyle name="Heading 4 4 2 4" xfId="10871" xr:uid="{00000000-0005-0000-0000-0000511B0000}"/>
    <cellStyle name="Heading 4 4 3" xfId="4724" xr:uid="{00000000-0005-0000-0000-0000521B0000}"/>
    <cellStyle name="Heading 4 4 3 2" xfId="8432" xr:uid="{00000000-0005-0000-0000-0000531B0000}"/>
    <cellStyle name="Heading 4 4 3 2 2" xfId="10875" xr:uid="{00000000-0005-0000-0000-0000541B0000}"/>
    <cellStyle name="Heading 4 4 3 3" xfId="7570" xr:uid="{00000000-0005-0000-0000-0000551B0000}"/>
    <cellStyle name="Heading 4 4 3 3 2" xfId="10876" xr:uid="{00000000-0005-0000-0000-0000561B0000}"/>
    <cellStyle name="Heading 4 4 3 4" xfId="10874" xr:uid="{00000000-0005-0000-0000-0000571B0000}"/>
    <cellStyle name="Heading 4 4 4" xfId="4725" xr:uid="{00000000-0005-0000-0000-0000581B0000}"/>
    <cellStyle name="Heading 4 4 4 2" xfId="8433" xr:uid="{00000000-0005-0000-0000-0000591B0000}"/>
    <cellStyle name="Heading 4 4 4 2 2" xfId="10878" xr:uid="{00000000-0005-0000-0000-00005A1B0000}"/>
    <cellStyle name="Heading 4 4 4 3" xfId="7571" xr:uid="{00000000-0005-0000-0000-00005B1B0000}"/>
    <cellStyle name="Heading 4 4 4 3 2" xfId="10879" xr:uid="{00000000-0005-0000-0000-00005C1B0000}"/>
    <cellStyle name="Heading 4 4 4 4" xfId="10877" xr:uid="{00000000-0005-0000-0000-00005D1B0000}"/>
    <cellStyle name="Heading 4 4 5" xfId="4726" xr:uid="{00000000-0005-0000-0000-00005E1B0000}"/>
    <cellStyle name="Heading 4 4 5 2" xfId="10880" xr:uid="{00000000-0005-0000-0000-00005F1B0000}"/>
    <cellStyle name="Heading 4 4 6" xfId="4722" xr:uid="{00000000-0005-0000-0000-0000601B0000}"/>
    <cellStyle name="Heading 4 4 6 2" xfId="10881" xr:uid="{00000000-0005-0000-0000-0000611B0000}"/>
    <cellStyle name="Heading 4 4 7" xfId="10870" xr:uid="{00000000-0005-0000-0000-0000621B0000}"/>
    <cellStyle name="Heading 4 5" xfId="4727" xr:uid="{00000000-0005-0000-0000-0000631B0000}"/>
    <cellStyle name="Heading 4 5 2" xfId="8434" xr:uid="{00000000-0005-0000-0000-0000641B0000}"/>
    <cellStyle name="Heading 4 5 2 2" xfId="10883" xr:uid="{00000000-0005-0000-0000-0000651B0000}"/>
    <cellStyle name="Heading 4 5 3" xfId="7572" xr:uid="{00000000-0005-0000-0000-0000661B0000}"/>
    <cellStyle name="Heading 4 5 3 2" xfId="10884" xr:uid="{00000000-0005-0000-0000-0000671B0000}"/>
    <cellStyle name="Heading 4 5 4" xfId="10882" xr:uid="{00000000-0005-0000-0000-0000681B0000}"/>
    <cellStyle name="Heading 4 6" xfId="4728" xr:uid="{00000000-0005-0000-0000-0000691B0000}"/>
    <cellStyle name="Heading 4 6 2" xfId="8435" xr:uid="{00000000-0005-0000-0000-00006A1B0000}"/>
    <cellStyle name="Heading 4 6 2 2" xfId="10886" xr:uid="{00000000-0005-0000-0000-00006B1B0000}"/>
    <cellStyle name="Heading 4 6 3" xfId="7573" xr:uid="{00000000-0005-0000-0000-00006C1B0000}"/>
    <cellStyle name="Heading 4 6 3 2" xfId="10887" xr:uid="{00000000-0005-0000-0000-00006D1B0000}"/>
    <cellStyle name="Heading 4 6 4" xfId="10885" xr:uid="{00000000-0005-0000-0000-00006E1B0000}"/>
    <cellStyle name="Heading 4 7" xfId="4729" xr:uid="{00000000-0005-0000-0000-00006F1B0000}"/>
    <cellStyle name="Heading 4 7 2" xfId="8436" xr:uid="{00000000-0005-0000-0000-0000701B0000}"/>
    <cellStyle name="Heading 4 7 2 2" xfId="10889" xr:uid="{00000000-0005-0000-0000-0000711B0000}"/>
    <cellStyle name="Heading 4 7 3" xfId="7574" xr:uid="{00000000-0005-0000-0000-0000721B0000}"/>
    <cellStyle name="Heading 4 7 3 2" xfId="10890" xr:uid="{00000000-0005-0000-0000-0000731B0000}"/>
    <cellStyle name="Heading 4 7 4" xfId="10888" xr:uid="{00000000-0005-0000-0000-0000741B0000}"/>
    <cellStyle name="Heading 4 8" xfId="4730" xr:uid="{00000000-0005-0000-0000-0000751B0000}"/>
    <cellStyle name="Heading 4 8 2" xfId="8437" xr:uid="{00000000-0005-0000-0000-0000761B0000}"/>
    <cellStyle name="Heading 4 8 2 2" xfId="10892" xr:uid="{00000000-0005-0000-0000-0000771B0000}"/>
    <cellStyle name="Heading 4 8 3" xfId="7575" xr:uid="{00000000-0005-0000-0000-0000781B0000}"/>
    <cellStyle name="Heading 4 8 3 2" xfId="10893" xr:uid="{00000000-0005-0000-0000-0000791B0000}"/>
    <cellStyle name="Heading 4 8 4" xfId="10891" xr:uid="{00000000-0005-0000-0000-00007A1B0000}"/>
    <cellStyle name="Heading 4 9" xfId="4731" xr:uid="{00000000-0005-0000-0000-00007B1B0000}"/>
    <cellStyle name="Heading 4 9 2" xfId="8438" xr:uid="{00000000-0005-0000-0000-00007C1B0000}"/>
    <cellStyle name="Heading 4 9 2 2" xfId="10895" xr:uid="{00000000-0005-0000-0000-00007D1B0000}"/>
    <cellStyle name="Heading 4 9 3" xfId="7576" xr:uid="{00000000-0005-0000-0000-00007E1B0000}"/>
    <cellStyle name="Heading 4 9 3 2" xfId="10896" xr:uid="{00000000-0005-0000-0000-00007F1B0000}"/>
    <cellStyle name="Heading 4 9 4" xfId="10894" xr:uid="{00000000-0005-0000-0000-0000801B0000}"/>
    <cellStyle name="HEADING1" xfId="45" xr:uid="{00000000-0005-0000-0000-0000811B0000}"/>
    <cellStyle name="HEADING1 10" xfId="762" xr:uid="{00000000-0005-0000-0000-0000821B0000}"/>
    <cellStyle name="HEADING1 10 2" xfId="763" xr:uid="{00000000-0005-0000-0000-0000831B0000}"/>
    <cellStyle name="HEADING1 10 2 2" xfId="8439" xr:uid="{00000000-0005-0000-0000-0000841B0000}"/>
    <cellStyle name="HEADING1 10 2 2 2" xfId="10900" xr:uid="{00000000-0005-0000-0000-0000851B0000}"/>
    <cellStyle name="HEADING1 10 2 3" xfId="10899" xr:uid="{00000000-0005-0000-0000-0000861B0000}"/>
    <cellStyle name="HEADING1 10 3" xfId="4732" xr:uid="{00000000-0005-0000-0000-0000871B0000}"/>
    <cellStyle name="HEADING1 10 3 2" xfId="10901" xr:uid="{00000000-0005-0000-0000-0000881B0000}"/>
    <cellStyle name="HEADING1 10 4" xfId="10898" xr:uid="{00000000-0005-0000-0000-0000891B0000}"/>
    <cellStyle name="HEADING1 11" xfId="764" xr:uid="{00000000-0005-0000-0000-00008A1B0000}"/>
    <cellStyle name="HEADING1 11 2" xfId="765" xr:uid="{00000000-0005-0000-0000-00008B1B0000}"/>
    <cellStyle name="HEADING1 11 2 2" xfId="8440" xr:uid="{00000000-0005-0000-0000-00008C1B0000}"/>
    <cellStyle name="HEADING1 11 2 2 2" xfId="10904" xr:uid="{00000000-0005-0000-0000-00008D1B0000}"/>
    <cellStyle name="HEADING1 11 2 3" xfId="10903" xr:uid="{00000000-0005-0000-0000-00008E1B0000}"/>
    <cellStyle name="HEADING1 11 3" xfId="4733" xr:uid="{00000000-0005-0000-0000-00008F1B0000}"/>
    <cellStyle name="HEADING1 11 3 2" xfId="10905" xr:uid="{00000000-0005-0000-0000-0000901B0000}"/>
    <cellStyle name="HEADING1 11 4" xfId="10902" xr:uid="{00000000-0005-0000-0000-0000911B0000}"/>
    <cellStyle name="HEADING1 12" xfId="766" xr:uid="{00000000-0005-0000-0000-0000921B0000}"/>
    <cellStyle name="HEADING1 12 2" xfId="767" xr:uid="{00000000-0005-0000-0000-0000931B0000}"/>
    <cellStyle name="HEADING1 12 2 2" xfId="8441" xr:uid="{00000000-0005-0000-0000-0000941B0000}"/>
    <cellStyle name="HEADING1 12 2 2 2" xfId="10908" xr:uid="{00000000-0005-0000-0000-0000951B0000}"/>
    <cellStyle name="HEADING1 12 2 3" xfId="10907" xr:uid="{00000000-0005-0000-0000-0000961B0000}"/>
    <cellStyle name="HEADING1 12 3" xfId="4734" xr:uid="{00000000-0005-0000-0000-0000971B0000}"/>
    <cellStyle name="HEADING1 12 3 2" xfId="10909" xr:uid="{00000000-0005-0000-0000-0000981B0000}"/>
    <cellStyle name="HEADING1 12 4" xfId="10906" xr:uid="{00000000-0005-0000-0000-0000991B0000}"/>
    <cellStyle name="HEADING1 13" xfId="768" xr:uid="{00000000-0005-0000-0000-00009A1B0000}"/>
    <cellStyle name="HEADING1 13 2" xfId="10910" xr:uid="{00000000-0005-0000-0000-00009B1B0000}"/>
    <cellStyle name="HEADING1 14" xfId="10897" xr:uid="{00000000-0005-0000-0000-00009C1B0000}"/>
    <cellStyle name="HEADING1 2" xfId="769" xr:uid="{00000000-0005-0000-0000-00009D1B0000}"/>
    <cellStyle name="HEADING1 2 10" xfId="4736" xr:uid="{00000000-0005-0000-0000-00009E1B0000}"/>
    <cellStyle name="HEADING1 2 10 2" xfId="10912" xr:uid="{00000000-0005-0000-0000-00009F1B0000}"/>
    <cellStyle name="HEADING1 2 100" xfId="4737" xr:uid="{00000000-0005-0000-0000-0000A01B0000}"/>
    <cellStyle name="HEADING1 2 100 2" xfId="10913" xr:uid="{00000000-0005-0000-0000-0000A11B0000}"/>
    <cellStyle name="HEADING1 2 101" xfId="4738" xr:uid="{00000000-0005-0000-0000-0000A21B0000}"/>
    <cellStyle name="HEADING1 2 101 2" xfId="10914" xr:uid="{00000000-0005-0000-0000-0000A31B0000}"/>
    <cellStyle name="HEADING1 2 102" xfId="4739" xr:uid="{00000000-0005-0000-0000-0000A41B0000}"/>
    <cellStyle name="HEADING1 2 102 2" xfId="10915" xr:uid="{00000000-0005-0000-0000-0000A51B0000}"/>
    <cellStyle name="HEADING1 2 103" xfId="4740" xr:uid="{00000000-0005-0000-0000-0000A61B0000}"/>
    <cellStyle name="HEADING1 2 103 2" xfId="10916" xr:uid="{00000000-0005-0000-0000-0000A71B0000}"/>
    <cellStyle name="HEADING1 2 104" xfId="4741" xr:uid="{00000000-0005-0000-0000-0000A81B0000}"/>
    <cellStyle name="HEADING1 2 104 2" xfId="10917" xr:uid="{00000000-0005-0000-0000-0000A91B0000}"/>
    <cellStyle name="HEADING1 2 105" xfId="4742" xr:uid="{00000000-0005-0000-0000-0000AA1B0000}"/>
    <cellStyle name="HEADING1 2 105 2" xfId="10918" xr:uid="{00000000-0005-0000-0000-0000AB1B0000}"/>
    <cellStyle name="HEADING1 2 106" xfId="4743" xr:uid="{00000000-0005-0000-0000-0000AC1B0000}"/>
    <cellStyle name="HEADING1 2 106 2" xfId="10919" xr:uid="{00000000-0005-0000-0000-0000AD1B0000}"/>
    <cellStyle name="HEADING1 2 107" xfId="4744" xr:uid="{00000000-0005-0000-0000-0000AE1B0000}"/>
    <cellStyle name="HEADING1 2 107 2" xfId="10920" xr:uid="{00000000-0005-0000-0000-0000AF1B0000}"/>
    <cellStyle name="HEADING1 2 108" xfId="4745" xr:uid="{00000000-0005-0000-0000-0000B01B0000}"/>
    <cellStyle name="HEADING1 2 108 2" xfId="10921" xr:uid="{00000000-0005-0000-0000-0000B11B0000}"/>
    <cellStyle name="HEADING1 2 109" xfId="4746" xr:uid="{00000000-0005-0000-0000-0000B21B0000}"/>
    <cellStyle name="HEADING1 2 109 2" xfId="10922" xr:uid="{00000000-0005-0000-0000-0000B31B0000}"/>
    <cellStyle name="HEADING1 2 11" xfId="4747" xr:uid="{00000000-0005-0000-0000-0000B41B0000}"/>
    <cellStyle name="HEADING1 2 11 2" xfId="10923" xr:uid="{00000000-0005-0000-0000-0000B51B0000}"/>
    <cellStyle name="HEADING1 2 110" xfId="4748" xr:uid="{00000000-0005-0000-0000-0000B61B0000}"/>
    <cellStyle name="HEADING1 2 110 2" xfId="10924" xr:uid="{00000000-0005-0000-0000-0000B71B0000}"/>
    <cellStyle name="HEADING1 2 111" xfId="4749" xr:uid="{00000000-0005-0000-0000-0000B81B0000}"/>
    <cellStyle name="HEADING1 2 111 2" xfId="10925" xr:uid="{00000000-0005-0000-0000-0000B91B0000}"/>
    <cellStyle name="HEADING1 2 112" xfId="4750" xr:uid="{00000000-0005-0000-0000-0000BA1B0000}"/>
    <cellStyle name="HEADING1 2 112 2" xfId="10926" xr:uid="{00000000-0005-0000-0000-0000BB1B0000}"/>
    <cellStyle name="HEADING1 2 113" xfId="4751" xr:uid="{00000000-0005-0000-0000-0000BC1B0000}"/>
    <cellStyle name="HEADING1 2 113 2" xfId="10927" xr:uid="{00000000-0005-0000-0000-0000BD1B0000}"/>
    <cellStyle name="HEADING1 2 114" xfId="4752" xr:uid="{00000000-0005-0000-0000-0000BE1B0000}"/>
    <cellStyle name="HEADING1 2 114 2" xfId="10928" xr:uid="{00000000-0005-0000-0000-0000BF1B0000}"/>
    <cellStyle name="HEADING1 2 115" xfId="4753" xr:uid="{00000000-0005-0000-0000-0000C01B0000}"/>
    <cellStyle name="HEADING1 2 115 2" xfId="10929" xr:uid="{00000000-0005-0000-0000-0000C11B0000}"/>
    <cellStyle name="HEADING1 2 116" xfId="4754" xr:uid="{00000000-0005-0000-0000-0000C21B0000}"/>
    <cellStyle name="HEADING1 2 116 2" xfId="10930" xr:uid="{00000000-0005-0000-0000-0000C31B0000}"/>
    <cellStyle name="HEADING1 2 117" xfId="4755" xr:uid="{00000000-0005-0000-0000-0000C41B0000}"/>
    <cellStyle name="HEADING1 2 117 2" xfId="10931" xr:uid="{00000000-0005-0000-0000-0000C51B0000}"/>
    <cellStyle name="HEADING1 2 118" xfId="4756" xr:uid="{00000000-0005-0000-0000-0000C61B0000}"/>
    <cellStyle name="HEADING1 2 118 2" xfId="10932" xr:uid="{00000000-0005-0000-0000-0000C71B0000}"/>
    <cellStyle name="HEADING1 2 119" xfId="4757" xr:uid="{00000000-0005-0000-0000-0000C81B0000}"/>
    <cellStyle name="HEADING1 2 119 2" xfId="10933" xr:uid="{00000000-0005-0000-0000-0000C91B0000}"/>
    <cellStyle name="HEADING1 2 12" xfId="4758" xr:uid="{00000000-0005-0000-0000-0000CA1B0000}"/>
    <cellStyle name="HEADING1 2 12 2" xfId="10934" xr:uid="{00000000-0005-0000-0000-0000CB1B0000}"/>
    <cellStyle name="HEADING1 2 120" xfId="4759" xr:uid="{00000000-0005-0000-0000-0000CC1B0000}"/>
    <cellStyle name="HEADING1 2 120 2" xfId="10935" xr:uid="{00000000-0005-0000-0000-0000CD1B0000}"/>
    <cellStyle name="HEADING1 2 121" xfId="4760" xr:uid="{00000000-0005-0000-0000-0000CE1B0000}"/>
    <cellStyle name="HEADING1 2 121 2" xfId="10936" xr:uid="{00000000-0005-0000-0000-0000CF1B0000}"/>
    <cellStyle name="HEADING1 2 122" xfId="4761" xr:uid="{00000000-0005-0000-0000-0000D01B0000}"/>
    <cellStyle name="HEADING1 2 122 2" xfId="10937" xr:uid="{00000000-0005-0000-0000-0000D11B0000}"/>
    <cellStyle name="HEADING1 2 123" xfId="4762" xr:uid="{00000000-0005-0000-0000-0000D21B0000}"/>
    <cellStyle name="HEADING1 2 123 2" xfId="10938" xr:uid="{00000000-0005-0000-0000-0000D31B0000}"/>
    <cellStyle name="HEADING1 2 124" xfId="4763" xr:uid="{00000000-0005-0000-0000-0000D41B0000}"/>
    <cellStyle name="HEADING1 2 124 2" xfId="10939" xr:uid="{00000000-0005-0000-0000-0000D51B0000}"/>
    <cellStyle name="HEADING1 2 125" xfId="4764" xr:uid="{00000000-0005-0000-0000-0000D61B0000}"/>
    <cellStyle name="HEADING1 2 125 2" xfId="10940" xr:uid="{00000000-0005-0000-0000-0000D71B0000}"/>
    <cellStyle name="HEADING1 2 126" xfId="4765" xr:uid="{00000000-0005-0000-0000-0000D81B0000}"/>
    <cellStyle name="HEADING1 2 126 2" xfId="10941" xr:uid="{00000000-0005-0000-0000-0000D91B0000}"/>
    <cellStyle name="HEADING1 2 127" xfId="4766" xr:uid="{00000000-0005-0000-0000-0000DA1B0000}"/>
    <cellStyle name="HEADING1 2 127 2" xfId="10942" xr:uid="{00000000-0005-0000-0000-0000DB1B0000}"/>
    <cellStyle name="HEADING1 2 128" xfId="4767" xr:uid="{00000000-0005-0000-0000-0000DC1B0000}"/>
    <cellStyle name="HEADING1 2 128 2" xfId="10943" xr:uid="{00000000-0005-0000-0000-0000DD1B0000}"/>
    <cellStyle name="HEADING1 2 129" xfId="4768" xr:uid="{00000000-0005-0000-0000-0000DE1B0000}"/>
    <cellStyle name="HEADING1 2 129 2" xfId="10944" xr:uid="{00000000-0005-0000-0000-0000DF1B0000}"/>
    <cellStyle name="HEADING1 2 13" xfId="4769" xr:uid="{00000000-0005-0000-0000-0000E01B0000}"/>
    <cellStyle name="HEADING1 2 13 2" xfId="10945" xr:uid="{00000000-0005-0000-0000-0000E11B0000}"/>
    <cellStyle name="HEADING1 2 130" xfId="4770" xr:uid="{00000000-0005-0000-0000-0000E21B0000}"/>
    <cellStyle name="HEADING1 2 130 2" xfId="10946" xr:uid="{00000000-0005-0000-0000-0000E31B0000}"/>
    <cellStyle name="HEADING1 2 131" xfId="4771" xr:uid="{00000000-0005-0000-0000-0000E41B0000}"/>
    <cellStyle name="HEADING1 2 131 2" xfId="10947" xr:uid="{00000000-0005-0000-0000-0000E51B0000}"/>
    <cellStyle name="HEADING1 2 132" xfId="4772" xr:uid="{00000000-0005-0000-0000-0000E61B0000}"/>
    <cellStyle name="HEADING1 2 132 2" xfId="10948" xr:uid="{00000000-0005-0000-0000-0000E71B0000}"/>
    <cellStyle name="HEADING1 2 133" xfId="4773" xr:uid="{00000000-0005-0000-0000-0000E81B0000}"/>
    <cellStyle name="HEADING1 2 133 2" xfId="10949" xr:uid="{00000000-0005-0000-0000-0000E91B0000}"/>
    <cellStyle name="HEADING1 2 134" xfId="4774" xr:uid="{00000000-0005-0000-0000-0000EA1B0000}"/>
    <cellStyle name="HEADING1 2 134 2" xfId="10950" xr:uid="{00000000-0005-0000-0000-0000EB1B0000}"/>
    <cellStyle name="HEADING1 2 135" xfId="4775" xr:uid="{00000000-0005-0000-0000-0000EC1B0000}"/>
    <cellStyle name="HEADING1 2 135 2" xfId="10951" xr:uid="{00000000-0005-0000-0000-0000ED1B0000}"/>
    <cellStyle name="HEADING1 2 136" xfId="4776" xr:uid="{00000000-0005-0000-0000-0000EE1B0000}"/>
    <cellStyle name="HEADING1 2 136 2" xfId="10952" xr:uid="{00000000-0005-0000-0000-0000EF1B0000}"/>
    <cellStyle name="HEADING1 2 137" xfId="4777" xr:uid="{00000000-0005-0000-0000-0000F01B0000}"/>
    <cellStyle name="HEADING1 2 137 2" xfId="10953" xr:uid="{00000000-0005-0000-0000-0000F11B0000}"/>
    <cellStyle name="HEADING1 2 138" xfId="4778" xr:uid="{00000000-0005-0000-0000-0000F21B0000}"/>
    <cellStyle name="HEADING1 2 138 2" xfId="10954" xr:uid="{00000000-0005-0000-0000-0000F31B0000}"/>
    <cellStyle name="HEADING1 2 139" xfId="4779" xr:uid="{00000000-0005-0000-0000-0000F41B0000}"/>
    <cellStyle name="HEADING1 2 139 2" xfId="10955" xr:uid="{00000000-0005-0000-0000-0000F51B0000}"/>
    <cellStyle name="HEADING1 2 14" xfId="4780" xr:uid="{00000000-0005-0000-0000-0000F61B0000}"/>
    <cellStyle name="HEADING1 2 14 2" xfId="10956" xr:uid="{00000000-0005-0000-0000-0000F71B0000}"/>
    <cellStyle name="HEADING1 2 140" xfId="4781" xr:uid="{00000000-0005-0000-0000-0000F81B0000}"/>
    <cellStyle name="HEADING1 2 140 2" xfId="10957" xr:uid="{00000000-0005-0000-0000-0000F91B0000}"/>
    <cellStyle name="HEADING1 2 141" xfId="4782" xr:uid="{00000000-0005-0000-0000-0000FA1B0000}"/>
    <cellStyle name="HEADING1 2 141 2" xfId="10958" xr:uid="{00000000-0005-0000-0000-0000FB1B0000}"/>
    <cellStyle name="HEADING1 2 142" xfId="4783" xr:uid="{00000000-0005-0000-0000-0000FC1B0000}"/>
    <cellStyle name="HEADING1 2 142 2" xfId="10959" xr:uid="{00000000-0005-0000-0000-0000FD1B0000}"/>
    <cellStyle name="HEADING1 2 143" xfId="4784" xr:uid="{00000000-0005-0000-0000-0000FE1B0000}"/>
    <cellStyle name="HEADING1 2 143 2" xfId="10960" xr:uid="{00000000-0005-0000-0000-0000FF1B0000}"/>
    <cellStyle name="HEADING1 2 144" xfId="4785" xr:uid="{00000000-0005-0000-0000-0000001C0000}"/>
    <cellStyle name="HEADING1 2 144 2" xfId="10961" xr:uid="{00000000-0005-0000-0000-0000011C0000}"/>
    <cellStyle name="HEADING1 2 145" xfId="4786" xr:uid="{00000000-0005-0000-0000-0000021C0000}"/>
    <cellStyle name="HEADING1 2 145 2" xfId="10962" xr:uid="{00000000-0005-0000-0000-0000031C0000}"/>
    <cellStyle name="HEADING1 2 146" xfId="4787" xr:uid="{00000000-0005-0000-0000-0000041C0000}"/>
    <cellStyle name="HEADING1 2 146 2" xfId="10963" xr:uid="{00000000-0005-0000-0000-0000051C0000}"/>
    <cellStyle name="HEADING1 2 147" xfId="4788" xr:uid="{00000000-0005-0000-0000-0000061C0000}"/>
    <cellStyle name="HEADING1 2 147 2" xfId="10964" xr:uid="{00000000-0005-0000-0000-0000071C0000}"/>
    <cellStyle name="HEADING1 2 148" xfId="4789" xr:uid="{00000000-0005-0000-0000-0000081C0000}"/>
    <cellStyle name="HEADING1 2 148 2" xfId="10965" xr:uid="{00000000-0005-0000-0000-0000091C0000}"/>
    <cellStyle name="HEADING1 2 149" xfId="4790" xr:uid="{00000000-0005-0000-0000-00000A1C0000}"/>
    <cellStyle name="HEADING1 2 149 2" xfId="10966" xr:uid="{00000000-0005-0000-0000-00000B1C0000}"/>
    <cellStyle name="HEADING1 2 15" xfId="4791" xr:uid="{00000000-0005-0000-0000-00000C1C0000}"/>
    <cellStyle name="HEADING1 2 15 2" xfId="10967" xr:uid="{00000000-0005-0000-0000-00000D1C0000}"/>
    <cellStyle name="HEADING1 2 150" xfId="4792" xr:uid="{00000000-0005-0000-0000-00000E1C0000}"/>
    <cellStyle name="HEADING1 2 150 2" xfId="10968" xr:uid="{00000000-0005-0000-0000-00000F1C0000}"/>
    <cellStyle name="HEADING1 2 151" xfId="4793" xr:uid="{00000000-0005-0000-0000-0000101C0000}"/>
    <cellStyle name="HEADING1 2 151 2" xfId="10969" xr:uid="{00000000-0005-0000-0000-0000111C0000}"/>
    <cellStyle name="HEADING1 2 152" xfId="4794" xr:uid="{00000000-0005-0000-0000-0000121C0000}"/>
    <cellStyle name="HEADING1 2 152 2" xfId="10970" xr:uid="{00000000-0005-0000-0000-0000131C0000}"/>
    <cellStyle name="HEADING1 2 153" xfId="4795" xr:uid="{00000000-0005-0000-0000-0000141C0000}"/>
    <cellStyle name="HEADING1 2 153 2" xfId="10971" xr:uid="{00000000-0005-0000-0000-0000151C0000}"/>
    <cellStyle name="HEADING1 2 154" xfId="4796" xr:uid="{00000000-0005-0000-0000-0000161C0000}"/>
    <cellStyle name="HEADING1 2 154 2" xfId="10972" xr:uid="{00000000-0005-0000-0000-0000171C0000}"/>
    <cellStyle name="HEADING1 2 155" xfId="4797" xr:uid="{00000000-0005-0000-0000-0000181C0000}"/>
    <cellStyle name="HEADING1 2 155 2" xfId="10973" xr:uid="{00000000-0005-0000-0000-0000191C0000}"/>
    <cellStyle name="HEADING1 2 156" xfId="4798" xr:uid="{00000000-0005-0000-0000-00001A1C0000}"/>
    <cellStyle name="HEADING1 2 156 2" xfId="10974" xr:uid="{00000000-0005-0000-0000-00001B1C0000}"/>
    <cellStyle name="HEADING1 2 157" xfId="4799" xr:uid="{00000000-0005-0000-0000-00001C1C0000}"/>
    <cellStyle name="HEADING1 2 157 2" xfId="10975" xr:uid="{00000000-0005-0000-0000-00001D1C0000}"/>
    <cellStyle name="HEADING1 2 158" xfId="4800" xr:uid="{00000000-0005-0000-0000-00001E1C0000}"/>
    <cellStyle name="HEADING1 2 158 2" xfId="10976" xr:uid="{00000000-0005-0000-0000-00001F1C0000}"/>
    <cellStyle name="HEADING1 2 159" xfId="4801" xr:uid="{00000000-0005-0000-0000-0000201C0000}"/>
    <cellStyle name="HEADING1 2 159 2" xfId="10977" xr:uid="{00000000-0005-0000-0000-0000211C0000}"/>
    <cellStyle name="HEADING1 2 16" xfId="4802" xr:uid="{00000000-0005-0000-0000-0000221C0000}"/>
    <cellStyle name="HEADING1 2 16 2" xfId="10978" xr:uid="{00000000-0005-0000-0000-0000231C0000}"/>
    <cellStyle name="HEADING1 2 160" xfId="4803" xr:uid="{00000000-0005-0000-0000-0000241C0000}"/>
    <cellStyle name="HEADING1 2 160 2" xfId="10979" xr:uid="{00000000-0005-0000-0000-0000251C0000}"/>
    <cellStyle name="HEADING1 2 161" xfId="4804" xr:uid="{00000000-0005-0000-0000-0000261C0000}"/>
    <cellStyle name="HEADING1 2 161 2" xfId="10980" xr:uid="{00000000-0005-0000-0000-0000271C0000}"/>
    <cellStyle name="HEADING1 2 162" xfId="4805" xr:uid="{00000000-0005-0000-0000-0000281C0000}"/>
    <cellStyle name="HEADING1 2 162 2" xfId="10981" xr:uid="{00000000-0005-0000-0000-0000291C0000}"/>
    <cellStyle name="HEADING1 2 163" xfId="4806" xr:uid="{00000000-0005-0000-0000-00002A1C0000}"/>
    <cellStyle name="HEADING1 2 163 2" xfId="10982" xr:uid="{00000000-0005-0000-0000-00002B1C0000}"/>
    <cellStyle name="HEADING1 2 164" xfId="4807" xr:uid="{00000000-0005-0000-0000-00002C1C0000}"/>
    <cellStyle name="HEADING1 2 164 2" xfId="10983" xr:uid="{00000000-0005-0000-0000-00002D1C0000}"/>
    <cellStyle name="HEADING1 2 165" xfId="4808" xr:uid="{00000000-0005-0000-0000-00002E1C0000}"/>
    <cellStyle name="HEADING1 2 165 2" xfId="10984" xr:uid="{00000000-0005-0000-0000-00002F1C0000}"/>
    <cellStyle name="HEADING1 2 166" xfId="4809" xr:uid="{00000000-0005-0000-0000-0000301C0000}"/>
    <cellStyle name="HEADING1 2 166 2" xfId="10985" xr:uid="{00000000-0005-0000-0000-0000311C0000}"/>
    <cellStyle name="HEADING1 2 167" xfId="4810" xr:uid="{00000000-0005-0000-0000-0000321C0000}"/>
    <cellStyle name="HEADING1 2 167 2" xfId="10986" xr:uid="{00000000-0005-0000-0000-0000331C0000}"/>
    <cellStyle name="HEADING1 2 168" xfId="4811" xr:uid="{00000000-0005-0000-0000-0000341C0000}"/>
    <cellStyle name="HEADING1 2 168 2" xfId="10987" xr:uid="{00000000-0005-0000-0000-0000351C0000}"/>
    <cellStyle name="HEADING1 2 169" xfId="4812" xr:uid="{00000000-0005-0000-0000-0000361C0000}"/>
    <cellStyle name="HEADING1 2 169 2" xfId="10988" xr:uid="{00000000-0005-0000-0000-0000371C0000}"/>
    <cellStyle name="HEADING1 2 17" xfId="4813" xr:uid="{00000000-0005-0000-0000-0000381C0000}"/>
    <cellStyle name="HEADING1 2 17 2" xfId="10989" xr:uid="{00000000-0005-0000-0000-0000391C0000}"/>
    <cellStyle name="HEADING1 2 170" xfId="4814" xr:uid="{00000000-0005-0000-0000-00003A1C0000}"/>
    <cellStyle name="HEADING1 2 170 2" xfId="10990" xr:uid="{00000000-0005-0000-0000-00003B1C0000}"/>
    <cellStyle name="HEADING1 2 171" xfId="4815" xr:uid="{00000000-0005-0000-0000-00003C1C0000}"/>
    <cellStyle name="HEADING1 2 171 2" xfId="10991" xr:uid="{00000000-0005-0000-0000-00003D1C0000}"/>
    <cellStyle name="HEADING1 2 172" xfId="4816" xr:uid="{00000000-0005-0000-0000-00003E1C0000}"/>
    <cellStyle name="HEADING1 2 172 2" xfId="10992" xr:uid="{00000000-0005-0000-0000-00003F1C0000}"/>
    <cellStyle name="HEADING1 2 173" xfId="4817" xr:uid="{00000000-0005-0000-0000-0000401C0000}"/>
    <cellStyle name="HEADING1 2 173 2" xfId="10993" xr:uid="{00000000-0005-0000-0000-0000411C0000}"/>
    <cellStyle name="HEADING1 2 174" xfId="4818" xr:uid="{00000000-0005-0000-0000-0000421C0000}"/>
    <cellStyle name="HEADING1 2 174 2" xfId="10994" xr:uid="{00000000-0005-0000-0000-0000431C0000}"/>
    <cellStyle name="HEADING1 2 175" xfId="4819" xr:uid="{00000000-0005-0000-0000-0000441C0000}"/>
    <cellStyle name="HEADING1 2 175 2" xfId="10995" xr:uid="{00000000-0005-0000-0000-0000451C0000}"/>
    <cellStyle name="HEADING1 2 176" xfId="4820" xr:uid="{00000000-0005-0000-0000-0000461C0000}"/>
    <cellStyle name="HEADING1 2 176 2" xfId="10996" xr:uid="{00000000-0005-0000-0000-0000471C0000}"/>
    <cellStyle name="HEADING1 2 177" xfId="4821" xr:uid="{00000000-0005-0000-0000-0000481C0000}"/>
    <cellStyle name="HEADING1 2 177 2" xfId="10997" xr:uid="{00000000-0005-0000-0000-0000491C0000}"/>
    <cellStyle name="HEADING1 2 178" xfId="4822" xr:uid="{00000000-0005-0000-0000-00004A1C0000}"/>
    <cellStyle name="HEADING1 2 178 2" xfId="10998" xr:uid="{00000000-0005-0000-0000-00004B1C0000}"/>
    <cellStyle name="HEADING1 2 179" xfId="4823" xr:uid="{00000000-0005-0000-0000-00004C1C0000}"/>
    <cellStyle name="HEADING1 2 179 2" xfId="10999" xr:uid="{00000000-0005-0000-0000-00004D1C0000}"/>
    <cellStyle name="HEADING1 2 18" xfId="4824" xr:uid="{00000000-0005-0000-0000-00004E1C0000}"/>
    <cellStyle name="HEADING1 2 18 2" xfId="11000" xr:uid="{00000000-0005-0000-0000-00004F1C0000}"/>
    <cellStyle name="HEADING1 2 180" xfId="4825" xr:uid="{00000000-0005-0000-0000-0000501C0000}"/>
    <cellStyle name="HEADING1 2 180 2" xfId="11001" xr:uid="{00000000-0005-0000-0000-0000511C0000}"/>
    <cellStyle name="HEADING1 2 181" xfId="4826" xr:uid="{00000000-0005-0000-0000-0000521C0000}"/>
    <cellStyle name="HEADING1 2 181 2" xfId="11002" xr:uid="{00000000-0005-0000-0000-0000531C0000}"/>
    <cellStyle name="HEADING1 2 182" xfId="4827" xr:uid="{00000000-0005-0000-0000-0000541C0000}"/>
    <cellStyle name="HEADING1 2 182 2" xfId="11003" xr:uid="{00000000-0005-0000-0000-0000551C0000}"/>
    <cellStyle name="HEADING1 2 183" xfId="4828" xr:uid="{00000000-0005-0000-0000-0000561C0000}"/>
    <cellStyle name="HEADING1 2 183 2" xfId="11004" xr:uid="{00000000-0005-0000-0000-0000571C0000}"/>
    <cellStyle name="HEADING1 2 184" xfId="4829" xr:uid="{00000000-0005-0000-0000-0000581C0000}"/>
    <cellStyle name="HEADING1 2 184 2" xfId="11005" xr:uid="{00000000-0005-0000-0000-0000591C0000}"/>
    <cellStyle name="HEADING1 2 185" xfId="4830" xr:uid="{00000000-0005-0000-0000-00005A1C0000}"/>
    <cellStyle name="HEADING1 2 185 2" xfId="11006" xr:uid="{00000000-0005-0000-0000-00005B1C0000}"/>
    <cellStyle name="HEADING1 2 186" xfId="4831" xr:uid="{00000000-0005-0000-0000-00005C1C0000}"/>
    <cellStyle name="HEADING1 2 186 2" xfId="11007" xr:uid="{00000000-0005-0000-0000-00005D1C0000}"/>
    <cellStyle name="HEADING1 2 187" xfId="4832" xr:uid="{00000000-0005-0000-0000-00005E1C0000}"/>
    <cellStyle name="HEADING1 2 187 2" xfId="11008" xr:uid="{00000000-0005-0000-0000-00005F1C0000}"/>
    <cellStyle name="HEADING1 2 188" xfId="4833" xr:uid="{00000000-0005-0000-0000-0000601C0000}"/>
    <cellStyle name="HEADING1 2 188 2" xfId="11009" xr:uid="{00000000-0005-0000-0000-0000611C0000}"/>
    <cellStyle name="HEADING1 2 189" xfId="4834" xr:uid="{00000000-0005-0000-0000-0000621C0000}"/>
    <cellStyle name="HEADING1 2 189 2" xfId="11010" xr:uid="{00000000-0005-0000-0000-0000631C0000}"/>
    <cellStyle name="HEADING1 2 19" xfId="4835" xr:uid="{00000000-0005-0000-0000-0000641C0000}"/>
    <cellStyle name="HEADING1 2 19 2" xfId="11011" xr:uid="{00000000-0005-0000-0000-0000651C0000}"/>
    <cellStyle name="HEADING1 2 190" xfId="4836" xr:uid="{00000000-0005-0000-0000-0000661C0000}"/>
    <cellStyle name="HEADING1 2 190 2" xfId="11012" xr:uid="{00000000-0005-0000-0000-0000671C0000}"/>
    <cellStyle name="HEADING1 2 191" xfId="4837" xr:uid="{00000000-0005-0000-0000-0000681C0000}"/>
    <cellStyle name="HEADING1 2 191 2" xfId="11013" xr:uid="{00000000-0005-0000-0000-0000691C0000}"/>
    <cellStyle name="HEADING1 2 192" xfId="4838" xr:uid="{00000000-0005-0000-0000-00006A1C0000}"/>
    <cellStyle name="HEADING1 2 192 2" xfId="11014" xr:uid="{00000000-0005-0000-0000-00006B1C0000}"/>
    <cellStyle name="HEADING1 2 193" xfId="4839" xr:uid="{00000000-0005-0000-0000-00006C1C0000}"/>
    <cellStyle name="HEADING1 2 193 2" xfId="11015" xr:uid="{00000000-0005-0000-0000-00006D1C0000}"/>
    <cellStyle name="HEADING1 2 194" xfId="4840" xr:uid="{00000000-0005-0000-0000-00006E1C0000}"/>
    <cellStyle name="HEADING1 2 194 2" xfId="11016" xr:uid="{00000000-0005-0000-0000-00006F1C0000}"/>
    <cellStyle name="HEADING1 2 195" xfId="4841" xr:uid="{00000000-0005-0000-0000-0000701C0000}"/>
    <cellStyle name="HEADING1 2 195 2" xfId="11017" xr:uid="{00000000-0005-0000-0000-0000711C0000}"/>
    <cellStyle name="HEADING1 2 196" xfId="4842" xr:uid="{00000000-0005-0000-0000-0000721C0000}"/>
    <cellStyle name="HEADING1 2 196 2" xfId="11018" xr:uid="{00000000-0005-0000-0000-0000731C0000}"/>
    <cellStyle name="HEADING1 2 197" xfId="4843" xr:uid="{00000000-0005-0000-0000-0000741C0000}"/>
    <cellStyle name="HEADING1 2 197 2" xfId="11019" xr:uid="{00000000-0005-0000-0000-0000751C0000}"/>
    <cellStyle name="HEADING1 2 198" xfId="4844" xr:uid="{00000000-0005-0000-0000-0000761C0000}"/>
    <cellStyle name="HEADING1 2 198 2" xfId="11020" xr:uid="{00000000-0005-0000-0000-0000771C0000}"/>
    <cellStyle name="HEADING1 2 199" xfId="4845" xr:uid="{00000000-0005-0000-0000-0000781C0000}"/>
    <cellStyle name="HEADING1 2 199 2" xfId="11021" xr:uid="{00000000-0005-0000-0000-0000791C0000}"/>
    <cellStyle name="HEADING1 2 2" xfId="770" xr:uid="{00000000-0005-0000-0000-00007A1C0000}"/>
    <cellStyle name="HEADING1 2 2 2" xfId="771" xr:uid="{00000000-0005-0000-0000-00007B1C0000}"/>
    <cellStyle name="HEADING1 2 2 2 2" xfId="11023" xr:uid="{00000000-0005-0000-0000-00007C1C0000}"/>
    <cellStyle name="HEADING1 2 2 3" xfId="11022" xr:uid="{00000000-0005-0000-0000-00007D1C0000}"/>
    <cellStyle name="HEADING1 2 20" xfId="4847" xr:uid="{00000000-0005-0000-0000-00007E1C0000}"/>
    <cellStyle name="HEADING1 2 20 2" xfId="11024" xr:uid="{00000000-0005-0000-0000-00007F1C0000}"/>
    <cellStyle name="HEADING1 2 200" xfId="4848" xr:uid="{00000000-0005-0000-0000-0000801C0000}"/>
    <cellStyle name="HEADING1 2 200 2" xfId="11025" xr:uid="{00000000-0005-0000-0000-0000811C0000}"/>
    <cellStyle name="HEADING1 2 201" xfId="4849" xr:uid="{00000000-0005-0000-0000-0000821C0000}"/>
    <cellStyle name="HEADING1 2 201 2" xfId="11026" xr:uid="{00000000-0005-0000-0000-0000831C0000}"/>
    <cellStyle name="HEADING1 2 202" xfId="4850" xr:uid="{00000000-0005-0000-0000-0000841C0000}"/>
    <cellStyle name="HEADING1 2 202 2" xfId="11027" xr:uid="{00000000-0005-0000-0000-0000851C0000}"/>
    <cellStyle name="HEADING1 2 203" xfId="4851" xr:uid="{00000000-0005-0000-0000-0000861C0000}"/>
    <cellStyle name="HEADING1 2 203 2" xfId="11028" xr:uid="{00000000-0005-0000-0000-0000871C0000}"/>
    <cellStyle name="HEADING1 2 204" xfId="4852" xr:uid="{00000000-0005-0000-0000-0000881C0000}"/>
    <cellStyle name="HEADING1 2 204 2" xfId="11029" xr:uid="{00000000-0005-0000-0000-0000891C0000}"/>
    <cellStyle name="HEADING1 2 205" xfId="4853" xr:uid="{00000000-0005-0000-0000-00008A1C0000}"/>
    <cellStyle name="HEADING1 2 205 2" xfId="11030" xr:uid="{00000000-0005-0000-0000-00008B1C0000}"/>
    <cellStyle name="HEADING1 2 206" xfId="4854" xr:uid="{00000000-0005-0000-0000-00008C1C0000}"/>
    <cellStyle name="HEADING1 2 206 2" xfId="11031" xr:uid="{00000000-0005-0000-0000-00008D1C0000}"/>
    <cellStyle name="HEADING1 2 207" xfId="4855" xr:uid="{00000000-0005-0000-0000-00008E1C0000}"/>
    <cellStyle name="HEADING1 2 207 2" xfId="11032" xr:uid="{00000000-0005-0000-0000-00008F1C0000}"/>
    <cellStyle name="HEADING1 2 208" xfId="4856" xr:uid="{00000000-0005-0000-0000-0000901C0000}"/>
    <cellStyle name="HEADING1 2 208 2" xfId="11033" xr:uid="{00000000-0005-0000-0000-0000911C0000}"/>
    <cellStyle name="HEADING1 2 209" xfId="4857" xr:uid="{00000000-0005-0000-0000-0000921C0000}"/>
    <cellStyle name="HEADING1 2 209 2" xfId="11034" xr:uid="{00000000-0005-0000-0000-0000931C0000}"/>
    <cellStyle name="HEADING1 2 21" xfId="4858" xr:uid="{00000000-0005-0000-0000-0000941C0000}"/>
    <cellStyle name="HEADING1 2 21 2" xfId="11035" xr:uid="{00000000-0005-0000-0000-0000951C0000}"/>
    <cellStyle name="HEADING1 2 210" xfId="4859" xr:uid="{00000000-0005-0000-0000-0000961C0000}"/>
    <cellStyle name="HEADING1 2 210 2" xfId="11036" xr:uid="{00000000-0005-0000-0000-0000971C0000}"/>
    <cellStyle name="HEADING1 2 211" xfId="4860" xr:uid="{00000000-0005-0000-0000-0000981C0000}"/>
    <cellStyle name="HEADING1 2 211 2" xfId="11037" xr:uid="{00000000-0005-0000-0000-0000991C0000}"/>
    <cellStyle name="HEADING1 2 212" xfId="4861" xr:uid="{00000000-0005-0000-0000-00009A1C0000}"/>
    <cellStyle name="HEADING1 2 212 2" xfId="11038" xr:uid="{00000000-0005-0000-0000-00009B1C0000}"/>
    <cellStyle name="HEADING1 2 213" xfId="4862" xr:uid="{00000000-0005-0000-0000-00009C1C0000}"/>
    <cellStyle name="HEADING1 2 213 2" xfId="11039" xr:uid="{00000000-0005-0000-0000-00009D1C0000}"/>
    <cellStyle name="HEADING1 2 214" xfId="4863" xr:uid="{00000000-0005-0000-0000-00009E1C0000}"/>
    <cellStyle name="HEADING1 2 214 2" xfId="11040" xr:uid="{00000000-0005-0000-0000-00009F1C0000}"/>
    <cellStyle name="HEADING1 2 215" xfId="4864" xr:uid="{00000000-0005-0000-0000-0000A01C0000}"/>
    <cellStyle name="HEADING1 2 215 2" xfId="11041" xr:uid="{00000000-0005-0000-0000-0000A11C0000}"/>
    <cellStyle name="HEADING1 2 216" xfId="4865" xr:uid="{00000000-0005-0000-0000-0000A21C0000}"/>
    <cellStyle name="HEADING1 2 216 2" xfId="11042" xr:uid="{00000000-0005-0000-0000-0000A31C0000}"/>
    <cellStyle name="HEADING1 2 217" xfId="4866" xr:uid="{00000000-0005-0000-0000-0000A41C0000}"/>
    <cellStyle name="HEADING1 2 217 2" xfId="11043" xr:uid="{00000000-0005-0000-0000-0000A51C0000}"/>
    <cellStyle name="HEADING1 2 218" xfId="4867" xr:uid="{00000000-0005-0000-0000-0000A61C0000}"/>
    <cellStyle name="HEADING1 2 218 2" xfId="11044" xr:uid="{00000000-0005-0000-0000-0000A71C0000}"/>
    <cellStyle name="HEADING1 2 219" xfId="4868" xr:uid="{00000000-0005-0000-0000-0000A81C0000}"/>
    <cellStyle name="HEADING1 2 219 2" xfId="11045" xr:uid="{00000000-0005-0000-0000-0000A91C0000}"/>
    <cellStyle name="HEADING1 2 22" xfId="4869" xr:uid="{00000000-0005-0000-0000-0000AA1C0000}"/>
    <cellStyle name="HEADING1 2 22 2" xfId="11046" xr:uid="{00000000-0005-0000-0000-0000AB1C0000}"/>
    <cellStyle name="HEADING1 2 220" xfId="4870" xr:uid="{00000000-0005-0000-0000-0000AC1C0000}"/>
    <cellStyle name="HEADING1 2 220 2" xfId="11047" xr:uid="{00000000-0005-0000-0000-0000AD1C0000}"/>
    <cellStyle name="HEADING1 2 221" xfId="4871" xr:uid="{00000000-0005-0000-0000-0000AE1C0000}"/>
    <cellStyle name="HEADING1 2 221 2" xfId="11048" xr:uid="{00000000-0005-0000-0000-0000AF1C0000}"/>
    <cellStyle name="HEADING1 2 222" xfId="4872" xr:uid="{00000000-0005-0000-0000-0000B01C0000}"/>
    <cellStyle name="HEADING1 2 222 2" xfId="11049" xr:uid="{00000000-0005-0000-0000-0000B11C0000}"/>
    <cellStyle name="HEADING1 2 223" xfId="4873" xr:uid="{00000000-0005-0000-0000-0000B21C0000}"/>
    <cellStyle name="HEADING1 2 223 2" xfId="11050" xr:uid="{00000000-0005-0000-0000-0000B31C0000}"/>
    <cellStyle name="HEADING1 2 224" xfId="4874" xr:uid="{00000000-0005-0000-0000-0000B41C0000}"/>
    <cellStyle name="HEADING1 2 224 2" xfId="11051" xr:uid="{00000000-0005-0000-0000-0000B51C0000}"/>
    <cellStyle name="HEADING1 2 225" xfId="4875" xr:uid="{00000000-0005-0000-0000-0000B61C0000}"/>
    <cellStyle name="HEADING1 2 225 2" xfId="11052" xr:uid="{00000000-0005-0000-0000-0000B71C0000}"/>
    <cellStyle name="HEADING1 2 226" xfId="4876" xr:uid="{00000000-0005-0000-0000-0000B81C0000}"/>
    <cellStyle name="HEADING1 2 226 2" xfId="11053" xr:uid="{00000000-0005-0000-0000-0000B91C0000}"/>
    <cellStyle name="HEADING1 2 227" xfId="4877" xr:uid="{00000000-0005-0000-0000-0000BA1C0000}"/>
    <cellStyle name="HEADING1 2 227 2" xfId="11054" xr:uid="{00000000-0005-0000-0000-0000BB1C0000}"/>
    <cellStyle name="HEADING1 2 228" xfId="4878" xr:uid="{00000000-0005-0000-0000-0000BC1C0000}"/>
    <cellStyle name="HEADING1 2 228 2" xfId="11055" xr:uid="{00000000-0005-0000-0000-0000BD1C0000}"/>
    <cellStyle name="HEADING1 2 229" xfId="4879" xr:uid="{00000000-0005-0000-0000-0000BE1C0000}"/>
    <cellStyle name="HEADING1 2 229 2" xfId="11056" xr:uid="{00000000-0005-0000-0000-0000BF1C0000}"/>
    <cellStyle name="HEADING1 2 23" xfId="4880" xr:uid="{00000000-0005-0000-0000-0000C01C0000}"/>
    <cellStyle name="HEADING1 2 23 2" xfId="11057" xr:uid="{00000000-0005-0000-0000-0000C11C0000}"/>
    <cellStyle name="HEADING1 2 230" xfId="4881" xr:uid="{00000000-0005-0000-0000-0000C21C0000}"/>
    <cellStyle name="HEADING1 2 230 2" xfId="11058" xr:uid="{00000000-0005-0000-0000-0000C31C0000}"/>
    <cellStyle name="HEADING1 2 231" xfId="4882" xr:uid="{00000000-0005-0000-0000-0000C41C0000}"/>
    <cellStyle name="HEADING1 2 231 2" xfId="11059" xr:uid="{00000000-0005-0000-0000-0000C51C0000}"/>
    <cellStyle name="HEADING1 2 232" xfId="4883" xr:uid="{00000000-0005-0000-0000-0000C61C0000}"/>
    <cellStyle name="HEADING1 2 232 2" xfId="11060" xr:uid="{00000000-0005-0000-0000-0000C71C0000}"/>
    <cellStyle name="HEADING1 2 233" xfId="4884" xr:uid="{00000000-0005-0000-0000-0000C81C0000}"/>
    <cellStyle name="HEADING1 2 233 2" xfId="11061" xr:uid="{00000000-0005-0000-0000-0000C91C0000}"/>
    <cellStyle name="HEADING1 2 234" xfId="4885" xr:uid="{00000000-0005-0000-0000-0000CA1C0000}"/>
    <cellStyle name="HEADING1 2 234 2" xfId="11062" xr:uid="{00000000-0005-0000-0000-0000CB1C0000}"/>
    <cellStyle name="HEADING1 2 235" xfId="4886" xr:uid="{00000000-0005-0000-0000-0000CC1C0000}"/>
    <cellStyle name="HEADING1 2 235 2" xfId="11063" xr:uid="{00000000-0005-0000-0000-0000CD1C0000}"/>
    <cellStyle name="HEADING1 2 236" xfId="4887" xr:uid="{00000000-0005-0000-0000-0000CE1C0000}"/>
    <cellStyle name="HEADING1 2 236 2" xfId="11064" xr:uid="{00000000-0005-0000-0000-0000CF1C0000}"/>
    <cellStyle name="HEADING1 2 237" xfId="4888" xr:uid="{00000000-0005-0000-0000-0000D01C0000}"/>
    <cellStyle name="HEADING1 2 237 2" xfId="11065" xr:uid="{00000000-0005-0000-0000-0000D11C0000}"/>
    <cellStyle name="HEADING1 2 238" xfId="4889" xr:uid="{00000000-0005-0000-0000-0000D21C0000}"/>
    <cellStyle name="HEADING1 2 238 2" xfId="11066" xr:uid="{00000000-0005-0000-0000-0000D31C0000}"/>
    <cellStyle name="HEADING1 2 239" xfId="4890" xr:uid="{00000000-0005-0000-0000-0000D41C0000}"/>
    <cellStyle name="HEADING1 2 239 2" xfId="11067" xr:uid="{00000000-0005-0000-0000-0000D51C0000}"/>
    <cellStyle name="HEADING1 2 24" xfId="4891" xr:uid="{00000000-0005-0000-0000-0000D61C0000}"/>
    <cellStyle name="HEADING1 2 24 2" xfId="11068" xr:uid="{00000000-0005-0000-0000-0000D71C0000}"/>
    <cellStyle name="HEADING1 2 240" xfId="4892" xr:uid="{00000000-0005-0000-0000-0000D81C0000}"/>
    <cellStyle name="HEADING1 2 240 2" xfId="11069" xr:uid="{00000000-0005-0000-0000-0000D91C0000}"/>
    <cellStyle name="HEADING1 2 241" xfId="4893" xr:uid="{00000000-0005-0000-0000-0000DA1C0000}"/>
    <cellStyle name="HEADING1 2 241 2" xfId="11070" xr:uid="{00000000-0005-0000-0000-0000DB1C0000}"/>
    <cellStyle name="HEADING1 2 242" xfId="4894" xr:uid="{00000000-0005-0000-0000-0000DC1C0000}"/>
    <cellStyle name="HEADING1 2 242 2" xfId="11071" xr:uid="{00000000-0005-0000-0000-0000DD1C0000}"/>
    <cellStyle name="HEADING1 2 243" xfId="4895" xr:uid="{00000000-0005-0000-0000-0000DE1C0000}"/>
    <cellStyle name="HEADING1 2 243 2" xfId="11072" xr:uid="{00000000-0005-0000-0000-0000DF1C0000}"/>
    <cellStyle name="HEADING1 2 244" xfId="4896" xr:uid="{00000000-0005-0000-0000-0000E01C0000}"/>
    <cellStyle name="HEADING1 2 244 2" xfId="11073" xr:uid="{00000000-0005-0000-0000-0000E11C0000}"/>
    <cellStyle name="HEADING1 2 245" xfId="4897" xr:uid="{00000000-0005-0000-0000-0000E21C0000}"/>
    <cellStyle name="HEADING1 2 245 2" xfId="11074" xr:uid="{00000000-0005-0000-0000-0000E31C0000}"/>
    <cellStyle name="HEADING1 2 246" xfId="4898" xr:uid="{00000000-0005-0000-0000-0000E41C0000}"/>
    <cellStyle name="HEADING1 2 246 2" xfId="11075" xr:uid="{00000000-0005-0000-0000-0000E51C0000}"/>
    <cellStyle name="HEADING1 2 247" xfId="4899" xr:uid="{00000000-0005-0000-0000-0000E61C0000}"/>
    <cellStyle name="HEADING1 2 247 2" xfId="11076" xr:uid="{00000000-0005-0000-0000-0000E71C0000}"/>
    <cellStyle name="HEADING1 2 248" xfId="4900" xr:uid="{00000000-0005-0000-0000-0000E81C0000}"/>
    <cellStyle name="HEADING1 2 248 2" xfId="11077" xr:uid="{00000000-0005-0000-0000-0000E91C0000}"/>
    <cellStyle name="HEADING1 2 249" xfId="4901" xr:uid="{00000000-0005-0000-0000-0000EA1C0000}"/>
    <cellStyle name="HEADING1 2 249 2" xfId="11078" xr:uid="{00000000-0005-0000-0000-0000EB1C0000}"/>
    <cellStyle name="HEADING1 2 25" xfId="4902" xr:uid="{00000000-0005-0000-0000-0000EC1C0000}"/>
    <cellStyle name="HEADING1 2 25 2" xfId="11079" xr:uid="{00000000-0005-0000-0000-0000ED1C0000}"/>
    <cellStyle name="HEADING1 2 250" xfId="4903" xr:uid="{00000000-0005-0000-0000-0000EE1C0000}"/>
    <cellStyle name="HEADING1 2 250 2" xfId="11080" xr:uid="{00000000-0005-0000-0000-0000EF1C0000}"/>
    <cellStyle name="HEADING1 2 251" xfId="4904" xr:uid="{00000000-0005-0000-0000-0000F01C0000}"/>
    <cellStyle name="HEADING1 2 251 2" xfId="11081" xr:uid="{00000000-0005-0000-0000-0000F11C0000}"/>
    <cellStyle name="HEADING1 2 252" xfId="4905" xr:uid="{00000000-0005-0000-0000-0000F21C0000}"/>
    <cellStyle name="HEADING1 2 252 2" xfId="11082" xr:uid="{00000000-0005-0000-0000-0000F31C0000}"/>
    <cellStyle name="HEADING1 2 253" xfId="4906" xr:uid="{00000000-0005-0000-0000-0000F41C0000}"/>
    <cellStyle name="HEADING1 2 253 2" xfId="11083" xr:uid="{00000000-0005-0000-0000-0000F51C0000}"/>
    <cellStyle name="HEADING1 2 254" xfId="4907" xr:uid="{00000000-0005-0000-0000-0000F61C0000}"/>
    <cellStyle name="HEADING1 2 254 2" xfId="11084" xr:uid="{00000000-0005-0000-0000-0000F71C0000}"/>
    <cellStyle name="HEADING1 2 255" xfId="4908" xr:uid="{00000000-0005-0000-0000-0000F81C0000}"/>
    <cellStyle name="HEADING1 2 255 2" xfId="11085" xr:uid="{00000000-0005-0000-0000-0000F91C0000}"/>
    <cellStyle name="HEADING1 2 256" xfId="10911" xr:uid="{00000000-0005-0000-0000-0000FA1C0000}"/>
    <cellStyle name="HEADING1 2 26" xfId="4909" xr:uid="{00000000-0005-0000-0000-0000FB1C0000}"/>
    <cellStyle name="HEADING1 2 26 2" xfId="11086" xr:uid="{00000000-0005-0000-0000-0000FC1C0000}"/>
    <cellStyle name="HEADING1 2 27" xfId="4910" xr:uid="{00000000-0005-0000-0000-0000FD1C0000}"/>
    <cellStyle name="HEADING1 2 27 2" xfId="11087" xr:uid="{00000000-0005-0000-0000-0000FE1C0000}"/>
    <cellStyle name="HEADING1 2 28" xfId="4911" xr:uid="{00000000-0005-0000-0000-0000FF1C0000}"/>
    <cellStyle name="HEADING1 2 28 2" xfId="11088" xr:uid="{00000000-0005-0000-0000-0000001D0000}"/>
    <cellStyle name="HEADING1 2 29" xfId="4912" xr:uid="{00000000-0005-0000-0000-0000011D0000}"/>
    <cellStyle name="HEADING1 2 29 2" xfId="11089" xr:uid="{00000000-0005-0000-0000-0000021D0000}"/>
    <cellStyle name="HEADING1 2 3" xfId="772" xr:uid="{00000000-0005-0000-0000-0000031D0000}"/>
    <cellStyle name="HEADING1 2 3 2" xfId="773" xr:uid="{00000000-0005-0000-0000-0000041D0000}"/>
    <cellStyle name="HEADING1 2 3 2 2" xfId="8442" xr:uid="{00000000-0005-0000-0000-0000051D0000}"/>
    <cellStyle name="HEADING1 2 3 2 2 2" xfId="11092" xr:uid="{00000000-0005-0000-0000-0000061D0000}"/>
    <cellStyle name="HEADING1 2 3 2 3" xfId="11091" xr:uid="{00000000-0005-0000-0000-0000071D0000}"/>
    <cellStyle name="HEADING1 2 3 3" xfId="4913" xr:uid="{00000000-0005-0000-0000-0000081D0000}"/>
    <cellStyle name="HEADING1 2 3 3 2" xfId="11093" xr:uid="{00000000-0005-0000-0000-0000091D0000}"/>
    <cellStyle name="HEADING1 2 3 4" xfId="11090" xr:uid="{00000000-0005-0000-0000-00000A1D0000}"/>
    <cellStyle name="HEADING1 2 30" xfId="4914" xr:uid="{00000000-0005-0000-0000-00000B1D0000}"/>
    <cellStyle name="HEADING1 2 30 2" xfId="11094" xr:uid="{00000000-0005-0000-0000-00000C1D0000}"/>
    <cellStyle name="HEADING1 2 31" xfId="4915" xr:uid="{00000000-0005-0000-0000-00000D1D0000}"/>
    <cellStyle name="HEADING1 2 31 2" xfId="11095" xr:uid="{00000000-0005-0000-0000-00000E1D0000}"/>
    <cellStyle name="HEADING1 2 32" xfId="4916" xr:uid="{00000000-0005-0000-0000-00000F1D0000}"/>
    <cellStyle name="HEADING1 2 32 2" xfId="11096" xr:uid="{00000000-0005-0000-0000-0000101D0000}"/>
    <cellStyle name="HEADING1 2 33" xfId="4917" xr:uid="{00000000-0005-0000-0000-0000111D0000}"/>
    <cellStyle name="HEADING1 2 33 2" xfId="11097" xr:uid="{00000000-0005-0000-0000-0000121D0000}"/>
    <cellStyle name="HEADING1 2 34" xfId="4918" xr:uid="{00000000-0005-0000-0000-0000131D0000}"/>
    <cellStyle name="HEADING1 2 34 2" xfId="11098" xr:uid="{00000000-0005-0000-0000-0000141D0000}"/>
    <cellStyle name="HEADING1 2 35" xfId="4919" xr:uid="{00000000-0005-0000-0000-0000151D0000}"/>
    <cellStyle name="HEADING1 2 35 2" xfId="11099" xr:uid="{00000000-0005-0000-0000-0000161D0000}"/>
    <cellStyle name="HEADING1 2 36" xfId="4920" xr:uid="{00000000-0005-0000-0000-0000171D0000}"/>
    <cellStyle name="HEADING1 2 36 2" xfId="11100" xr:uid="{00000000-0005-0000-0000-0000181D0000}"/>
    <cellStyle name="HEADING1 2 37" xfId="4921" xr:uid="{00000000-0005-0000-0000-0000191D0000}"/>
    <cellStyle name="HEADING1 2 37 2" xfId="11101" xr:uid="{00000000-0005-0000-0000-00001A1D0000}"/>
    <cellStyle name="HEADING1 2 38" xfId="4922" xr:uid="{00000000-0005-0000-0000-00001B1D0000}"/>
    <cellStyle name="HEADING1 2 38 2" xfId="11102" xr:uid="{00000000-0005-0000-0000-00001C1D0000}"/>
    <cellStyle name="HEADING1 2 39" xfId="4923" xr:uid="{00000000-0005-0000-0000-00001D1D0000}"/>
    <cellStyle name="HEADING1 2 39 2" xfId="11103" xr:uid="{00000000-0005-0000-0000-00001E1D0000}"/>
    <cellStyle name="HEADING1 2 4" xfId="774" xr:uid="{00000000-0005-0000-0000-00001F1D0000}"/>
    <cellStyle name="HEADING1 2 4 2" xfId="775" xr:uid="{00000000-0005-0000-0000-0000201D0000}"/>
    <cellStyle name="HEADING1 2 4 2 2" xfId="8443" xr:uid="{00000000-0005-0000-0000-0000211D0000}"/>
    <cellStyle name="HEADING1 2 4 2 2 2" xfId="11106" xr:uid="{00000000-0005-0000-0000-0000221D0000}"/>
    <cellStyle name="HEADING1 2 4 2 3" xfId="11105" xr:uid="{00000000-0005-0000-0000-0000231D0000}"/>
    <cellStyle name="HEADING1 2 4 3" xfId="4924" xr:uid="{00000000-0005-0000-0000-0000241D0000}"/>
    <cellStyle name="HEADING1 2 4 3 2" xfId="11107" xr:uid="{00000000-0005-0000-0000-0000251D0000}"/>
    <cellStyle name="HEADING1 2 4 4" xfId="11104" xr:uid="{00000000-0005-0000-0000-0000261D0000}"/>
    <cellStyle name="HEADING1 2 40" xfId="4925" xr:uid="{00000000-0005-0000-0000-0000271D0000}"/>
    <cellStyle name="HEADING1 2 40 2" xfId="11108" xr:uid="{00000000-0005-0000-0000-0000281D0000}"/>
    <cellStyle name="HEADING1 2 41" xfId="4926" xr:uid="{00000000-0005-0000-0000-0000291D0000}"/>
    <cellStyle name="HEADING1 2 41 2" xfId="11109" xr:uid="{00000000-0005-0000-0000-00002A1D0000}"/>
    <cellStyle name="HEADING1 2 42" xfId="4927" xr:uid="{00000000-0005-0000-0000-00002B1D0000}"/>
    <cellStyle name="HEADING1 2 42 2" xfId="11110" xr:uid="{00000000-0005-0000-0000-00002C1D0000}"/>
    <cellStyle name="HEADING1 2 43" xfId="4928" xr:uid="{00000000-0005-0000-0000-00002D1D0000}"/>
    <cellStyle name="HEADING1 2 43 2" xfId="11111" xr:uid="{00000000-0005-0000-0000-00002E1D0000}"/>
    <cellStyle name="HEADING1 2 44" xfId="4929" xr:uid="{00000000-0005-0000-0000-00002F1D0000}"/>
    <cellStyle name="HEADING1 2 44 2" xfId="11112" xr:uid="{00000000-0005-0000-0000-0000301D0000}"/>
    <cellStyle name="HEADING1 2 45" xfId="4930" xr:uid="{00000000-0005-0000-0000-0000311D0000}"/>
    <cellStyle name="HEADING1 2 45 2" xfId="11113" xr:uid="{00000000-0005-0000-0000-0000321D0000}"/>
    <cellStyle name="HEADING1 2 46" xfId="4931" xr:uid="{00000000-0005-0000-0000-0000331D0000}"/>
    <cellStyle name="HEADING1 2 46 2" xfId="11114" xr:uid="{00000000-0005-0000-0000-0000341D0000}"/>
    <cellStyle name="HEADING1 2 47" xfId="4932" xr:uid="{00000000-0005-0000-0000-0000351D0000}"/>
    <cellStyle name="HEADING1 2 47 2" xfId="11115" xr:uid="{00000000-0005-0000-0000-0000361D0000}"/>
    <cellStyle name="HEADING1 2 48" xfId="4933" xr:uid="{00000000-0005-0000-0000-0000371D0000}"/>
    <cellStyle name="HEADING1 2 48 2" xfId="11116" xr:uid="{00000000-0005-0000-0000-0000381D0000}"/>
    <cellStyle name="HEADING1 2 49" xfId="4934" xr:uid="{00000000-0005-0000-0000-0000391D0000}"/>
    <cellStyle name="HEADING1 2 49 2" xfId="11117" xr:uid="{00000000-0005-0000-0000-00003A1D0000}"/>
    <cellStyle name="HEADING1 2 5" xfId="776" xr:uid="{00000000-0005-0000-0000-00003B1D0000}"/>
    <cellStyle name="HEADING1 2 5 2" xfId="777" xr:uid="{00000000-0005-0000-0000-00003C1D0000}"/>
    <cellStyle name="HEADING1 2 5 2 2" xfId="8444" xr:uid="{00000000-0005-0000-0000-00003D1D0000}"/>
    <cellStyle name="HEADING1 2 5 2 2 2" xfId="11120" xr:uid="{00000000-0005-0000-0000-00003E1D0000}"/>
    <cellStyle name="HEADING1 2 5 2 3" xfId="11119" xr:uid="{00000000-0005-0000-0000-00003F1D0000}"/>
    <cellStyle name="HEADING1 2 5 3" xfId="4935" xr:uid="{00000000-0005-0000-0000-0000401D0000}"/>
    <cellStyle name="HEADING1 2 5 3 2" xfId="11121" xr:uid="{00000000-0005-0000-0000-0000411D0000}"/>
    <cellStyle name="HEADING1 2 5 4" xfId="11118" xr:uid="{00000000-0005-0000-0000-0000421D0000}"/>
    <cellStyle name="HEADING1 2 50" xfId="4936" xr:uid="{00000000-0005-0000-0000-0000431D0000}"/>
    <cellStyle name="HEADING1 2 50 2" xfId="11122" xr:uid="{00000000-0005-0000-0000-0000441D0000}"/>
    <cellStyle name="HEADING1 2 51" xfId="4937" xr:uid="{00000000-0005-0000-0000-0000451D0000}"/>
    <cellStyle name="HEADING1 2 51 2" xfId="11123" xr:uid="{00000000-0005-0000-0000-0000461D0000}"/>
    <cellStyle name="HEADING1 2 52" xfId="4938" xr:uid="{00000000-0005-0000-0000-0000471D0000}"/>
    <cellStyle name="HEADING1 2 52 2" xfId="11124" xr:uid="{00000000-0005-0000-0000-0000481D0000}"/>
    <cellStyle name="HEADING1 2 53" xfId="4939" xr:uid="{00000000-0005-0000-0000-0000491D0000}"/>
    <cellStyle name="HEADING1 2 53 2" xfId="11125" xr:uid="{00000000-0005-0000-0000-00004A1D0000}"/>
    <cellStyle name="HEADING1 2 54" xfId="4940" xr:uid="{00000000-0005-0000-0000-00004B1D0000}"/>
    <cellStyle name="HEADING1 2 54 2" xfId="11126" xr:uid="{00000000-0005-0000-0000-00004C1D0000}"/>
    <cellStyle name="HEADING1 2 55" xfId="4941" xr:uid="{00000000-0005-0000-0000-00004D1D0000}"/>
    <cellStyle name="HEADING1 2 55 2" xfId="11127" xr:uid="{00000000-0005-0000-0000-00004E1D0000}"/>
    <cellStyle name="HEADING1 2 56" xfId="4942" xr:uid="{00000000-0005-0000-0000-00004F1D0000}"/>
    <cellStyle name="HEADING1 2 56 2" xfId="11128" xr:uid="{00000000-0005-0000-0000-0000501D0000}"/>
    <cellStyle name="HEADING1 2 57" xfId="4943" xr:uid="{00000000-0005-0000-0000-0000511D0000}"/>
    <cellStyle name="HEADING1 2 57 2" xfId="11129" xr:uid="{00000000-0005-0000-0000-0000521D0000}"/>
    <cellStyle name="HEADING1 2 58" xfId="4944" xr:uid="{00000000-0005-0000-0000-0000531D0000}"/>
    <cellStyle name="HEADING1 2 58 2" xfId="11130" xr:uid="{00000000-0005-0000-0000-0000541D0000}"/>
    <cellStyle name="HEADING1 2 59" xfId="4945" xr:uid="{00000000-0005-0000-0000-0000551D0000}"/>
    <cellStyle name="HEADING1 2 59 2" xfId="11131" xr:uid="{00000000-0005-0000-0000-0000561D0000}"/>
    <cellStyle name="HEADING1 2 6" xfId="778" xr:uid="{00000000-0005-0000-0000-0000571D0000}"/>
    <cellStyle name="HEADING1 2 6 2" xfId="779" xr:uid="{00000000-0005-0000-0000-0000581D0000}"/>
    <cellStyle name="HEADING1 2 6 2 2" xfId="8445" xr:uid="{00000000-0005-0000-0000-0000591D0000}"/>
    <cellStyle name="HEADING1 2 6 2 2 2" xfId="11134" xr:uid="{00000000-0005-0000-0000-00005A1D0000}"/>
    <cellStyle name="HEADING1 2 6 2 3" xfId="11133" xr:uid="{00000000-0005-0000-0000-00005B1D0000}"/>
    <cellStyle name="HEADING1 2 6 3" xfId="4946" xr:uid="{00000000-0005-0000-0000-00005C1D0000}"/>
    <cellStyle name="HEADING1 2 6 3 2" xfId="11135" xr:uid="{00000000-0005-0000-0000-00005D1D0000}"/>
    <cellStyle name="HEADING1 2 6 4" xfId="11132" xr:uid="{00000000-0005-0000-0000-00005E1D0000}"/>
    <cellStyle name="HEADING1 2 60" xfId="4947" xr:uid="{00000000-0005-0000-0000-00005F1D0000}"/>
    <cellStyle name="HEADING1 2 60 2" xfId="11136" xr:uid="{00000000-0005-0000-0000-0000601D0000}"/>
    <cellStyle name="HEADING1 2 61" xfId="4948" xr:uid="{00000000-0005-0000-0000-0000611D0000}"/>
    <cellStyle name="HEADING1 2 61 2" xfId="11137" xr:uid="{00000000-0005-0000-0000-0000621D0000}"/>
    <cellStyle name="HEADING1 2 62" xfId="4949" xr:uid="{00000000-0005-0000-0000-0000631D0000}"/>
    <cellStyle name="HEADING1 2 62 2" xfId="11138" xr:uid="{00000000-0005-0000-0000-0000641D0000}"/>
    <cellStyle name="HEADING1 2 63" xfId="4950" xr:uid="{00000000-0005-0000-0000-0000651D0000}"/>
    <cellStyle name="HEADING1 2 63 2" xfId="11139" xr:uid="{00000000-0005-0000-0000-0000661D0000}"/>
    <cellStyle name="HEADING1 2 64" xfId="4951" xr:uid="{00000000-0005-0000-0000-0000671D0000}"/>
    <cellStyle name="HEADING1 2 64 2" xfId="11140" xr:uid="{00000000-0005-0000-0000-0000681D0000}"/>
    <cellStyle name="HEADING1 2 65" xfId="4952" xr:uid="{00000000-0005-0000-0000-0000691D0000}"/>
    <cellStyle name="HEADING1 2 65 2" xfId="11141" xr:uid="{00000000-0005-0000-0000-00006A1D0000}"/>
    <cellStyle name="HEADING1 2 66" xfId="4953" xr:uid="{00000000-0005-0000-0000-00006B1D0000}"/>
    <cellStyle name="HEADING1 2 66 2" xfId="11142" xr:uid="{00000000-0005-0000-0000-00006C1D0000}"/>
    <cellStyle name="HEADING1 2 67" xfId="4954" xr:uid="{00000000-0005-0000-0000-00006D1D0000}"/>
    <cellStyle name="HEADING1 2 67 2" xfId="11143" xr:uid="{00000000-0005-0000-0000-00006E1D0000}"/>
    <cellStyle name="HEADING1 2 68" xfId="4955" xr:uid="{00000000-0005-0000-0000-00006F1D0000}"/>
    <cellStyle name="HEADING1 2 68 2" xfId="11144" xr:uid="{00000000-0005-0000-0000-0000701D0000}"/>
    <cellStyle name="HEADING1 2 69" xfId="4956" xr:uid="{00000000-0005-0000-0000-0000711D0000}"/>
    <cellStyle name="HEADING1 2 69 2" xfId="11145" xr:uid="{00000000-0005-0000-0000-0000721D0000}"/>
    <cellStyle name="HEADING1 2 7" xfId="780" xr:uid="{00000000-0005-0000-0000-0000731D0000}"/>
    <cellStyle name="HEADING1 2 7 2" xfId="781" xr:uid="{00000000-0005-0000-0000-0000741D0000}"/>
    <cellStyle name="HEADING1 2 7 2 2" xfId="8446" xr:uid="{00000000-0005-0000-0000-0000751D0000}"/>
    <cellStyle name="HEADING1 2 7 2 2 2" xfId="11148" xr:uid="{00000000-0005-0000-0000-0000761D0000}"/>
    <cellStyle name="HEADING1 2 7 2 3" xfId="11147" xr:uid="{00000000-0005-0000-0000-0000771D0000}"/>
    <cellStyle name="HEADING1 2 7 3" xfId="4957" xr:uid="{00000000-0005-0000-0000-0000781D0000}"/>
    <cellStyle name="HEADING1 2 7 3 2" xfId="11149" xr:uid="{00000000-0005-0000-0000-0000791D0000}"/>
    <cellStyle name="HEADING1 2 7 4" xfId="11146" xr:uid="{00000000-0005-0000-0000-00007A1D0000}"/>
    <cellStyle name="HEADING1 2 70" xfId="4958" xr:uid="{00000000-0005-0000-0000-00007B1D0000}"/>
    <cellStyle name="HEADING1 2 70 2" xfId="11150" xr:uid="{00000000-0005-0000-0000-00007C1D0000}"/>
    <cellStyle name="HEADING1 2 71" xfId="4959" xr:uid="{00000000-0005-0000-0000-00007D1D0000}"/>
    <cellStyle name="HEADING1 2 71 2" xfId="11151" xr:uid="{00000000-0005-0000-0000-00007E1D0000}"/>
    <cellStyle name="HEADING1 2 72" xfId="4960" xr:uid="{00000000-0005-0000-0000-00007F1D0000}"/>
    <cellStyle name="HEADING1 2 72 2" xfId="11152" xr:uid="{00000000-0005-0000-0000-0000801D0000}"/>
    <cellStyle name="HEADING1 2 73" xfId="4961" xr:uid="{00000000-0005-0000-0000-0000811D0000}"/>
    <cellStyle name="HEADING1 2 73 2" xfId="11153" xr:uid="{00000000-0005-0000-0000-0000821D0000}"/>
    <cellStyle name="HEADING1 2 74" xfId="4962" xr:uid="{00000000-0005-0000-0000-0000831D0000}"/>
    <cellStyle name="HEADING1 2 74 2" xfId="11154" xr:uid="{00000000-0005-0000-0000-0000841D0000}"/>
    <cellStyle name="HEADING1 2 75" xfId="4963" xr:uid="{00000000-0005-0000-0000-0000851D0000}"/>
    <cellStyle name="HEADING1 2 75 2" xfId="11155" xr:uid="{00000000-0005-0000-0000-0000861D0000}"/>
    <cellStyle name="HEADING1 2 76" xfId="4964" xr:uid="{00000000-0005-0000-0000-0000871D0000}"/>
    <cellStyle name="HEADING1 2 76 2" xfId="11156" xr:uid="{00000000-0005-0000-0000-0000881D0000}"/>
    <cellStyle name="HEADING1 2 77" xfId="4965" xr:uid="{00000000-0005-0000-0000-0000891D0000}"/>
    <cellStyle name="HEADING1 2 77 2" xfId="11157" xr:uid="{00000000-0005-0000-0000-00008A1D0000}"/>
    <cellStyle name="HEADING1 2 78" xfId="4966" xr:uid="{00000000-0005-0000-0000-00008B1D0000}"/>
    <cellStyle name="HEADING1 2 78 2" xfId="11158" xr:uid="{00000000-0005-0000-0000-00008C1D0000}"/>
    <cellStyle name="HEADING1 2 79" xfId="4967" xr:uid="{00000000-0005-0000-0000-00008D1D0000}"/>
    <cellStyle name="HEADING1 2 79 2" xfId="11159" xr:uid="{00000000-0005-0000-0000-00008E1D0000}"/>
    <cellStyle name="HEADING1 2 8" xfId="782" xr:uid="{00000000-0005-0000-0000-00008F1D0000}"/>
    <cellStyle name="HEADING1 2 8 2" xfId="4968" xr:uid="{00000000-0005-0000-0000-0000901D0000}"/>
    <cellStyle name="HEADING1 2 8 2 2" xfId="11161" xr:uid="{00000000-0005-0000-0000-0000911D0000}"/>
    <cellStyle name="HEADING1 2 8 3" xfId="11160" xr:uid="{00000000-0005-0000-0000-0000921D0000}"/>
    <cellStyle name="HEADING1 2 80" xfId="4969" xr:uid="{00000000-0005-0000-0000-0000931D0000}"/>
    <cellStyle name="HEADING1 2 80 2" xfId="11162" xr:uid="{00000000-0005-0000-0000-0000941D0000}"/>
    <cellStyle name="HEADING1 2 81" xfId="4970" xr:uid="{00000000-0005-0000-0000-0000951D0000}"/>
    <cellStyle name="HEADING1 2 81 2" xfId="11163" xr:uid="{00000000-0005-0000-0000-0000961D0000}"/>
    <cellStyle name="HEADING1 2 82" xfId="4971" xr:uid="{00000000-0005-0000-0000-0000971D0000}"/>
    <cellStyle name="HEADING1 2 82 2" xfId="11164" xr:uid="{00000000-0005-0000-0000-0000981D0000}"/>
    <cellStyle name="HEADING1 2 83" xfId="4972" xr:uid="{00000000-0005-0000-0000-0000991D0000}"/>
    <cellStyle name="HEADING1 2 83 2" xfId="11165" xr:uid="{00000000-0005-0000-0000-00009A1D0000}"/>
    <cellStyle name="HEADING1 2 84" xfId="4973" xr:uid="{00000000-0005-0000-0000-00009B1D0000}"/>
    <cellStyle name="HEADING1 2 84 2" xfId="11166" xr:uid="{00000000-0005-0000-0000-00009C1D0000}"/>
    <cellStyle name="HEADING1 2 85" xfId="4974" xr:uid="{00000000-0005-0000-0000-00009D1D0000}"/>
    <cellStyle name="HEADING1 2 85 2" xfId="11167" xr:uid="{00000000-0005-0000-0000-00009E1D0000}"/>
    <cellStyle name="HEADING1 2 86" xfId="4975" xr:uid="{00000000-0005-0000-0000-00009F1D0000}"/>
    <cellStyle name="HEADING1 2 86 2" xfId="11168" xr:uid="{00000000-0005-0000-0000-0000A01D0000}"/>
    <cellStyle name="HEADING1 2 87" xfId="4976" xr:uid="{00000000-0005-0000-0000-0000A11D0000}"/>
    <cellStyle name="HEADING1 2 87 2" xfId="11169" xr:uid="{00000000-0005-0000-0000-0000A21D0000}"/>
    <cellStyle name="HEADING1 2 88" xfId="4977" xr:uid="{00000000-0005-0000-0000-0000A31D0000}"/>
    <cellStyle name="HEADING1 2 88 2" xfId="11170" xr:uid="{00000000-0005-0000-0000-0000A41D0000}"/>
    <cellStyle name="HEADING1 2 89" xfId="4978" xr:uid="{00000000-0005-0000-0000-0000A51D0000}"/>
    <cellStyle name="HEADING1 2 89 2" xfId="11171" xr:uid="{00000000-0005-0000-0000-0000A61D0000}"/>
    <cellStyle name="HEADING1 2 9" xfId="4979" xr:uid="{00000000-0005-0000-0000-0000A71D0000}"/>
    <cellStyle name="HEADING1 2 9 2" xfId="11172" xr:uid="{00000000-0005-0000-0000-0000A81D0000}"/>
    <cellStyle name="HEADING1 2 90" xfId="4980" xr:uid="{00000000-0005-0000-0000-0000A91D0000}"/>
    <cellStyle name="HEADING1 2 90 2" xfId="11173" xr:uid="{00000000-0005-0000-0000-0000AA1D0000}"/>
    <cellStyle name="HEADING1 2 91" xfId="4981" xr:uid="{00000000-0005-0000-0000-0000AB1D0000}"/>
    <cellStyle name="HEADING1 2 91 2" xfId="11174" xr:uid="{00000000-0005-0000-0000-0000AC1D0000}"/>
    <cellStyle name="HEADING1 2 92" xfId="4982" xr:uid="{00000000-0005-0000-0000-0000AD1D0000}"/>
    <cellStyle name="HEADING1 2 92 2" xfId="11175" xr:uid="{00000000-0005-0000-0000-0000AE1D0000}"/>
    <cellStyle name="HEADING1 2 93" xfId="4983" xr:uid="{00000000-0005-0000-0000-0000AF1D0000}"/>
    <cellStyle name="HEADING1 2 93 2" xfId="11176" xr:uid="{00000000-0005-0000-0000-0000B01D0000}"/>
    <cellStyle name="HEADING1 2 94" xfId="4984" xr:uid="{00000000-0005-0000-0000-0000B11D0000}"/>
    <cellStyle name="HEADING1 2 94 2" xfId="11177" xr:uid="{00000000-0005-0000-0000-0000B21D0000}"/>
    <cellStyle name="HEADING1 2 95" xfId="4985" xr:uid="{00000000-0005-0000-0000-0000B31D0000}"/>
    <cellStyle name="HEADING1 2 95 2" xfId="11178" xr:uid="{00000000-0005-0000-0000-0000B41D0000}"/>
    <cellStyle name="HEADING1 2 96" xfId="4986" xr:uid="{00000000-0005-0000-0000-0000B51D0000}"/>
    <cellStyle name="HEADING1 2 96 2" xfId="11179" xr:uid="{00000000-0005-0000-0000-0000B61D0000}"/>
    <cellStyle name="HEADING1 2 97" xfId="4987" xr:uid="{00000000-0005-0000-0000-0000B71D0000}"/>
    <cellStyle name="HEADING1 2 97 2" xfId="11180" xr:uid="{00000000-0005-0000-0000-0000B81D0000}"/>
    <cellStyle name="HEADING1 2 98" xfId="4988" xr:uid="{00000000-0005-0000-0000-0000B91D0000}"/>
    <cellStyle name="HEADING1 2 98 2" xfId="11181" xr:uid="{00000000-0005-0000-0000-0000BA1D0000}"/>
    <cellStyle name="HEADING1 2 99" xfId="4989" xr:uid="{00000000-0005-0000-0000-0000BB1D0000}"/>
    <cellStyle name="HEADING1 2 99 2" xfId="11182" xr:uid="{00000000-0005-0000-0000-0000BC1D0000}"/>
    <cellStyle name="HEADING1 3" xfId="783" xr:uid="{00000000-0005-0000-0000-0000BD1D0000}"/>
    <cellStyle name="HEADING1 3 2" xfId="784" xr:uid="{00000000-0005-0000-0000-0000BE1D0000}"/>
    <cellStyle name="HEADING1 3 2 2" xfId="785" xr:uid="{00000000-0005-0000-0000-0000BF1D0000}"/>
    <cellStyle name="HEADING1 3 2 2 2" xfId="11185" xr:uid="{00000000-0005-0000-0000-0000C01D0000}"/>
    <cellStyle name="HEADING1 3 2 3" xfId="11184" xr:uid="{00000000-0005-0000-0000-0000C11D0000}"/>
    <cellStyle name="HEADING1 3 3" xfId="786" xr:uid="{00000000-0005-0000-0000-0000C21D0000}"/>
    <cellStyle name="HEADING1 3 3 2" xfId="787" xr:uid="{00000000-0005-0000-0000-0000C31D0000}"/>
    <cellStyle name="HEADING1 3 3 2 2" xfId="8447" xr:uid="{00000000-0005-0000-0000-0000C41D0000}"/>
    <cellStyle name="HEADING1 3 3 2 2 2" xfId="11188" xr:uid="{00000000-0005-0000-0000-0000C51D0000}"/>
    <cellStyle name="HEADING1 3 3 2 3" xfId="11187" xr:uid="{00000000-0005-0000-0000-0000C61D0000}"/>
    <cellStyle name="HEADING1 3 3 3" xfId="4990" xr:uid="{00000000-0005-0000-0000-0000C71D0000}"/>
    <cellStyle name="HEADING1 3 3 3 2" xfId="11189" xr:uid="{00000000-0005-0000-0000-0000C81D0000}"/>
    <cellStyle name="HEADING1 3 3 4" xfId="11186" xr:uid="{00000000-0005-0000-0000-0000C91D0000}"/>
    <cellStyle name="HEADING1 3 4" xfId="788" xr:uid="{00000000-0005-0000-0000-0000CA1D0000}"/>
    <cellStyle name="HEADING1 3 4 2" xfId="789" xr:uid="{00000000-0005-0000-0000-0000CB1D0000}"/>
    <cellStyle name="HEADING1 3 4 2 2" xfId="8448" xr:uid="{00000000-0005-0000-0000-0000CC1D0000}"/>
    <cellStyle name="HEADING1 3 4 2 2 2" xfId="11192" xr:uid="{00000000-0005-0000-0000-0000CD1D0000}"/>
    <cellStyle name="HEADING1 3 4 2 3" xfId="11191" xr:uid="{00000000-0005-0000-0000-0000CE1D0000}"/>
    <cellStyle name="HEADING1 3 4 3" xfId="4991" xr:uid="{00000000-0005-0000-0000-0000CF1D0000}"/>
    <cellStyle name="HEADING1 3 4 3 2" xfId="11193" xr:uid="{00000000-0005-0000-0000-0000D01D0000}"/>
    <cellStyle name="HEADING1 3 4 4" xfId="11190" xr:uid="{00000000-0005-0000-0000-0000D11D0000}"/>
    <cellStyle name="HEADING1 3 5" xfId="790" xr:uid="{00000000-0005-0000-0000-0000D21D0000}"/>
    <cellStyle name="HEADING1 3 5 2" xfId="791" xr:uid="{00000000-0005-0000-0000-0000D31D0000}"/>
    <cellStyle name="HEADING1 3 5 2 2" xfId="8449" xr:uid="{00000000-0005-0000-0000-0000D41D0000}"/>
    <cellStyle name="HEADING1 3 5 2 2 2" xfId="11196" xr:uid="{00000000-0005-0000-0000-0000D51D0000}"/>
    <cellStyle name="HEADING1 3 5 2 3" xfId="11195" xr:uid="{00000000-0005-0000-0000-0000D61D0000}"/>
    <cellStyle name="HEADING1 3 5 3" xfId="4992" xr:uid="{00000000-0005-0000-0000-0000D71D0000}"/>
    <cellStyle name="HEADING1 3 5 3 2" xfId="11197" xr:uid="{00000000-0005-0000-0000-0000D81D0000}"/>
    <cellStyle name="HEADING1 3 5 4" xfId="11194" xr:uid="{00000000-0005-0000-0000-0000D91D0000}"/>
    <cellStyle name="HEADING1 3 6" xfId="792" xr:uid="{00000000-0005-0000-0000-0000DA1D0000}"/>
    <cellStyle name="HEADING1 3 6 2" xfId="793" xr:uid="{00000000-0005-0000-0000-0000DB1D0000}"/>
    <cellStyle name="HEADING1 3 6 2 2" xfId="8450" xr:uid="{00000000-0005-0000-0000-0000DC1D0000}"/>
    <cellStyle name="HEADING1 3 6 2 2 2" xfId="11200" xr:uid="{00000000-0005-0000-0000-0000DD1D0000}"/>
    <cellStyle name="HEADING1 3 6 2 3" xfId="11199" xr:uid="{00000000-0005-0000-0000-0000DE1D0000}"/>
    <cellStyle name="HEADING1 3 6 3" xfId="4993" xr:uid="{00000000-0005-0000-0000-0000DF1D0000}"/>
    <cellStyle name="HEADING1 3 6 3 2" xfId="11201" xr:uid="{00000000-0005-0000-0000-0000E01D0000}"/>
    <cellStyle name="HEADING1 3 6 4" xfId="11198" xr:uid="{00000000-0005-0000-0000-0000E11D0000}"/>
    <cellStyle name="HEADING1 3 7" xfId="794" xr:uid="{00000000-0005-0000-0000-0000E21D0000}"/>
    <cellStyle name="HEADING1 3 7 2" xfId="795" xr:uid="{00000000-0005-0000-0000-0000E31D0000}"/>
    <cellStyle name="HEADING1 3 7 2 2" xfId="8451" xr:uid="{00000000-0005-0000-0000-0000E41D0000}"/>
    <cellStyle name="HEADING1 3 7 2 2 2" xfId="11204" xr:uid="{00000000-0005-0000-0000-0000E51D0000}"/>
    <cellStyle name="HEADING1 3 7 2 3" xfId="11203" xr:uid="{00000000-0005-0000-0000-0000E61D0000}"/>
    <cellStyle name="HEADING1 3 7 3" xfId="4994" xr:uid="{00000000-0005-0000-0000-0000E71D0000}"/>
    <cellStyle name="HEADING1 3 7 3 2" xfId="11205" xr:uid="{00000000-0005-0000-0000-0000E81D0000}"/>
    <cellStyle name="HEADING1 3 7 4" xfId="11202" xr:uid="{00000000-0005-0000-0000-0000E91D0000}"/>
    <cellStyle name="HEADING1 3 8" xfId="796" xr:uid="{00000000-0005-0000-0000-0000EA1D0000}"/>
    <cellStyle name="HEADING1 3 8 2" xfId="11206" xr:uid="{00000000-0005-0000-0000-0000EB1D0000}"/>
    <cellStyle name="HEADING1 3 9" xfId="11183" xr:uid="{00000000-0005-0000-0000-0000EC1D0000}"/>
    <cellStyle name="HEADING1 4" xfId="797" xr:uid="{00000000-0005-0000-0000-0000ED1D0000}"/>
    <cellStyle name="HEADING1 4 2" xfId="798" xr:uid="{00000000-0005-0000-0000-0000EE1D0000}"/>
    <cellStyle name="HEADING1 4 2 2" xfId="8452" xr:uid="{00000000-0005-0000-0000-0000EF1D0000}"/>
    <cellStyle name="HEADING1 4 2 2 2" xfId="11209" xr:uid="{00000000-0005-0000-0000-0000F01D0000}"/>
    <cellStyle name="HEADING1 4 2 3" xfId="11208" xr:uid="{00000000-0005-0000-0000-0000F11D0000}"/>
    <cellStyle name="HEADING1 4 3" xfId="4995" xr:uid="{00000000-0005-0000-0000-0000F21D0000}"/>
    <cellStyle name="HEADING1 4 3 2" xfId="11210" xr:uid="{00000000-0005-0000-0000-0000F31D0000}"/>
    <cellStyle name="HEADING1 4 4" xfId="11207" xr:uid="{00000000-0005-0000-0000-0000F41D0000}"/>
    <cellStyle name="HEADING1 5" xfId="799" xr:uid="{00000000-0005-0000-0000-0000F51D0000}"/>
    <cellStyle name="HEADING1 5 2" xfId="800" xr:uid="{00000000-0005-0000-0000-0000F61D0000}"/>
    <cellStyle name="HEADING1 5 2 2" xfId="8453" xr:uid="{00000000-0005-0000-0000-0000F71D0000}"/>
    <cellStyle name="HEADING1 5 2 2 2" xfId="11213" xr:uid="{00000000-0005-0000-0000-0000F81D0000}"/>
    <cellStyle name="HEADING1 5 2 3" xfId="11212" xr:uid="{00000000-0005-0000-0000-0000F91D0000}"/>
    <cellStyle name="HEADING1 5 3" xfId="4996" xr:uid="{00000000-0005-0000-0000-0000FA1D0000}"/>
    <cellStyle name="HEADING1 5 3 2" xfId="11214" xr:uid="{00000000-0005-0000-0000-0000FB1D0000}"/>
    <cellStyle name="HEADING1 5 4" xfId="11211" xr:uid="{00000000-0005-0000-0000-0000FC1D0000}"/>
    <cellStyle name="HEADING1 6" xfId="801" xr:uid="{00000000-0005-0000-0000-0000FD1D0000}"/>
    <cellStyle name="HEADING1 6 2" xfId="802" xr:uid="{00000000-0005-0000-0000-0000FE1D0000}"/>
    <cellStyle name="HEADING1 6 2 2" xfId="8454" xr:uid="{00000000-0005-0000-0000-0000FF1D0000}"/>
    <cellStyle name="HEADING1 6 2 2 2" xfId="11217" xr:uid="{00000000-0005-0000-0000-0000001E0000}"/>
    <cellStyle name="HEADING1 6 2 3" xfId="11216" xr:uid="{00000000-0005-0000-0000-0000011E0000}"/>
    <cellStyle name="HEADING1 6 3" xfId="4997" xr:uid="{00000000-0005-0000-0000-0000021E0000}"/>
    <cellStyle name="HEADING1 6 3 2" xfId="11218" xr:uid="{00000000-0005-0000-0000-0000031E0000}"/>
    <cellStyle name="HEADING1 6 4" xfId="11215" xr:uid="{00000000-0005-0000-0000-0000041E0000}"/>
    <cellStyle name="HEADING1 7" xfId="803" xr:uid="{00000000-0005-0000-0000-0000051E0000}"/>
    <cellStyle name="HEADING1 7 2" xfId="804" xr:uid="{00000000-0005-0000-0000-0000061E0000}"/>
    <cellStyle name="HEADING1 7 2 2" xfId="8455" xr:uid="{00000000-0005-0000-0000-0000071E0000}"/>
    <cellStyle name="HEADING1 7 2 2 2" xfId="11221" xr:uid="{00000000-0005-0000-0000-0000081E0000}"/>
    <cellStyle name="HEADING1 7 2 3" xfId="11220" xr:uid="{00000000-0005-0000-0000-0000091E0000}"/>
    <cellStyle name="HEADING1 7 3" xfId="4998" xr:uid="{00000000-0005-0000-0000-00000A1E0000}"/>
    <cellStyle name="HEADING1 7 3 2" xfId="11222" xr:uid="{00000000-0005-0000-0000-00000B1E0000}"/>
    <cellStyle name="HEADING1 7 4" xfId="11219" xr:uid="{00000000-0005-0000-0000-00000C1E0000}"/>
    <cellStyle name="HEADING1 8" xfId="805" xr:uid="{00000000-0005-0000-0000-00000D1E0000}"/>
    <cellStyle name="HEADING1 8 2" xfId="806" xr:uid="{00000000-0005-0000-0000-00000E1E0000}"/>
    <cellStyle name="HEADING1 8 2 2" xfId="8456" xr:uid="{00000000-0005-0000-0000-00000F1E0000}"/>
    <cellStyle name="HEADING1 8 2 2 2" xfId="11225" xr:uid="{00000000-0005-0000-0000-0000101E0000}"/>
    <cellStyle name="HEADING1 8 2 3" xfId="11224" xr:uid="{00000000-0005-0000-0000-0000111E0000}"/>
    <cellStyle name="HEADING1 8 3" xfId="4999" xr:uid="{00000000-0005-0000-0000-0000121E0000}"/>
    <cellStyle name="HEADING1 8 3 2" xfId="11226" xr:uid="{00000000-0005-0000-0000-0000131E0000}"/>
    <cellStyle name="HEADING1 8 4" xfId="11223" xr:uid="{00000000-0005-0000-0000-0000141E0000}"/>
    <cellStyle name="HEADING1 9" xfId="807" xr:uid="{00000000-0005-0000-0000-0000151E0000}"/>
    <cellStyle name="HEADING1 9 2" xfId="808" xr:uid="{00000000-0005-0000-0000-0000161E0000}"/>
    <cellStyle name="HEADING1 9 2 2" xfId="8457" xr:uid="{00000000-0005-0000-0000-0000171E0000}"/>
    <cellStyle name="HEADING1 9 2 2 2" xfId="11229" xr:uid="{00000000-0005-0000-0000-0000181E0000}"/>
    <cellStyle name="HEADING1 9 2 3" xfId="11228" xr:uid="{00000000-0005-0000-0000-0000191E0000}"/>
    <cellStyle name="HEADING1 9 3" xfId="5000" xr:uid="{00000000-0005-0000-0000-00001A1E0000}"/>
    <cellStyle name="HEADING1 9 3 2" xfId="11230" xr:uid="{00000000-0005-0000-0000-00001B1E0000}"/>
    <cellStyle name="HEADING1 9 4" xfId="11227" xr:uid="{00000000-0005-0000-0000-00001C1E0000}"/>
    <cellStyle name="HEADING2" xfId="46" xr:uid="{00000000-0005-0000-0000-00001D1E0000}"/>
    <cellStyle name="HEADING2 10" xfId="810" xr:uid="{00000000-0005-0000-0000-00001E1E0000}"/>
    <cellStyle name="HEADING2 10 2" xfId="811" xr:uid="{00000000-0005-0000-0000-00001F1E0000}"/>
    <cellStyle name="HEADING2 10 2 2" xfId="8458" xr:uid="{00000000-0005-0000-0000-0000201E0000}"/>
    <cellStyle name="HEADING2 10 2 2 2" xfId="11234" xr:uid="{00000000-0005-0000-0000-0000211E0000}"/>
    <cellStyle name="HEADING2 10 2 3" xfId="11233" xr:uid="{00000000-0005-0000-0000-0000221E0000}"/>
    <cellStyle name="HEADING2 10 3" xfId="5002" xr:uid="{00000000-0005-0000-0000-0000231E0000}"/>
    <cellStyle name="HEADING2 10 3 2" xfId="11235" xr:uid="{00000000-0005-0000-0000-0000241E0000}"/>
    <cellStyle name="HEADING2 10 4" xfId="11232" xr:uid="{00000000-0005-0000-0000-0000251E0000}"/>
    <cellStyle name="HEADING2 11" xfId="812" xr:uid="{00000000-0005-0000-0000-0000261E0000}"/>
    <cellStyle name="HEADING2 11 2" xfId="813" xr:uid="{00000000-0005-0000-0000-0000271E0000}"/>
    <cellStyle name="HEADING2 11 2 2" xfId="8459" xr:uid="{00000000-0005-0000-0000-0000281E0000}"/>
    <cellStyle name="HEADING2 11 2 2 2" xfId="11238" xr:uid="{00000000-0005-0000-0000-0000291E0000}"/>
    <cellStyle name="HEADING2 11 2 3" xfId="11237" xr:uid="{00000000-0005-0000-0000-00002A1E0000}"/>
    <cellStyle name="HEADING2 11 3" xfId="5003" xr:uid="{00000000-0005-0000-0000-00002B1E0000}"/>
    <cellStyle name="HEADING2 11 3 2" xfId="11239" xr:uid="{00000000-0005-0000-0000-00002C1E0000}"/>
    <cellStyle name="HEADING2 11 4" xfId="11236" xr:uid="{00000000-0005-0000-0000-00002D1E0000}"/>
    <cellStyle name="HEADING2 12" xfId="814" xr:uid="{00000000-0005-0000-0000-00002E1E0000}"/>
    <cellStyle name="HEADING2 12 2" xfId="815" xr:uid="{00000000-0005-0000-0000-00002F1E0000}"/>
    <cellStyle name="HEADING2 12 2 2" xfId="8460" xr:uid="{00000000-0005-0000-0000-0000301E0000}"/>
    <cellStyle name="HEADING2 12 2 2 2" xfId="11242" xr:uid="{00000000-0005-0000-0000-0000311E0000}"/>
    <cellStyle name="HEADING2 12 2 3" xfId="11241" xr:uid="{00000000-0005-0000-0000-0000321E0000}"/>
    <cellStyle name="HEADING2 12 3" xfId="5004" xr:uid="{00000000-0005-0000-0000-0000331E0000}"/>
    <cellStyle name="HEADING2 12 3 2" xfId="11243" xr:uid="{00000000-0005-0000-0000-0000341E0000}"/>
    <cellStyle name="HEADING2 12 4" xfId="11240" xr:uid="{00000000-0005-0000-0000-0000351E0000}"/>
    <cellStyle name="HEADING2 13" xfId="816" xr:uid="{00000000-0005-0000-0000-0000361E0000}"/>
    <cellStyle name="HEADING2 13 2" xfId="817" xr:uid="{00000000-0005-0000-0000-0000371E0000}"/>
    <cellStyle name="HEADING2 13 2 2" xfId="8461" xr:uid="{00000000-0005-0000-0000-0000381E0000}"/>
    <cellStyle name="HEADING2 13 2 2 2" xfId="11246" xr:uid="{00000000-0005-0000-0000-0000391E0000}"/>
    <cellStyle name="HEADING2 13 2 3" xfId="11245" xr:uid="{00000000-0005-0000-0000-00003A1E0000}"/>
    <cellStyle name="HEADING2 13 3" xfId="5005" xr:uid="{00000000-0005-0000-0000-00003B1E0000}"/>
    <cellStyle name="HEADING2 13 3 2" xfId="11247" xr:uid="{00000000-0005-0000-0000-00003C1E0000}"/>
    <cellStyle name="HEADING2 13 4" xfId="11244" xr:uid="{00000000-0005-0000-0000-00003D1E0000}"/>
    <cellStyle name="HEADING2 14" xfId="818" xr:uid="{00000000-0005-0000-0000-00003E1E0000}"/>
    <cellStyle name="HEADING2 14 2" xfId="819" xr:uid="{00000000-0005-0000-0000-00003F1E0000}"/>
    <cellStyle name="HEADING2 14 2 2" xfId="8462" xr:uid="{00000000-0005-0000-0000-0000401E0000}"/>
    <cellStyle name="HEADING2 14 2 2 2" xfId="11250" xr:uid="{00000000-0005-0000-0000-0000411E0000}"/>
    <cellStyle name="HEADING2 14 2 3" xfId="11249" xr:uid="{00000000-0005-0000-0000-0000421E0000}"/>
    <cellStyle name="HEADING2 14 3" xfId="5006" xr:uid="{00000000-0005-0000-0000-0000431E0000}"/>
    <cellStyle name="HEADING2 14 3 2" xfId="11251" xr:uid="{00000000-0005-0000-0000-0000441E0000}"/>
    <cellStyle name="HEADING2 14 4" xfId="11248" xr:uid="{00000000-0005-0000-0000-0000451E0000}"/>
    <cellStyle name="HEADING2 15" xfId="820" xr:uid="{00000000-0005-0000-0000-0000461E0000}"/>
    <cellStyle name="HEADING2 15 2" xfId="821" xr:uid="{00000000-0005-0000-0000-0000471E0000}"/>
    <cellStyle name="HEADING2 15 2 2" xfId="8463" xr:uid="{00000000-0005-0000-0000-0000481E0000}"/>
    <cellStyle name="HEADING2 15 2 2 2" xfId="11254" xr:uid="{00000000-0005-0000-0000-0000491E0000}"/>
    <cellStyle name="HEADING2 15 2 3" xfId="11253" xr:uid="{00000000-0005-0000-0000-00004A1E0000}"/>
    <cellStyle name="HEADING2 15 3" xfId="5007" xr:uid="{00000000-0005-0000-0000-00004B1E0000}"/>
    <cellStyle name="HEADING2 15 3 2" xfId="11255" xr:uid="{00000000-0005-0000-0000-00004C1E0000}"/>
    <cellStyle name="HEADING2 15 4" xfId="11252" xr:uid="{00000000-0005-0000-0000-00004D1E0000}"/>
    <cellStyle name="HEADING2 16" xfId="822" xr:uid="{00000000-0005-0000-0000-00004E1E0000}"/>
    <cellStyle name="HEADING2 16 2" xfId="823" xr:uid="{00000000-0005-0000-0000-00004F1E0000}"/>
    <cellStyle name="HEADING2 16 2 2" xfId="8464" xr:uid="{00000000-0005-0000-0000-0000501E0000}"/>
    <cellStyle name="HEADING2 16 2 2 2" xfId="11258" xr:uid="{00000000-0005-0000-0000-0000511E0000}"/>
    <cellStyle name="HEADING2 16 2 3" xfId="11257" xr:uid="{00000000-0005-0000-0000-0000521E0000}"/>
    <cellStyle name="HEADING2 16 3" xfId="5008" xr:uid="{00000000-0005-0000-0000-0000531E0000}"/>
    <cellStyle name="HEADING2 16 3 2" xfId="11259" xr:uid="{00000000-0005-0000-0000-0000541E0000}"/>
    <cellStyle name="HEADING2 16 4" xfId="11256" xr:uid="{00000000-0005-0000-0000-0000551E0000}"/>
    <cellStyle name="HEADING2 17" xfId="824" xr:uid="{00000000-0005-0000-0000-0000561E0000}"/>
    <cellStyle name="HEADING2 17 2" xfId="825" xr:uid="{00000000-0005-0000-0000-0000571E0000}"/>
    <cellStyle name="HEADING2 17 2 2" xfId="8465" xr:uid="{00000000-0005-0000-0000-0000581E0000}"/>
    <cellStyle name="HEADING2 17 2 2 2" xfId="11262" xr:uid="{00000000-0005-0000-0000-0000591E0000}"/>
    <cellStyle name="HEADING2 17 2 3" xfId="11261" xr:uid="{00000000-0005-0000-0000-00005A1E0000}"/>
    <cellStyle name="HEADING2 17 3" xfId="5009" xr:uid="{00000000-0005-0000-0000-00005B1E0000}"/>
    <cellStyle name="HEADING2 17 3 2" xfId="11263" xr:uid="{00000000-0005-0000-0000-00005C1E0000}"/>
    <cellStyle name="HEADING2 17 4" xfId="11260" xr:uid="{00000000-0005-0000-0000-00005D1E0000}"/>
    <cellStyle name="HEADING2 18" xfId="826" xr:uid="{00000000-0005-0000-0000-00005E1E0000}"/>
    <cellStyle name="HEADING2 18 2" xfId="827" xr:uid="{00000000-0005-0000-0000-00005F1E0000}"/>
    <cellStyle name="HEADING2 18 2 2" xfId="8466" xr:uid="{00000000-0005-0000-0000-0000601E0000}"/>
    <cellStyle name="HEADING2 18 2 2 2" xfId="11266" xr:uid="{00000000-0005-0000-0000-0000611E0000}"/>
    <cellStyle name="HEADING2 18 2 3" xfId="11265" xr:uid="{00000000-0005-0000-0000-0000621E0000}"/>
    <cellStyle name="HEADING2 18 3" xfId="5010" xr:uid="{00000000-0005-0000-0000-0000631E0000}"/>
    <cellStyle name="HEADING2 18 3 2" xfId="11267" xr:uid="{00000000-0005-0000-0000-0000641E0000}"/>
    <cellStyle name="HEADING2 18 4" xfId="11264" xr:uid="{00000000-0005-0000-0000-0000651E0000}"/>
    <cellStyle name="HEADING2 19" xfId="828" xr:uid="{00000000-0005-0000-0000-0000661E0000}"/>
    <cellStyle name="HEADING2 19 2" xfId="829" xr:uid="{00000000-0005-0000-0000-0000671E0000}"/>
    <cellStyle name="HEADING2 19 2 2" xfId="8467" xr:uid="{00000000-0005-0000-0000-0000681E0000}"/>
    <cellStyle name="HEADING2 19 2 2 2" xfId="11270" xr:uid="{00000000-0005-0000-0000-0000691E0000}"/>
    <cellStyle name="HEADING2 19 2 3" xfId="11269" xr:uid="{00000000-0005-0000-0000-00006A1E0000}"/>
    <cellStyle name="HEADING2 19 3" xfId="5011" xr:uid="{00000000-0005-0000-0000-00006B1E0000}"/>
    <cellStyle name="HEADING2 19 3 2" xfId="11271" xr:uid="{00000000-0005-0000-0000-00006C1E0000}"/>
    <cellStyle name="HEADING2 19 4" xfId="11268" xr:uid="{00000000-0005-0000-0000-00006D1E0000}"/>
    <cellStyle name="HEADING2 2" xfId="830" xr:uid="{00000000-0005-0000-0000-00006E1E0000}"/>
    <cellStyle name="HEADING2 2 10" xfId="5013" xr:uid="{00000000-0005-0000-0000-00006F1E0000}"/>
    <cellStyle name="HEADING2 2 10 2" xfId="11273" xr:uid="{00000000-0005-0000-0000-0000701E0000}"/>
    <cellStyle name="HEADING2 2 100" xfId="5014" xr:uid="{00000000-0005-0000-0000-0000711E0000}"/>
    <cellStyle name="HEADING2 2 100 2" xfId="11274" xr:uid="{00000000-0005-0000-0000-0000721E0000}"/>
    <cellStyle name="HEADING2 2 101" xfId="5015" xr:uid="{00000000-0005-0000-0000-0000731E0000}"/>
    <cellStyle name="HEADING2 2 101 2" xfId="11275" xr:uid="{00000000-0005-0000-0000-0000741E0000}"/>
    <cellStyle name="HEADING2 2 102" xfId="5016" xr:uid="{00000000-0005-0000-0000-0000751E0000}"/>
    <cellStyle name="HEADING2 2 102 2" xfId="11276" xr:uid="{00000000-0005-0000-0000-0000761E0000}"/>
    <cellStyle name="HEADING2 2 103" xfId="5017" xr:uid="{00000000-0005-0000-0000-0000771E0000}"/>
    <cellStyle name="HEADING2 2 103 2" xfId="11277" xr:uid="{00000000-0005-0000-0000-0000781E0000}"/>
    <cellStyle name="HEADING2 2 104" xfId="5018" xr:uid="{00000000-0005-0000-0000-0000791E0000}"/>
    <cellStyle name="HEADING2 2 104 2" xfId="11278" xr:uid="{00000000-0005-0000-0000-00007A1E0000}"/>
    <cellStyle name="HEADING2 2 105" xfId="5019" xr:uid="{00000000-0005-0000-0000-00007B1E0000}"/>
    <cellStyle name="HEADING2 2 105 2" xfId="11279" xr:uid="{00000000-0005-0000-0000-00007C1E0000}"/>
    <cellStyle name="HEADING2 2 106" xfId="5020" xr:uid="{00000000-0005-0000-0000-00007D1E0000}"/>
    <cellStyle name="HEADING2 2 106 2" xfId="11280" xr:uid="{00000000-0005-0000-0000-00007E1E0000}"/>
    <cellStyle name="HEADING2 2 107" xfId="5021" xr:uid="{00000000-0005-0000-0000-00007F1E0000}"/>
    <cellStyle name="HEADING2 2 107 2" xfId="11281" xr:uid="{00000000-0005-0000-0000-0000801E0000}"/>
    <cellStyle name="HEADING2 2 108" xfId="5022" xr:uid="{00000000-0005-0000-0000-0000811E0000}"/>
    <cellStyle name="HEADING2 2 108 2" xfId="11282" xr:uid="{00000000-0005-0000-0000-0000821E0000}"/>
    <cellStyle name="HEADING2 2 109" xfId="5023" xr:uid="{00000000-0005-0000-0000-0000831E0000}"/>
    <cellStyle name="HEADING2 2 109 2" xfId="11283" xr:uid="{00000000-0005-0000-0000-0000841E0000}"/>
    <cellStyle name="HEADING2 2 11" xfId="5024" xr:uid="{00000000-0005-0000-0000-0000851E0000}"/>
    <cellStyle name="HEADING2 2 11 2" xfId="11284" xr:uid="{00000000-0005-0000-0000-0000861E0000}"/>
    <cellStyle name="HEADING2 2 110" xfId="5025" xr:uid="{00000000-0005-0000-0000-0000871E0000}"/>
    <cellStyle name="HEADING2 2 110 2" xfId="11285" xr:uid="{00000000-0005-0000-0000-0000881E0000}"/>
    <cellStyle name="HEADING2 2 111" xfId="5026" xr:uid="{00000000-0005-0000-0000-0000891E0000}"/>
    <cellStyle name="HEADING2 2 111 2" xfId="11286" xr:uid="{00000000-0005-0000-0000-00008A1E0000}"/>
    <cellStyle name="HEADING2 2 112" xfId="5027" xr:uid="{00000000-0005-0000-0000-00008B1E0000}"/>
    <cellStyle name="HEADING2 2 112 2" xfId="11287" xr:uid="{00000000-0005-0000-0000-00008C1E0000}"/>
    <cellStyle name="HEADING2 2 113" xfId="5028" xr:uid="{00000000-0005-0000-0000-00008D1E0000}"/>
    <cellStyle name="HEADING2 2 113 2" xfId="11288" xr:uid="{00000000-0005-0000-0000-00008E1E0000}"/>
    <cellStyle name="HEADING2 2 114" xfId="5029" xr:uid="{00000000-0005-0000-0000-00008F1E0000}"/>
    <cellStyle name="HEADING2 2 114 2" xfId="11289" xr:uid="{00000000-0005-0000-0000-0000901E0000}"/>
    <cellStyle name="HEADING2 2 115" xfId="5030" xr:uid="{00000000-0005-0000-0000-0000911E0000}"/>
    <cellStyle name="HEADING2 2 115 2" xfId="11290" xr:uid="{00000000-0005-0000-0000-0000921E0000}"/>
    <cellStyle name="HEADING2 2 116" xfId="5031" xr:uid="{00000000-0005-0000-0000-0000931E0000}"/>
    <cellStyle name="HEADING2 2 116 2" xfId="11291" xr:uid="{00000000-0005-0000-0000-0000941E0000}"/>
    <cellStyle name="HEADING2 2 117" xfId="5032" xr:uid="{00000000-0005-0000-0000-0000951E0000}"/>
    <cellStyle name="HEADING2 2 117 2" xfId="11292" xr:uid="{00000000-0005-0000-0000-0000961E0000}"/>
    <cellStyle name="HEADING2 2 118" xfId="5033" xr:uid="{00000000-0005-0000-0000-0000971E0000}"/>
    <cellStyle name="HEADING2 2 118 2" xfId="11293" xr:uid="{00000000-0005-0000-0000-0000981E0000}"/>
    <cellStyle name="HEADING2 2 119" xfId="5034" xr:uid="{00000000-0005-0000-0000-0000991E0000}"/>
    <cellStyle name="HEADING2 2 119 2" xfId="11294" xr:uid="{00000000-0005-0000-0000-00009A1E0000}"/>
    <cellStyle name="HEADING2 2 12" xfId="5035" xr:uid="{00000000-0005-0000-0000-00009B1E0000}"/>
    <cellStyle name="HEADING2 2 12 2" xfId="11295" xr:uid="{00000000-0005-0000-0000-00009C1E0000}"/>
    <cellStyle name="HEADING2 2 120" xfId="5036" xr:uid="{00000000-0005-0000-0000-00009D1E0000}"/>
    <cellStyle name="HEADING2 2 120 2" xfId="11296" xr:uid="{00000000-0005-0000-0000-00009E1E0000}"/>
    <cellStyle name="HEADING2 2 121" xfId="5037" xr:uid="{00000000-0005-0000-0000-00009F1E0000}"/>
    <cellStyle name="HEADING2 2 121 2" xfId="11297" xr:uid="{00000000-0005-0000-0000-0000A01E0000}"/>
    <cellStyle name="HEADING2 2 122" xfId="5038" xr:uid="{00000000-0005-0000-0000-0000A11E0000}"/>
    <cellStyle name="HEADING2 2 122 2" xfId="11298" xr:uid="{00000000-0005-0000-0000-0000A21E0000}"/>
    <cellStyle name="HEADING2 2 123" xfId="5039" xr:uid="{00000000-0005-0000-0000-0000A31E0000}"/>
    <cellStyle name="HEADING2 2 123 2" xfId="11299" xr:uid="{00000000-0005-0000-0000-0000A41E0000}"/>
    <cellStyle name="HEADING2 2 124" xfId="5040" xr:uid="{00000000-0005-0000-0000-0000A51E0000}"/>
    <cellStyle name="HEADING2 2 124 2" xfId="11300" xr:uid="{00000000-0005-0000-0000-0000A61E0000}"/>
    <cellStyle name="HEADING2 2 125" xfId="5041" xr:uid="{00000000-0005-0000-0000-0000A71E0000}"/>
    <cellStyle name="HEADING2 2 125 2" xfId="11301" xr:uid="{00000000-0005-0000-0000-0000A81E0000}"/>
    <cellStyle name="HEADING2 2 126" xfId="5042" xr:uid="{00000000-0005-0000-0000-0000A91E0000}"/>
    <cellStyle name="HEADING2 2 126 2" xfId="11302" xr:uid="{00000000-0005-0000-0000-0000AA1E0000}"/>
    <cellStyle name="HEADING2 2 127" xfId="5043" xr:uid="{00000000-0005-0000-0000-0000AB1E0000}"/>
    <cellStyle name="HEADING2 2 127 2" xfId="11303" xr:uid="{00000000-0005-0000-0000-0000AC1E0000}"/>
    <cellStyle name="HEADING2 2 128" xfId="5044" xr:uid="{00000000-0005-0000-0000-0000AD1E0000}"/>
    <cellStyle name="HEADING2 2 128 2" xfId="11304" xr:uid="{00000000-0005-0000-0000-0000AE1E0000}"/>
    <cellStyle name="HEADING2 2 129" xfId="5045" xr:uid="{00000000-0005-0000-0000-0000AF1E0000}"/>
    <cellStyle name="HEADING2 2 129 2" xfId="11305" xr:uid="{00000000-0005-0000-0000-0000B01E0000}"/>
    <cellStyle name="HEADING2 2 13" xfId="5046" xr:uid="{00000000-0005-0000-0000-0000B11E0000}"/>
    <cellStyle name="HEADING2 2 13 2" xfId="11306" xr:uid="{00000000-0005-0000-0000-0000B21E0000}"/>
    <cellStyle name="HEADING2 2 130" xfId="5047" xr:uid="{00000000-0005-0000-0000-0000B31E0000}"/>
    <cellStyle name="HEADING2 2 130 2" xfId="11307" xr:uid="{00000000-0005-0000-0000-0000B41E0000}"/>
    <cellStyle name="HEADING2 2 131" xfId="5048" xr:uid="{00000000-0005-0000-0000-0000B51E0000}"/>
    <cellStyle name="HEADING2 2 131 2" xfId="11308" xr:uid="{00000000-0005-0000-0000-0000B61E0000}"/>
    <cellStyle name="HEADING2 2 132" xfId="5049" xr:uid="{00000000-0005-0000-0000-0000B71E0000}"/>
    <cellStyle name="HEADING2 2 132 2" xfId="11309" xr:uid="{00000000-0005-0000-0000-0000B81E0000}"/>
    <cellStyle name="HEADING2 2 133" xfId="5050" xr:uid="{00000000-0005-0000-0000-0000B91E0000}"/>
    <cellStyle name="HEADING2 2 133 2" xfId="11310" xr:uid="{00000000-0005-0000-0000-0000BA1E0000}"/>
    <cellStyle name="HEADING2 2 134" xfId="5051" xr:uid="{00000000-0005-0000-0000-0000BB1E0000}"/>
    <cellStyle name="HEADING2 2 134 2" xfId="11311" xr:uid="{00000000-0005-0000-0000-0000BC1E0000}"/>
    <cellStyle name="HEADING2 2 135" xfId="5052" xr:uid="{00000000-0005-0000-0000-0000BD1E0000}"/>
    <cellStyle name="HEADING2 2 135 2" xfId="11312" xr:uid="{00000000-0005-0000-0000-0000BE1E0000}"/>
    <cellStyle name="HEADING2 2 136" xfId="5053" xr:uid="{00000000-0005-0000-0000-0000BF1E0000}"/>
    <cellStyle name="HEADING2 2 136 2" xfId="11313" xr:uid="{00000000-0005-0000-0000-0000C01E0000}"/>
    <cellStyle name="HEADING2 2 137" xfId="5054" xr:uid="{00000000-0005-0000-0000-0000C11E0000}"/>
    <cellStyle name="HEADING2 2 137 2" xfId="11314" xr:uid="{00000000-0005-0000-0000-0000C21E0000}"/>
    <cellStyle name="HEADING2 2 138" xfId="5055" xr:uid="{00000000-0005-0000-0000-0000C31E0000}"/>
    <cellStyle name="HEADING2 2 138 2" xfId="11315" xr:uid="{00000000-0005-0000-0000-0000C41E0000}"/>
    <cellStyle name="HEADING2 2 139" xfId="5056" xr:uid="{00000000-0005-0000-0000-0000C51E0000}"/>
    <cellStyle name="HEADING2 2 139 2" xfId="11316" xr:uid="{00000000-0005-0000-0000-0000C61E0000}"/>
    <cellStyle name="HEADING2 2 14" xfId="5057" xr:uid="{00000000-0005-0000-0000-0000C71E0000}"/>
    <cellStyle name="HEADING2 2 14 2" xfId="11317" xr:uid="{00000000-0005-0000-0000-0000C81E0000}"/>
    <cellStyle name="HEADING2 2 140" xfId="5058" xr:uid="{00000000-0005-0000-0000-0000C91E0000}"/>
    <cellStyle name="HEADING2 2 140 2" xfId="11318" xr:uid="{00000000-0005-0000-0000-0000CA1E0000}"/>
    <cellStyle name="HEADING2 2 141" xfId="5059" xr:uid="{00000000-0005-0000-0000-0000CB1E0000}"/>
    <cellStyle name="HEADING2 2 141 2" xfId="11319" xr:uid="{00000000-0005-0000-0000-0000CC1E0000}"/>
    <cellStyle name="HEADING2 2 142" xfId="5060" xr:uid="{00000000-0005-0000-0000-0000CD1E0000}"/>
    <cellStyle name="HEADING2 2 142 2" xfId="11320" xr:uid="{00000000-0005-0000-0000-0000CE1E0000}"/>
    <cellStyle name="HEADING2 2 143" xfId="5061" xr:uid="{00000000-0005-0000-0000-0000CF1E0000}"/>
    <cellStyle name="HEADING2 2 143 2" xfId="11321" xr:uid="{00000000-0005-0000-0000-0000D01E0000}"/>
    <cellStyle name="HEADING2 2 144" xfId="5062" xr:uid="{00000000-0005-0000-0000-0000D11E0000}"/>
    <cellStyle name="HEADING2 2 144 2" xfId="11322" xr:uid="{00000000-0005-0000-0000-0000D21E0000}"/>
    <cellStyle name="HEADING2 2 145" xfId="5063" xr:uid="{00000000-0005-0000-0000-0000D31E0000}"/>
    <cellStyle name="HEADING2 2 145 2" xfId="11323" xr:uid="{00000000-0005-0000-0000-0000D41E0000}"/>
    <cellStyle name="HEADING2 2 146" xfId="5064" xr:uid="{00000000-0005-0000-0000-0000D51E0000}"/>
    <cellStyle name="HEADING2 2 146 2" xfId="11324" xr:uid="{00000000-0005-0000-0000-0000D61E0000}"/>
    <cellStyle name="HEADING2 2 147" xfId="5065" xr:uid="{00000000-0005-0000-0000-0000D71E0000}"/>
    <cellStyle name="HEADING2 2 147 2" xfId="11325" xr:uid="{00000000-0005-0000-0000-0000D81E0000}"/>
    <cellStyle name="HEADING2 2 148" xfId="5066" xr:uid="{00000000-0005-0000-0000-0000D91E0000}"/>
    <cellStyle name="HEADING2 2 148 2" xfId="11326" xr:uid="{00000000-0005-0000-0000-0000DA1E0000}"/>
    <cellStyle name="HEADING2 2 149" xfId="5067" xr:uid="{00000000-0005-0000-0000-0000DB1E0000}"/>
    <cellStyle name="HEADING2 2 149 2" xfId="11327" xr:uid="{00000000-0005-0000-0000-0000DC1E0000}"/>
    <cellStyle name="HEADING2 2 15" xfId="5068" xr:uid="{00000000-0005-0000-0000-0000DD1E0000}"/>
    <cellStyle name="HEADING2 2 15 2" xfId="11328" xr:uid="{00000000-0005-0000-0000-0000DE1E0000}"/>
    <cellStyle name="HEADING2 2 150" xfId="5069" xr:uid="{00000000-0005-0000-0000-0000DF1E0000}"/>
    <cellStyle name="HEADING2 2 150 2" xfId="11329" xr:uid="{00000000-0005-0000-0000-0000E01E0000}"/>
    <cellStyle name="HEADING2 2 151" xfId="5070" xr:uid="{00000000-0005-0000-0000-0000E11E0000}"/>
    <cellStyle name="HEADING2 2 151 2" xfId="11330" xr:uid="{00000000-0005-0000-0000-0000E21E0000}"/>
    <cellStyle name="HEADING2 2 152" xfId="5071" xr:uid="{00000000-0005-0000-0000-0000E31E0000}"/>
    <cellStyle name="HEADING2 2 152 2" xfId="11331" xr:uid="{00000000-0005-0000-0000-0000E41E0000}"/>
    <cellStyle name="HEADING2 2 153" xfId="5072" xr:uid="{00000000-0005-0000-0000-0000E51E0000}"/>
    <cellStyle name="HEADING2 2 153 2" xfId="11332" xr:uid="{00000000-0005-0000-0000-0000E61E0000}"/>
    <cellStyle name="HEADING2 2 154" xfId="5073" xr:uid="{00000000-0005-0000-0000-0000E71E0000}"/>
    <cellStyle name="HEADING2 2 154 2" xfId="11333" xr:uid="{00000000-0005-0000-0000-0000E81E0000}"/>
    <cellStyle name="HEADING2 2 155" xfId="5074" xr:uid="{00000000-0005-0000-0000-0000E91E0000}"/>
    <cellStyle name="HEADING2 2 155 2" xfId="11334" xr:uid="{00000000-0005-0000-0000-0000EA1E0000}"/>
    <cellStyle name="HEADING2 2 156" xfId="5075" xr:uid="{00000000-0005-0000-0000-0000EB1E0000}"/>
    <cellStyle name="HEADING2 2 156 2" xfId="11335" xr:uid="{00000000-0005-0000-0000-0000EC1E0000}"/>
    <cellStyle name="HEADING2 2 157" xfId="5076" xr:uid="{00000000-0005-0000-0000-0000ED1E0000}"/>
    <cellStyle name="HEADING2 2 157 2" xfId="11336" xr:uid="{00000000-0005-0000-0000-0000EE1E0000}"/>
    <cellStyle name="HEADING2 2 158" xfId="5077" xr:uid="{00000000-0005-0000-0000-0000EF1E0000}"/>
    <cellStyle name="HEADING2 2 158 2" xfId="11337" xr:uid="{00000000-0005-0000-0000-0000F01E0000}"/>
    <cellStyle name="HEADING2 2 159" xfId="5078" xr:uid="{00000000-0005-0000-0000-0000F11E0000}"/>
    <cellStyle name="HEADING2 2 159 2" xfId="11338" xr:uid="{00000000-0005-0000-0000-0000F21E0000}"/>
    <cellStyle name="HEADING2 2 16" xfId="5079" xr:uid="{00000000-0005-0000-0000-0000F31E0000}"/>
    <cellStyle name="HEADING2 2 16 2" xfId="11339" xr:uid="{00000000-0005-0000-0000-0000F41E0000}"/>
    <cellStyle name="HEADING2 2 160" xfId="5080" xr:uid="{00000000-0005-0000-0000-0000F51E0000}"/>
    <cellStyle name="HEADING2 2 160 2" xfId="11340" xr:uid="{00000000-0005-0000-0000-0000F61E0000}"/>
    <cellStyle name="HEADING2 2 161" xfId="5081" xr:uid="{00000000-0005-0000-0000-0000F71E0000}"/>
    <cellStyle name="HEADING2 2 161 2" xfId="11341" xr:uid="{00000000-0005-0000-0000-0000F81E0000}"/>
    <cellStyle name="HEADING2 2 162" xfId="5082" xr:uid="{00000000-0005-0000-0000-0000F91E0000}"/>
    <cellStyle name="HEADING2 2 162 2" xfId="11342" xr:uid="{00000000-0005-0000-0000-0000FA1E0000}"/>
    <cellStyle name="HEADING2 2 163" xfId="5083" xr:uid="{00000000-0005-0000-0000-0000FB1E0000}"/>
    <cellStyle name="HEADING2 2 163 2" xfId="11343" xr:uid="{00000000-0005-0000-0000-0000FC1E0000}"/>
    <cellStyle name="HEADING2 2 164" xfId="5084" xr:uid="{00000000-0005-0000-0000-0000FD1E0000}"/>
    <cellStyle name="HEADING2 2 164 2" xfId="11344" xr:uid="{00000000-0005-0000-0000-0000FE1E0000}"/>
    <cellStyle name="HEADING2 2 165" xfId="5085" xr:uid="{00000000-0005-0000-0000-0000FF1E0000}"/>
    <cellStyle name="HEADING2 2 165 2" xfId="11345" xr:uid="{00000000-0005-0000-0000-0000001F0000}"/>
    <cellStyle name="HEADING2 2 166" xfId="5086" xr:uid="{00000000-0005-0000-0000-0000011F0000}"/>
    <cellStyle name="HEADING2 2 166 2" xfId="11346" xr:uid="{00000000-0005-0000-0000-0000021F0000}"/>
    <cellStyle name="HEADING2 2 167" xfId="5087" xr:uid="{00000000-0005-0000-0000-0000031F0000}"/>
    <cellStyle name="HEADING2 2 167 2" xfId="11347" xr:uid="{00000000-0005-0000-0000-0000041F0000}"/>
    <cellStyle name="HEADING2 2 168" xfId="5088" xr:uid="{00000000-0005-0000-0000-0000051F0000}"/>
    <cellStyle name="HEADING2 2 168 2" xfId="11348" xr:uid="{00000000-0005-0000-0000-0000061F0000}"/>
    <cellStyle name="HEADING2 2 169" xfId="5089" xr:uid="{00000000-0005-0000-0000-0000071F0000}"/>
    <cellStyle name="HEADING2 2 169 2" xfId="11349" xr:uid="{00000000-0005-0000-0000-0000081F0000}"/>
    <cellStyle name="HEADING2 2 17" xfId="5090" xr:uid="{00000000-0005-0000-0000-0000091F0000}"/>
    <cellStyle name="HEADING2 2 17 2" xfId="11350" xr:uid="{00000000-0005-0000-0000-00000A1F0000}"/>
    <cellStyle name="HEADING2 2 170" xfId="5091" xr:uid="{00000000-0005-0000-0000-00000B1F0000}"/>
    <cellStyle name="HEADING2 2 170 2" xfId="11351" xr:uid="{00000000-0005-0000-0000-00000C1F0000}"/>
    <cellStyle name="HEADING2 2 171" xfId="5092" xr:uid="{00000000-0005-0000-0000-00000D1F0000}"/>
    <cellStyle name="HEADING2 2 171 2" xfId="11352" xr:uid="{00000000-0005-0000-0000-00000E1F0000}"/>
    <cellStyle name="HEADING2 2 172" xfId="5093" xr:uid="{00000000-0005-0000-0000-00000F1F0000}"/>
    <cellStyle name="HEADING2 2 172 2" xfId="11353" xr:uid="{00000000-0005-0000-0000-0000101F0000}"/>
    <cellStyle name="HEADING2 2 173" xfId="5094" xr:uid="{00000000-0005-0000-0000-0000111F0000}"/>
    <cellStyle name="HEADING2 2 173 2" xfId="11354" xr:uid="{00000000-0005-0000-0000-0000121F0000}"/>
    <cellStyle name="HEADING2 2 174" xfId="5095" xr:uid="{00000000-0005-0000-0000-0000131F0000}"/>
    <cellStyle name="HEADING2 2 174 2" xfId="11355" xr:uid="{00000000-0005-0000-0000-0000141F0000}"/>
    <cellStyle name="HEADING2 2 175" xfId="5096" xr:uid="{00000000-0005-0000-0000-0000151F0000}"/>
    <cellStyle name="HEADING2 2 175 2" xfId="11356" xr:uid="{00000000-0005-0000-0000-0000161F0000}"/>
    <cellStyle name="HEADING2 2 176" xfId="5097" xr:uid="{00000000-0005-0000-0000-0000171F0000}"/>
    <cellStyle name="HEADING2 2 176 2" xfId="11357" xr:uid="{00000000-0005-0000-0000-0000181F0000}"/>
    <cellStyle name="HEADING2 2 177" xfId="5098" xr:uid="{00000000-0005-0000-0000-0000191F0000}"/>
    <cellStyle name="HEADING2 2 177 2" xfId="11358" xr:uid="{00000000-0005-0000-0000-00001A1F0000}"/>
    <cellStyle name="HEADING2 2 178" xfId="5099" xr:uid="{00000000-0005-0000-0000-00001B1F0000}"/>
    <cellStyle name="HEADING2 2 178 2" xfId="11359" xr:uid="{00000000-0005-0000-0000-00001C1F0000}"/>
    <cellStyle name="HEADING2 2 179" xfId="5100" xr:uid="{00000000-0005-0000-0000-00001D1F0000}"/>
    <cellStyle name="HEADING2 2 179 2" xfId="11360" xr:uid="{00000000-0005-0000-0000-00001E1F0000}"/>
    <cellStyle name="HEADING2 2 18" xfId="5101" xr:uid="{00000000-0005-0000-0000-00001F1F0000}"/>
    <cellStyle name="HEADING2 2 18 2" xfId="11361" xr:uid="{00000000-0005-0000-0000-0000201F0000}"/>
    <cellStyle name="HEADING2 2 180" xfId="5102" xr:uid="{00000000-0005-0000-0000-0000211F0000}"/>
    <cellStyle name="HEADING2 2 180 2" xfId="11362" xr:uid="{00000000-0005-0000-0000-0000221F0000}"/>
    <cellStyle name="HEADING2 2 181" xfId="5103" xr:uid="{00000000-0005-0000-0000-0000231F0000}"/>
    <cellStyle name="HEADING2 2 181 2" xfId="11363" xr:uid="{00000000-0005-0000-0000-0000241F0000}"/>
    <cellStyle name="HEADING2 2 182" xfId="5104" xr:uid="{00000000-0005-0000-0000-0000251F0000}"/>
    <cellStyle name="HEADING2 2 182 2" xfId="11364" xr:uid="{00000000-0005-0000-0000-0000261F0000}"/>
    <cellStyle name="HEADING2 2 183" xfId="5105" xr:uid="{00000000-0005-0000-0000-0000271F0000}"/>
    <cellStyle name="HEADING2 2 183 2" xfId="11365" xr:uid="{00000000-0005-0000-0000-0000281F0000}"/>
    <cellStyle name="HEADING2 2 184" xfId="5106" xr:uid="{00000000-0005-0000-0000-0000291F0000}"/>
    <cellStyle name="HEADING2 2 184 2" xfId="11366" xr:uid="{00000000-0005-0000-0000-00002A1F0000}"/>
    <cellStyle name="HEADING2 2 185" xfId="5107" xr:uid="{00000000-0005-0000-0000-00002B1F0000}"/>
    <cellStyle name="HEADING2 2 185 2" xfId="11367" xr:uid="{00000000-0005-0000-0000-00002C1F0000}"/>
    <cellStyle name="HEADING2 2 186" xfId="5108" xr:uid="{00000000-0005-0000-0000-00002D1F0000}"/>
    <cellStyle name="HEADING2 2 186 2" xfId="11368" xr:uid="{00000000-0005-0000-0000-00002E1F0000}"/>
    <cellStyle name="HEADING2 2 187" xfId="5109" xr:uid="{00000000-0005-0000-0000-00002F1F0000}"/>
    <cellStyle name="HEADING2 2 187 2" xfId="11369" xr:uid="{00000000-0005-0000-0000-0000301F0000}"/>
    <cellStyle name="HEADING2 2 188" xfId="5110" xr:uid="{00000000-0005-0000-0000-0000311F0000}"/>
    <cellStyle name="HEADING2 2 188 2" xfId="11370" xr:uid="{00000000-0005-0000-0000-0000321F0000}"/>
    <cellStyle name="HEADING2 2 189" xfId="5111" xr:uid="{00000000-0005-0000-0000-0000331F0000}"/>
    <cellStyle name="HEADING2 2 189 2" xfId="11371" xr:uid="{00000000-0005-0000-0000-0000341F0000}"/>
    <cellStyle name="HEADING2 2 19" xfId="5112" xr:uid="{00000000-0005-0000-0000-0000351F0000}"/>
    <cellStyle name="HEADING2 2 19 2" xfId="11372" xr:uid="{00000000-0005-0000-0000-0000361F0000}"/>
    <cellStyle name="HEADING2 2 190" xfId="5113" xr:uid="{00000000-0005-0000-0000-0000371F0000}"/>
    <cellStyle name="HEADING2 2 190 2" xfId="11373" xr:uid="{00000000-0005-0000-0000-0000381F0000}"/>
    <cellStyle name="HEADING2 2 191" xfId="5114" xr:uid="{00000000-0005-0000-0000-0000391F0000}"/>
    <cellStyle name="HEADING2 2 191 2" xfId="11374" xr:uid="{00000000-0005-0000-0000-00003A1F0000}"/>
    <cellStyle name="HEADING2 2 192" xfId="5115" xr:uid="{00000000-0005-0000-0000-00003B1F0000}"/>
    <cellStyle name="HEADING2 2 192 2" xfId="11375" xr:uid="{00000000-0005-0000-0000-00003C1F0000}"/>
    <cellStyle name="HEADING2 2 193" xfId="5116" xr:uid="{00000000-0005-0000-0000-00003D1F0000}"/>
    <cellStyle name="HEADING2 2 193 2" xfId="11376" xr:uid="{00000000-0005-0000-0000-00003E1F0000}"/>
    <cellStyle name="HEADING2 2 194" xfId="5117" xr:uid="{00000000-0005-0000-0000-00003F1F0000}"/>
    <cellStyle name="HEADING2 2 194 2" xfId="11377" xr:uid="{00000000-0005-0000-0000-0000401F0000}"/>
    <cellStyle name="HEADING2 2 195" xfId="5118" xr:uid="{00000000-0005-0000-0000-0000411F0000}"/>
    <cellStyle name="HEADING2 2 195 2" xfId="11378" xr:uid="{00000000-0005-0000-0000-0000421F0000}"/>
    <cellStyle name="HEADING2 2 196" xfId="5119" xr:uid="{00000000-0005-0000-0000-0000431F0000}"/>
    <cellStyle name="HEADING2 2 196 2" xfId="11379" xr:uid="{00000000-0005-0000-0000-0000441F0000}"/>
    <cellStyle name="HEADING2 2 197" xfId="5120" xr:uid="{00000000-0005-0000-0000-0000451F0000}"/>
    <cellStyle name="HEADING2 2 197 2" xfId="11380" xr:uid="{00000000-0005-0000-0000-0000461F0000}"/>
    <cellStyle name="HEADING2 2 198" xfId="5121" xr:uid="{00000000-0005-0000-0000-0000471F0000}"/>
    <cellStyle name="HEADING2 2 198 2" xfId="11381" xr:uid="{00000000-0005-0000-0000-0000481F0000}"/>
    <cellStyle name="HEADING2 2 199" xfId="5122" xr:uid="{00000000-0005-0000-0000-0000491F0000}"/>
    <cellStyle name="HEADING2 2 199 2" xfId="11382" xr:uid="{00000000-0005-0000-0000-00004A1F0000}"/>
    <cellStyle name="HEADING2 2 2" xfId="831" xr:uid="{00000000-0005-0000-0000-00004B1F0000}"/>
    <cellStyle name="HEADING2 2 2 2" xfId="5123" xr:uid="{00000000-0005-0000-0000-00004C1F0000}"/>
    <cellStyle name="HEADING2 2 2 2 2" xfId="11384" xr:uid="{00000000-0005-0000-0000-00004D1F0000}"/>
    <cellStyle name="HEADING2 2 2 3" xfId="11383" xr:uid="{00000000-0005-0000-0000-00004E1F0000}"/>
    <cellStyle name="HEADING2 2 20" xfId="5124" xr:uid="{00000000-0005-0000-0000-00004F1F0000}"/>
    <cellStyle name="HEADING2 2 20 2" xfId="11385" xr:uid="{00000000-0005-0000-0000-0000501F0000}"/>
    <cellStyle name="HEADING2 2 200" xfId="5125" xr:uid="{00000000-0005-0000-0000-0000511F0000}"/>
    <cellStyle name="HEADING2 2 200 2" xfId="11386" xr:uid="{00000000-0005-0000-0000-0000521F0000}"/>
    <cellStyle name="HEADING2 2 201" xfId="5126" xr:uid="{00000000-0005-0000-0000-0000531F0000}"/>
    <cellStyle name="HEADING2 2 201 2" xfId="11387" xr:uid="{00000000-0005-0000-0000-0000541F0000}"/>
    <cellStyle name="HEADING2 2 202" xfId="5127" xr:uid="{00000000-0005-0000-0000-0000551F0000}"/>
    <cellStyle name="HEADING2 2 202 2" xfId="11388" xr:uid="{00000000-0005-0000-0000-0000561F0000}"/>
    <cellStyle name="HEADING2 2 203" xfId="5128" xr:uid="{00000000-0005-0000-0000-0000571F0000}"/>
    <cellStyle name="HEADING2 2 203 2" xfId="11389" xr:uid="{00000000-0005-0000-0000-0000581F0000}"/>
    <cellStyle name="HEADING2 2 204" xfId="5129" xr:uid="{00000000-0005-0000-0000-0000591F0000}"/>
    <cellStyle name="HEADING2 2 204 2" xfId="11390" xr:uid="{00000000-0005-0000-0000-00005A1F0000}"/>
    <cellStyle name="HEADING2 2 205" xfId="5130" xr:uid="{00000000-0005-0000-0000-00005B1F0000}"/>
    <cellStyle name="HEADING2 2 205 2" xfId="11391" xr:uid="{00000000-0005-0000-0000-00005C1F0000}"/>
    <cellStyle name="HEADING2 2 206" xfId="5131" xr:uid="{00000000-0005-0000-0000-00005D1F0000}"/>
    <cellStyle name="HEADING2 2 206 2" xfId="11392" xr:uid="{00000000-0005-0000-0000-00005E1F0000}"/>
    <cellStyle name="HEADING2 2 207" xfId="5132" xr:uid="{00000000-0005-0000-0000-00005F1F0000}"/>
    <cellStyle name="HEADING2 2 207 2" xfId="11393" xr:uid="{00000000-0005-0000-0000-0000601F0000}"/>
    <cellStyle name="HEADING2 2 208" xfId="5133" xr:uid="{00000000-0005-0000-0000-0000611F0000}"/>
    <cellStyle name="HEADING2 2 208 2" xfId="11394" xr:uid="{00000000-0005-0000-0000-0000621F0000}"/>
    <cellStyle name="HEADING2 2 209" xfId="5134" xr:uid="{00000000-0005-0000-0000-0000631F0000}"/>
    <cellStyle name="HEADING2 2 209 2" xfId="11395" xr:uid="{00000000-0005-0000-0000-0000641F0000}"/>
    <cellStyle name="HEADING2 2 21" xfId="5135" xr:uid="{00000000-0005-0000-0000-0000651F0000}"/>
    <cellStyle name="HEADING2 2 21 2" xfId="11396" xr:uid="{00000000-0005-0000-0000-0000661F0000}"/>
    <cellStyle name="HEADING2 2 210" xfId="5136" xr:uid="{00000000-0005-0000-0000-0000671F0000}"/>
    <cellStyle name="HEADING2 2 210 2" xfId="11397" xr:uid="{00000000-0005-0000-0000-0000681F0000}"/>
    <cellStyle name="HEADING2 2 211" xfId="5137" xr:uid="{00000000-0005-0000-0000-0000691F0000}"/>
    <cellStyle name="HEADING2 2 211 2" xfId="11398" xr:uid="{00000000-0005-0000-0000-00006A1F0000}"/>
    <cellStyle name="HEADING2 2 212" xfId="5138" xr:uid="{00000000-0005-0000-0000-00006B1F0000}"/>
    <cellStyle name="HEADING2 2 212 2" xfId="11399" xr:uid="{00000000-0005-0000-0000-00006C1F0000}"/>
    <cellStyle name="HEADING2 2 213" xfId="5139" xr:uid="{00000000-0005-0000-0000-00006D1F0000}"/>
    <cellStyle name="HEADING2 2 213 2" xfId="11400" xr:uid="{00000000-0005-0000-0000-00006E1F0000}"/>
    <cellStyle name="HEADING2 2 214" xfId="5140" xr:uid="{00000000-0005-0000-0000-00006F1F0000}"/>
    <cellStyle name="HEADING2 2 214 2" xfId="11401" xr:uid="{00000000-0005-0000-0000-0000701F0000}"/>
    <cellStyle name="HEADING2 2 215" xfId="5141" xr:uid="{00000000-0005-0000-0000-0000711F0000}"/>
    <cellStyle name="HEADING2 2 215 2" xfId="11402" xr:uid="{00000000-0005-0000-0000-0000721F0000}"/>
    <cellStyle name="HEADING2 2 216" xfId="5142" xr:uid="{00000000-0005-0000-0000-0000731F0000}"/>
    <cellStyle name="HEADING2 2 216 2" xfId="11403" xr:uid="{00000000-0005-0000-0000-0000741F0000}"/>
    <cellStyle name="HEADING2 2 217" xfId="5143" xr:uid="{00000000-0005-0000-0000-0000751F0000}"/>
    <cellStyle name="HEADING2 2 217 2" xfId="11404" xr:uid="{00000000-0005-0000-0000-0000761F0000}"/>
    <cellStyle name="HEADING2 2 218" xfId="5144" xr:uid="{00000000-0005-0000-0000-0000771F0000}"/>
    <cellStyle name="HEADING2 2 218 2" xfId="11405" xr:uid="{00000000-0005-0000-0000-0000781F0000}"/>
    <cellStyle name="HEADING2 2 219" xfId="5145" xr:uid="{00000000-0005-0000-0000-0000791F0000}"/>
    <cellStyle name="HEADING2 2 219 2" xfId="11406" xr:uid="{00000000-0005-0000-0000-00007A1F0000}"/>
    <cellStyle name="HEADING2 2 22" xfId="5146" xr:uid="{00000000-0005-0000-0000-00007B1F0000}"/>
    <cellStyle name="HEADING2 2 22 2" xfId="11407" xr:uid="{00000000-0005-0000-0000-00007C1F0000}"/>
    <cellStyle name="HEADING2 2 220" xfId="5147" xr:uid="{00000000-0005-0000-0000-00007D1F0000}"/>
    <cellStyle name="HEADING2 2 220 2" xfId="11408" xr:uid="{00000000-0005-0000-0000-00007E1F0000}"/>
    <cellStyle name="HEADING2 2 221" xfId="5148" xr:uid="{00000000-0005-0000-0000-00007F1F0000}"/>
    <cellStyle name="HEADING2 2 221 2" xfId="11409" xr:uid="{00000000-0005-0000-0000-0000801F0000}"/>
    <cellStyle name="HEADING2 2 222" xfId="5149" xr:uid="{00000000-0005-0000-0000-0000811F0000}"/>
    <cellStyle name="HEADING2 2 222 2" xfId="11410" xr:uid="{00000000-0005-0000-0000-0000821F0000}"/>
    <cellStyle name="HEADING2 2 223" xfId="5150" xr:uid="{00000000-0005-0000-0000-0000831F0000}"/>
    <cellStyle name="HEADING2 2 223 2" xfId="11411" xr:uid="{00000000-0005-0000-0000-0000841F0000}"/>
    <cellStyle name="HEADING2 2 224" xfId="5151" xr:uid="{00000000-0005-0000-0000-0000851F0000}"/>
    <cellStyle name="HEADING2 2 224 2" xfId="11412" xr:uid="{00000000-0005-0000-0000-0000861F0000}"/>
    <cellStyle name="HEADING2 2 225" xfId="5152" xr:uid="{00000000-0005-0000-0000-0000871F0000}"/>
    <cellStyle name="HEADING2 2 225 2" xfId="11413" xr:uid="{00000000-0005-0000-0000-0000881F0000}"/>
    <cellStyle name="HEADING2 2 226" xfId="5153" xr:uid="{00000000-0005-0000-0000-0000891F0000}"/>
    <cellStyle name="HEADING2 2 226 2" xfId="11414" xr:uid="{00000000-0005-0000-0000-00008A1F0000}"/>
    <cellStyle name="HEADING2 2 227" xfId="5154" xr:uid="{00000000-0005-0000-0000-00008B1F0000}"/>
    <cellStyle name="HEADING2 2 227 2" xfId="11415" xr:uid="{00000000-0005-0000-0000-00008C1F0000}"/>
    <cellStyle name="HEADING2 2 228" xfId="5155" xr:uid="{00000000-0005-0000-0000-00008D1F0000}"/>
    <cellStyle name="HEADING2 2 228 2" xfId="11416" xr:uid="{00000000-0005-0000-0000-00008E1F0000}"/>
    <cellStyle name="HEADING2 2 229" xfId="5156" xr:uid="{00000000-0005-0000-0000-00008F1F0000}"/>
    <cellStyle name="HEADING2 2 229 2" xfId="11417" xr:uid="{00000000-0005-0000-0000-0000901F0000}"/>
    <cellStyle name="HEADING2 2 23" xfId="5157" xr:uid="{00000000-0005-0000-0000-0000911F0000}"/>
    <cellStyle name="HEADING2 2 23 2" xfId="11418" xr:uid="{00000000-0005-0000-0000-0000921F0000}"/>
    <cellStyle name="HEADING2 2 230" xfId="5158" xr:uid="{00000000-0005-0000-0000-0000931F0000}"/>
    <cellStyle name="HEADING2 2 230 2" xfId="11419" xr:uid="{00000000-0005-0000-0000-0000941F0000}"/>
    <cellStyle name="HEADING2 2 231" xfId="5159" xr:uid="{00000000-0005-0000-0000-0000951F0000}"/>
    <cellStyle name="HEADING2 2 231 2" xfId="11420" xr:uid="{00000000-0005-0000-0000-0000961F0000}"/>
    <cellStyle name="HEADING2 2 232" xfId="5160" xr:uid="{00000000-0005-0000-0000-0000971F0000}"/>
    <cellStyle name="HEADING2 2 232 2" xfId="11421" xr:uid="{00000000-0005-0000-0000-0000981F0000}"/>
    <cellStyle name="HEADING2 2 233" xfId="5161" xr:uid="{00000000-0005-0000-0000-0000991F0000}"/>
    <cellStyle name="HEADING2 2 233 2" xfId="11422" xr:uid="{00000000-0005-0000-0000-00009A1F0000}"/>
    <cellStyle name="HEADING2 2 234" xfId="5162" xr:uid="{00000000-0005-0000-0000-00009B1F0000}"/>
    <cellStyle name="HEADING2 2 234 2" xfId="11423" xr:uid="{00000000-0005-0000-0000-00009C1F0000}"/>
    <cellStyle name="HEADING2 2 235" xfId="5163" xr:uid="{00000000-0005-0000-0000-00009D1F0000}"/>
    <cellStyle name="HEADING2 2 235 2" xfId="11424" xr:uid="{00000000-0005-0000-0000-00009E1F0000}"/>
    <cellStyle name="HEADING2 2 236" xfId="5164" xr:uid="{00000000-0005-0000-0000-00009F1F0000}"/>
    <cellStyle name="HEADING2 2 236 2" xfId="11425" xr:uid="{00000000-0005-0000-0000-0000A01F0000}"/>
    <cellStyle name="HEADING2 2 237" xfId="5165" xr:uid="{00000000-0005-0000-0000-0000A11F0000}"/>
    <cellStyle name="HEADING2 2 237 2" xfId="11426" xr:uid="{00000000-0005-0000-0000-0000A21F0000}"/>
    <cellStyle name="HEADING2 2 238" xfId="5166" xr:uid="{00000000-0005-0000-0000-0000A31F0000}"/>
    <cellStyle name="HEADING2 2 238 2" xfId="11427" xr:uid="{00000000-0005-0000-0000-0000A41F0000}"/>
    <cellStyle name="HEADING2 2 239" xfId="5167" xr:uid="{00000000-0005-0000-0000-0000A51F0000}"/>
    <cellStyle name="HEADING2 2 239 2" xfId="11428" xr:uid="{00000000-0005-0000-0000-0000A61F0000}"/>
    <cellStyle name="HEADING2 2 24" xfId="5168" xr:uid="{00000000-0005-0000-0000-0000A71F0000}"/>
    <cellStyle name="HEADING2 2 24 2" xfId="11429" xr:uid="{00000000-0005-0000-0000-0000A81F0000}"/>
    <cellStyle name="HEADING2 2 240" xfId="5169" xr:uid="{00000000-0005-0000-0000-0000A91F0000}"/>
    <cellStyle name="HEADING2 2 240 2" xfId="11430" xr:uid="{00000000-0005-0000-0000-0000AA1F0000}"/>
    <cellStyle name="HEADING2 2 241" xfId="5170" xr:uid="{00000000-0005-0000-0000-0000AB1F0000}"/>
    <cellStyle name="HEADING2 2 241 2" xfId="11431" xr:uid="{00000000-0005-0000-0000-0000AC1F0000}"/>
    <cellStyle name="HEADING2 2 242" xfId="5171" xr:uid="{00000000-0005-0000-0000-0000AD1F0000}"/>
    <cellStyle name="HEADING2 2 242 2" xfId="11432" xr:uid="{00000000-0005-0000-0000-0000AE1F0000}"/>
    <cellStyle name="HEADING2 2 243" xfId="5172" xr:uid="{00000000-0005-0000-0000-0000AF1F0000}"/>
    <cellStyle name="HEADING2 2 243 2" xfId="11433" xr:uid="{00000000-0005-0000-0000-0000B01F0000}"/>
    <cellStyle name="HEADING2 2 244" xfId="5173" xr:uid="{00000000-0005-0000-0000-0000B11F0000}"/>
    <cellStyle name="HEADING2 2 244 2" xfId="11434" xr:uid="{00000000-0005-0000-0000-0000B21F0000}"/>
    <cellStyle name="HEADING2 2 245" xfId="5174" xr:uid="{00000000-0005-0000-0000-0000B31F0000}"/>
    <cellStyle name="HEADING2 2 245 2" xfId="11435" xr:uid="{00000000-0005-0000-0000-0000B41F0000}"/>
    <cellStyle name="HEADING2 2 246" xfId="5175" xr:uid="{00000000-0005-0000-0000-0000B51F0000}"/>
    <cellStyle name="HEADING2 2 246 2" xfId="11436" xr:uid="{00000000-0005-0000-0000-0000B61F0000}"/>
    <cellStyle name="HEADING2 2 247" xfId="5176" xr:uid="{00000000-0005-0000-0000-0000B71F0000}"/>
    <cellStyle name="HEADING2 2 247 2" xfId="11437" xr:uid="{00000000-0005-0000-0000-0000B81F0000}"/>
    <cellStyle name="HEADING2 2 248" xfId="5177" xr:uid="{00000000-0005-0000-0000-0000B91F0000}"/>
    <cellStyle name="HEADING2 2 248 2" xfId="11438" xr:uid="{00000000-0005-0000-0000-0000BA1F0000}"/>
    <cellStyle name="HEADING2 2 249" xfId="5178" xr:uid="{00000000-0005-0000-0000-0000BB1F0000}"/>
    <cellStyle name="HEADING2 2 249 2" xfId="11439" xr:uid="{00000000-0005-0000-0000-0000BC1F0000}"/>
    <cellStyle name="HEADING2 2 25" xfId="5179" xr:uid="{00000000-0005-0000-0000-0000BD1F0000}"/>
    <cellStyle name="HEADING2 2 25 2" xfId="11440" xr:uid="{00000000-0005-0000-0000-0000BE1F0000}"/>
    <cellStyle name="HEADING2 2 250" xfId="5180" xr:uid="{00000000-0005-0000-0000-0000BF1F0000}"/>
    <cellStyle name="HEADING2 2 250 2" xfId="11441" xr:uid="{00000000-0005-0000-0000-0000C01F0000}"/>
    <cellStyle name="HEADING2 2 251" xfId="5181" xr:uid="{00000000-0005-0000-0000-0000C11F0000}"/>
    <cellStyle name="HEADING2 2 251 2" xfId="11442" xr:uid="{00000000-0005-0000-0000-0000C21F0000}"/>
    <cellStyle name="HEADING2 2 252" xfId="5182" xr:uid="{00000000-0005-0000-0000-0000C31F0000}"/>
    <cellStyle name="HEADING2 2 252 2" xfId="11443" xr:uid="{00000000-0005-0000-0000-0000C41F0000}"/>
    <cellStyle name="HEADING2 2 253" xfId="5183" xr:uid="{00000000-0005-0000-0000-0000C51F0000}"/>
    <cellStyle name="HEADING2 2 253 2" xfId="11444" xr:uid="{00000000-0005-0000-0000-0000C61F0000}"/>
    <cellStyle name="HEADING2 2 254" xfId="5184" xr:uid="{00000000-0005-0000-0000-0000C71F0000}"/>
    <cellStyle name="HEADING2 2 254 2" xfId="11445" xr:uid="{00000000-0005-0000-0000-0000C81F0000}"/>
    <cellStyle name="HEADING2 2 255" xfId="5185" xr:uid="{00000000-0005-0000-0000-0000C91F0000}"/>
    <cellStyle name="HEADING2 2 255 2" xfId="11446" xr:uid="{00000000-0005-0000-0000-0000CA1F0000}"/>
    <cellStyle name="HEADING2 2 256" xfId="5012" xr:uid="{00000000-0005-0000-0000-0000CB1F0000}"/>
    <cellStyle name="HEADING2 2 256 2" xfId="11447" xr:uid="{00000000-0005-0000-0000-0000CC1F0000}"/>
    <cellStyle name="HEADING2 2 257" xfId="11272" xr:uid="{00000000-0005-0000-0000-0000CD1F0000}"/>
    <cellStyle name="HEADING2 2 26" xfId="5186" xr:uid="{00000000-0005-0000-0000-0000CE1F0000}"/>
    <cellStyle name="HEADING2 2 26 2" xfId="11448" xr:uid="{00000000-0005-0000-0000-0000CF1F0000}"/>
    <cellStyle name="HEADING2 2 27" xfId="5187" xr:uid="{00000000-0005-0000-0000-0000D01F0000}"/>
    <cellStyle name="HEADING2 2 27 2" xfId="11449" xr:uid="{00000000-0005-0000-0000-0000D11F0000}"/>
    <cellStyle name="HEADING2 2 28" xfId="5188" xr:uid="{00000000-0005-0000-0000-0000D21F0000}"/>
    <cellStyle name="HEADING2 2 28 2" xfId="11450" xr:uid="{00000000-0005-0000-0000-0000D31F0000}"/>
    <cellStyle name="HEADING2 2 29" xfId="5189" xr:uid="{00000000-0005-0000-0000-0000D41F0000}"/>
    <cellStyle name="HEADING2 2 29 2" xfId="11451" xr:uid="{00000000-0005-0000-0000-0000D51F0000}"/>
    <cellStyle name="HEADING2 2 3" xfId="5190" xr:uid="{00000000-0005-0000-0000-0000D61F0000}"/>
    <cellStyle name="HEADING2 2 3 2" xfId="11452" xr:uid="{00000000-0005-0000-0000-0000D71F0000}"/>
    <cellStyle name="HEADING2 2 30" xfId="5191" xr:uid="{00000000-0005-0000-0000-0000D81F0000}"/>
    <cellStyle name="HEADING2 2 30 2" xfId="11453" xr:uid="{00000000-0005-0000-0000-0000D91F0000}"/>
    <cellStyle name="HEADING2 2 31" xfId="5192" xr:uid="{00000000-0005-0000-0000-0000DA1F0000}"/>
    <cellStyle name="HEADING2 2 31 2" xfId="11454" xr:uid="{00000000-0005-0000-0000-0000DB1F0000}"/>
    <cellStyle name="HEADING2 2 32" xfId="5193" xr:uid="{00000000-0005-0000-0000-0000DC1F0000}"/>
    <cellStyle name="HEADING2 2 32 2" xfId="11455" xr:uid="{00000000-0005-0000-0000-0000DD1F0000}"/>
    <cellStyle name="HEADING2 2 33" xfId="5194" xr:uid="{00000000-0005-0000-0000-0000DE1F0000}"/>
    <cellStyle name="HEADING2 2 33 2" xfId="11456" xr:uid="{00000000-0005-0000-0000-0000DF1F0000}"/>
    <cellStyle name="HEADING2 2 34" xfId="5195" xr:uid="{00000000-0005-0000-0000-0000E01F0000}"/>
    <cellStyle name="HEADING2 2 34 2" xfId="11457" xr:uid="{00000000-0005-0000-0000-0000E11F0000}"/>
    <cellStyle name="HEADING2 2 35" xfId="5196" xr:uid="{00000000-0005-0000-0000-0000E21F0000}"/>
    <cellStyle name="HEADING2 2 35 2" xfId="11458" xr:uid="{00000000-0005-0000-0000-0000E31F0000}"/>
    <cellStyle name="HEADING2 2 36" xfId="5197" xr:uid="{00000000-0005-0000-0000-0000E41F0000}"/>
    <cellStyle name="HEADING2 2 36 2" xfId="11459" xr:uid="{00000000-0005-0000-0000-0000E51F0000}"/>
    <cellStyle name="HEADING2 2 37" xfId="5198" xr:uid="{00000000-0005-0000-0000-0000E61F0000}"/>
    <cellStyle name="HEADING2 2 37 2" xfId="11460" xr:uid="{00000000-0005-0000-0000-0000E71F0000}"/>
    <cellStyle name="HEADING2 2 38" xfId="5199" xr:uid="{00000000-0005-0000-0000-0000E81F0000}"/>
    <cellStyle name="HEADING2 2 38 2" xfId="11461" xr:uid="{00000000-0005-0000-0000-0000E91F0000}"/>
    <cellStyle name="HEADING2 2 39" xfId="5200" xr:uid="{00000000-0005-0000-0000-0000EA1F0000}"/>
    <cellStyle name="HEADING2 2 39 2" xfId="11462" xr:uid="{00000000-0005-0000-0000-0000EB1F0000}"/>
    <cellStyle name="HEADING2 2 4" xfId="5201" xr:uid="{00000000-0005-0000-0000-0000EC1F0000}"/>
    <cellStyle name="HEADING2 2 4 2" xfId="11463" xr:uid="{00000000-0005-0000-0000-0000ED1F0000}"/>
    <cellStyle name="HEADING2 2 40" xfId="5202" xr:uid="{00000000-0005-0000-0000-0000EE1F0000}"/>
    <cellStyle name="HEADING2 2 40 2" xfId="11464" xr:uid="{00000000-0005-0000-0000-0000EF1F0000}"/>
    <cellStyle name="HEADING2 2 41" xfId="5203" xr:uid="{00000000-0005-0000-0000-0000F01F0000}"/>
    <cellStyle name="HEADING2 2 41 2" xfId="11465" xr:uid="{00000000-0005-0000-0000-0000F11F0000}"/>
    <cellStyle name="HEADING2 2 42" xfId="5204" xr:uid="{00000000-0005-0000-0000-0000F21F0000}"/>
    <cellStyle name="HEADING2 2 42 2" xfId="11466" xr:uid="{00000000-0005-0000-0000-0000F31F0000}"/>
    <cellStyle name="HEADING2 2 43" xfId="5205" xr:uid="{00000000-0005-0000-0000-0000F41F0000}"/>
    <cellStyle name="HEADING2 2 43 2" xfId="11467" xr:uid="{00000000-0005-0000-0000-0000F51F0000}"/>
    <cellStyle name="HEADING2 2 44" xfId="5206" xr:uid="{00000000-0005-0000-0000-0000F61F0000}"/>
    <cellStyle name="HEADING2 2 44 2" xfId="11468" xr:uid="{00000000-0005-0000-0000-0000F71F0000}"/>
    <cellStyle name="HEADING2 2 45" xfId="5207" xr:uid="{00000000-0005-0000-0000-0000F81F0000}"/>
    <cellStyle name="HEADING2 2 45 2" xfId="11469" xr:uid="{00000000-0005-0000-0000-0000F91F0000}"/>
    <cellStyle name="HEADING2 2 46" xfId="5208" xr:uid="{00000000-0005-0000-0000-0000FA1F0000}"/>
    <cellStyle name="HEADING2 2 46 2" xfId="11470" xr:uid="{00000000-0005-0000-0000-0000FB1F0000}"/>
    <cellStyle name="HEADING2 2 47" xfId="5209" xr:uid="{00000000-0005-0000-0000-0000FC1F0000}"/>
    <cellStyle name="HEADING2 2 47 2" xfId="11471" xr:uid="{00000000-0005-0000-0000-0000FD1F0000}"/>
    <cellStyle name="HEADING2 2 48" xfId="5210" xr:uid="{00000000-0005-0000-0000-0000FE1F0000}"/>
    <cellStyle name="HEADING2 2 48 2" xfId="11472" xr:uid="{00000000-0005-0000-0000-0000FF1F0000}"/>
    <cellStyle name="HEADING2 2 49" xfId="5211" xr:uid="{00000000-0005-0000-0000-000000200000}"/>
    <cellStyle name="HEADING2 2 49 2" xfId="11473" xr:uid="{00000000-0005-0000-0000-000001200000}"/>
    <cellStyle name="HEADING2 2 5" xfId="5212" xr:uid="{00000000-0005-0000-0000-000002200000}"/>
    <cellStyle name="HEADING2 2 5 2" xfId="11474" xr:uid="{00000000-0005-0000-0000-000003200000}"/>
    <cellStyle name="HEADING2 2 50" xfId="5213" xr:uid="{00000000-0005-0000-0000-000004200000}"/>
    <cellStyle name="HEADING2 2 50 2" xfId="11475" xr:uid="{00000000-0005-0000-0000-000005200000}"/>
    <cellStyle name="HEADING2 2 51" xfId="5214" xr:uid="{00000000-0005-0000-0000-000006200000}"/>
    <cellStyle name="HEADING2 2 51 2" xfId="11476" xr:uid="{00000000-0005-0000-0000-000007200000}"/>
    <cellStyle name="HEADING2 2 52" xfId="5215" xr:uid="{00000000-0005-0000-0000-000008200000}"/>
    <cellStyle name="HEADING2 2 52 2" xfId="11477" xr:uid="{00000000-0005-0000-0000-000009200000}"/>
    <cellStyle name="HEADING2 2 53" xfId="5216" xr:uid="{00000000-0005-0000-0000-00000A200000}"/>
    <cellStyle name="HEADING2 2 53 2" xfId="11478" xr:uid="{00000000-0005-0000-0000-00000B200000}"/>
    <cellStyle name="HEADING2 2 54" xfId="5217" xr:uid="{00000000-0005-0000-0000-00000C200000}"/>
    <cellStyle name="HEADING2 2 54 2" xfId="11479" xr:uid="{00000000-0005-0000-0000-00000D200000}"/>
    <cellStyle name="HEADING2 2 55" xfId="5218" xr:uid="{00000000-0005-0000-0000-00000E200000}"/>
    <cellStyle name="HEADING2 2 55 2" xfId="11480" xr:uid="{00000000-0005-0000-0000-00000F200000}"/>
    <cellStyle name="HEADING2 2 56" xfId="5219" xr:uid="{00000000-0005-0000-0000-000010200000}"/>
    <cellStyle name="HEADING2 2 56 2" xfId="11481" xr:uid="{00000000-0005-0000-0000-000011200000}"/>
    <cellStyle name="HEADING2 2 57" xfId="5220" xr:uid="{00000000-0005-0000-0000-000012200000}"/>
    <cellStyle name="HEADING2 2 57 2" xfId="11482" xr:uid="{00000000-0005-0000-0000-000013200000}"/>
    <cellStyle name="HEADING2 2 58" xfId="5221" xr:uid="{00000000-0005-0000-0000-000014200000}"/>
    <cellStyle name="HEADING2 2 58 2" xfId="11483" xr:uid="{00000000-0005-0000-0000-000015200000}"/>
    <cellStyle name="HEADING2 2 59" xfId="5222" xr:uid="{00000000-0005-0000-0000-000016200000}"/>
    <cellStyle name="HEADING2 2 59 2" xfId="11484" xr:uid="{00000000-0005-0000-0000-000017200000}"/>
    <cellStyle name="HEADING2 2 6" xfId="5223" xr:uid="{00000000-0005-0000-0000-000018200000}"/>
    <cellStyle name="HEADING2 2 6 2" xfId="11485" xr:uid="{00000000-0005-0000-0000-000019200000}"/>
    <cellStyle name="HEADING2 2 60" xfId="5224" xr:uid="{00000000-0005-0000-0000-00001A200000}"/>
    <cellStyle name="HEADING2 2 60 2" xfId="11486" xr:uid="{00000000-0005-0000-0000-00001B200000}"/>
    <cellStyle name="HEADING2 2 61" xfId="5225" xr:uid="{00000000-0005-0000-0000-00001C200000}"/>
    <cellStyle name="HEADING2 2 61 2" xfId="11487" xr:uid="{00000000-0005-0000-0000-00001D200000}"/>
    <cellStyle name="HEADING2 2 62" xfId="5226" xr:uid="{00000000-0005-0000-0000-00001E200000}"/>
    <cellStyle name="HEADING2 2 62 2" xfId="11488" xr:uid="{00000000-0005-0000-0000-00001F200000}"/>
    <cellStyle name="HEADING2 2 63" xfId="5227" xr:uid="{00000000-0005-0000-0000-000020200000}"/>
    <cellStyle name="HEADING2 2 63 2" xfId="11489" xr:uid="{00000000-0005-0000-0000-000021200000}"/>
    <cellStyle name="HEADING2 2 64" xfId="5228" xr:uid="{00000000-0005-0000-0000-000022200000}"/>
    <cellStyle name="HEADING2 2 64 2" xfId="11490" xr:uid="{00000000-0005-0000-0000-000023200000}"/>
    <cellStyle name="HEADING2 2 65" xfId="5229" xr:uid="{00000000-0005-0000-0000-000024200000}"/>
    <cellStyle name="HEADING2 2 65 2" xfId="11491" xr:uid="{00000000-0005-0000-0000-000025200000}"/>
    <cellStyle name="HEADING2 2 66" xfId="5230" xr:uid="{00000000-0005-0000-0000-000026200000}"/>
    <cellStyle name="HEADING2 2 66 2" xfId="11492" xr:uid="{00000000-0005-0000-0000-000027200000}"/>
    <cellStyle name="HEADING2 2 67" xfId="5231" xr:uid="{00000000-0005-0000-0000-000028200000}"/>
    <cellStyle name="HEADING2 2 67 2" xfId="11493" xr:uid="{00000000-0005-0000-0000-000029200000}"/>
    <cellStyle name="HEADING2 2 68" xfId="5232" xr:uid="{00000000-0005-0000-0000-00002A200000}"/>
    <cellStyle name="HEADING2 2 68 2" xfId="11494" xr:uid="{00000000-0005-0000-0000-00002B200000}"/>
    <cellStyle name="HEADING2 2 69" xfId="5233" xr:uid="{00000000-0005-0000-0000-00002C200000}"/>
    <cellStyle name="HEADING2 2 69 2" xfId="11495" xr:uid="{00000000-0005-0000-0000-00002D200000}"/>
    <cellStyle name="HEADING2 2 7" xfId="5234" xr:uid="{00000000-0005-0000-0000-00002E200000}"/>
    <cellStyle name="HEADING2 2 7 2" xfId="11496" xr:uid="{00000000-0005-0000-0000-00002F200000}"/>
    <cellStyle name="HEADING2 2 70" xfId="5235" xr:uid="{00000000-0005-0000-0000-000030200000}"/>
    <cellStyle name="HEADING2 2 70 2" xfId="11497" xr:uid="{00000000-0005-0000-0000-000031200000}"/>
    <cellStyle name="HEADING2 2 71" xfId="5236" xr:uid="{00000000-0005-0000-0000-000032200000}"/>
    <cellStyle name="HEADING2 2 71 2" xfId="11498" xr:uid="{00000000-0005-0000-0000-000033200000}"/>
    <cellStyle name="HEADING2 2 72" xfId="5237" xr:uid="{00000000-0005-0000-0000-000034200000}"/>
    <cellStyle name="HEADING2 2 72 2" xfId="11499" xr:uid="{00000000-0005-0000-0000-000035200000}"/>
    <cellStyle name="HEADING2 2 73" xfId="5238" xr:uid="{00000000-0005-0000-0000-000036200000}"/>
    <cellStyle name="HEADING2 2 73 2" xfId="11500" xr:uid="{00000000-0005-0000-0000-000037200000}"/>
    <cellStyle name="HEADING2 2 74" xfId="5239" xr:uid="{00000000-0005-0000-0000-000038200000}"/>
    <cellStyle name="HEADING2 2 74 2" xfId="11501" xr:uid="{00000000-0005-0000-0000-000039200000}"/>
    <cellStyle name="HEADING2 2 75" xfId="5240" xr:uid="{00000000-0005-0000-0000-00003A200000}"/>
    <cellStyle name="HEADING2 2 75 2" xfId="11502" xr:uid="{00000000-0005-0000-0000-00003B200000}"/>
    <cellStyle name="HEADING2 2 76" xfId="5241" xr:uid="{00000000-0005-0000-0000-00003C200000}"/>
    <cellStyle name="HEADING2 2 76 2" xfId="11503" xr:uid="{00000000-0005-0000-0000-00003D200000}"/>
    <cellStyle name="HEADING2 2 77" xfId="5242" xr:uid="{00000000-0005-0000-0000-00003E200000}"/>
    <cellStyle name="HEADING2 2 77 2" xfId="11504" xr:uid="{00000000-0005-0000-0000-00003F200000}"/>
    <cellStyle name="HEADING2 2 78" xfId="5243" xr:uid="{00000000-0005-0000-0000-000040200000}"/>
    <cellStyle name="HEADING2 2 78 2" xfId="11505" xr:uid="{00000000-0005-0000-0000-000041200000}"/>
    <cellStyle name="HEADING2 2 79" xfId="5244" xr:uid="{00000000-0005-0000-0000-000042200000}"/>
    <cellStyle name="HEADING2 2 79 2" xfId="11506" xr:uid="{00000000-0005-0000-0000-000043200000}"/>
    <cellStyle name="HEADING2 2 8" xfId="5245" xr:uid="{00000000-0005-0000-0000-000044200000}"/>
    <cellStyle name="HEADING2 2 8 2" xfId="11507" xr:uid="{00000000-0005-0000-0000-000045200000}"/>
    <cellStyle name="HEADING2 2 80" xfId="5246" xr:uid="{00000000-0005-0000-0000-000046200000}"/>
    <cellStyle name="HEADING2 2 80 2" xfId="11508" xr:uid="{00000000-0005-0000-0000-000047200000}"/>
    <cellStyle name="HEADING2 2 81" xfId="5247" xr:uid="{00000000-0005-0000-0000-000048200000}"/>
    <cellStyle name="HEADING2 2 81 2" xfId="11509" xr:uid="{00000000-0005-0000-0000-000049200000}"/>
    <cellStyle name="HEADING2 2 82" xfId="5248" xr:uid="{00000000-0005-0000-0000-00004A200000}"/>
    <cellStyle name="HEADING2 2 82 2" xfId="11510" xr:uid="{00000000-0005-0000-0000-00004B200000}"/>
    <cellStyle name="HEADING2 2 83" xfId="5249" xr:uid="{00000000-0005-0000-0000-00004C200000}"/>
    <cellStyle name="HEADING2 2 83 2" xfId="11511" xr:uid="{00000000-0005-0000-0000-00004D200000}"/>
    <cellStyle name="HEADING2 2 84" xfId="5250" xr:uid="{00000000-0005-0000-0000-00004E200000}"/>
    <cellStyle name="HEADING2 2 84 2" xfId="11512" xr:uid="{00000000-0005-0000-0000-00004F200000}"/>
    <cellStyle name="HEADING2 2 85" xfId="5251" xr:uid="{00000000-0005-0000-0000-000050200000}"/>
    <cellStyle name="HEADING2 2 85 2" xfId="11513" xr:uid="{00000000-0005-0000-0000-000051200000}"/>
    <cellStyle name="HEADING2 2 86" xfId="5252" xr:uid="{00000000-0005-0000-0000-000052200000}"/>
    <cellStyle name="HEADING2 2 86 2" xfId="11514" xr:uid="{00000000-0005-0000-0000-000053200000}"/>
    <cellStyle name="HEADING2 2 87" xfId="5253" xr:uid="{00000000-0005-0000-0000-000054200000}"/>
    <cellStyle name="HEADING2 2 87 2" xfId="11515" xr:uid="{00000000-0005-0000-0000-000055200000}"/>
    <cellStyle name="HEADING2 2 88" xfId="5254" xr:uid="{00000000-0005-0000-0000-000056200000}"/>
    <cellStyle name="HEADING2 2 88 2" xfId="11516" xr:uid="{00000000-0005-0000-0000-000057200000}"/>
    <cellStyle name="HEADING2 2 89" xfId="5255" xr:uid="{00000000-0005-0000-0000-000058200000}"/>
    <cellStyle name="HEADING2 2 89 2" xfId="11517" xr:uid="{00000000-0005-0000-0000-000059200000}"/>
    <cellStyle name="HEADING2 2 9" xfId="5256" xr:uid="{00000000-0005-0000-0000-00005A200000}"/>
    <cellStyle name="HEADING2 2 9 2" xfId="11518" xr:uid="{00000000-0005-0000-0000-00005B200000}"/>
    <cellStyle name="HEADING2 2 90" xfId="5257" xr:uid="{00000000-0005-0000-0000-00005C200000}"/>
    <cellStyle name="HEADING2 2 90 2" xfId="11519" xr:uid="{00000000-0005-0000-0000-00005D200000}"/>
    <cellStyle name="HEADING2 2 91" xfId="5258" xr:uid="{00000000-0005-0000-0000-00005E200000}"/>
    <cellStyle name="HEADING2 2 91 2" xfId="11520" xr:uid="{00000000-0005-0000-0000-00005F200000}"/>
    <cellStyle name="HEADING2 2 92" xfId="5259" xr:uid="{00000000-0005-0000-0000-000060200000}"/>
    <cellStyle name="HEADING2 2 92 2" xfId="11521" xr:uid="{00000000-0005-0000-0000-000061200000}"/>
    <cellStyle name="HEADING2 2 93" xfId="5260" xr:uid="{00000000-0005-0000-0000-000062200000}"/>
    <cellStyle name="HEADING2 2 93 2" xfId="11522" xr:uid="{00000000-0005-0000-0000-000063200000}"/>
    <cellStyle name="HEADING2 2 94" xfId="5261" xr:uid="{00000000-0005-0000-0000-000064200000}"/>
    <cellStyle name="HEADING2 2 94 2" xfId="11523" xr:uid="{00000000-0005-0000-0000-000065200000}"/>
    <cellStyle name="HEADING2 2 95" xfId="5262" xr:uid="{00000000-0005-0000-0000-000066200000}"/>
    <cellStyle name="HEADING2 2 95 2" xfId="11524" xr:uid="{00000000-0005-0000-0000-000067200000}"/>
    <cellStyle name="HEADING2 2 96" xfId="5263" xr:uid="{00000000-0005-0000-0000-000068200000}"/>
    <cellStyle name="HEADING2 2 96 2" xfId="11525" xr:uid="{00000000-0005-0000-0000-000069200000}"/>
    <cellStyle name="HEADING2 2 97" xfId="5264" xr:uid="{00000000-0005-0000-0000-00006A200000}"/>
    <cellStyle name="HEADING2 2 97 2" xfId="11526" xr:uid="{00000000-0005-0000-0000-00006B200000}"/>
    <cellStyle name="HEADING2 2 98" xfId="5265" xr:uid="{00000000-0005-0000-0000-00006C200000}"/>
    <cellStyle name="HEADING2 2 98 2" xfId="11527" xr:uid="{00000000-0005-0000-0000-00006D200000}"/>
    <cellStyle name="HEADING2 2 99" xfId="5266" xr:uid="{00000000-0005-0000-0000-00006E200000}"/>
    <cellStyle name="HEADING2 2 99 2" xfId="11528" xr:uid="{00000000-0005-0000-0000-00006F200000}"/>
    <cellStyle name="HEADING2 20" xfId="832" xr:uid="{00000000-0005-0000-0000-000070200000}"/>
    <cellStyle name="HEADING2 20 2" xfId="833" xr:uid="{00000000-0005-0000-0000-000071200000}"/>
    <cellStyle name="HEADING2 20 2 2" xfId="8468" xr:uid="{00000000-0005-0000-0000-000072200000}"/>
    <cellStyle name="HEADING2 20 2 2 2" xfId="11531" xr:uid="{00000000-0005-0000-0000-000073200000}"/>
    <cellStyle name="HEADING2 20 2 3" xfId="11530" xr:uid="{00000000-0005-0000-0000-000074200000}"/>
    <cellStyle name="HEADING2 20 3" xfId="5267" xr:uid="{00000000-0005-0000-0000-000075200000}"/>
    <cellStyle name="HEADING2 20 3 2" xfId="11532" xr:uid="{00000000-0005-0000-0000-000076200000}"/>
    <cellStyle name="HEADING2 20 4" xfId="11529" xr:uid="{00000000-0005-0000-0000-000077200000}"/>
    <cellStyle name="HEADING2 21" xfId="834" xr:uid="{00000000-0005-0000-0000-000078200000}"/>
    <cellStyle name="HEADING2 21 2" xfId="835" xr:uid="{00000000-0005-0000-0000-000079200000}"/>
    <cellStyle name="HEADING2 21 2 2" xfId="8469" xr:uid="{00000000-0005-0000-0000-00007A200000}"/>
    <cellStyle name="HEADING2 21 2 2 2" xfId="11535" xr:uid="{00000000-0005-0000-0000-00007B200000}"/>
    <cellStyle name="HEADING2 21 2 3" xfId="11534" xr:uid="{00000000-0005-0000-0000-00007C200000}"/>
    <cellStyle name="HEADING2 21 3" xfId="5268" xr:uid="{00000000-0005-0000-0000-00007D200000}"/>
    <cellStyle name="HEADING2 21 3 2" xfId="11536" xr:uid="{00000000-0005-0000-0000-00007E200000}"/>
    <cellStyle name="HEADING2 21 4" xfId="11533" xr:uid="{00000000-0005-0000-0000-00007F200000}"/>
    <cellStyle name="HEADING2 22" xfId="836" xr:uid="{00000000-0005-0000-0000-000080200000}"/>
    <cellStyle name="HEADING2 22 2" xfId="837" xr:uid="{00000000-0005-0000-0000-000081200000}"/>
    <cellStyle name="HEADING2 22 2 2" xfId="8470" xr:uid="{00000000-0005-0000-0000-000082200000}"/>
    <cellStyle name="HEADING2 22 2 2 2" xfId="11539" xr:uid="{00000000-0005-0000-0000-000083200000}"/>
    <cellStyle name="HEADING2 22 2 3" xfId="11538" xr:uid="{00000000-0005-0000-0000-000084200000}"/>
    <cellStyle name="HEADING2 22 3" xfId="5269" xr:uid="{00000000-0005-0000-0000-000085200000}"/>
    <cellStyle name="HEADING2 22 3 2" xfId="11540" xr:uid="{00000000-0005-0000-0000-000086200000}"/>
    <cellStyle name="HEADING2 22 4" xfId="11537" xr:uid="{00000000-0005-0000-0000-000087200000}"/>
    <cellStyle name="HEADING2 23" xfId="838" xr:uid="{00000000-0005-0000-0000-000088200000}"/>
    <cellStyle name="HEADING2 23 2" xfId="839" xr:uid="{00000000-0005-0000-0000-000089200000}"/>
    <cellStyle name="HEADING2 23 2 2" xfId="8471" xr:uid="{00000000-0005-0000-0000-00008A200000}"/>
    <cellStyle name="HEADING2 23 2 2 2" xfId="11543" xr:uid="{00000000-0005-0000-0000-00008B200000}"/>
    <cellStyle name="HEADING2 23 2 3" xfId="11542" xr:uid="{00000000-0005-0000-0000-00008C200000}"/>
    <cellStyle name="HEADING2 23 3" xfId="5270" xr:uid="{00000000-0005-0000-0000-00008D200000}"/>
    <cellStyle name="HEADING2 23 3 2" xfId="11544" xr:uid="{00000000-0005-0000-0000-00008E200000}"/>
    <cellStyle name="HEADING2 23 4" xfId="11541" xr:uid="{00000000-0005-0000-0000-00008F200000}"/>
    <cellStyle name="HEADING2 24" xfId="840" xr:uid="{00000000-0005-0000-0000-000090200000}"/>
    <cellStyle name="HEADING2 24 2" xfId="841" xr:uid="{00000000-0005-0000-0000-000091200000}"/>
    <cellStyle name="HEADING2 24 2 2" xfId="8472" xr:uid="{00000000-0005-0000-0000-000092200000}"/>
    <cellStyle name="HEADING2 24 2 2 2" xfId="11547" xr:uid="{00000000-0005-0000-0000-000093200000}"/>
    <cellStyle name="HEADING2 24 2 3" xfId="11546" xr:uid="{00000000-0005-0000-0000-000094200000}"/>
    <cellStyle name="HEADING2 24 3" xfId="5271" xr:uid="{00000000-0005-0000-0000-000095200000}"/>
    <cellStyle name="HEADING2 24 3 2" xfId="11548" xr:uid="{00000000-0005-0000-0000-000096200000}"/>
    <cellStyle name="HEADING2 24 4" xfId="11545" xr:uid="{00000000-0005-0000-0000-000097200000}"/>
    <cellStyle name="HEADING2 25" xfId="842" xr:uid="{00000000-0005-0000-0000-000098200000}"/>
    <cellStyle name="HEADING2 25 2" xfId="843" xr:uid="{00000000-0005-0000-0000-000099200000}"/>
    <cellStyle name="HEADING2 25 2 2" xfId="8473" xr:uid="{00000000-0005-0000-0000-00009A200000}"/>
    <cellStyle name="HEADING2 25 2 2 2" xfId="11551" xr:uid="{00000000-0005-0000-0000-00009B200000}"/>
    <cellStyle name="HEADING2 25 2 3" xfId="11550" xr:uid="{00000000-0005-0000-0000-00009C200000}"/>
    <cellStyle name="HEADING2 25 3" xfId="5272" xr:uid="{00000000-0005-0000-0000-00009D200000}"/>
    <cellStyle name="HEADING2 25 3 2" xfId="11552" xr:uid="{00000000-0005-0000-0000-00009E200000}"/>
    <cellStyle name="HEADING2 25 4" xfId="11549" xr:uid="{00000000-0005-0000-0000-00009F200000}"/>
    <cellStyle name="HEADING2 26" xfId="844" xr:uid="{00000000-0005-0000-0000-0000A0200000}"/>
    <cellStyle name="HEADING2 26 2" xfId="845" xr:uid="{00000000-0005-0000-0000-0000A1200000}"/>
    <cellStyle name="HEADING2 26 2 2" xfId="8474" xr:uid="{00000000-0005-0000-0000-0000A2200000}"/>
    <cellStyle name="HEADING2 26 2 2 2" xfId="11555" xr:uid="{00000000-0005-0000-0000-0000A3200000}"/>
    <cellStyle name="HEADING2 26 2 3" xfId="11554" xr:uid="{00000000-0005-0000-0000-0000A4200000}"/>
    <cellStyle name="HEADING2 26 3" xfId="5273" xr:uid="{00000000-0005-0000-0000-0000A5200000}"/>
    <cellStyle name="HEADING2 26 3 2" xfId="11556" xr:uid="{00000000-0005-0000-0000-0000A6200000}"/>
    <cellStyle name="HEADING2 26 4" xfId="11553" xr:uid="{00000000-0005-0000-0000-0000A7200000}"/>
    <cellStyle name="HEADING2 27" xfId="846" xr:uid="{00000000-0005-0000-0000-0000A8200000}"/>
    <cellStyle name="HEADING2 27 2" xfId="847" xr:uid="{00000000-0005-0000-0000-0000A9200000}"/>
    <cellStyle name="HEADING2 27 2 2" xfId="8475" xr:uid="{00000000-0005-0000-0000-0000AA200000}"/>
    <cellStyle name="HEADING2 27 2 2 2" xfId="11559" xr:uid="{00000000-0005-0000-0000-0000AB200000}"/>
    <cellStyle name="HEADING2 27 2 3" xfId="11558" xr:uid="{00000000-0005-0000-0000-0000AC200000}"/>
    <cellStyle name="HEADING2 27 3" xfId="5274" xr:uid="{00000000-0005-0000-0000-0000AD200000}"/>
    <cellStyle name="HEADING2 27 3 2" xfId="11560" xr:uid="{00000000-0005-0000-0000-0000AE200000}"/>
    <cellStyle name="HEADING2 27 4" xfId="11557" xr:uid="{00000000-0005-0000-0000-0000AF200000}"/>
    <cellStyle name="HEADING2 28" xfId="848" xr:uid="{00000000-0005-0000-0000-0000B0200000}"/>
    <cellStyle name="HEADING2 28 2" xfId="849" xr:uid="{00000000-0005-0000-0000-0000B1200000}"/>
    <cellStyle name="HEADING2 28 2 2" xfId="8476" xr:uid="{00000000-0005-0000-0000-0000B2200000}"/>
    <cellStyle name="HEADING2 28 2 2 2" xfId="11563" xr:uid="{00000000-0005-0000-0000-0000B3200000}"/>
    <cellStyle name="HEADING2 28 2 3" xfId="11562" xr:uid="{00000000-0005-0000-0000-0000B4200000}"/>
    <cellStyle name="HEADING2 28 3" xfId="5275" xr:uid="{00000000-0005-0000-0000-0000B5200000}"/>
    <cellStyle name="HEADING2 28 3 2" xfId="11564" xr:uid="{00000000-0005-0000-0000-0000B6200000}"/>
    <cellStyle name="HEADING2 28 4" xfId="11561" xr:uid="{00000000-0005-0000-0000-0000B7200000}"/>
    <cellStyle name="HEADING2 29" xfId="850" xr:uid="{00000000-0005-0000-0000-0000B8200000}"/>
    <cellStyle name="HEADING2 29 2" xfId="851" xr:uid="{00000000-0005-0000-0000-0000B9200000}"/>
    <cellStyle name="HEADING2 29 2 2" xfId="8477" xr:uid="{00000000-0005-0000-0000-0000BA200000}"/>
    <cellStyle name="HEADING2 29 2 2 2" xfId="11567" xr:uid="{00000000-0005-0000-0000-0000BB200000}"/>
    <cellStyle name="HEADING2 29 2 3" xfId="11566" xr:uid="{00000000-0005-0000-0000-0000BC200000}"/>
    <cellStyle name="HEADING2 29 3" xfId="5276" xr:uid="{00000000-0005-0000-0000-0000BD200000}"/>
    <cellStyle name="HEADING2 29 3 2" xfId="11568" xr:uid="{00000000-0005-0000-0000-0000BE200000}"/>
    <cellStyle name="HEADING2 29 4" xfId="11565" xr:uid="{00000000-0005-0000-0000-0000BF200000}"/>
    <cellStyle name="HEADING2 3" xfId="852" xr:uid="{00000000-0005-0000-0000-0000C0200000}"/>
    <cellStyle name="HEADING2 3 2" xfId="853" xr:uid="{00000000-0005-0000-0000-0000C1200000}"/>
    <cellStyle name="HEADING2 3 2 2" xfId="8478" xr:uid="{00000000-0005-0000-0000-0000C2200000}"/>
    <cellStyle name="HEADING2 3 2 2 2" xfId="11571" xr:uid="{00000000-0005-0000-0000-0000C3200000}"/>
    <cellStyle name="HEADING2 3 2 3" xfId="11570" xr:uid="{00000000-0005-0000-0000-0000C4200000}"/>
    <cellStyle name="HEADING2 3 3" xfId="5277" xr:uid="{00000000-0005-0000-0000-0000C5200000}"/>
    <cellStyle name="HEADING2 3 3 2" xfId="11572" xr:uid="{00000000-0005-0000-0000-0000C6200000}"/>
    <cellStyle name="HEADING2 3 4" xfId="11569" xr:uid="{00000000-0005-0000-0000-0000C7200000}"/>
    <cellStyle name="HEADING2 30" xfId="854" xr:uid="{00000000-0005-0000-0000-0000C8200000}"/>
    <cellStyle name="HEADING2 30 2" xfId="855" xr:uid="{00000000-0005-0000-0000-0000C9200000}"/>
    <cellStyle name="HEADING2 30 2 2" xfId="8479" xr:uid="{00000000-0005-0000-0000-0000CA200000}"/>
    <cellStyle name="HEADING2 30 2 2 2" xfId="11575" xr:uid="{00000000-0005-0000-0000-0000CB200000}"/>
    <cellStyle name="HEADING2 30 2 3" xfId="11574" xr:uid="{00000000-0005-0000-0000-0000CC200000}"/>
    <cellStyle name="HEADING2 30 3" xfId="5278" xr:uid="{00000000-0005-0000-0000-0000CD200000}"/>
    <cellStyle name="HEADING2 30 3 2" xfId="11576" xr:uid="{00000000-0005-0000-0000-0000CE200000}"/>
    <cellStyle name="HEADING2 30 4" xfId="11573" xr:uid="{00000000-0005-0000-0000-0000CF200000}"/>
    <cellStyle name="HEADING2 31" xfId="856" xr:uid="{00000000-0005-0000-0000-0000D0200000}"/>
    <cellStyle name="HEADING2 31 2" xfId="857" xr:uid="{00000000-0005-0000-0000-0000D1200000}"/>
    <cellStyle name="HEADING2 31 2 2" xfId="8480" xr:uid="{00000000-0005-0000-0000-0000D2200000}"/>
    <cellStyle name="HEADING2 31 2 2 2" xfId="11579" xr:uid="{00000000-0005-0000-0000-0000D3200000}"/>
    <cellStyle name="HEADING2 31 2 3" xfId="11578" xr:uid="{00000000-0005-0000-0000-0000D4200000}"/>
    <cellStyle name="HEADING2 31 3" xfId="5279" xr:uid="{00000000-0005-0000-0000-0000D5200000}"/>
    <cellStyle name="HEADING2 31 3 2" xfId="11580" xr:uid="{00000000-0005-0000-0000-0000D6200000}"/>
    <cellStyle name="HEADING2 31 4" xfId="11577" xr:uid="{00000000-0005-0000-0000-0000D7200000}"/>
    <cellStyle name="HEADING2 32" xfId="858" xr:uid="{00000000-0005-0000-0000-0000D8200000}"/>
    <cellStyle name="HEADING2 32 2" xfId="859" xr:uid="{00000000-0005-0000-0000-0000D9200000}"/>
    <cellStyle name="HEADING2 32 2 2" xfId="8481" xr:uid="{00000000-0005-0000-0000-0000DA200000}"/>
    <cellStyle name="HEADING2 32 2 2 2" xfId="11583" xr:uid="{00000000-0005-0000-0000-0000DB200000}"/>
    <cellStyle name="HEADING2 32 2 3" xfId="11582" xr:uid="{00000000-0005-0000-0000-0000DC200000}"/>
    <cellStyle name="HEADING2 32 3" xfId="5280" xr:uid="{00000000-0005-0000-0000-0000DD200000}"/>
    <cellStyle name="HEADING2 32 3 2" xfId="11584" xr:uid="{00000000-0005-0000-0000-0000DE200000}"/>
    <cellStyle name="HEADING2 32 4" xfId="11581" xr:uid="{00000000-0005-0000-0000-0000DF200000}"/>
    <cellStyle name="HEADING2 33" xfId="860" xr:uid="{00000000-0005-0000-0000-0000E0200000}"/>
    <cellStyle name="HEADING2 33 2" xfId="861" xr:uid="{00000000-0005-0000-0000-0000E1200000}"/>
    <cellStyle name="HEADING2 33 2 2" xfId="8482" xr:uid="{00000000-0005-0000-0000-0000E2200000}"/>
    <cellStyle name="HEADING2 33 2 2 2" xfId="11587" xr:uid="{00000000-0005-0000-0000-0000E3200000}"/>
    <cellStyle name="HEADING2 33 2 3" xfId="11586" xr:uid="{00000000-0005-0000-0000-0000E4200000}"/>
    <cellStyle name="HEADING2 33 3" xfId="5281" xr:uid="{00000000-0005-0000-0000-0000E5200000}"/>
    <cellStyle name="HEADING2 33 3 2" xfId="11588" xr:uid="{00000000-0005-0000-0000-0000E6200000}"/>
    <cellStyle name="HEADING2 33 4" xfId="11585" xr:uid="{00000000-0005-0000-0000-0000E7200000}"/>
    <cellStyle name="HEADING2 34" xfId="862" xr:uid="{00000000-0005-0000-0000-0000E8200000}"/>
    <cellStyle name="HEADING2 34 2" xfId="5282" xr:uid="{00000000-0005-0000-0000-0000E9200000}"/>
    <cellStyle name="HEADING2 34 2 2" xfId="11590" xr:uid="{00000000-0005-0000-0000-0000EA200000}"/>
    <cellStyle name="HEADING2 34 3" xfId="7577" xr:uid="{00000000-0005-0000-0000-0000EB200000}"/>
    <cellStyle name="HEADING2 34 3 2" xfId="11591" xr:uid="{00000000-0005-0000-0000-0000EC200000}"/>
    <cellStyle name="HEADING2 34 4" xfId="11589" xr:uid="{00000000-0005-0000-0000-0000ED200000}"/>
    <cellStyle name="HEADING2 35" xfId="5283" xr:uid="{00000000-0005-0000-0000-0000EE200000}"/>
    <cellStyle name="HEADING2 35 2" xfId="8483" xr:uid="{00000000-0005-0000-0000-0000EF200000}"/>
    <cellStyle name="HEADING2 35 2 2" xfId="11593" xr:uid="{00000000-0005-0000-0000-0000F0200000}"/>
    <cellStyle name="HEADING2 35 3" xfId="7578" xr:uid="{00000000-0005-0000-0000-0000F1200000}"/>
    <cellStyle name="HEADING2 35 3 2" xfId="11594" xr:uid="{00000000-0005-0000-0000-0000F2200000}"/>
    <cellStyle name="HEADING2 35 4" xfId="11592" xr:uid="{00000000-0005-0000-0000-0000F3200000}"/>
    <cellStyle name="HEADING2 36" xfId="5284" xr:uid="{00000000-0005-0000-0000-0000F4200000}"/>
    <cellStyle name="HEADING2 36 2" xfId="11595" xr:uid="{00000000-0005-0000-0000-0000F5200000}"/>
    <cellStyle name="HEADING2 37" xfId="5001" xr:uid="{00000000-0005-0000-0000-0000F6200000}"/>
    <cellStyle name="HEADING2 37 2" xfId="11596" xr:uid="{00000000-0005-0000-0000-0000F7200000}"/>
    <cellStyle name="HEADING2 38" xfId="8704" xr:uid="{00000000-0005-0000-0000-0000F8200000}"/>
    <cellStyle name="HEADING2 38 2" xfId="8910" xr:uid="{00000000-0005-0000-0000-0000F9200000}"/>
    <cellStyle name="HEADING2 38 2 2" xfId="8911" xr:uid="{00000000-0005-0000-0000-0000FA200000}"/>
    <cellStyle name="HEADING2 38 2 2 2" xfId="11599" xr:uid="{00000000-0005-0000-0000-0000FB200000}"/>
    <cellStyle name="HEADING2 38 2 3" xfId="8912" xr:uid="{00000000-0005-0000-0000-0000FC200000}"/>
    <cellStyle name="HEADING2 38 2 3 2" xfId="11600" xr:uid="{00000000-0005-0000-0000-0000FD200000}"/>
    <cellStyle name="HEADING2 38 2 4" xfId="11598" xr:uid="{00000000-0005-0000-0000-0000FE200000}"/>
    <cellStyle name="HEADING2 38 3" xfId="8913" xr:uid="{00000000-0005-0000-0000-0000FF200000}"/>
    <cellStyle name="HEADING2 38 3 2" xfId="11601" xr:uid="{00000000-0005-0000-0000-000000210000}"/>
    <cellStyle name="HEADING2 38 4" xfId="8914" xr:uid="{00000000-0005-0000-0000-000001210000}"/>
    <cellStyle name="HEADING2 38 4 2" xfId="11602" xr:uid="{00000000-0005-0000-0000-000002210000}"/>
    <cellStyle name="HEADING2 38 5" xfId="11597" xr:uid="{00000000-0005-0000-0000-000003210000}"/>
    <cellStyle name="HEADING2 39" xfId="809" xr:uid="{00000000-0005-0000-0000-000004210000}"/>
    <cellStyle name="HEADING2 39 2" xfId="11603" xr:uid="{00000000-0005-0000-0000-000005210000}"/>
    <cellStyle name="HEADING2 4" xfId="863" xr:uid="{00000000-0005-0000-0000-000006210000}"/>
    <cellStyle name="HEADING2 4 2" xfId="864" xr:uid="{00000000-0005-0000-0000-000007210000}"/>
    <cellStyle name="HEADING2 4 2 2" xfId="8484" xr:uid="{00000000-0005-0000-0000-000008210000}"/>
    <cellStyle name="HEADING2 4 2 2 2" xfId="11606" xr:uid="{00000000-0005-0000-0000-000009210000}"/>
    <cellStyle name="HEADING2 4 2 3" xfId="11605" xr:uid="{00000000-0005-0000-0000-00000A210000}"/>
    <cellStyle name="HEADING2 4 3" xfId="5285" xr:uid="{00000000-0005-0000-0000-00000B210000}"/>
    <cellStyle name="HEADING2 4 3 2" xfId="11607" xr:uid="{00000000-0005-0000-0000-00000C210000}"/>
    <cellStyle name="HEADING2 4 4" xfId="11604" xr:uid="{00000000-0005-0000-0000-00000D210000}"/>
    <cellStyle name="HEADING2 40" xfId="11231" xr:uid="{00000000-0005-0000-0000-00000E210000}"/>
    <cellStyle name="HEADING2 41" xfId="63" xr:uid="{00000000-0005-0000-0000-00000F210000}"/>
    <cellStyle name="HEADING2 5" xfId="865" xr:uid="{00000000-0005-0000-0000-000010210000}"/>
    <cellStyle name="HEADING2 5 2" xfId="866" xr:uid="{00000000-0005-0000-0000-000011210000}"/>
    <cellStyle name="HEADING2 5 2 2" xfId="8485" xr:uid="{00000000-0005-0000-0000-000012210000}"/>
    <cellStyle name="HEADING2 5 2 2 2" xfId="11610" xr:uid="{00000000-0005-0000-0000-000013210000}"/>
    <cellStyle name="HEADING2 5 2 3" xfId="11609" xr:uid="{00000000-0005-0000-0000-000014210000}"/>
    <cellStyle name="HEADING2 5 3" xfId="5286" xr:uid="{00000000-0005-0000-0000-000015210000}"/>
    <cellStyle name="HEADING2 5 3 2" xfId="11611" xr:uid="{00000000-0005-0000-0000-000016210000}"/>
    <cellStyle name="HEADING2 5 4" xfId="11608" xr:uid="{00000000-0005-0000-0000-000017210000}"/>
    <cellStyle name="HEADING2 6" xfId="867" xr:uid="{00000000-0005-0000-0000-000018210000}"/>
    <cellStyle name="HEADING2 6 2" xfId="868" xr:uid="{00000000-0005-0000-0000-000019210000}"/>
    <cellStyle name="HEADING2 6 2 2" xfId="8486" xr:uid="{00000000-0005-0000-0000-00001A210000}"/>
    <cellStyle name="HEADING2 6 2 2 2" xfId="11614" xr:uid="{00000000-0005-0000-0000-00001B210000}"/>
    <cellStyle name="HEADING2 6 2 3" xfId="11613" xr:uid="{00000000-0005-0000-0000-00001C210000}"/>
    <cellStyle name="HEADING2 6 3" xfId="5287" xr:uid="{00000000-0005-0000-0000-00001D210000}"/>
    <cellStyle name="HEADING2 6 3 2" xfId="11615" xr:uid="{00000000-0005-0000-0000-00001E210000}"/>
    <cellStyle name="HEADING2 6 4" xfId="11612" xr:uid="{00000000-0005-0000-0000-00001F210000}"/>
    <cellStyle name="HEADING2 7" xfId="869" xr:uid="{00000000-0005-0000-0000-000020210000}"/>
    <cellStyle name="HEADING2 7 2" xfId="870" xr:uid="{00000000-0005-0000-0000-000021210000}"/>
    <cellStyle name="HEADING2 7 2 2" xfId="8487" xr:uid="{00000000-0005-0000-0000-000022210000}"/>
    <cellStyle name="HEADING2 7 2 2 2" xfId="11618" xr:uid="{00000000-0005-0000-0000-000023210000}"/>
    <cellStyle name="HEADING2 7 2 3" xfId="11617" xr:uid="{00000000-0005-0000-0000-000024210000}"/>
    <cellStyle name="HEADING2 7 3" xfId="5288" xr:uid="{00000000-0005-0000-0000-000025210000}"/>
    <cellStyle name="HEADING2 7 3 2" xfId="11619" xr:uid="{00000000-0005-0000-0000-000026210000}"/>
    <cellStyle name="HEADING2 7 4" xfId="11616" xr:uid="{00000000-0005-0000-0000-000027210000}"/>
    <cellStyle name="HEADING2 8" xfId="871" xr:uid="{00000000-0005-0000-0000-000028210000}"/>
    <cellStyle name="HEADING2 8 2" xfId="872" xr:uid="{00000000-0005-0000-0000-000029210000}"/>
    <cellStyle name="HEADING2 8 2 2" xfId="8488" xr:uid="{00000000-0005-0000-0000-00002A210000}"/>
    <cellStyle name="HEADING2 8 2 2 2" xfId="11622" xr:uid="{00000000-0005-0000-0000-00002B210000}"/>
    <cellStyle name="HEADING2 8 2 3" xfId="11621" xr:uid="{00000000-0005-0000-0000-00002C210000}"/>
    <cellStyle name="HEADING2 8 3" xfId="5289" xr:uid="{00000000-0005-0000-0000-00002D210000}"/>
    <cellStyle name="HEADING2 8 3 2" xfId="11623" xr:uid="{00000000-0005-0000-0000-00002E210000}"/>
    <cellStyle name="HEADING2 8 4" xfId="11620" xr:uid="{00000000-0005-0000-0000-00002F210000}"/>
    <cellStyle name="HEADING2 9" xfId="873" xr:uid="{00000000-0005-0000-0000-000030210000}"/>
    <cellStyle name="HEADING2 9 2" xfId="874" xr:uid="{00000000-0005-0000-0000-000031210000}"/>
    <cellStyle name="HEADING2 9 2 2" xfId="8489" xr:uid="{00000000-0005-0000-0000-000032210000}"/>
    <cellStyle name="HEADING2 9 2 2 2" xfId="11626" xr:uid="{00000000-0005-0000-0000-000033210000}"/>
    <cellStyle name="HEADING2 9 2 3" xfId="11625" xr:uid="{00000000-0005-0000-0000-000034210000}"/>
    <cellStyle name="HEADING2 9 3" xfId="5290" xr:uid="{00000000-0005-0000-0000-000035210000}"/>
    <cellStyle name="HEADING2 9 3 2" xfId="11627" xr:uid="{00000000-0005-0000-0000-000036210000}"/>
    <cellStyle name="HEADING2 9 4" xfId="11624" xr:uid="{00000000-0005-0000-0000-000037210000}"/>
    <cellStyle name="Input" xfId="47" builtinId="20" customBuiltin="1"/>
    <cellStyle name="Input 10" xfId="5291" xr:uid="{00000000-0005-0000-0000-000039210000}"/>
    <cellStyle name="Input 10 2" xfId="8490" xr:uid="{00000000-0005-0000-0000-00003A210000}"/>
    <cellStyle name="Input 10 2 2" xfId="11630" xr:uid="{00000000-0005-0000-0000-00003B210000}"/>
    <cellStyle name="Input 10 3" xfId="7579" xr:uid="{00000000-0005-0000-0000-00003C210000}"/>
    <cellStyle name="Input 10 3 2" xfId="11631" xr:uid="{00000000-0005-0000-0000-00003D210000}"/>
    <cellStyle name="Input 10 4" xfId="11629" xr:uid="{00000000-0005-0000-0000-00003E210000}"/>
    <cellStyle name="Input 11" xfId="5292" xr:uid="{00000000-0005-0000-0000-00003F210000}"/>
    <cellStyle name="Input 11 2" xfId="8491" xr:uid="{00000000-0005-0000-0000-000040210000}"/>
    <cellStyle name="Input 11 2 2" xfId="11633" xr:uid="{00000000-0005-0000-0000-000041210000}"/>
    <cellStyle name="Input 11 3" xfId="7580" xr:uid="{00000000-0005-0000-0000-000042210000}"/>
    <cellStyle name="Input 11 3 2" xfId="11634" xr:uid="{00000000-0005-0000-0000-000043210000}"/>
    <cellStyle name="Input 11 4" xfId="11632" xr:uid="{00000000-0005-0000-0000-000044210000}"/>
    <cellStyle name="Input 12" xfId="11628" xr:uid="{00000000-0005-0000-0000-000045210000}"/>
    <cellStyle name="Input 2" xfId="875" xr:uid="{00000000-0005-0000-0000-000046210000}"/>
    <cellStyle name="Input 2 2" xfId="876" xr:uid="{00000000-0005-0000-0000-000047210000}"/>
    <cellStyle name="Input 2 2 2" xfId="5294" xr:uid="{00000000-0005-0000-0000-000048210000}"/>
    <cellStyle name="Input 2 2 2 2" xfId="11637" xr:uid="{00000000-0005-0000-0000-000049210000}"/>
    <cellStyle name="Input 2 2 3" xfId="7581" xr:uid="{00000000-0005-0000-0000-00004A210000}"/>
    <cellStyle name="Input 2 2 3 2" xfId="11638" xr:uid="{00000000-0005-0000-0000-00004B210000}"/>
    <cellStyle name="Input 2 2 4" xfId="11636" xr:uid="{00000000-0005-0000-0000-00004C210000}"/>
    <cellStyle name="Input 2 3" xfId="5295" xr:uid="{00000000-0005-0000-0000-00004D210000}"/>
    <cellStyle name="Input 2 3 2" xfId="8492" xr:uid="{00000000-0005-0000-0000-00004E210000}"/>
    <cellStyle name="Input 2 3 2 2" xfId="11640" xr:uid="{00000000-0005-0000-0000-00004F210000}"/>
    <cellStyle name="Input 2 3 3" xfId="7582" xr:uid="{00000000-0005-0000-0000-000050210000}"/>
    <cellStyle name="Input 2 3 3 2" xfId="11641" xr:uid="{00000000-0005-0000-0000-000051210000}"/>
    <cellStyle name="Input 2 3 4" xfId="11639" xr:uid="{00000000-0005-0000-0000-000052210000}"/>
    <cellStyle name="Input 2 4" xfId="5296" xr:uid="{00000000-0005-0000-0000-000053210000}"/>
    <cellStyle name="Input 2 4 2" xfId="8493" xr:uid="{00000000-0005-0000-0000-000054210000}"/>
    <cellStyle name="Input 2 4 2 2" xfId="11643" xr:uid="{00000000-0005-0000-0000-000055210000}"/>
    <cellStyle name="Input 2 4 3" xfId="7583" xr:uid="{00000000-0005-0000-0000-000056210000}"/>
    <cellStyle name="Input 2 4 3 2" xfId="11644" xr:uid="{00000000-0005-0000-0000-000057210000}"/>
    <cellStyle name="Input 2 4 4" xfId="11642" xr:uid="{00000000-0005-0000-0000-000058210000}"/>
    <cellStyle name="Input 2 5" xfId="5297" xr:uid="{00000000-0005-0000-0000-000059210000}"/>
    <cellStyle name="Input 2 5 2" xfId="11645" xr:uid="{00000000-0005-0000-0000-00005A210000}"/>
    <cellStyle name="Input 2 6" xfId="5293" xr:uid="{00000000-0005-0000-0000-00005B210000}"/>
    <cellStyle name="Input 2 6 2" xfId="11646" xr:uid="{00000000-0005-0000-0000-00005C210000}"/>
    <cellStyle name="Input 2 7" xfId="11635" xr:uid="{00000000-0005-0000-0000-00005D210000}"/>
    <cellStyle name="Input 3" xfId="877" xr:uid="{00000000-0005-0000-0000-00005E210000}"/>
    <cellStyle name="Input 3 2" xfId="878" xr:uid="{00000000-0005-0000-0000-00005F210000}"/>
    <cellStyle name="Input 3 2 2" xfId="5299" xr:uid="{00000000-0005-0000-0000-000060210000}"/>
    <cellStyle name="Input 3 2 2 2" xfId="11649" xr:uid="{00000000-0005-0000-0000-000061210000}"/>
    <cellStyle name="Input 3 2 3" xfId="7584" xr:uid="{00000000-0005-0000-0000-000062210000}"/>
    <cellStyle name="Input 3 2 3 2" xfId="11650" xr:uid="{00000000-0005-0000-0000-000063210000}"/>
    <cellStyle name="Input 3 2 4" xfId="11648" xr:uid="{00000000-0005-0000-0000-000064210000}"/>
    <cellStyle name="Input 3 3" xfId="5300" xr:uid="{00000000-0005-0000-0000-000065210000}"/>
    <cellStyle name="Input 3 3 2" xfId="8494" xr:uid="{00000000-0005-0000-0000-000066210000}"/>
    <cellStyle name="Input 3 3 2 2" xfId="11652" xr:uid="{00000000-0005-0000-0000-000067210000}"/>
    <cellStyle name="Input 3 3 3" xfId="7585" xr:uid="{00000000-0005-0000-0000-000068210000}"/>
    <cellStyle name="Input 3 3 3 2" xfId="11653" xr:uid="{00000000-0005-0000-0000-000069210000}"/>
    <cellStyle name="Input 3 3 4" xfId="11651" xr:uid="{00000000-0005-0000-0000-00006A210000}"/>
    <cellStyle name="Input 3 4" xfId="5301" xr:uid="{00000000-0005-0000-0000-00006B210000}"/>
    <cellStyle name="Input 3 4 2" xfId="8495" xr:uid="{00000000-0005-0000-0000-00006C210000}"/>
    <cellStyle name="Input 3 4 2 2" xfId="11655" xr:uid="{00000000-0005-0000-0000-00006D210000}"/>
    <cellStyle name="Input 3 4 3" xfId="7586" xr:uid="{00000000-0005-0000-0000-00006E210000}"/>
    <cellStyle name="Input 3 4 3 2" xfId="11656" xr:uid="{00000000-0005-0000-0000-00006F210000}"/>
    <cellStyle name="Input 3 4 4" xfId="11654" xr:uid="{00000000-0005-0000-0000-000070210000}"/>
    <cellStyle name="Input 3 5" xfId="5302" xr:uid="{00000000-0005-0000-0000-000071210000}"/>
    <cellStyle name="Input 3 5 2" xfId="11657" xr:uid="{00000000-0005-0000-0000-000072210000}"/>
    <cellStyle name="Input 3 6" xfId="5298" xr:uid="{00000000-0005-0000-0000-000073210000}"/>
    <cellStyle name="Input 3 6 2" xfId="11658" xr:uid="{00000000-0005-0000-0000-000074210000}"/>
    <cellStyle name="Input 3 7" xfId="11647" xr:uid="{00000000-0005-0000-0000-000075210000}"/>
    <cellStyle name="Input 4" xfId="879" xr:uid="{00000000-0005-0000-0000-000076210000}"/>
    <cellStyle name="Input 4 2" xfId="880" xr:uid="{00000000-0005-0000-0000-000077210000}"/>
    <cellStyle name="Input 4 2 2" xfId="5304" xr:uid="{00000000-0005-0000-0000-000078210000}"/>
    <cellStyle name="Input 4 2 2 2" xfId="11661" xr:uid="{00000000-0005-0000-0000-000079210000}"/>
    <cellStyle name="Input 4 2 3" xfId="7587" xr:uid="{00000000-0005-0000-0000-00007A210000}"/>
    <cellStyle name="Input 4 2 3 2" xfId="11662" xr:uid="{00000000-0005-0000-0000-00007B210000}"/>
    <cellStyle name="Input 4 2 4" xfId="11660" xr:uid="{00000000-0005-0000-0000-00007C210000}"/>
    <cellStyle name="Input 4 3" xfId="5305" xr:uid="{00000000-0005-0000-0000-00007D210000}"/>
    <cellStyle name="Input 4 3 2" xfId="8496" xr:uid="{00000000-0005-0000-0000-00007E210000}"/>
    <cellStyle name="Input 4 3 2 2" xfId="11664" xr:uid="{00000000-0005-0000-0000-00007F210000}"/>
    <cellStyle name="Input 4 3 3" xfId="7588" xr:uid="{00000000-0005-0000-0000-000080210000}"/>
    <cellStyle name="Input 4 3 3 2" xfId="11665" xr:uid="{00000000-0005-0000-0000-000081210000}"/>
    <cellStyle name="Input 4 3 4" xfId="11663" xr:uid="{00000000-0005-0000-0000-000082210000}"/>
    <cellStyle name="Input 4 4" xfId="5306" xr:uid="{00000000-0005-0000-0000-000083210000}"/>
    <cellStyle name="Input 4 4 2" xfId="8497" xr:uid="{00000000-0005-0000-0000-000084210000}"/>
    <cellStyle name="Input 4 4 2 2" xfId="11667" xr:uid="{00000000-0005-0000-0000-000085210000}"/>
    <cellStyle name="Input 4 4 3" xfId="7589" xr:uid="{00000000-0005-0000-0000-000086210000}"/>
    <cellStyle name="Input 4 4 3 2" xfId="11668" xr:uid="{00000000-0005-0000-0000-000087210000}"/>
    <cellStyle name="Input 4 4 4" xfId="11666" xr:uid="{00000000-0005-0000-0000-000088210000}"/>
    <cellStyle name="Input 4 5" xfId="5307" xr:uid="{00000000-0005-0000-0000-000089210000}"/>
    <cellStyle name="Input 4 5 2" xfId="11669" xr:uid="{00000000-0005-0000-0000-00008A210000}"/>
    <cellStyle name="Input 4 6" xfId="5303" xr:uid="{00000000-0005-0000-0000-00008B210000}"/>
    <cellStyle name="Input 4 6 2" xfId="11670" xr:uid="{00000000-0005-0000-0000-00008C210000}"/>
    <cellStyle name="Input 4 7" xfId="11659" xr:uid="{00000000-0005-0000-0000-00008D210000}"/>
    <cellStyle name="Input 5" xfId="5308" xr:uid="{00000000-0005-0000-0000-00008E210000}"/>
    <cellStyle name="Input 5 2" xfId="8498" xr:uid="{00000000-0005-0000-0000-00008F210000}"/>
    <cellStyle name="Input 5 2 2" xfId="11672" xr:uid="{00000000-0005-0000-0000-000090210000}"/>
    <cellStyle name="Input 5 3" xfId="7590" xr:uid="{00000000-0005-0000-0000-000091210000}"/>
    <cellStyle name="Input 5 3 2" xfId="11673" xr:uid="{00000000-0005-0000-0000-000092210000}"/>
    <cellStyle name="Input 5 4" xfId="11671" xr:uid="{00000000-0005-0000-0000-000093210000}"/>
    <cellStyle name="Input 6" xfId="5309" xr:uid="{00000000-0005-0000-0000-000094210000}"/>
    <cellStyle name="Input 6 2" xfId="8499" xr:uid="{00000000-0005-0000-0000-000095210000}"/>
    <cellStyle name="Input 6 2 2" xfId="11675" xr:uid="{00000000-0005-0000-0000-000096210000}"/>
    <cellStyle name="Input 6 3" xfId="7591" xr:uid="{00000000-0005-0000-0000-000097210000}"/>
    <cellStyle name="Input 6 3 2" xfId="11676" xr:uid="{00000000-0005-0000-0000-000098210000}"/>
    <cellStyle name="Input 6 4" xfId="11674" xr:uid="{00000000-0005-0000-0000-000099210000}"/>
    <cellStyle name="Input 7" xfId="5310" xr:uid="{00000000-0005-0000-0000-00009A210000}"/>
    <cellStyle name="Input 7 2" xfId="8500" xr:uid="{00000000-0005-0000-0000-00009B210000}"/>
    <cellStyle name="Input 7 2 2" xfId="11678" xr:uid="{00000000-0005-0000-0000-00009C210000}"/>
    <cellStyle name="Input 7 3" xfId="7592" xr:uid="{00000000-0005-0000-0000-00009D210000}"/>
    <cellStyle name="Input 7 3 2" xfId="11679" xr:uid="{00000000-0005-0000-0000-00009E210000}"/>
    <cellStyle name="Input 7 4" xfId="11677" xr:uid="{00000000-0005-0000-0000-00009F210000}"/>
    <cellStyle name="Input 8" xfId="5311" xr:uid="{00000000-0005-0000-0000-0000A0210000}"/>
    <cellStyle name="Input 8 2" xfId="8501" xr:uid="{00000000-0005-0000-0000-0000A1210000}"/>
    <cellStyle name="Input 8 2 2" xfId="11681" xr:uid="{00000000-0005-0000-0000-0000A2210000}"/>
    <cellStyle name="Input 8 3" xfId="7593" xr:uid="{00000000-0005-0000-0000-0000A3210000}"/>
    <cellStyle name="Input 8 3 2" xfId="11682" xr:uid="{00000000-0005-0000-0000-0000A4210000}"/>
    <cellStyle name="Input 8 4" xfId="11680" xr:uid="{00000000-0005-0000-0000-0000A5210000}"/>
    <cellStyle name="Input 9" xfId="5312" xr:uid="{00000000-0005-0000-0000-0000A6210000}"/>
    <cellStyle name="Input 9 2" xfId="8502" xr:uid="{00000000-0005-0000-0000-0000A7210000}"/>
    <cellStyle name="Input 9 2 2" xfId="11684" xr:uid="{00000000-0005-0000-0000-0000A8210000}"/>
    <cellStyle name="Input 9 3" xfId="7594" xr:uid="{00000000-0005-0000-0000-0000A9210000}"/>
    <cellStyle name="Input 9 3 2" xfId="11685" xr:uid="{00000000-0005-0000-0000-0000AA210000}"/>
    <cellStyle name="Input 9 4" xfId="11683" xr:uid="{00000000-0005-0000-0000-0000AB210000}"/>
    <cellStyle name="Linked Cell" xfId="48" builtinId="24" customBuiltin="1"/>
    <cellStyle name="Linked Cell 10" xfId="5313" xr:uid="{00000000-0005-0000-0000-0000AD210000}"/>
    <cellStyle name="Linked Cell 10 2" xfId="8503" xr:uid="{00000000-0005-0000-0000-0000AE210000}"/>
    <cellStyle name="Linked Cell 10 2 2" xfId="11688" xr:uid="{00000000-0005-0000-0000-0000AF210000}"/>
    <cellStyle name="Linked Cell 10 3" xfId="7595" xr:uid="{00000000-0005-0000-0000-0000B0210000}"/>
    <cellStyle name="Linked Cell 10 3 2" xfId="11689" xr:uid="{00000000-0005-0000-0000-0000B1210000}"/>
    <cellStyle name="Linked Cell 10 4" xfId="11687" xr:uid="{00000000-0005-0000-0000-0000B2210000}"/>
    <cellStyle name="Linked Cell 11" xfId="5314" xr:uid="{00000000-0005-0000-0000-0000B3210000}"/>
    <cellStyle name="Linked Cell 11 2" xfId="8504" xr:uid="{00000000-0005-0000-0000-0000B4210000}"/>
    <cellStyle name="Linked Cell 11 2 2" xfId="11691" xr:uid="{00000000-0005-0000-0000-0000B5210000}"/>
    <cellStyle name="Linked Cell 11 3" xfId="7596" xr:uid="{00000000-0005-0000-0000-0000B6210000}"/>
    <cellStyle name="Linked Cell 11 3 2" xfId="11692" xr:uid="{00000000-0005-0000-0000-0000B7210000}"/>
    <cellStyle name="Linked Cell 11 4" xfId="11690" xr:uid="{00000000-0005-0000-0000-0000B8210000}"/>
    <cellStyle name="Linked Cell 12" xfId="11686" xr:uid="{00000000-0005-0000-0000-0000B9210000}"/>
    <cellStyle name="Linked Cell 2" xfId="881" xr:uid="{00000000-0005-0000-0000-0000BA210000}"/>
    <cellStyle name="Linked Cell 2 2" xfId="882" xr:uid="{00000000-0005-0000-0000-0000BB210000}"/>
    <cellStyle name="Linked Cell 2 2 2" xfId="5316" xr:uid="{00000000-0005-0000-0000-0000BC210000}"/>
    <cellStyle name="Linked Cell 2 2 2 2" xfId="11695" xr:uid="{00000000-0005-0000-0000-0000BD210000}"/>
    <cellStyle name="Linked Cell 2 2 3" xfId="7597" xr:uid="{00000000-0005-0000-0000-0000BE210000}"/>
    <cellStyle name="Linked Cell 2 2 3 2" xfId="11696" xr:uid="{00000000-0005-0000-0000-0000BF210000}"/>
    <cellStyle name="Linked Cell 2 2 4" xfId="11694" xr:uid="{00000000-0005-0000-0000-0000C0210000}"/>
    <cellStyle name="Linked Cell 2 3" xfId="5317" xr:uid="{00000000-0005-0000-0000-0000C1210000}"/>
    <cellStyle name="Linked Cell 2 3 2" xfId="8505" xr:uid="{00000000-0005-0000-0000-0000C2210000}"/>
    <cellStyle name="Linked Cell 2 3 2 2" xfId="11698" xr:uid="{00000000-0005-0000-0000-0000C3210000}"/>
    <cellStyle name="Linked Cell 2 3 3" xfId="7598" xr:uid="{00000000-0005-0000-0000-0000C4210000}"/>
    <cellStyle name="Linked Cell 2 3 3 2" xfId="11699" xr:uid="{00000000-0005-0000-0000-0000C5210000}"/>
    <cellStyle name="Linked Cell 2 3 4" xfId="11697" xr:uid="{00000000-0005-0000-0000-0000C6210000}"/>
    <cellStyle name="Linked Cell 2 4" xfId="5318" xr:uid="{00000000-0005-0000-0000-0000C7210000}"/>
    <cellStyle name="Linked Cell 2 4 2" xfId="8506" xr:uid="{00000000-0005-0000-0000-0000C8210000}"/>
    <cellStyle name="Linked Cell 2 4 2 2" xfId="11701" xr:uid="{00000000-0005-0000-0000-0000C9210000}"/>
    <cellStyle name="Linked Cell 2 4 3" xfId="7599" xr:uid="{00000000-0005-0000-0000-0000CA210000}"/>
    <cellStyle name="Linked Cell 2 4 3 2" xfId="11702" xr:uid="{00000000-0005-0000-0000-0000CB210000}"/>
    <cellStyle name="Linked Cell 2 4 4" xfId="11700" xr:uid="{00000000-0005-0000-0000-0000CC210000}"/>
    <cellStyle name="Linked Cell 2 5" xfId="5319" xr:uid="{00000000-0005-0000-0000-0000CD210000}"/>
    <cellStyle name="Linked Cell 2 5 2" xfId="11703" xr:uid="{00000000-0005-0000-0000-0000CE210000}"/>
    <cellStyle name="Linked Cell 2 6" xfId="5315" xr:uid="{00000000-0005-0000-0000-0000CF210000}"/>
    <cellStyle name="Linked Cell 2 6 2" xfId="11704" xr:uid="{00000000-0005-0000-0000-0000D0210000}"/>
    <cellStyle name="Linked Cell 2 7" xfId="11693" xr:uid="{00000000-0005-0000-0000-0000D1210000}"/>
    <cellStyle name="Linked Cell 3" xfId="883" xr:uid="{00000000-0005-0000-0000-0000D2210000}"/>
    <cellStyle name="Linked Cell 3 2" xfId="884" xr:uid="{00000000-0005-0000-0000-0000D3210000}"/>
    <cellStyle name="Linked Cell 3 2 2" xfId="5321" xr:uid="{00000000-0005-0000-0000-0000D4210000}"/>
    <cellStyle name="Linked Cell 3 2 2 2" xfId="11707" xr:uid="{00000000-0005-0000-0000-0000D5210000}"/>
    <cellStyle name="Linked Cell 3 2 3" xfId="7600" xr:uid="{00000000-0005-0000-0000-0000D6210000}"/>
    <cellStyle name="Linked Cell 3 2 3 2" xfId="11708" xr:uid="{00000000-0005-0000-0000-0000D7210000}"/>
    <cellStyle name="Linked Cell 3 2 4" xfId="11706" xr:uid="{00000000-0005-0000-0000-0000D8210000}"/>
    <cellStyle name="Linked Cell 3 3" xfId="5322" xr:uid="{00000000-0005-0000-0000-0000D9210000}"/>
    <cellStyle name="Linked Cell 3 3 2" xfId="8507" xr:uid="{00000000-0005-0000-0000-0000DA210000}"/>
    <cellStyle name="Linked Cell 3 3 2 2" xfId="11710" xr:uid="{00000000-0005-0000-0000-0000DB210000}"/>
    <cellStyle name="Linked Cell 3 3 3" xfId="7601" xr:uid="{00000000-0005-0000-0000-0000DC210000}"/>
    <cellStyle name="Linked Cell 3 3 3 2" xfId="11711" xr:uid="{00000000-0005-0000-0000-0000DD210000}"/>
    <cellStyle name="Linked Cell 3 3 4" xfId="11709" xr:uid="{00000000-0005-0000-0000-0000DE210000}"/>
    <cellStyle name="Linked Cell 3 4" xfId="5323" xr:uid="{00000000-0005-0000-0000-0000DF210000}"/>
    <cellStyle name="Linked Cell 3 4 2" xfId="8508" xr:uid="{00000000-0005-0000-0000-0000E0210000}"/>
    <cellStyle name="Linked Cell 3 4 2 2" xfId="11713" xr:uid="{00000000-0005-0000-0000-0000E1210000}"/>
    <cellStyle name="Linked Cell 3 4 3" xfId="7602" xr:uid="{00000000-0005-0000-0000-0000E2210000}"/>
    <cellStyle name="Linked Cell 3 4 3 2" xfId="11714" xr:uid="{00000000-0005-0000-0000-0000E3210000}"/>
    <cellStyle name="Linked Cell 3 4 4" xfId="11712" xr:uid="{00000000-0005-0000-0000-0000E4210000}"/>
    <cellStyle name="Linked Cell 3 5" xfId="5324" xr:uid="{00000000-0005-0000-0000-0000E5210000}"/>
    <cellStyle name="Linked Cell 3 5 2" xfId="11715" xr:uid="{00000000-0005-0000-0000-0000E6210000}"/>
    <cellStyle name="Linked Cell 3 6" xfId="5320" xr:uid="{00000000-0005-0000-0000-0000E7210000}"/>
    <cellStyle name="Linked Cell 3 6 2" xfId="11716" xr:uid="{00000000-0005-0000-0000-0000E8210000}"/>
    <cellStyle name="Linked Cell 3 7" xfId="11705" xr:uid="{00000000-0005-0000-0000-0000E9210000}"/>
    <cellStyle name="Linked Cell 4" xfId="885" xr:uid="{00000000-0005-0000-0000-0000EA210000}"/>
    <cellStyle name="Linked Cell 4 2" xfId="886" xr:uid="{00000000-0005-0000-0000-0000EB210000}"/>
    <cellStyle name="Linked Cell 4 2 2" xfId="5326" xr:uid="{00000000-0005-0000-0000-0000EC210000}"/>
    <cellStyle name="Linked Cell 4 2 2 2" xfId="11719" xr:uid="{00000000-0005-0000-0000-0000ED210000}"/>
    <cellStyle name="Linked Cell 4 2 3" xfId="7603" xr:uid="{00000000-0005-0000-0000-0000EE210000}"/>
    <cellStyle name="Linked Cell 4 2 3 2" xfId="11720" xr:uid="{00000000-0005-0000-0000-0000EF210000}"/>
    <cellStyle name="Linked Cell 4 2 4" xfId="11718" xr:uid="{00000000-0005-0000-0000-0000F0210000}"/>
    <cellStyle name="Linked Cell 4 3" xfId="5327" xr:uid="{00000000-0005-0000-0000-0000F1210000}"/>
    <cellStyle name="Linked Cell 4 3 2" xfId="8509" xr:uid="{00000000-0005-0000-0000-0000F2210000}"/>
    <cellStyle name="Linked Cell 4 3 2 2" xfId="11722" xr:uid="{00000000-0005-0000-0000-0000F3210000}"/>
    <cellStyle name="Linked Cell 4 3 3" xfId="7604" xr:uid="{00000000-0005-0000-0000-0000F4210000}"/>
    <cellStyle name="Linked Cell 4 3 3 2" xfId="11723" xr:uid="{00000000-0005-0000-0000-0000F5210000}"/>
    <cellStyle name="Linked Cell 4 3 4" xfId="11721" xr:uid="{00000000-0005-0000-0000-0000F6210000}"/>
    <cellStyle name="Linked Cell 4 4" xfId="5328" xr:uid="{00000000-0005-0000-0000-0000F7210000}"/>
    <cellStyle name="Linked Cell 4 4 2" xfId="8510" xr:uid="{00000000-0005-0000-0000-0000F8210000}"/>
    <cellStyle name="Linked Cell 4 4 2 2" xfId="11725" xr:uid="{00000000-0005-0000-0000-0000F9210000}"/>
    <cellStyle name="Linked Cell 4 4 3" xfId="7605" xr:uid="{00000000-0005-0000-0000-0000FA210000}"/>
    <cellStyle name="Linked Cell 4 4 3 2" xfId="11726" xr:uid="{00000000-0005-0000-0000-0000FB210000}"/>
    <cellStyle name="Linked Cell 4 4 4" xfId="11724" xr:uid="{00000000-0005-0000-0000-0000FC210000}"/>
    <cellStyle name="Linked Cell 4 5" xfId="5329" xr:uid="{00000000-0005-0000-0000-0000FD210000}"/>
    <cellStyle name="Linked Cell 4 5 2" xfId="11727" xr:uid="{00000000-0005-0000-0000-0000FE210000}"/>
    <cellStyle name="Linked Cell 4 6" xfId="5325" xr:uid="{00000000-0005-0000-0000-0000FF210000}"/>
    <cellStyle name="Linked Cell 4 6 2" xfId="11728" xr:uid="{00000000-0005-0000-0000-000000220000}"/>
    <cellStyle name="Linked Cell 4 7" xfId="11717" xr:uid="{00000000-0005-0000-0000-000001220000}"/>
    <cellStyle name="Linked Cell 5" xfId="5330" xr:uid="{00000000-0005-0000-0000-000002220000}"/>
    <cellStyle name="Linked Cell 5 2" xfId="8511" xr:uid="{00000000-0005-0000-0000-000003220000}"/>
    <cellStyle name="Linked Cell 5 2 2" xfId="11730" xr:uid="{00000000-0005-0000-0000-000004220000}"/>
    <cellStyle name="Linked Cell 5 3" xfId="7606" xr:uid="{00000000-0005-0000-0000-000005220000}"/>
    <cellStyle name="Linked Cell 5 3 2" xfId="11731" xr:uid="{00000000-0005-0000-0000-000006220000}"/>
    <cellStyle name="Linked Cell 5 4" xfId="11729" xr:uid="{00000000-0005-0000-0000-000007220000}"/>
    <cellStyle name="Linked Cell 6" xfId="5331" xr:uid="{00000000-0005-0000-0000-000008220000}"/>
    <cellStyle name="Linked Cell 6 2" xfId="8512" xr:uid="{00000000-0005-0000-0000-000009220000}"/>
    <cellStyle name="Linked Cell 6 2 2" xfId="11733" xr:uid="{00000000-0005-0000-0000-00000A220000}"/>
    <cellStyle name="Linked Cell 6 3" xfId="7607" xr:uid="{00000000-0005-0000-0000-00000B220000}"/>
    <cellStyle name="Linked Cell 6 3 2" xfId="11734" xr:uid="{00000000-0005-0000-0000-00000C220000}"/>
    <cellStyle name="Linked Cell 6 4" xfId="11732" xr:uid="{00000000-0005-0000-0000-00000D220000}"/>
    <cellStyle name="Linked Cell 7" xfId="5332" xr:uid="{00000000-0005-0000-0000-00000E220000}"/>
    <cellStyle name="Linked Cell 7 2" xfId="8513" xr:uid="{00000000-0005-0000-0000-00000F220000}"/>
    <cellStyle name="Linked Cell 7 2 2" xfId="11736" xr:uid="{00000000-0005-0000-0000-000010220000}"/>
    <cellStyle name="Linked Cell 7 3" xfId="7608" xr:uid="{00000000-0005-0000-0000-000011220000}"/>
    <cellStyle name="Linked Cell 7 3 2" xfId="11737" xr:uid="{00000000-0005-0000-0000-000012220000}"/>
    <cellStyle name="Linked Cell 7 4" xfId="11735" xr:uid="{00000000-0005-0000-0000-000013220000}"/>
    <cellStyle name="Linked Cell 8" xfId="5333" xr:uid="{00000000-0005-0000-0000-000014220000}"/>
    <cellStyle name="Linked Cell 8 2" xfId="8514" xr:uid="{00000000-0005-0000-0000-000015220000}"/>
    <cellStyle name="Linked Cell 8 2 2" xfId="11739" xr:uid="{00000000-0005-0000-0000-000016220000}"/>
    <cellStyle name="Linked Cell 8 3" xfId="7609" xr:uid="{00000000-0005-0000-0000-000017220000}"/>
    <cellStyle name="Linked Cell 8 3 2" xfId="11740" xr:uid="{00000000-0005-0000-0000-000018220000}"/>
    <cellStyle name="Linked Cell 8 4" xfId="11738" xr:uid="{00000000-0005-0000-0000-000019220000}"/>
    <cellStyle name="Linked Cell 9" xfId="5334" xr:uid="{00000000-0005-0000-0000-00001A220000}"/>
    <cellStyle name="Linked Cell 9 2" xfId="8515" xr:uid="{00000000-0005-0000-0000-00001B220000}"/>
    <cellStyle name="Linked Cell 9 2 2" xfId="11742" xr:uid="{00000000-0005-0000-0000-00001C220000}"/>
    <cellStyle name="Linked Cell 9 3" xfId="7610" xr:uid="{00000000-0005-0000-0000-00001D220000}"/>
    <cellStyle name="Linked Cell 9 3 2" xfId="11743" xr:uid="{00000000-0005-0000-0000-00001E220000}"/>
    <cellStyle name="Linked Cell 9 4" xfId="11741" xr:uid="{00000000-0005-0000-0000-00001F220000}"/>
    <cellStyle name="Neutral" xfId="49" builtinId="28" customBuiltin="1"/>
    <cellStyle name="Neutral 10" xfId="5335" xr:uid="{00000000-0005-0000-0000-000021220000}"/>
    <cellStyle name="Neutral 10 2" xfId="8516" xr:uid="{00000000-0005-0000-0000-000022220000}"/>
    <cellStyle name="Neutral 10 2 2" xfId="11746" xr:uid="{00000000-0005-0000-0000-000023220000}"/>
    <cellStyle name="Neutral 10 3" xfId="7611" xr:uid="{00000000-0005-0000-0000-000024220000}"/>
    <cellStyle name="Neutral 10 3 2" xfId="11747" xr:uid="{00000000-0005-0000-0000-000025220000}"/>
    <cellStyle name="Neutral 10 4" xfId="11745" xr:uid="{00000000-0005-0000-0000-000026220000}"/>
    <cellStyle name="Neutral 11" xfId="5336" xr:uid="{00000000-0005-0000-0000-000027220000}"/>
    <cellStyle name="Neutral 11 2" xfId="8517" xr:uid="{00000000-0005-0000-0000-000028220000}"/>
    <cellStyle name="Neutral 11 2 2" xfId="11749" xr:uid="{00000000-0005-0000-0000-000029220000}"/>
    <cellStyle name="Neutral 11 3" xfId="7612" xr:uid="{00000000-0005-0000-0000-00002A220000}"/>
    <cellStyle name="Neutral 11 3 2" xfId="11750" xr:uid="{00000000-0005-0000-0000-00002B220000}"/>
    <cellStyle name="Neutral 11 4" xfId="11748" xr:uid="{00000000-0005-0000-0000-00002C220000}"/>
    <cellStyle name="Neutral 12" xfId="11744" xr:uid="{00000000-0005-0000-0000-00002D220000}"/>
    <cellStyle name="Neutral 2" xfId="887" xr:uid="{00000000-0005-0000-0000-00002E220000}"/>
    <cellStyle name="Neutral 2 2" xfId="888" xr:uid="{00000000-0005-0000-0000-00002F220000}"/>
    <cellStyle name="Neutral 2 2 2" xfId="5338" xr:uid="{00000000-0005-0000-0000-000030220000}"/>
    <cellStyle name="Neutral 2 2 2 2" xfId="11753" xr:uid="{00000000-0005-0000-0000-000031220000}"/>
    <cellStyle name="Neutral 2 2 3" xfId="7613" xr:uid="{00000000-0005-0000-0000-000032220000}"/>
    <cellStyle name="Neutral 2 2 3 2" xfId="11754" xr:uid="{00000000-0005-0000-0000-000033220000}"/>
    <cellStyle name="Neutral 2 2 4" xfId="11752" xr:uid="{00000000-0005-0000-0000-000034220000}"/>
    <cellStyle name="Neutral 2 3" xfId="5339" xr:uid="{00000000-0005-0000-0000-000035220000}"/>
    <cellStyle name="Neutral 2 3 2" xfId="8518" xr:uid="{00000000-0005-0000-0000-000036220000}"/>
    <cellStyle name="Neutral 2 3 2 2" xfId="11756" xr:uid="{00000000-0005-0000-0000-000037220000}"/>
    <cellStyle name="Neutral 2 3 3" xfId="7614" xr:uid="{00000000-0005-0000-0000-000038220000}"/>
    <cellStyle name="Neutral 2 3 3 2" xfId="11757" xr:uid="{00000000-0005-0000-0000-000039220000}"/>
    <cellStyle name="Neutral 2 3 4" xfId="11755" xr:uid="{00000000-0005-0000-0000-00003A220000}"/>
    <cellStyle name="Neutral 2 4" xfId="5340" xr:uid="{00000000-0005-0000-0000-00003B220000}"/>
    <cellStyle name="Neutral 2 4 2" xfId="8519" xr:uid="{00000000-0005-0000-0000-00003C220000}"/>
    <cellStyle name="Neutral 2 4 2 2" xfId="11759" xr:uid="{00000000-0005-0000-0000-00003D220000}"/>
    <cellStyle name="Neutral 2 4 3" xfId="7615" xr:uid="{00000000-0005-0000-0000-00003E220000}"/>
    <cellStyle name="Neutral 2 4 3 2" xfId="11760" xr:uid="{00000000-0005-0000-0000-00003F220000}"/>
    <cellStyle name="Neutral 2 4 4" xfId="11758" xr:uid="{00000000-0005-0000-0000-000040220000}"/>
    <cellStyle name="Neutral 2 5" xfId="5341" xr:uid="{00000000-0005-0000-0000-000041220000}"/>
    <cellStyle name="Neutral 2 5 2" xfId="11761" xr:uid="{00000000-0005-0000-0000-000042220000}"/>
    <cellStyle name="Neutral 2 6" xfId="5337" xr:uid="{00000000-0005-0000-0000-000043220000}"/>
    <cellStyle name="Neutral 2 6 2" xfId="11762" xr:uid="{00000000-0005-0000-0000-000044220000}"/>
    <cellStyle name="Neutral 2 7" xfId="11751" xr:uid="{00000000-0005-0000-0000-000045220000}"/>
    <cellStyle name="Neutral 3" xfId="889" xr:uid="{00000000-0005-0000-0000-000046220000}"/>
    <cellStyle name="Neutral 3 2" xfId="890" xr:uid="{00000000-0005-0000-0000-000047220000}"/>
    <cellStyle name="Neutral 3 2 2" xfId="5343" xr:uid="{00000000-0005-0000-0000-000048220000}"/>
    <cellStyle name="Neutral 3 2 2 2" xfId="11765" xr:uid="{00000000-0005-0000-0000-000049220000}"/>
    <cellStyle name="Neutral 3 2 3" xfId="7616" xr:uid="{00000000-0005-0000-0000-00004A220000}"/>
    <cellStyle name="Neutral 3 2 3 2" xfId="11766" xr:uid="{00000000-0005-0000-0000-00004B220000}"/>
    <cellStyle name="Neutral 3 2 4" xfId="11764" xr:uid="{00000000-0005-0000-0000-00004C220000}"/>
    <cellStyle name="Neutral 3 3" xfId="5344" xr:uid="{00000000-0005-0000-0000-00004D220000}"/>
    <cellStyle name="Neutral 3 3 2" xfId="8520" xr:uid="{00000000-0005-0000-0000-00004E220000}"/>
    <cellStyle name="Neutral 3 3 2 2" xfId="11768" xr:uid="{00000000-0005-0000-0000-00004F220000}"/>
    <cellStyle name="Neutral 3 3 3" xfId="7617" xr:uid="{00000000-0005-0000-0000-000050220000}"/>
    <cellStyle name="Neutral 3 3 3 2" xfId="11769" xr:uid="{00000000-0005-0000-0000-000051220000}"/>
    <cellStyle name="Neutral 3 3 4" xfId="11767" xr:uid="{00000000-0005-0000-0000-000052220000}"/>
    <cellStyle name="Neutral 3 4" xfId="5345" xr:uid="{00000000-0005-0000-0000-000053220000}"/>
    <cellStyle name="Neutral 3 4 2" xfId="8521" xr:uid="{00000000-0005-0000-0000-000054220000}"/>
    <cellStyle name="Neutral 3 4 2 2" xfId="11771" xr:uid="{00000000-0005-0000-0000-000055220000}"/>
    <cellStyle name="Neutral 3 4 3" xfId="7618" xr:uid="{00000000-0005-0000-0000-000056220000}"/>
    <cellStyle name="Neutral 3 4 3 2" xfId="11772" xr:uid="{00000000-0005-0000-0000-000057220000}"/>
    <cellStyle name="Neutral 3 4 4" xfId="11770" xr:uid="{00000000-0005-0000-0000-000058220000}"/>
    <cellStyle name="Neutral 3 5" xfId="5346" xr:uid="{00000000-0005-0000-0000-000059220000}"/>
    <cellStyle name="Neutral 3 5 2" xfId="11773" xr:uid="{00000000-0005-0000-0000-00005A220000}"/>
    <cellStyle name="Neutral 3 6" xfId="5342" xr:uid="{00000000-0005-0000-0000-00005B220000}"/>
    <cellStyle name="Neutral 3 6 2" xfId="11774" xr:uid="{00000000-0005-0000-0000-00005C220000}"/>
    <cellStyle name="Neutral 3 7" xfId="11763" xr:uid="{00000000-0005-0000-0000-00005D220000}"/>
    <cellStyle name="Neutral 4" xfId="891" xr:uid="{00000000-0005-0000-0000-00005E220000}"/>
    <cellStyle name="Neutral 4 2" xfId="892" xr:uid="{00000000-0005-0000-0000-00005F220000}"/>
    <cellStyle name="Neutral 4 2 2" xfId="5348" xr:uid="{00000000-0005-0000-0000-000060220000}"/>
    <cellStyle name="Neutral 4 2 2 2" xfId="11777" xr:uid="{00000000-0005-0000-0000-000061220000}"/>
    <cellStyle name="Neutral 4 2 3" xfId="7619" xr:uid="{00000000-0005-0000-0000-000062220000}"/>
    <cellStyle name="Neutral 4 2 3 2" xfId="11778" xr:uid="{00000000-0005-0000-0000-000063220000}"/>
    <cellStyle name="Neutral 4 2 4" xfId="11776" xr:uid="{00000000-0005-0000-0000-000064220000}"/>
    <cellStyle name="Neutral 4 3" xfId="5349" xr:uid="{00000000-0005-0000-0000-000065220000}"/>
    <cellStyle name="Neutral 4 3 2" xfId="8522" xr:uid="{00000000-0005-0000-0000-000066220000}"/>
    <cellStyle name="Neutral 4 3 2 2" xfId="11780" xr:uid="{00000000-0005-0000-0000-000067220000}"/>
    <cellStyle name="Neutral 4 3 3" xfId="7620" xr:uid="{00000000-0005-0000-0000-000068220000}"/>
    <cellStyle name="Neutral 4 3 3 2" xfId="11781" xr:uid="{00000000-0005-0000-0000-000069220000}"/>
    <cellStyle name="Neutral 4 3 4" xfId="11779" xr:uid="{00000000-0005-0000-0000-00006A220000}"/>
    <cellStyle name="Neutral 4 4" xfId="5350" xr:uid="{00000000-0005-0000-0000-00006B220000}"/>
    <cellStyle name="Neutral 4 4 2" xfId="8523" xr:uid="{00000000-0005-0000-0000-00006C220000}"/>
    <cellStyle name="Neutral 4 4 2 2" xfId="11783" xr:uid="{00000000-0005-0000-0000-00006D220000}"/>
    <cellStyle name="Neutral 4 4 3" xfId="7621" xr:uid="{00000000-0005-0000-0000-00006E220000}"/>
    <cellStyle name="Neutral 4 4 3 2" xfId="11784" xr:uid="{00000000-0005-0000-0000-00006F220000}"/>
    <cellStyle name="Neutral 4 4 4" xfId="11782" xr:uid="{00000000-0005-0000-0000-000070220000}"/>
    <cellStyle name="Neutral 4 5" xfId="5351" xr:uid="{00000000-0005-0000-0000-000071220000}"/>
    <cellStyle name="Neutral 4 5 2" xfId="11785" xr:uid="{00000000-0005-0000-0000-000072220000}"/>
    <cellStyle name="Neutral 4 6" xfId="5347" xr:uid="{00000000-0005-0000-0000-000073220000}"/>
    <cellStyle name="Neutral 4 6 2" xfId="11786" xr:uid="{00000000-0005-0000-0000-000074220000}"/>
    <cellStyle name="Neutral 4 7" xfId="11775" xr:uid="{00000000-0005-0000-0000-000075220000}"/>
    <cellStyle name="Neutral 5" xfId="5352" xr:uid="{00000000-0005-0000-0000-000076220000}"/>
    <cellStyle name="Neutral 5 2" xfId="8524" xr:uid="{00000000-0005-0000-0000-000077220000}"/>
    <cellStyle name="Neutral 5 2 2" xfId="11788" xr:uid="{00000000-0005-0000-0000-000078220000}"/>
    <cellStyle name="Neutral 5 3" xfId="7622" xr:uid="{00000000-0005-0000-0000-000079220000}"/>
    <cellStyle name="Neutral 5 3 2" xfId="11789" xr:uid="{00000000-0005-0000-0000-00007A220000}"/>
    <cellStyle name="Neutral 5 4" xfId="11787" xr:uid="{00000000-0005-0000-0000-00007B220000}"/>
    <cellStyle name="Neutral 6" xfId="5353" xr:uid="{00000000-0005-0000-0000-00007C220000}"/>
    <cellStyle name="Neutral 6 2" xfId="8525" xr:uid="{00000000-0005-0000-0000-00007D220000}"/>
    <cellStyle name="Neutral 6 2 2" xfId="11791" xr:uid="{00000000-0005-0000-0000-00007E220000}"/>
    <cellStyle name="Neutral 6 3" xfId="7623" xr:uid="{00000000-0005-0000-0000-00007F220000}"/>
    <cellStyle name="Neutral 6 3 2" xfId="11792" xr:uid="{00000000-0005-0000-0000-000080220000}"/>
    <cellStyle name="Neutral 6 4" xfId="11790" xr:uid="{00000000-0005-0000-0000-000081220000}"/>
    <cellStyle name="Neutral 7" xfId="5354" xr:uid="{00000000-0005-0000-0000-000082220000}"/>
    <cellStyle name="Neutral 7 2" xfId="8526" xr:uid="{00000000-0005-0000-0000-000083220000}"/>
    <cellStyle name="Neutral 7 2 2" xfId="11794" xr:uid="{00000000-0005-0000-0000-000084220000}"/>
    <cellStyle name="Neutral 7 3" xfId="7624" xr:uid="{00000000-0005-0000-0000-000085220000}"/>
    <cellStyle name="Neutral 7 3 2" xfId="11795" xr:uid="{00000000-0005-0000-0000-000086220000}"/>
    <cellStyle name="Neutral 7 4" xfId="11793" xr:uid="{00000000-0005-0000-0000-000087220000}"/>
    <cellStyle name="Neutral 8" xfId="5355" xr:uid="{00000000-0005-0000-0000-000088220000}"/>
    <cellStyle name="Neutral 8 2" xfId="8527" xr:uid="{00000000-0005-0000-0000-000089220000}"/>
    <cellStyle name="Neutral 8 2 2" xfId="11797" xr:uid="{00000000-0005-0000-0000-00008A220000}"/>
    <cellStyle name="Neutral 8 3" xfId="7625" xr:uid="{00000000-0005-0000-0000-00008B220000}"/>
    <cellStyle name="Neutral 8 3 2" xfId="11798" xr:uid="{00000000-0005-0000-0000-00008C220000}"/>
    <cellStyle name="Neutral 8 4" xfId="11796" xr:uid="{00000000-0005-0000-0000-00008D220000}"/>
    <cellStyle name="Neutral 9" xfId="5356" xr:uid="{00000000-0005-0000-0000-00008E220000}"/>
    <cellStyle name="Neutral 9 2" xfId="8528" xr:uid="{00000000-0005-0000-0000-00008F220000}"/>
    <cellStyle name="Neutral 9 2 2" xfId="11800" xr:uid="{00000000-0005-0000-0000-000090220000}"/>
    <cellStyle name="Neutral 9 3" xfId="7626" xr:uid="{00000000-0005-0000-0000-000091220000}"/>
    <cellStyle name="Neutral 9 3 2" xfId="11801" xr:uid="{00000000-0005-0000-0000-000092220000}"/>
    <cellStyle name="Neutral 9 4" xfId="11799" xr:uid="{00000000-0005-0000-0000-000093220000}"/>
    <cellStyle name="Normal" xfId="0" builtinId="0"/>
    <cellStyle name="Normal 10" xfId="893" xr:uid="{00000000-0005-0000-0000-000095220000}"/>
    <cellStyle name="Normal 10 2" xfId="894" xr:uid="{00000000-0005-0000-0000-000096220000}"/>
    <cellStyle name="Normal 10 2 2" xfId="5357" xr:uid="{00000000-0005-0000-0000-000097220000}"/>
    <cellStyle name="Normal 10 2 2 2" xfId="11804" xr:uid="{00000000-0005-0000-0000-000098220000}"/>
    <cellStyle name="Normal 10 2 3" xfId="7627" xr:uid="{00000000-0005-0000-0000-000099220000}"/>
    <cellStyle name="Normal 10 2 3 2" xfId="11805" xr:uid="{00000000-0005-0000-0000-00009A220000}"/>
    <cellStyle name="Normal 10 2 4" xfId="11803" xr:uid="{00000000-0005-0000-0000-00009B220000}"/>
    <cellStyle name="Normal 10 3" xfId="5358" xr:uid="{00000000-0005-0000-0000-00009C220000}"/>
    <cellStyle name="Normal 10 3 2" xfId="8529" xr:uid="{00000000-0005-0000-0000-00009D220000}"/>
    <cellStyle name="Normal 10 3 2 2" xfId="11807" xr:uid="{00000000-0005-0000-0000-00009E220000}"/>
    <cellStyle name="Normal 10 3 3" xfId="7628" xr:uid="{00000000-0005-0000-0000-00009F220000}"/>
    <cellStyle name="Normal 10 3 3 2" xfId="11808" xr:uid="{00000000-0005-0000-0000-0000A0220000}"/>
    <cellStyle name="Normal 10 3 4" xfId="11806" xr:uid="{00000000-0005-0000-0000-0000A1220000}"/>
    <cellStyle name="Normal 10 4" xfId="5359" xr:uid="{00000000-0005-0000-0000-0000A2220000}"/>
    <cellStyle name="Normal 10 4 2" xfId="8530" xr:uid="{00000000-0005-0000-0000-0000A3220000}"/>
    <cellStyle name="Normal 10 4 2 2" xfId="11810" xr:uid="{00000000-0005-0000-0000-0000A4220000}"/>
    <cellStyle name="Normal 10 4 3" xfId="7629" xr:uid="{00000000-0005-0000-0000-0000A5220000}"/>
    <cellStyle name="Normal 10 4 3 2" xfId="11811" xr:uid="{00000000-0005-0000-0000-0000A6220000}"/>
    <cellStyle name="Normal 10 4 4" xfId="11809" xr:uid="{00000000-0005-0000-0000-0000A7220000}"/>
    <cellStyle name="Normal 10 5" xfId="5360" xr:uid="{00000000-0005-0000-0000-0000A8220000}"/>
    <cellStyle name="Normal 10 5 2" xfId="11812" xr:uid="{00000000-0005-0000-0000-0000A9220000}"/>
    <cellStyle name="Normal 10 6" xfId="11802" xr:uid="{00000000-0005-0000-0000-0000AA220000}"/>
    <cellStyle name="Normal 100" xfId="5361" xr:uid="{00000000-0005-0000-0000-0000AB220000}"/>
    <cellStyle name="Normal 100 2" xfId="8531" xr:uid="{00000000-0005-0000-0000-0000AC220000}"/>
    <cellStyle name="Normal 100 2 2" xfId="11814" xr:uid="{00000000-0005-0000-0000-0000AD220000}"/>
    <cellStyle name="Normal 100 3" xfId="7630" xr:uid="{00000000-0005-0000-0000-0000AE220000}"/>
    <cellStyle name="Normal 100 3 2" xfId="11815" xr:uid="{00000000-0005-0000-0000-0000AF220000}"/>
    <cellStyle name="Normal 100 4" xfId="11813" xr:uid="{00000000-0005-0000-0000-0000B0220000}"/>
    <cellStyle name="Normal 101" xfId="5362" xr:uid="{00000000-0005-0000-0000-0000B1220000}"/>
    <cellStyle name="Normal 101 2" xfId="11816" xr:uid="{00000000-0005-0000-0000-0000B2220000}"/>
    <cellStyle name="Normal 102" xfId="5363" xr:uid="{00000000-0005-0000-0000-0000B3220000}"/>
    <cellStyle name="Normal 102 2" xfId="11817" xr:uid="{00000000-0005-0000-0000-0000B4220000}"/>
    <cellStyle name="Normal 103" xfId="5364" xr:uid="{00000000-0005-0000-0000-0000B5220000}"/>
    <cellStyle name="Normal 103 2" xfId="11818" xr:uid="{00000000-0005-0000-0000-0000B6220000}"/>
    <cellStyle name="Normal 104" xfId="5365" xr:uid="{00000000-0005-0000-0000-0000B7220000}"/>
    <cellStyle name="Normal 104 2" xfId="11819" xr:uid="{00000000-0005-0000-0000-0000B8220000}"/>
    <cellStyle name="Normal 105" xfId="5366" xr:uid="{00000000-0005-0000-0000-0000B9220000}"/>
    <cellStyle name="Normal 105 2" xfId="11820" xr:uid="{00000000-0005-0000-0000-0000BA220000}"/>
    <cellStyle name="Normal 106" xfId="5367" xr:uid="{00000000-0005-0000-0000-0000BB220000}"/>
    <cellStyle name="Normal 106 2" xfId="11821" xr:uid="{00000000-0005-0000-0000-0000BC220000}"/>
    <cellStyle name="Normal 107" xfId="5368" xr:uid="{00000000-0005-0000-0000-0000BD220000}"/>
    <cellStyle name="Normal 107 2" xfId="11822" xr:uid="{00000000-0005-0000-0000-0000BE220000}"/>
    <cellStyle name="Normal 108" xfId="5369" xr:uid="{00000000-0005-0000-0000-0000BF220000}"/>
    <cellStyle name="Normal 108 2" xfId="11823" xr:uid="{00000000-0005-0000-0000-0000C0220000}"/>
    <cellStyle name="Normal 109" xfId="5370" xr:uid="{00000000-0005-0000-0000-0000C1220000}"/>
    <cellStyle name="Normal 109 2" xfId="11824" xr:uid="{00000000-0005-0000-0000-0000C2220000}"/>
    <cellStyle name="Normal 11" xfId="895" xr:uid="{00000000-0005-0000-0000-0000C3220000}"/>
    <cellStyle name="Normal 11 2" xfId="896" xr:uid="{00000000-0005-0000-0000-0000C4220000}"/>
    <cellStyle name="Normal 11 2 2" xfId="897" xr:uid="{00000000-0005-0000-0000-0000C5220000}"/>
    <cellStyle name="Normal 11 2 2 2" xfId="5372" xr:uid="{00000000-0005-0000-0000-0000C6220000}"/>
    <cellStyle name="Normal 11 2 2 2 2" xfId="11828" xr:uid="{00000000-0005-0000-0000-0000C7220000}"/>
    <cellStyle name="Normal 11 2 2 3" xfId="7632" xr:uid="{00000000-0005-0000-0000-0000C8220000}"/>
    <cellStyle name="Normal 11 2 2 3 2" xfId="11829" xr:uid="{00000000-0005-0000-0000-0000C9220000}"/>
    <cellStyle name="Normal 11 2 2 4" xfId="11827" xr:uid="{00000000-0005-0000-0000-0000CA220000}"/>
    <cellStyle name="Normal 11 2 3" xfId="5373" xr:uid="{00000000-0005-0000-0000-0000CB220000}"/>
    <cellStyle name="Normal 11 2 3 2" xfId="8532" xr:uid="{00000000-0005-0000-0000-0000CC220000}"/>
    <cellStyle name="Normal 11 2 3 2 2" xfId="11831" xr:uid="{00000000-0005-0000-0000-0000CD220000}"/>
    <cellStyle name="Normal 11 2 3 3" xfId="7633" xr:uid="{00000000-0005-0000-0000-0000CE220000}"/>
    <cellStyle name="Normal 11 2 3 3 2" xfId="11832" xr:uid="{00000000-0005-0000-0000-0000CF220000}"/>
    <cellStyle name="Normal 11 2 3 4" xfId="11830" xr:uid="{00000000-0005-0000-0000-0000D0220000}"/>
    <cellStyle name="Normal 11 2 4" xfId="5374" xr:uid="{00000000-0005-0000-0000-0000D1220000}"/>
    <cellStyle name="Normal 11 2 4 2" xfId="8533" xr:uid="{00000000-0005-0000-0000-0000D2220000}"/>
    <cellStyle name="Normal 11 2 4 2 2" xfId="11834" xr:uid="{00000000-0005-0000-0000-0000D3220000}"/>
    <cellStyle name="Normal 11 2 4 3" xfId="7634" xr:uid="{00000000-0005-0000-0000-0000D4220000}"/>
    <cellStyle name="Normal 11 2 4 3 2" xfId="11835" xr:uid="{00000000-0005-0000-0000-0000D5220000}"/>
    <cellStyle name="Normal 11 2 4 4" xfId="11833" xr:uid="{00000000-0005-0000-0000-0000D6220000}"/>
    <cellStyle name="Normal 11 2 5" xfId="5375" xr:uid="{00000000-0005-0000-0000-0000D7220000}"/>
    <cellStyle name="Normal 11 2 5 2" xfId="11836" xr:uid="{00000000-0005-0000-0000-0000D8220000}"/>
    <cellStyle name="Normal 11 2 6" xfId="5371" xr:uid="{00000000-0005-0000-0000-0000D9220000}"/>
    <cellStyle name="Normal 11 2 6 2" xfId="11837" xr:uid="{00000000-0005-0000-0000-0000DA220000}"/>
    <cellStyle name="Normal 11 2 7" xfId="7631" xr:uid="{00000000-0005-0000-0000-0000DB220000}"/>
    <cellStyle name="Normal 11 2 7 2" xfId="11838" xr:uid="{00000000-0005-0000-0000-0000DC220000}"/>
    <cellStyle name="Normal 11 2 8" xfId="11826" xr:uid="{00000000-0005-0000-0000-0000DD220000}"/>
    <cellStyle name="Normal 11 3" xfId="898" xr:uid="{00000000-0005-0000-0000-0000DE220000}"/>
    <cellStyle name="Normal 11 3 2" xfId="899" xr:uid="{00000000-0005-0000-0000-0000DF220000}"/>
    <cellStyle name="Normal 11 3 2 2" xfId="8534" xr:uid="{00000000-0005-0000-0000-0000E0220000}"/>
    <cellStyle name="Normal 11 3 2 2 2" xfId="11841" xr:uid="{00000000-0005-0000-0000-0000E1220000}"/>
    <cellStyle name="Normal 11 3 2 3" xfId="11840" xr:uid="{00000000-0005-0000-0000-0000E2220000}"/>
    <cellStyle name="Normal 11 3 3" xfId="5376" xr:uid="{00000000-0005-0000-0000-0000E3220000}"/>
    <cellStyle name="Normal 11 3 3 2" xfId="11842" xr:uid="{00000000-0005-0000-0000-0000E4220000}"/>
    <cellStyle name="Normal 11 3 4" xfId="11839" xr:uid="{00000000-0005-0000-0000-0000E5220000}"/>
    <cellStyle name="Normal 11 4" xfId="900" xr:uid="{00000000-0005-0000-0000-0000E6220000}"/>
    <cellStyle name="Normal 11 4 2" xfId="901" xr:uid="{00000000-0005-0000-0000-0000E7220000}"/>
    <cellStyle name="Normal 11 4 2 2" xfId="8535" xr:uid="{00000000-0005-0000-0000-0000E8220000}"/>
    <cellStyle name="Normal 11 4 2 2 2" xfId="11845" xr:uid="{00000000-0005-0000-0000-0000E9220000}"/>
    <cellStyle name="Normal 11 4 2 3" xfId="11844" xr:uid="{00000000-0005-0000-0000-0000EA220000}"/>
    <cellStyle name="Normal 11 4 3" xfId="5377" xr:uid="{00000000-0005-0000-0000-0000EB220000}"/>
    <cellStyle name="Normal 11 4 3 2" xfId="11846" xr:uid="{00000000-0005-0000-0000-0000EC220000}"/>
    <cellStyle name="Normal 11 4 4" xfId="11843" xr:uid="{00000000-0005-0000-0000-0000ED220000}"/>
    <cellStyle name="Normal 11 5" xfId="902" xr:uid="{00000000-0005-0000-0000-0000EE220000}"/>
    <cellStyle name="Normal 11 5 2" xfId="5378" xr:uid="{00000000-0005-0000-0000-0000EF220000}"/>
    <cellStyle name="Normal 11 5 2 2" xfId="11848" xr:uid="{00000000-0005-0000-0000-0000F0220000}"/>
    <cellStyle name="Normal 11 5 3" xfId="7635" xr:uid="{00000000-0005-0000-0000-0000F1220000}"/>
    <cellStyle name="Normal 11 5 3 2" xfId="11849" xr:uid="{00000000-0005-0000-0000-0000F2220000}"/>
    <cellStyle name="Normal 11 5 4" xfId="11847" xr:uid="{00000000-0005-0000-0000-0000F3220000}"/>
    <cellStyle name="Normal 11 6" xfId="5379" xr:uid="{00000000-0005-0000-0000-0000F4220000}"/>
    <cellStyle name="Normal 11 6 2" xfId="8536" xr:uid="{00000000-0005-0000-0000-0000F5220000}"/>
    <cellStyle name="Normal 11 6 2 2" xfId="11851" xr:uid="{00000000-0005-0000-0000-0000F6220000}"/>
    <cellStyle name="Normal 11 6 3" xfId="7636" xr:uid="{00000000-0005-0000-0000-0000F7220000}"/>
    <cellStyle name="Normal 11 6 3 2" xfId="11852" xr:uid="{00000000-0005-0000-0000-0000F8220000}"/>
    <cellStyle name="Normal 11 6 4" xfId="11850" xr:uid="{00000000-0005-0000-0000-0000F9220000}"/>
    <cellStyle name="Normal 11 7" xfId="5380" xr:uid="{00000000-0005-0000-0000-0000FA220000}"/>
    <cellStyle name="Normal 11 7 2" xfId="11853" xr:uid="{00000000-0005-0000-0000-0000FB220000}"/>
    <cellStyle name="Normal 11 8" xfId="11825" xr:uid="{00000000-0005-0000-0000-0000FC220000}"/>
    <cellStyle name="Normal 110" xfId="5381" xr:uid="{00000000-0005-0000-0000-0000FD220000}"/>
    <cellStyle name="Normal 110 2" xfId="11854" xr:uid="{00000000-0005-0000-0000-0000FE220000}"/>
    <cellStyle name="Normal 111" xfId="5382" xr:uid="{00000000-0005-0000-0000-0000FF220000}"/>
    <cellStyle name="Normal 111 2" xfId="11855" xr:uid="{00000000-0005-0000-0000-000000230000}"/>
    <cellStyle name="Normal 112" xfId="5383" xr:uid="{00000000-0005-0000-0000-000001230000}"/>
    <cellStyle name="Normal 112 2" xfId="11856" xr:uid="{00000000-0005-0000-0000-000002230000}"/>
    <cellStyle name="Normal 113" xfId="5384" xr:uid="{00000000-0005-0000-0000-000003230000}"/>
    <cellStyle name="Normal 113 2" xfId="11857" xr:uid="{00000000-0005-0000-0000-000004230000}"/>
    <cellStyle name="Normal 114" xfId="5385" xr:uid="{00000000-0005-0000-0000-000005230000}"/>
    <cellStyle name="Normal 114 2" xfId="11858" xr:uid="{00000000-0005-0000-0000-000006230000}"/>
    <cellStyle name="Normal 115" xfId="5386" xr:uid="{00000000-0005-0000-0000-000007230000}"/>
    <cellStyle name="Normal 115 2" xfId="11859" xr:uid="{00000000-0005-0000-0000-000008230000}"/>
    <cellStyle name="Normal 116" xfId="5387" xr:uid="{00000000-0005-0000-0000-000009230000}"/>
    <cellStyle name="Normal 116 2" xfId="11860" xr:uid="{00000000-0005-0000-0000-00000A230000}"/>
    <cellStyle name="Normal 117" xfId="5388" xr:uid="{00000000-0005-0000-0000-00000B230000}"/>
    <cellStyle name="Normal 117 2" xfId="11861" xr:uid="{00000000-0005-0000-0000-00000C230000}"/>
    <cellStyle name="Normal 118" xfId="5389" xr:uid="{00000000-0005-0000-0000-00000D230000}"/>
    <cellStyle name="Normal 118 2" xfId="11862" xr:uid="{00000000-0005-0000-0000-00000E230000}"/>
    <cellStyle name="Normal 119" xfId="5390" xr:uid="{00000000-0005-0000-0000-00000F230000}"/>
    <cellStyle name="Normal 119 2" xfId="11863" xr:uid="{00000000-0005-0000-0000-000010230000}"/>
    <cellStyle name="Normal 12" xfId="7637" xr:uid="{00000000-0005-0000-0000-000011230000}"/>
    <cellStyle name="Normal 12 2" xfId="903" xr:uid="{00000000-0005-0000-0000-000012230000}"/>
    <cellStyle name="Normal 12 2 2" xfId="904" xr:uid="{00000000-0005-0000-0000-000013230000}"/>
    <cellStyle name="Normal 12 2 2 2" xfId="8537" xr:uid="{00000000-0005-0000-0000-000014230000}"/>
    <cellStyle name="Normal 12 2 2 2 2" xfId="11867" xr:uid="{00000000-0005-0000-0000-000015230000}"/>
    <cellStyle name="Normal 12 2 2 3" xfId="11866" xr:uid="{00000000-0005-0000-0000-000016230000}"/>
    <cellStyle name="Normal 12 2 3" xfId="5391" xr:uid="{00000000-0005-0000-0000-000017230000}"/>
    <cellStyle name="Normal 12 2 3 2" xfId="11868" xr:uid="{00000000-0005-0000-0000-000018230000}"/>
    <cellStyle name="Normal 12 2 4" xfId="11865" xr:uid="{00000000-0005-0000-0000-000019230000}"/>
    <cellStyle name="Normal 12 3" xfId="905" xr:uid="{00000000-0005-0000-0000-00001A230000}"/>
    <cellStyle name="Normal 12 3 2" xfId="906" xr:uid="{00000000-0005-0000-0000-00001B230000}"/>
    <cellStyle name="Normal 12 3 2 2" xfId="8538" xr:uid="{00000000-0005-0000-0000-00001C230000}"/>
    <cellStyle name="Normal 12 3 2 2 2" xfId="11871" xr:uid="{00000000-0005-0000-0000-00001D230000}"/>
    <cellStyle name="Normal 12 3 2 3" xfId="11870" xr:uid="{00000000-0005-0000-0000-00001E230000}"/>
    <cellStyle name="Normal 12 3 3" xfId="5392" xr:uid="{00000000-0005-0000-0000-00001F230000}"/>
    <cellStyle name="Normal 12 3 3 2" xfId="11872" xr:uid="{00000000-0005-0000-0000-000020230000}"/>
    <cellStyle name="Normal 12 3 4" xfId="11869" xr:uid="{00000000-0005-0000-0000-000021230000}"/>
    <cellStyle name="Normal 12 4" xfId="907" xr:uid="{00000000-0005-0000-0000-000022230000}"/>
    <cellStyle name="Normal 12 4 2" xfId="908" xr:uid="{00000000-0005-0000-0000-000023230000}"/>
    <cellStyle name="Normal 12 4 2 2" xfId="8539" xr:uid="{00000000-0005-0000-0000-000024230000}"/>
    <cellStyle name="Normal 12 4 2 2 2" xfId="11875" xr:uid="{00000000-0005-0000-0000-000025230000}"/>
    <cellStyle name="Normal 12 4 2 3" xfId="11874" xr:uid="{00000000-0005-0000-0000-000026230000}"/>
    <cellStyle name="Normal 12 4 3" xfId="5393" xr:uid="{00000000-0005-0000-0000-000027230000}"/>
    <cellStyle name="Normal 12 4 3 2" xfId="11876" xr:uid="{00000000-0005-0000-0000-000028230000}"/>
    <cellStyle name="Normal 12 4 4" xfId="11873" xr:uid="{00000000-0005-0000-0000-000029230000}"/>
    <cellStyle name="Normal 12 5" xfId="5394" xr:uid="{00000000-0005-0000-0000-00002A230000}"/>
    <cellStyle name="Normal 12 5 2" xfId="11877" xr:uid="{00000000-0005-0000-0000-00002B230000}"/>
    <cellStyle name="Normal 12 6" xfId="11864" xr:uid="{00000000-0005-0000-0000-00002C230000}"/>
    <cellStyle name="Normal 120" xfId="5395" xr:uid="{00000000-0005-0000-0000-00002D230000}"/>
    <cellStyle name="Normal 120 2" xfId="11878" xr:uid="{00000000-0005-0000-0000-00002E230000}"/>
    <cellStyle name="Normal 121" xfId="5396" xr:uid="{00000000-0005-0000-0000-00002F230000}"/>
    <cellStyle name="Normal 121 2" xfId="11879" xr:uid="{00000000-0005-0000-0000-000030230000}"/>
    <cellStyle name="Normal 122" xfId="5397" xr:uid="{00000000-0005-0000-0000-000031230000}"/>
    <cellStyle name="Normal 122 2" xfId="11880" xr:uid="{00000000-0005-0000-0000-000032230000}"/>
    <cellStyle name="Normal 123" xfId="5398" xr:uid="{00000000-0005-0000-0000-000033230000}"/>
    <cellStyle name="Normal 123 2" xfId="11881" xr:uid="{00000000-0005-0000-0000-000034230000}"/>
    <cellStyle name="Normal 124" xfId="5399" xr:uid="{00000000-0005-0000-0000-000035230000}"/>
    <cellStyle name="Normal 124 2" xfId="11882" xr:uid="{00000000-0005-0000-0000-000036230000}"/>
    <cellStyle name="Normal 125" xfId="5400" xr:uid="{00000000-0005-0000-0000-000037230000}"/>
    <cellStyle name="Normal 125 2" xfId="11883" xr:uid="{00000000-0005-0000-0000-000038230000}"/>
    <cellStyle name="Normal 126" xfId="5401" xr:uid="{00000000-0005-0000-0000-000039230000}"/>
    <cellStyle name="Normal 126 2" xfId="11884" xr:uid="{00000000-0005-0000-0000-00003A230000}"/>
    <cellStyle name="Normal 127" xfId="5402" xr:uid="{00000000-0005-0000-0000-00003B230000}"/>
    <cellStyle name="Normal 127 2" xfId="11885" xr:uid="{00000000-0005-0000-0000-00003C230000}"/>
    <cellStyle name="Normal 128" xfId="5403" xr:uid="{00000000-0005-0000-0000-00003D230000}"/>
    <cellStyle name="Normal 128 2" xfId="11886" xr:uid="{00000000-0005-0000-0000-00003E230000}"/>
    <cellStyle name="Normal 129" xfId="5404" xr:uid="{00000000-0005-0000-0000-00003F230000}"/>
    <cellStyle name="Normal 129 2" xfId="11887" xr:uid="{00000000-0005-0000-0000-000040230000}"/>
    <cellStyle name="Normal 13" xfId="69" xr:uid="{00000000-0005-0000-0000-000041230000}"/>
    <cellStyle name="Normal 13 2" xfId="909" xr:uid="{00000000-0005-0000-0000-000042230000}"/>
    <cellStyle name="Normal 13 2 2" xfId="5405" xr:uid="{00000000-0005-0000-0000-000043230000}"/>
    <cellStyle name="Normal 13 2 2 2" xfId="11890" xr:uid="{00000000-0005-0000-0000-000044230000}"/>
    <cellStyle name="Normal 13 2 3" xfId="7638" xr:uid="{00000000-0005-0000-0000-000045230000}"/>
    <cellStyle name="Normal 13 2 3 2" xfId="11891" xr:uid="{00000000-0005-0000-0000-000046230000}"/>
    <cellStyle name="Normal 13 2 4" xfId="11889" xr:uid="{00000000-0005-0000-0000-000047230000}"/>
    <cellStyle name="Normal 13 3" xfId="5406" xr:uid="{00000000-0005-0000-0000-000048230000}"/>
    <cellStyle name="Normal 13 3 2" xfId="8540" xr:uid="{00000000-0005-0000-0000-000049230000}"/>
    <cellStyle name="Normal 13 3 2 2" xfId="11893" xr:uid="{00000000-0005-0000-0000-00004A230000}"/>
    <cellStyle name="Normal 13 3 3" xfId="7639" xr:uid="{00000000-0005-0000-0000-00004B230000}"/>
    <cellStyle name="Normal 13 3 3 2" xfId="11894" xr:uid="{00000000-0005-0000-0000-00004C230000}"/>
    <cellStyle name="Normal 13 3 4" xfId="11892" xr:uid="{00000000-0005-0000-0000-00004D230000}"/>
    <cellStyle name="Normal 13 4" xfId="5407" xr:uid="{00000000-0005-0000-0000-00004E230000}"/>
    <cellStyle name="Normal 13 4 2" xfId="8541" xr:uid="{00000000-0005-0000-0000-00004F230000}"/>
    <cellStyle name="Normal 13 4 2 2" xfId="11896" xr:uid="{00000000-0005-0000-0000-000050230000}"/>
    <cellStyle name="Normal 13 4 3" xfId="7640" xr:uid="{00000000-0005-0000-0000-000051230000}"/>
    <cellStyle name="Normal 13 4 3 2" xfId="11897" xr:uid="{00000000-0005-0000-0000-000052230000}"/>
    <cellStyle name="Normal 13 4 4" xfId="11895" xr:uid="{00000000-0005-0000-0000-000053230000}"/>
    <cellStyle name="Normal 13 5" xfId="5408" xr:uid="{00000000-0005-0000-0000-000054230000}"/>
    <cellStyle name="Normal 13 5 2" xfId="11898" xr:uid="{00000000-0005-0000-0000-000055230000}"/>
    <cellStyle name="Normal 13 6" xfId="11888" xr:uid="{00000000-0005-0000-0000-000056230000}"/>
    <cellStyle name="Normal 130" xfId="5409" xr:uid="{00000000-0005-0000-0000-000057230000}"/>
    <cellStyle name="Normal 130 2" xfId="11899" xr:uid="{00000000-0005-0000-0000-000058230000}"/>
    <cellStyle name="Normal 131" xfId="5410" xr:uid="{00000000-0005-0000-0000-000059230000}"/>
    <cellStyle name="Normal 131 2" xfId="11900" xr:uid="{00000000-0005-0000-0000-00005A230000}"/>
    <cellStyle name="Normal 132" xfId="5411" xr:uid="{00000000-0005-0000-0000-00005B230000}"/>
    <cellStyle name="Normal 132 2" xfId="11901" xr:uid="{00000000-0005-0000-0000-00005C230000}"/>
    <cellStyle name="Normal 133" xfId="5412" xr:uid="{00000000-0005-0000-0000-00005D230000}"/>
    <cellStyle name="Normal 133 2" xfId="11902" xr:uid="{00000000-0005-0000-0000-00005E230000}"/>
    <cellStyle name="Normal 134" xfId="5413" xr:uid="{00000000-0005-0000-0000-00005F230000}"/>
    <cellStyle name="Normal 134 2" xfId="11903" xr:uid="{00000000-0005-0000-0000-000060230000}"/>
    <cellStyle name="Normal 135" xfId="5414" xr:uid="{00000000-0005-0000-0000-000061230000}"/>
    <cellStyle name="Normal 135 2" xfId="11904" xr:uid="{00000000-0005-0000-0000-000062230000}"/>
    <cellStyle name="Normal 136" xfId="5415" xr:uid="{00000000-0005-0000-0000-000063230000}"/>
    <cellStyle name="Normal 136 2" xfId="11905" xr:uid="{00000000-0005-0000-0000-000064230000}"/>
    <cellStyle name="Normal 137" xfId="5416" xr:uid="{00000000-0005-0000-0000-000065230000}"/>
    <cellStyle name="Normal 137 2" xfId="11906" xr:uid="{00000000-0005-0000-0000-000066230000}"/>
    <cellStyle name="Normal 138" xfId="5417" xr:uid="{00000000-0005-0000-0000-000067230000}"/>
    <cellStyle name="Normal 138 2" xfId="11907" xr:uid="{00000000-0005-0000-0000-000068230000}"/>
    <cellStyle name="Normal 139" xfId="5418" xr:uid="{00000000-0005-0000-0000-000069230000}"/>
    <cellStyle name="Normal 139 2" xfId="11908" xr:uid="{00000000-0005-0000-0000-00006A230000}"/>
    <cellStyle name="Normal 14" xfId="910" xr:uid="{00000000-0005-0000-0000-00006B230000}"/>
    <cellStyle name="Normal 14 2" xfId="911" xr:uid="{00000000-0005-0000-0000-00006C230000}"/>
    <cellStyle name="Normal 14 2 2" xfId="5419" xr:uid="{00000000-0005-0000-0000-00006D230000}"/>
    <cellStyle name="Normal 14 2 2 2" xfId="11911" xr:uid="{00000000-0005-0000-0000-00006E230000}"/>
    <cellStyle name="Normal 14 2 3" xfId="7642" xr:uid="{00000000-0005-0000-0000-00006F230000}"/>
    <cellStyle name="Normal 14 2 3 2" xfId="11912" xr:uid="{00000000-0005-0000-0000-000070230000}"/>
    <cellStyle name="Normal 14 2 4" xfId="11910" xr:uid="{00000000-0005-0000-0000-000071230000}"/>
    <cellStyle name="Normal 14 3" xfId="5420" xr:uid="{00000000-0005-0000-0000-000072230000}"/>
    <cellStyle name="Normal 14 3 2" xfId="8542" xr:uid="{00000000-0005-0000-0000-000073230000}"/>
    <cellStyle name="Normal 14 3 2 2" xfId="11914" xr:uid="{00000000-0005-0000-0000-000074230000}"/>
    <cellStyle name="Normal 14 3 3" xfId="7643" xr:uid="{00000000-0005-0000-0000-000075230000}"/>
    <cellStyle name="Normal 14 3 3 2" xfId="11915" xr:uid="{00000000-0005-0000-0000-000076230000}"/>
    <cellStyle name="Normal 14 3 4" xfId="11913" xr:uid="{00000000-0005-0000-0000-000077230000}"/>
    <cellStyle name="Normal 14 4" xfId="5421" xr:uid="{00000000-0005-0000-0000-000078230000}"/>
    <cellStyle name="Normal 14 4 2" xfId="8543" xr:uid="{00000000-0005-0000-0000-000079230000}"/>
    <cellStyle name="Normal 14 4 2 2" xfId="11917" xr:uid="{00000000-0005-0000-0000-00007A230000}"/>
    <cellStyle name="Normal 14 4 3" xfId="7644" xr:uid="{00000000-0005-0000-0000-00007B230000}"/>
    <cellStyle name="Normal 14 4 3 2" xfId="11918" xr:uid="{00000000-0005-0000-0000-00007C230000}"/>
    <cellStyle name="Normal 14 4 4" xfId="11916" xr:uid="{00000000-0005-0000-0000-00007D230000}"/>
    <cellStyle name="Normal 14 5" xfId="5422" xr:uid="{00000000-0005-0000-0000-00007E230000}"/>
    <cellStyle name="Normal 14 5 2" xfId="11919" xr:uid="{00000000-0005-0000-0000-00007F230000}"/>
    <cellStyle name="Normal 14 6" xfId="7641" xr:uid="{00000000-0005-0000-0000-000080230000}"/>
    <cellStyle name="Normal 14 6 2" xfId="11920" xr:uid="{00000000-0005-0000-0000-000081230000}"/>
    <cellStyle name="Normal 14 7" xfId="11909" xr:uid="{00000000-0005-0000-0000-000082230000}"/>
    <cellStyle name="Normal 140" xfId="5423" xr:uid="{00000000-0005-0000-0000-000083230000}"/>
    <cellStyle name="Normal 140 2" xfId="11921" xr:uid="{00000000-0005-0000-0000-000084230000}"/>
    <cellStyle name="Normal 141" xfId="5424" xr:uid="{00000000-0005-0000-0000-000085230000}"/>
    <cellStyle name="Normal 141 2" xfId="11922" xr:uid="{00000000-0005-0000-0000-000086230000}"/>
    <cellStyle name="Normal 142" xfId="5425" xr:uid="{00000000-0005-0000-0000-000087230000}"/>
    <cellStyle name="Normal 142 2" xfId="11923" xr:uid="{00000000-0005-0000-0000-000088230000}"/>
    <cellStyle name="Normal 143" xfId="5426" xr:uid="{00000000-0005-0000-0000-000089230000}"/>
    <cellStyle name="Normal 143 2" xfId="11924" xr:uid="{00000000-0005-0000-0000-00008A230000}"/>
    <cellStyle name="Normal 144" xfId="5427" xr:uid="{00000000-0005-0000-0000-00008B230000}"/>
    <cellStyle name="Normal 144 2" xfId="11925" xr:uid="{00000000-0005-0000-0000-00008C230000}"/>
    <cellStyle name="Normal 145" xfId="5428" xr:uid="{00000000-0005-0000-0000-00008D230000}"/>
    <cellStyle name="Normal 145 2" xfId="11926" xr:uid="{00000000-0005-0000-0000-00008E230000}"/>
    <cellStyle name="Normal 146" xfId="5429" xr:uid="{00000000-0005-0000-0000-00008F230000}"/>
    <cellStyle name="Normal 146 2" xfId="11927" xr:uid="{00000000-0005-0000-0000-000090230000}"/>
    <cellStyle name="Normal 147" xfId="5430" xr:uid="{00000000-0005-0000-0000-000091230000}"/>
    <cellStyle name="Normal 147 2" xfId="11928" xr:uid="{00000000-0005-0000-0000-000092230000}"/>
    <cellStyle name="Normal 148" xfId="5431" xr:uid="{00000000-0005-0000-0000-000093230000}"/>
    <cellStyle name="Normal 148 2" xfId="11929" xr:uid="{00000000-0005-0000-0000-000094230000}"/>
    <cellStyle name="Normal 149" xfId="5432" xr:uid="{00000000-0005-0000-0000-000095230000}"/>
    <cellStyle name="Normal 149 2" xfId="11930" xr:uid="{00000000-0005-0000-0000-000096230000}"/>
    <cellStyle name="Normal 15" xfId="912" xr:uid="{00000000-0005-0000-0000-000097230000}"/>
    <cellStyle name="Normal 15 2" xfId="913" xr:uid="{00000000-0005-0000-0000-000098230000}"/>
    <cellStyle name="Normal 15 2 2" xfId="5433" xr:uid="{00000000-0005-0000-0000-000099230000}"/>
    <cellStyle name="Normal 15 2 2 2" xfId="11933" xr:uid="{00000000-0005-0000-0000-00009A230000}"/>
    <cellStyle name="Normal 15 2 3" xfId="7646" xr:uid="{00000000-0005-0000-0000-00009B230000}"/>
    <cellStyle name="Normal 15 2 3 2" xfId="11934" xr:uid="{00000000-0005-0000-0000-00009C230000}"/>
    <cellStyle name="Normal 15 2 4" xfId="11932" xr:uid="{00000000-0005-0000-0000-00009D230000}"/>
    <cellStyle name="Normal 15 3" xfId="5434" xr:uid="{00000000-0005-0000-0000-00009E230000}"/>
    <cellStyle name="Normal 15 3 2" xfId="8544" xr:uid="{00000000-0005-0000-0000-00009F230000}"/>
    <cellStyle name="Normal 15 3 2 2" xfId="11936" xr:uid="{00000000-0005-0000-0000-0000A0230000}"/>
    <cellStyle name="Normal 15 3 3" xfId="7647" xr:uid="{00000000-0005-0000-0000-0000A1230000}"/>
    <cellStyle name="Normal 15 3 3 2" xfId="11937" xr:uid="{00000000-0005-0000-0000-0000A2230000}"/>
    <cellStyle name="Normal 15 3 4" xfId="11935" xr:uid="{00000000-0005-0000-0000-0000A3230000}"/>
    <cellStyle name="Normal 15 4" xfId="5435" xr:uid="{00000000-0005-0000-0000-0000A4230000}"/>
    <cellStyle name="Normal 15 4 2" xfId="8545" xr:uid="{00000000-0005-0000-0000-0000A5230000}"/>
    <cellStyle name="Normal 15 4 2 2" xfId="11939" xr:uid="{00000000-0005-0000-0000-0000A6230000}"/>
    <cellStyle name="Normal 15 4 3" xfId="7648" xr:uid="{00000000-0005-0000-0000-0000A7230000}"/>
    <cellStyle name="Normal 15 4 3 2" xfId="11940" xr:uid="{00000000-0005-0000-0000-0000A8230000}"/>
    <cellStyle name="Normal 15 4 4" xfId="11938" xr:uid="{00000000-0005-0000-0000-0000A9230000}"/>
    <cellStyle name="Normal 15 5" xfId="5436" xr:uid="{00000000-0005-0000-0000-0000AA230000}"/>
    <cellStyle name="Normal 15 5 2" xfId="11941" xr:uid="{00000000-0005-0000-0000-0000AB230000}"/>
    <cellStyle name="Normal 15 6" xfId="7645" xr:uid="{00000000-0005-0000-0000-0000AC230000}"/>
    <cellStyle name="Normal 15 6 2" xfId="11942" xr:uid="{00000000-0005-0000-0000-0000AD230000}"/>
    <cellStyle name="Normal 15 7" xfId="11931" xr:uid="{00000000-0005-0000-0000-0000AE230000}"/>
    <cellStyle name="Normal 150" xfId="5437" xr:uid="{00000000-0005-0000-0000-0000AF230000}"/>
    <cellStyle name="Normal 150 2" xfId="11943" xr:uid="{00000000-0005-0000-0000-0000B0230000}"/>
    <cellStyle name="Normal 151" xfId="5438" xr:uid="{00000000-0005-0000-0000-0000B1230000}"/>
    <cellStyle name="Normal 151 2" xfId="11944" xr:uid="{00000000-0005-0000-0000-0000B2230000}"/>
    <cellStyle name="Normal 152" xfId="5439" xr:uid="{00000000-0005-0000-0000-0000B3230000}"/>
    <cellStyle name="Normal 152 2" xfId="11945" xr:uid="{00000000-0005-0000-0000-0000B4230000}"/>
    <cellStyle name="Normal 153" xfId="5440" xr:uid="{00000000-0005-0000-0000-0000B5230000}"/>
    <cellStyle name="Normal 153 2" xfId="11946" xr:uid="{00000000-0005-0000-0000-0000B6230000}"/>
    <cellStyle name="Normal 154" xfId="5441" xr:uid="{00000000-0005-0000-0000-0000B7230000}"/>
    <cellStyle name="Normal 154 2" xfId="11947" xr:uid="{00000000-0005-0000-0000-0000B8230000}"/>
    <cellStyle name="Normal 155" xfId="5442" xr:uid="{00000000-0005-0000-0000-0000B9230000}"/>
    <cellStyle name="Normal 155 2" xfId="11948" xr:uid="{00000000-0005-0000-0000-0000BA230000}"/>
    <cellStyle name="Normal 156" xfId="5443" xr:uid="{00000000-0005-0000-0000-0000BB230000}"/>
    <cellStyle name="Normal 156 2" xfId="11949" xr:uid="{00000000-0005-0000-0000-0000BC230000}"/>
    <cellStyle name="Normal 157" xfId="5444" xr:uid="{00000000-0005-0000-0000-0000BD230000}"/>
    <cellStyle name="Normal 157 2" xfId="11950" xr:uid="{00000000-0005-0000-0000-0000BE230000}"/>
    <cellStyle name="Normal 158" xfId="5445" xr:uid="{00000000-0005-0000-0000-0000BF230000}"/>
    <cellStyle name="Normal 158 2" xfId="11951" xr:uid="{00000000-0005-0000-0000-0000C0230000}"/>
    <cellStyle name="Normal 159" xfId="5446" xr:uid="{00000000-0005-0000-0000-0000C1230000}"/>
    <cellStyle name="Normal 159 2" xfId="11952" xr:uid="{00000000-0005-0000-0000-0000C2230000}"/>
    <cellStyle name="Normal 16" xfId="5447" xr:uid="{00000000-0005-0000-0000-0000C3230000}"/>
    <cellStyle name="Normal 16 2" xfId="11953" xr:uid="{00000000-0005-0000-0000-0000C4230000}"/>
    <cellStyle name="Normal 160" xfId="5448" xr:uid="{00000000-0005-0000-0000-0000C5230000}"/>
    <cellStyle name="Normal 160 2" xfId="11954" xr:uid="{00000000-0005-0000-0000-0000C6230000}"/>
    <cellStyle name="Normal 161" xfId="5449" xr:uid="{00000000-0005-0000-0000-0000C7230000}"/>
    <cellStyle name="Normal 161 2" xfId="11955" xr:uid="{00000000-0005-0000-0000-0000C8230000}"/>
    <cellStyle name="Normal 162" xfId="5450" xr:uid="{00000000-0005-0000-0000-0000C9230000}"/>
    <cellStyle name="Normal 162 2" xfId="11956" xr:uid="{00000000-0005-0000-0000-0000CA230000}"/>
    <cellStyle name="Normal 163" xfId="5451" xr:uid="{00000000-0005-0000-0000-0000CB230000}"/>
    <cellStyle name="Normal 163 2" xfId="11957" xr:uid="{00000000-0005-0000-0000-0000CC230000}"/>
    <cellStyle name="Normal 164" xfId="5452" xr:uid="{00000000-0005-0000-0000-0000CD230000}"/>
    <cellStyle name="Normal 164 2" xfId="11958" xr:uid="{00000000-0005-0000-0000-0000CE230000}"/>
    <cellStyle name="Normal 165" xfId="5453" xr:uid="{00000000-0005-0000-0000-0000CF230000}"/>
    <cellStyle name="Normal 165 2" xfId="11959" xr:uid="{00000000-0005-0000-0000-0000D0230000}"/>
    <cellStyle name="Normal 166" xfId="5454" xr:uid="{00000000-0005-0000-0000-0000D1230000}"/>
    <cellStyle name="Normal 166 2" xfId="11960" xr:uid="{00000000-0005-0000-0000-0000D2230000}"/>
    <cellStyle name="Normal 167" xfId="5455" xr:uid="{00000000-0005-0000-0000-0000D3230000}"/>
    <cellStyle name="Normal 167 2" xfId="11961" xr:uid="{00000000-0005-0000-0000-0000D4230000}"/>
    <cellStyle name="Normal 168" xfId="5456" xr:uid="{00000000-0005-0000-0000-0000D5230000}"/>
    <cellStyle name="Normal 168 2" xfId="11962" xr:uid="{00000000-0005-0000-0000-0000D6230000}"/>
    <cellStyle name="Normal 169" xfId="5457" xr:uid="{00000000-0005-0000-0000-0000D7230000}"/>
    <cellStyle name="Normal 169 2" xfId="11963" xr:uid="{00000000-0005-0000-0000-0000D8230000}"/>
    <cellStyle name="Normal 17" xfId="914" xr:uid="{00000000-0005-0000-0000-0000D9230000}"/>
    <cellStyle name="Normal 17 2" xfId="915" xr:uid="{00000000-0005-0000-0000-0000DA230000}"/>
    <cellStyle name="Normal 17 2 2" xfId="8546" xr:uid="{00000000-0005-0000-0000-0000DB230000}"/>
    <cellStyle name="Normal 17 2 2 2" xfId="11966" xr:uid="{00000000-0005-0000-0000-0000DC230000}"/>
    <cellStyle name="Normal 17 2 3" xfId="11965" xr:uid="{00000000-0005-0000-0000-0000DD230000}"/>
    <cellStyle name="Normal 17 3" xfId="5458" xr:uid="{00000000-0005-0000-0000-0000DE230000}"/>
    <cellStyle name="Normal 17 3 2" xfId="11967" xr:uid="{00000000-0005-0000-0000-0000DF230000}"/>
    <cellStyle name="Normal 17 4" xfId="7649" xr:uid="{00000000-0005-0000-0000-0000E0230000}"/>
    <cellStyle name="Normal 17 4 2" xfId="11968" xr:uid="{00000000-0005-0000-0000-0000E1230000}"/>
    <cellStyle name="Normal 17 5" xfId="11964" xr:uid="{00000000-0005-0000-0000-0000E2230000}"/>
    <cellStyle name="Normal 170" xfId="5459" xr:uid="{00000000-0005-0000-0000-0000E3230000}"/>
    <cellStyle name="Normal 170 2" xfId="11969" xr:uid="{00000000-0005-0000-0000-0000E4230000}"/>
    <cellStyle name="Normal 171" xfId="5460" xr:uid="{00000000-0005-0000-0000-0000E5230000}"/>
    <cellStyle name="Normal 171 2" xfId="11970" xr:uid="{00000000-0005-0000-0000-0000E6230000}"/>
    <cellStyle name="Normal 172" xfId="5461" xr:uid="{00000000-0005-0000-0000-0000E7230000}"/>
    <cellStyle name="Normal 172 2" xfId="11971" xr:uid="{00000000-0005-0000-0000-0000E8230000}"/>
    <cellStyle name="Normal 173" xfId="5462" xr:uid="{00000000-0005-0000-0000-0000E9230000}"/>
    <cellStyle name="Normal 173 2" xfId="11972" xr:uid="{00000000-0005-0000-0000-0000EA230000}"/>
    <cellStyle name="Normal 174" xfId="5463" xr:uid="{00000000-0005-0000-0000-0000EB230000}"/>
    <cellStyle name="Normal 174 2" xfId="11973" xr:uid="{00000000-0005-0000-0000-0000EC230000}"/>
    <cellStyle name="Normal 175" xfId="5464" xr:uid="{00000000-0005-0000-0000-0000ED230000}"/>
    <cellStyle name="Normal 175 2" xfId="11974" xr:uid="{00000000-0005-0000-0000-0000EE230000}"/>
    <cellStyle name="Normal 176" xfId="5465" xr:uid="{00000000-0005-0000-0000-0000EF230000}"/>
    <cellStyle name="Normal 176 2" xfId="11975" xr:uid="{00000000-0005-0000-0000-0000F0230000}"/>
    <cellStyle name="Normal 177" xfId="5466" xr:uid="{00000000-0005-0000-0000-0000F1230000}"/>
    <cellStyle name="Normal 177 2" xfId="11976" xr:uid="{00000000-0005-0000-0000-0000F2230000}"/>
    <cellStyle name="Normal 178" xfId="5467" xr:uid="{00000000-0005-0000-0000-0000F3230000}"/>
    <cellStyle name="Normal 178 2" xfId="11977" xr:uid="{00000000-0005-0000-0000-0000F4230000}"/>
    <cellStyle name="Normal 179" xfId="5468" xr:uid="{00000000-0005-0000-0000-0000F5230000}"/>
    <cellStyle name="Normal 179 2" xfId="11978" xr:uid="{00000000-0005-0000-0000-0000F6230000}"/>
    <cellStyle name="Normal 18" xfId="5469" xr:uid="{00000000-0005-0000-0000-0000F7230000}"/>
    <cellStyle name="Normal 18 2" xfId="11979" xr:uid="{00000000-0005-0000-0000-0000F8230000}"/>
    <cellStyle name="Normal 180" xfId="5470" xr:uid="{00000000-0005-0000-0000-0000F9230000}"/>
    <cellStyle name="Normal 180 2" xfId="11980" xr:uid="{00000000-0005-0000-0000-0000FA230000}"/>
    <cellStyle name="Normal 181" xfId="5471" xr:uid="{00000000-0005-0000-0000-0000FB230000}"/>
    <cellStyle name="Normal 181 2" xfId="11981" xr:uid="{00000000-0005-0000-0000-0000FC230000}"/>
    <cellStyle name="Normal 182" xfId="5472" xr:uid="{00000000-0005-0000-0000-0000FD230000}"/>
    <cellStyle name="Normal 182 2" xfId="11982" xr:uid="{00000000-0005-0000-0000-0000FE230000}"/>
    <cellStyle name="Normal 183" xfId="5473" xr:uid="{00000000-0005-0000-0000-0000FF230000}"/>
    <cellStyle name="Normal 183 2" xfId="11983" xr:uid="{00000000-0005-0000-0000-000000240000}"/>
    <cellStyle name="Normal 184" xfId="5474" xr:uid="{00000000-0005-0000-0000-000001240000}"/>
    <cellStyle name="Normal 184 2" xfId="11984" xr:uid="{00000000-0005-0000-0000-000002240000}"/>
    <cellStyle name="Normal 185" xfId="5475" xr:uid="{00000000-0005-0000-0000-000003240000}"/>
    <cellStyle name="Normal 185 2" xfId="11985" xr:uid="{00000000-0005-0000-0000-000004240000}"/>
    <cellStyle name="Normal 186" xfId="5476" xr:uid="{00000000-0005-0000-0000-000005240000}"/>
    <cellStyle name="Normal 186 2" xfId="11986" xr:uid="{00000000-0005-0000-0000-000006240000}"/>
    <cellStyle name="Normal 187" xfId="5477" xr:uid="{00000000-0005-0000-0000-000007240000}"/>
    <cellStyle name="Normal 187 2" xfId="11987" xr:uid="{00000000-0005-0000-0000-000008240000}"/>
    <cellStyle name="Normal 188" xfId="5478" xr:uid="{00000000-0005-0000-0000-000009240000}"/>
    <cellStyle name="Normal 188 2" xfId="11988" xr:uid="{00000000-0005-0000-0000-00000A240000}"/>
    <cellStyle name="Normal 189" xfId="5479" xr:uid="{00000000-0005-0000-0000-00000B240000}"/>
    <cellStyle name="Normal 189 2" xfId="11989" xr:uid="{00000000-0005-0000-0000-00000C240000}"/>
    <cellStyle name="Normal 19" xfId="5480" xr:uid="{00000000-0005-0000-0000-00000D240000}"/>
    <cellStyle name="Normal 19 2" xfId="11990" xr:uid="{00000000-0005-0000-0000-00000E240000}"/>
    <cellStyle name="Normal 190" xfId="5481" xr:uid="{00000000-0005-0000-0000-00000F240000}"/>
    <cellStyle name="Normal 190 2" xfId="11991" xr:uid="{00000000-0005-0000-0000-000010240000}"/>
    <cellStyle name="Normal 191" xfId="5482" xr:uid="{00000000-0005-0000-0000-000011240000}"/>
    <cellStyle name="Normal 191 2" xfId="11992" xr:uid="{00000000-0005-0000-0000-000012240000}"/>
    <cellStyle name="Normal 192" xfId="5483" xr:uid="{00000000-0005-0000-0000-000013240000}"/>
    <cellStyle name="Normal 192 2" xfId="11993" xr:uid="{00000000-0005-0000-0000-000014240000}"/>
    <cellStyle name="Normal 193" xfId="5484" xr:uid="{00000000-0005-0000-0000-000015240000}"/>
    <cellStyle name="Normal 193 2" xfId="11994" xr:uid="{00000000-0005-0000-0000-000016240000}"/>
    <cellStyle name="Normal 194" xfId="5485" xr:uid="{00000000-0005-0000-0000-000017240000}"/>
    <cellStyle name="Normal 194 2" xfId="11995" xr:uid="{00000000-0005-0000-0000-000018240000}"/>
    <cellStyle name="Normal 195" xfId="5486" xr:uid="{00000000-0005-0000-0000-000019240000}"/>
    <cellStyle name="Normal 195 2" xfId="11996" xr:uid="{00000000-0005-0000-0000-00001A240000}"/>
    <cellStyle name="Normal 196" xfId="5487" xr:uid="{00000000-0005-0000-0000-00001B240000}"/>
    <cellStyle name="Normal 196 2" xfId="11997" xr:uid="{00000000-0005-0000-0000-00001C240000}"/>
    <cellStyle name="Normal 197" xfId="5488" xr:uid="{00000000-0005-0000-0000-00001D240000}"/>
    <cellStyle name="Normal 197 2" xfId="11998" xr:uid="{00000000-0005-0000-0000-00001E240000}"/>
    <cellStyle name="Normal 198" xfId="5489" xr:uid="{00000000-0005-0000-0000-00001F240000}"/>
    <cellStyle name="Normal 198 2" xfId="11999" xr:uid="{00000000-0005-0000-0000-000020240000}"/>
    <cellStyle name="Normal 199" xfId="5490" xr:uid="{00000000-0005-0000-0000-000021240000}"/>
    <cellStyle name="Normal 199 2" xfId="12000" xr:uid="{00000000-0005-0000-0000-000022240000}"/>
    <cellStyle name="Normal 2" xfId="58" xr:uid="{00000000-0005-0000-0000-000023240000}"/>
    <cellStyle name="Normal 2 10" xfId="917" xr:uid="{00000000-0005-0000-0000-000024240000}"/>
    <cellStyle name="Normal 2 10 2" xfId="918" xr:uid="{00000000-0005-0000-0000-000025240000}"/>
    <cellStyle name="Normal 2 10 2 2" xfId="8547" xr:uid="{00000000-0005-0000-0000-000026240000}"/>
    <cellStyle name="Normal 2 10 2 2 2" xfId="12004" xr:uid="{00000000-0005-0000-0000-000027240000}"/>
    <cellStyle name="Normal 2 10 2 3" xfId="12003" xr:uid="{00000000-0005-0000-0000-000028240000}"/>
    <cellStyle name="Normal 2 10 3" xfId="5491" xr:uid="{00000000-0005-0000-0000-000029240000}"/>
    <cellStyle name="Normal 2 10 3 2" xfId="12005" xr:uid="{00000000-0005-0000-0000-00002A240000}"/>
    <cellStyle name="Normal 2 10 4" xfId="12002" xr:uid="{00000000-0005-0000-0000-00002B240000}"/>
    <cellStyle name="Normal 2 11" xfId="919" xr:uid="{00000000-0005-0000-0000-00002C240000}"/>
    <cellStyle name="Normal 2 11 2" xfId="5492" xr:uid="{00000000-0005-0000-0000-00002D240000}"/>
    <cellStyle name="Normal 2 11 2 2" xfId="12007" xr:uid="{00000000-0005-0000-0000-00002E240000}"/>
    <cellStyle name="Normal 2 11 3" xfId="7650" xr:uid="{00000000-0005-0000-0000-00002F240000}"/>
    <cellStyle name="Normal 2 11 3 2" xfId="12008" xr:uid="{00000000-0005-0000-0000-000030240000}"/>
    <cellStyle name="Normal 2 11 4" xfId="12006" xr:uid="{00000000-0005-0000-0000-000031240000}"/>
    <cellStyle name="Normal 2 12" xfId="5493" xr:uid="{00000000-0005-0000-0000-000032240000}"/>
    <cellStyle name="Normal 2 12 2" xfId="8548" xr:uid="{00000000-0005-0000-0000-000033240000}"/>
    <cellStyle name="Normal 2 12 2 2" xfId="12010" xr:uid="{00000000-0005-0000-0000-000034240000}"/>
    <cellStyle name="Normal 2 12 3" xfId="7651" xr:uid="{00000000-0005-0000-0000-000035240000}"/>
    <cellStyle name="Normal 2 12 3 2" xfId="12011" xr:uid="{00000000-0005-0000-0000-000036240000}"/>
    <cellStyle name="Normal 2 12 4" xfId="12009" xr:uid="{00000000-0005-0000-0000-000037240000}"/>
    <cellStyle name="Normal 2 13" xfId="5494" xr:uid="{00000000-0005-0000-0000-000038240000}"/>
    <cellStyle name="Normal 2 13 2" xfId="12012" xr:uid="{00000000-0005-0000-0000-000039240000}"/>
    <cellStyle name="Normal 2 14" xfId="916" xr:uid="{00000000-0005-0000-0000-00003A240000}"/>
    <cellStyle name="Normal 2 14 2" xfId="12013" xr:uid="{00000000-0005-0000-0000-00003B240000}"/>
    <cellStyle name="Normal 2 15" xfId="12001" xr:uid="{00000000-0005-0000-0000-00003C240000}"/>
    <cellStyle name="Normal 2 2" xfId="920" xr:uid="{00000000-0005-0000-0000-00003D240000}"/>
    <cellStyle name="Normal 2 2 2" xfId="921" xr:uid="{00000000-0005-0000-0000-00003E240000}"/>
    <cellStyle name="Normal 2 2 2 2" xfId="8549" xr:uid="{00000000-0005-0000-0000-00003F240000}"/>
    <cellStyle name="Normal 2 2 2 2 2" xfId="12016" xr:uid="{00000000-0005-0000-0000-000040240000}"/>
    <cellStyle name="Normal 2 2 2 3" xfId="12015" xr:uid="{00000000-0005-0000-0000-000041240000}"/>
    <cellStyle name="Normal 2 2 3" xfId="5495" xr:uid="{00000000-0005-0000-0000-000042240000}"/>
    <cellStyle name="Normal 2 2 3 2" xfId="12017" xr:uid="{00000000-0005-0000-0000-000043240000}"/>
    <cellStyle name="Normal 2 2 4" xfId="7652" xr:uid="{00000000-0005-0000-0000-000044240000}"/>
    <cellStyle name="Normal 2 2 4 2" xfId="12018" xr:uid="{00000000-0005-0000-0000-000045240000}"/>
    <cellStyle name="Normal 2 2 5" xfId="12014" xr:uid="{00000000-0005-0000-0000-000046240000}"/>
    <cellStyle name="Normal 2 3" xfId="922" xr:uid="{00000000-0005-0000-0000-000047240000}"/>
    <cellStyle name="Normal 2 3 2" xfId="923" xr:uid="{00000000-0005-0000-0000-000048240000}"/>
    <cellStyle name="Normal 2 3 2 2" xfId="8550" xr:uid="{00000000-0005-0000-0000-000049240000}"/>
    <cellStyle name="Normal 2 3 2 2 2" xfId="12021" xr:uid="{00000000-0005-0000-0000-00004A240000}"/>
    <cellStyle name="Normal 2 3 2 3" xfId="12020" xr:uid="{00000000-0005-0000-0000-00004B240000}"/>
    <cellStyle name="Normal 2 3 3" xfId="5496" xr:uid="{00000000-0005-0000-0000-00004C240000}"/>
    <cellStyle name="Normal 2 3 3 2" xfId="12022" xr:uid="{00000000-0005-0000-0000-00004D240000}"/>
    <cellStyle name="Normal 2 3 4" xfId="12019" xr:uid="{00000000-0005-0000-0000-00004E240000}"/>
    <cellStyle name="Normal 2 4" xfId="924" xr:uid="{00000000-0005-0000-0000-00004F240000}"/>
    <cellStyle name="Normal 2 4 2" xfId="925" xr:uid="{00000000-0005-0000-0000-000050240000}"/>
    <cellStyle name="Normal 2 4 2 2" xfId="8551" xr:uid="{00000000-0005-0000-0000-000051240000}"/>
    <cellStyle name="Normal 2 4 2 2 2" xfId="12025" xr:uid="{00000000-0005-0000-0000-000052240000}"/>
    <cellStyle name="Normal 2 4 2 3" xfId="12024" xr:uid="{00000000-0005-0000-0000-000053240000}"/>
    <cellStyle name="Normal 2 4 3" xfId="5497" xr:uid="{00000000-0005-0000-0000-000054240000}"/>
    <cellStyle name="Normal 2 4 3 2" xfId="12026" xr:uid="{00000000-0005-0000-0000-000055240000}"/>
    <cellStyle name="Normal 2 4 4" xfId="12023" xr:uid="{00000000-0005-0000-0000-000056240000}"/>
    <cellStyle name="Normal 2 5" xfId="926" xr:uid="{00000000-0005-0000-0000-000057240000}"/>
    <cellStyle name="Normal 2 5 2" xfId="927" xr:uid="{00000000-0005-0000-0000-000058240000}"/>
    <cellStyle name="Normal 2 5 2 2" xfId="8552" xr:uid="{00000000-0005-0000-0000-000059240000}"/>
    <cellStyle name="Normal 2 5 2 2 2" xfId="12029" xr:uid="{00000000-0005-0000-0000-00005A240000}"/>
    <cellStyle name="Normal 2 5 2 3" xfId="12028" xr:uid="{00000000-0005-0000-0000-00005B240000}"/>
    <cellStyle name="Normal 2 5 3" xfId="5498" xr:uid="{00000000-0005-0000-0000-00005C240000}"/>
    <cellStyle name="Normal 2 5 3 2" xfId="12030" xr:uid="{00000000-0005-0000-0000-00005D240000}"/>
    <cellStyle name="Normal 2 5 4" xfId="7653" xr:uid="{00000000-0005-0000-0000-00005E240000}"/>
    <cellStyle name="Normal 2 5 4 2" xfId="12031" xr:uid="{00000000-0005-0000-0000-00005F240000}"/>
    <cellStyle name="Normal 2 5 5" xfId="12027" xr:uid="{00000000-0005-0000-0000-000060240000}"/>
    <cellStyle name="Normal 2 6" xfId="928" xr:uid="{00000000-0005-0000-0000-000061240000}"/>
    <cellStyle name="Normal 2 6 2" xfId="929" xr:uid="{00000000-0005-0000-0000-000062240000}"/>
    <cellStyle name="Normal 2 6 2 2" xfId="8553" xr:uid="{00000000-0005-0000-0000-000063240000}"/>
    <cellStyle name="Normal 2 6 2 2 2" xfId="12034" xr:uid="{00000000-0005-0000-0000-000064240000}"/>
    <cellStyle name="Normal 2 6 2 3" xfId="12033" xr:uid="{00000000-0005-0000-0000-000065240000}"/>
    <cellStyle name="Normal 2 6 3" xfId="5499" xr:uid="{00000000-0005-0000-0000-000066240000}"/>
    <cellStyle name="Normal 2 6 3 2" xfId="12035" xr:uid="{00000000-0005-0000-0000-000067240000}"/>
    <cellStyle name="Normal 2 6 4" xfId="7654" xr:uid="{00000000-0005-0000-0000-000068240000}"/>
    <cellStyle name="Normal 2 6 4 2" xfId="12036" xr:uid="{00000000-0005-0000-0000-000069240000}"/>
    <cellStyle name="Normal 2 6 5" xfId="12032" xr:uid="{00000000-0005-0000-0000-00006A240000}"/>
    <cellStyle name="Normal 2 7" xfId="930" xr:uid="{00000000-0005-0000-0000-00006B240000}"/>
    <cellStyle name="Normal 2 7 2" xfId="931" xr:uid="{00000000-0005-0000-0000-00006C240000}"/>
    <cellStyle name="Normal 2 7 2 2" xfId="8554" xr:uid="{00000000-0005-0000-0000-00006D240000}"/>
    <cellStyle name="Normal 2 7 2 2 2" xfId="12039" xr:uid="{00000000-0005-0000-0000-00006E240000}"/>
    <cellStyle name="Normal 2 7 2 3" xfId="12038" xr:uid="{00000000-0005-0000-0000-00006F240000}"/>
    <cellStyle name="Normal 2 7 3" xfId="5500" xr:uid="{00000000-0005-0000-0000-000070240000}"/>
    <cellStyle name="Normal 2 7 3 2" xfId="12040" xr:uid="{00000000-0005-0000-0000-000071240000}"/>
    <cellStyle name="Normal 2 7 4" xfId="7655" xr:uid="{00000000-0005-0000-0000-000072240000}"/>
    <cellStyle name="Normal 2 7 4 2" xfId="12041" xr:uid="{00000000-0005-0000-0000-000073240000}"/>
    <cellStyle name="Normal 2 7 5" xfId="12037" xr:uid="{00000000-0005-0000-0000-000074240000}"/>
    <cellStyle name="Normal 2 8" xfId="932" xr:uid="{00000000-0005-0000-0000-000075240000}"/>
    <cellStyle name="Normal 2 8 2" xfId="933" xr:uid="{00000000-0005-0000-0000-000076240000}"/>
    <cellStyle name="Normal 2 8 2 2" xfId="8555" xr:uid="{00000000-0005-0000-0000-000077240000}"/>
    <cellStyle name="Normal 2 8 2 2 2" xfId="12044" xr:uid="{00000000-0005-0000-0000-000078240000}"/>
    <cellStyle name="Normal 2 8 2 3" xfId="12043" xr:uid="{00000000-0005-0000-0000-000079240000}"/>
    <cellStyle name="Normal 2 8 3" xfId="5501" xr:uid="{00000000-0005-0000-0000-00007A240000}"/>
    <cellStyle name="Normal 2 8 3 2" xfId="12045" xr:uid="{00000000-0005-0000-0000-00007B240000}"/>
    <cellStyle name="Normal 2 8 4" xfId="12042" xr:uid="{00000000-0005-0000-0000-00007C240000}"/>
    <cellStyle name="Normal 2 9" xfId="934" xr:uid="{00000000-0005-0000-0000-00007D240000}"/>
    <cellStyle name="Normal 2 9 2" xfId="935" xr:uid="{00000000-0005-0000-0000-00007E240000}"/>
    <cellStyle name="Normal 2 9 2 2" xfId="8556" xr:uid="{00000000-0005-0000-0000-00007F240000}"/>
    <cellStyle name="Normal 2 9 2 2 2" xfId="12048" xr:uid="{00000000-0005-0000-0000-000080240000}"/>
    <cellStyle name="Normal 2 9 2 3" xfId="12047" xr:uid="{00000000-0005-0000-0000-000081240000}"/>
    <cellStyle name="Normal 2 9 3" xfId="5502" xr:uid="{00000000-0005-0000-0000-000082240000}"/>
    <cellStyle name="Normal 2 9 3 2" xfId="12049" xr:uid="{00000000-0005-0000-0000-000083240000}"/>
    <cellStyle name="Normal 2 9 4" xfId="12046" xr:uid="{00000000-0005-0000-0000-000084240000}"/>
    <cellStyle name="Normal 20" xfId="936" xr:uid="{00000000-0005-0000-0000-000085240000}"/>
    <cellStyle name="Normal 20 2" xfId="937" xr:uid="{00000000-0005-0000-0000-000086240000}"/>
    <cellStyle name="Normal 20 2 2" xfId="8557" xr:uid="{00000000-0005-0000-0000-000087240000}"/>
    <cellStyle name="Normal 20 2 2 2" xfId="12052" xr:uid="{00000000-0005-0000-0000-000088240000}"/>
    <cellStyle name="Normal 20 2 3" xfId="12051" xr:uid="{00000000-0005-0000-0000-000089240000}"/>
    <cellStyle name="Normal 20 3" xfId="5503" xr:uid="{00000000-0005-0000-0000-00008A240000}"/>
    <cellStyle name="Normal 20 3 2" xfId="12053" xr:uid="{00000000-0005-0000-0000-00008B240000}"/>
    <cellStyle name="Normal 20 4" xfId="7656" xr:uid="{00000000-0005-0000-0000-00008C240000}"/>
    <cellStyle name="Normal 20 4 2" xfId="12054" xr:uid="{00000000-0005-0000-0000-00008D240000}"/>
    <cellStyle name="Normal 20 5" xfId="12050" xr:uid="{00000000-0005-0000-0000-00008E240000}"/>
    <cellStyle name="Normal 200" xfId="5504" xr:uid="{00000000-0005-0000-0000-00008F240000}"/>
    <cellStyle name="Normal 200 2" xfId="12055" xr:uid="{00000000-0005-0000-0000-000090240000}"/>
    <cellStyle name="Normal 201" xfId="5505" xr:uid="{00000000-0005-0000-0000-000091240000}"/>
    <cellStyle name="Normal 201 2" xfId="12056" xr:uid="{00000000-0005-0000-0000-000092240000}"/>
    <cellStyle name="Normal 202" xfId="5506" xr:uid="{00000000-0005-0000-0000-000093240000}"/>
    <cellStyle name="Normal 202 2" xfId="12057" xr:uid="{00000000-0005-0000-0000-000094240000}"/>
    <cellStyle name="Normal 203" xfId="5507" xr:uid="{00000000-0005-0000-0000-000095240000}"/>
    <cellStyle name="Normal 203 2" xfId="12058" xr:uid="{00000000-0005-0000-0000-000096240000}"/>
    <cellStyle name="Normal 204" xfId="5508" xr:uid="{00000000-0005-0000-0000-000097240000}"/>
    <cellStyle name="Normal 204 2" xfId="12059" xr:uid="{00000000-0005-0000-0000-000098240000}"/>
    <cellStyle name="Normal 205" xfId="5509" xr:uid="{00000000-0005-0000-0000-000099240000}"/>
    <cellStyle name="Normal 205 2" xfId="12060" xr:uid="{00000000-0005-0000-0000-00009A240000}"/>
    <cellStyle name="Normal 206" xfId="5510" xr:uid="{00000000-0005-0000-0000-00009B240000}"/>
    <cellStyle name="Normal 206 2" xfId="12061" xr:uid="{00000000-0005-0000-0000-00009C240000}"/>
    <cellStyle name="Normal 207" xfId="5511" xr:uid="{00000000-0005-0000-0000-00009D240000}"/>
    <cellStyle name="Normal 207 2" xfId="12062" xr:uid="{00000000-0005-0000-0000-00009E240000}"/>
    <cellStyle name="Normal 208" xfId="5512" xr:uid="{00000000-0005-0000-0000-00009F240000}"/>
    <cellStyle name="Normal 208 2" xfId="12063" xr:uid="{00000000-0005-0000-0000-0000A0240000}"/>
    <cellStyle name="Normal 209" xfId="5513" xr:uid="{00000000-0005-0000-0000-0000A1240000}"/>
    <cellStyle name="Normal 209 2" xfId="12064" xr:uid="{00000000-0005-0000-0000-0000A2240000}"/>
    <cellStyle name="Normal 21" xfId="938" xr:uid="{00000000-0005-0000-0000-0000A3240000}"/>
    <cellStyle name="Normal 21 2" xfId="939" xr:uid="{00000000-0005-0000-0000-0000A4240000}"/>
    <cellStyle name="Normal 21 2 2" xfId="8558" xr:uid="{00000000-0005-0000-0000-0000A5240000}"/>
    <cellStyle name="Normal 21 2 2 2" xfId="12067" xr:uid="{00000000-0005-0000-0000-0000A6240000}"/>
    <cellStyle name="Normal 21 2 3" xfId="12066" xr:uid="{00000000-0005-0000-0000-0000A7240000}"/>
    <cellStyle name="Normal 21 3" xfId="5514" xr:uid="{00000000-0005-0000-0000-0000A8240000}"/>
    <cellStyle name="Normal 21 3 2" xfId="12068" xr:uid="{00000000-0005-0000-0000-0000A9240000}"/>
    <cellStyle name="Normal 21 4" xfId="7657" xr:uid="{00000000-0005-0000-0000-0000AA240000}"/>
    <cellStyle name="Normal 21 4 2" xfId="12069" xr:uid="{00000000-0005-0000-0000-0000AB240000}"/>
    <cellStyle name="Normal 21 5" xfId="12065" xr:uid="{00000000-0005-0000-0000-0000AC240000}"/>
    <cellStyle name="Normal 210" xfId="5515" xr:uid="{00000000-0005-0000-0000-0000AD240000}"/>
    <cellStyle name="Normal 210 2" xfId="12070" xr:uid="{00000000-0005-0000-0000-0000AE240000}"/>
    <cellStyle name="Normal 211" xfId="5516" xr:uid="{00000000-0005-0000-0000-0000AF240000}"/>
    <cellStyle name="Normal 211 2" xfId="12071" xr:uid="{00000000-0005-0000-0000-0000B0240000}"/>
    <cellStyle name="Normal 212" xfId="5517" xr:uid="{00000000-0005-0000-0000-0000B1240000}"/>
    <cellStyle name="Normal 212 2" xfId="12072" xr:uid="{00000000-0005-0000-0000-0000B2240000}"/>
    <cellStyle name="Normal 213" xfId="5518" xr:uid="{00000000-0005-0000-0000-0000B3240000}"/>
    <cellStyle name="Normal 213 2" xfId="12073" xr:uid="{00000000-0005-0000-0000-0000B4240000}"/>
    <cellStyle name="Normal 214" xfId="5519" xr:uid="{00000000-0005-0000-0000-0000B5240000}"/>
    <cellStyle name="Normal 214 2" xfId="12074" xr:uid="{00000000-0005-0000-0000-0000B6240000}"/>
    <cellStyle name="Normal 215" xfId="5520" xr:uid="{00000000-0005-0000-0000-0000B7240000}"/>
    <cellStyle name="Normal 215 2" xfId="12075" xr:uid="{00000000-0005-0000-0000-0000B8240000}"/>
    <cellStyle name="Normal 216" xfId="5521" xr:uid="{00000000-0005-0000-0000-0000B9240000}"/>
    <cellStyle name="Normal 216 2" xfId="12076" xr:uid="{00000000-0005-0000-0000-0000BA240000}"/>
    <cellStyle name="Normal 217" xfId="5522" xr:uid="{00000000-0005-0000-0000-0000BB240000}"/>
    <cellStyle name="Normal 217 2" xfId="12077" xr:uid="{00000000-0005-0000-0000-0000BC240000}"/>
    <cellStyle name="Normal 218" xfId="5523" xr:uid="{00000000-0005-0000-0000-0000BD240000}"/>
    <cellStyle name="Normal 218 2" xfId="12078" xr:uid="{00000000-0005-0000-0000-0000BE240000}"/>
    <cellStyle name="Normal 219" xfId="5524" xr:uid="{00000000-0005-0000-0000-0000BF240000}"/>
    <cellStyle name="Normal 219 2" xfId="12079" xr:uid="{00000000-0005-0000-0000-0000C0240000}"/>
    <cellStyle name="Normal 22" xfId="940" xr:uid="{00000000-0005-0000-0000-0000C1240000}"/>
    <cellStyle name="Normal 22 2" xfId="941" xr:uid="{00000000-0005-0000-0000-0000C2240000}"/>
    <cellStyle name="Normal 22 2 2" xfId="8559" xr:uid="{00000000-0005-0000-0000-0000C3240000}"/>
    <cellStyle name="Normal 22 2 2 2" xfId="12082" xr:uid="{00000000-0005-0000-0000-0000C4240000}"/>
    <cellStyle name="Normal 22 2 3" xfId="12081" xr:uid="{00000000-0005-0000-0000-0000C5240000}"/>
    <cellStyle name="Normal 22 3" xfId="5525" xr:uid="{00000000-0005-0000-0000-0000C6240000}"/>
    <cellStyle name="Normal 22 3 2" xfId="12083" xr:uid="{00000000-0005-0000-0000-0000C7240000}"/>
    <cellStyle name="Normal 22 4" xfId="7658" xr:uid="{00000000-0005-0000-0000-0000C8240000}"/>
    <cellStyle name="Normal 22 4 2" xfId="12084" xr:uid="{00000000-0005-0000-0000-0000C9240000}"/>
    <cellStyle name="Normal 22 5" xfId="12080" xr:uid="{00000000-0005-0000-0000-0000CA240000}"/>
    <cellStyle name="Normal 220" xfId="5526" xr:uid="{00000000-0005-0000-0000-0000CB240000}"/>
    <cellStyle name="Normal 220 2" xfId="12085" xr:uid="{00000000-0005-0000-0000-0000CC240000}"/>
    <cellStyle name="Normal 221" xfId="5527" xr:uid="{00000000-0005-0000-0000-0000CD240000}"/>
    <cellStyle name="Normal 221 2" xfId="12086" xr:uid="{00000000-0005-0000-0000-0000CE240000}"/>
    <cellStyle name="Normal 222" xfId="5528" xr:uid="{00000000-0005-0000-0000-0000CF240000}"/>
    <cellStyle name="Normal 222 2" xfId="12087" xr:uid="{00000000-0005-0000-0000-0000D0240000}"/>
    <cellStyle name="Normal 223" xfId="5529" xr:uid="{00000000-0005-0000-0000-0000D1240000}"/>
    <cellStyle name="Normal 223 2" xfId="12088" xr:uid="{00000000-0005-0000-0000-0000D2240000}"/>
    <cellStyle name="Normal 224" xfId="5530" xr:uid="{00000000-0005-0000-0000-0000D3240000}"/>
    <cellStyle name="Normal 224 2" xfId="12089" xr:uid="{00000000-0005-0000-0000-0000D4240000}"/>
    <cellStyle name="Normal 225" xfId="5531" xr:uid="{00000000-0005-0000-0000-0000D5240000}"/>
    <cellStyle name="Normal 225 2" xfId="12090" xr:uid="{00000000-0005-0000-0000-0000D6240000}"/>
    <cellStyle name="Normal 226" xfId="5532" xr:uid="{00000000-0005-0000-0000-0000D7240000}"/>
    <cellStyle name="Normal 226 2" xfId="12091" xr:uid="{00000000-0005-0000-0000-0000D8240000}"/>
    <cellStyle name="Normal 227" xfId="5533" xr:uid="{00000000-0005-0000-0000-0000D9240000}"/>
    <cellStyle name="Normal 227 2" xfId="12092" xr:uid="{00000000-0005-0000-0000-0000DA240000}"/>
    <cellStyle name="Normal 228" xfId="5534" xr:uid="{00000000-0005-0000-0000-0000DB240000}"/>
    <cellStyle name="Normal 228 2" xfId="12093" xr:uid="{00000000-0005-0000-0000-0000DC240000}"/>
    <cellStyle name="Normal 229" xfId="5535" xr:uid="{00000000-0005-0000-0000-0000DD240000}"/>
    <cellStyle name="Normal 229 2" xfId="12094" xr:uid="{00000000-0005-0000-0000-0000DE240000}"/>
    <cellStyle name="Normal 23" xfId="942" xr:uid="{00000000-0005-0000-0000-0000DF240000}"/>
    <cellStyle name="Normal 23 2" xfId="943" xr:uid="{00000000-0005-0000-0000-0000E0240000}"/>
    <cellStyle name="Normal 23 2 2" xfId="8560" xr:uid="{00000000-0005-0000-0000-0000E1240000}"/>
    <cellStyle name="Normal 23 2 2 2" xfId="12097" xr:uid="{00000000-0005-0000-0000-0000E2240000}"/>
    <cellStyle name="Normal 23 2 3" xfId="12096" xr:uid="{00000000-0005-0000-0000-0000E3240000}"/>
    <cellStyle name="Normal 23 3" xfId="5536" xr:uid="{00000000-0005-0000-0000-0000E4240000}"/>
    <cellStyle name="Normal 23 3 2" xfId="12098" xr:uid="{00000000-0005-0000-0000-0000E5240000}"/>
    <cellStyle name="Normal 23 4" xfId="7659" xr:uid="{00000000-0005-0000-0000-0000E6240000}"/>
    <cellStyle name="Normal 23 4 2" xfId="12099" xr:uid="{00000000-0005-0000-0000-0000E7240000}"/>
    <cellStyle name="Normal 23 5" xfId="12095" xr:uid="{00000000-0005-0000-0000-0000E8240000}"/>
    <cellStyle name="Normal 230" xfId="5537" xr:uid="{00000000-0005-0000-0000-0000E9240000}"/>
    <cellStyle name="Normal 230 2" xfId="12100" xr:uid="{00000000-0005-0000-0000-0000EA240000}"/>
    <cellStyle name="Normal 231" xfId="5538" xr:uid="{00000000-0005-0000-0000-0000EB240000}"/>
    <cellStyle name="Normal 231 2" xfId="12101" xr:uid="{00000000-0005-0000-0000-0000EC240000}"/>
    <cellStyle name="Normal 232" xfId="5539" xr:uid="{00000000-0005-0000-0000-0000ED240000}"/>
    <cellStyle name="Normal 232 2" xfId="12102" xr:uid="{00000000-0005-0000-0000-0000EE240000}"/>
    <cellStyle name="Normal 233" xfId="5540" xr:uid="{00000000-0005-0000-0000-0000EF240000}"/>
    <cellStyle name="Normal 233 2" xfId="12103" xr:uid="{00000000-0005-0000-0000-0000F0240000}"/>
    <cellStyle name="Normal 234" xfId="5541" xr:uid="{00000000-0005-0000-0000-0000F1240000}"/>
    <cellStyle name="Normal 234 2" xfId="12104" xr:uid="{00000000-0005-0000-0000-0000F2240000}"/>
    <cellStyle name="Normal 235" xfId="5542" xr:uid="{00000000-0005-0000-0000-0000F3240000}"/>
    <cellStyle name="Normal 235 2" xfId="12105" xr:uid="{00000000-0005-0000-0000-0000F4240000}"/>
    <cellStyle name="Normal 236" xfId="8289" xr:uid="{00000000-0005-0000-0000-0000F5240000}"/>
    <cellStyle name="Normal 236 10" xfId="9155" xr:uid="{00000000-0005-0000-0000-0000F6240000}"/>
    <cellStyle name="Normal 236 10 2" xfId="12107" xr:uid="{00000000-0005-0000-0000-0000F7240000}"/>
    <cellStyle name="Normal 236 10 3" xfId="14865" xr:uid="{00000000-0005-0000-0000-0000F8240000}"/>
    <cellStyle name="Normal 236 11" xfId="9275" xr:uid="{00000000-0005-0000-0000-0000F9240000}"/>
    <cellStyle name="Normal 236 11 2" xfId="14985" xr:uid="{00000000-0005-0000-0000-0000FA240000}"/>
    <cellStyle name="Normal 236 12" xfId="12106" xr:uid="{00000000-0005-0000-0000-0000FB240000}"/>
    <cellStyle name="Normal 236 13" xfId="14625" xr:uid="{00000000-0005-0000-0000-0000FC240000}"/>
    <cellStyle name="Normal 236 2" xfId="8915" xr:uid="{00000000-0005-0000-0000-0000FD240000}"/>
    <cellStyle name="Normal 236 2 10" xfId="14629" xr:uid="{00000000-0005-0000-0000-0000FE240000}"/>
    <cellStyle name="Normal 236 2 2" xfId="8916" xr:uid="{00000000-0005-0000-0000-0000FF240000}"/>
    <cellStyle name="Normal 236 2 2 2" xfId="8973" xr:uid="{00000000-0005-0000-0000-000000250000}"/>
    <cellStyle name="Normal 236 2 2 2 2" xfId="9094" xr:uid="{00000000-0005-0000-0000-000001250000}"/>
    <cellStyle name="Normal 236 2 2 2 2 2" xfId="12111" xr:uid="{00000000-0005-0000-0000-000002250000}"/>
    <cellStyle name="Normal 236 2 2 2 2 3" xfId="14807" xr:uid="{00000000-0005-0000-0000-000003250000}"/>
    <cellStyle name="Normal 236 2 2 2 3" xfId="9217" xr:uid="{00000000-0005-0000-0000-000004250000}"/>
    <cellStyle name="Normal 236 2 2 2 3 2" xfId="12112" xr:uid="{00000000-0005-0000-0000-000005250000}"/>
    <cellStyle name="Normal 236 2 2 2 3 3" xfId="14927" xr:uid="{00000000-0005-0000-0000-000006250000}"/>
    <cellStyle name="Normal 236 2 2 2 4" xfId="9337" xr:uid="{00000000-0005-0000-0000-000007250000}"/>
    <cellStyle name="Normal 236 2 2 2 4 2" xfId="15047" xr:uid="{00000000-0005-0000-0000-000008250000}"/>
    <cellStyle name="Normal 236 2 2 2 5" xfId="12110" xr:uid="{00000000-0005-0000-0000-000009250000}"/>
    <cellStyle name="Normal 236 2 2 2 6" xfId="14687" xr:uid="{00000000-0005-0000-0000-00000A250000}"/>
    <cellStyle name="Normal 236 2 2 3" xfId="9037" xr:uid="{00000000-0005-0000-0000-00000B250000}"/>
    <cellStyle name="Normal 236 2 2 3 2" xfId="12113" xr:uid="{00000000-0005-0000-0000-00000C250000}"/>
    <cellStyle name="Normal 236 2 2 3 3" xfId="14750" xr:uid="{00000000-0005-0000-0000-00000D250000}"/>
    <cellStyle name="Normal 236 2 2 4" xfId="9160" xr:uid="{00000000-0005-0000-0000-00000E250000}"/>
    <cellStyle name="Normal 236 2 2 4 2" xfId="12114" xr:uid="{00000000-0005-0000-0000-00000F250000}"/>
    <cellStyle name="Normal 236 2 2 4 3" xfId="14870" xr:uid="{00000000-0005-0000-0000-000010250000}"/>
    <cellStyle name="Normal 236 2 2 5" xfId="9280" xr:uid="{00000000-0005-0000-0000-000011250000}"/>
    <cellStyle name="Normal 236 2 2 5 2" xfId="14990" xr:uid="{00000000-0005-0000-0000-000012250000}"/>
    <cellStyle name="Normal 236 2 2 6" xfId="12109" xr:uid="{00000000-0005-0000-0000-000013250000}"/>
    <cellStyle name="Normal 236 2 2 7" xfId="14630" xr:uid="{00000000-0005-0000-0000-000014250000}"/>
    <cellStyle name="Normal 236 2 3" xfId="8917" xr:uid="{00000000-0005-0000-0000-000015250000}"/>
    <cellStyle name="Normal 236 2 3 2" xfId="8974" xr:uid="{00000000-0005-0000-0000-000016250000}"/>
    <cellStyle name="Normal 236 2 3 2 2" xfId="9095" xr:uid="{00000000-0005-0000-0000-000017250000}"/>
    <cellStyle name="Normal 236 2 3 2 2 2" xfId="12117" xr:uid="{00000000-0005-0000-0000-000018250000}"/>
    <cellStyle name="Normal 236 2 3 2 2 3" xfId="14808" xr:uid="{00000000-0005-0000-0000-000019250000}"/>
    <cellStyle name="Normal 236 2 3 2 3" xfId="9218" xr:uid="{00000000-0005-0000-0000-00001A250000}"/>
    <cellStyle name="Normal 236 2 3 2 3 2" xfId="12118" xr:uid="{00000000-0005-0000-0000-00001B250000}"/>
    <cellStyle name="Normal 236 2 3 2 3 3" xfId="14928" xr:uid="{00000000-0005-0000-0000-00001C250000}"/>
    <cellStyle name="Normal 236 2 3 2 4" xfId="9338" xr:uid="{00000000-0005-0000-0000-00001D250000}"/>
    <cellStyle name="Normal 236 2 3 2 4 2" xfId="15048" xr:uid="{00000000-0005-0000-0000-00001E250000}"/>
    <cellStyle name="Normal 236 2 3 2 5" xfId="12116" xr:uid="{00000000-0005-0000-0000-00001F250000}"/>
    <cellStyle name="Normal 236 2 3 2 6" xfId="14688" xr:uid="{00000000-0005-0000-0000-000020250000}"/>
    <cellStyle name="Normal 236 2 3 3" xfId="9038" xr:uid="{00000000-0005-0000-0000-000021250000}"/>
    <cellStyle name="Normal 236 2 3 3 2" xfId="12119" xr:uid="{00000000-0005-0000-0000-000022250000}"/>
    <cellStyle name="Normal 236 2 3 3 3" xfId="14751" xr:uid="{00000000-0005-0000-0000-000023250000}"/>
    <cellStyle name="Normal 236 2 3 4" xfId="9161" xr:uid="{00000000-0005-0000-0000-000024250000}"/>
    <cellStyle name="Normal 236 2 3 4 2" xfId="12120" xr:uid="{00000000-0005-0000-0000-000025250000}"/>
    <cellStyle name="Normal 236 2 3 4 3" xfId="14871" xr:uid="{00000000-0005-0000-0000-000026250000}"/>
    <cellStyle name="Normal 236 2 3 5" xfId="9281" xr:uid="{00000000-0005-0000-0000-000027250000}"/>
    <cellStyle name="Normal 236 2 3 5 2" xfId="14991" xr:uid="{00000000-0005-0000-0000-000028250000}"/>
    <cellStyle name="Normal 236 2 3 6" xfId="12115" xr:uid="{00000000-0005-0000-0000-000029250000}"/>
    <cellStyle name="Normal 236 2 3 7" xfId="14631" xr:uid="{00000000-0005-0000-0000-00002A250000}"/>
    <cellStyle name="Normal 236 2 4" xfId="8918" xr:uid="{00000000-0005-0000-0000-00002B250000}"/>
    <cellStyle name="Normal 236 2 4 2" xfId="8975" xr:uid="{00000000-0005-0000-0000-00002C250000}"/>
    <cellStyle name="Normal 236 2 4 2 2" xfId="9096" xr:uid="{00000000-0005-0000-0000-00002D250000}"/>
    <cellStyle name="Normal 236 2 4 2 2 2" xfId="12123" xr:uid="{00000000-0005-0000-0000-00002E250000}"/>
    <cellStyle name="Normal 236 2 4 2 2 3" xfId="14809" xr:uid="{00000000-0005-0000-0000-00002F250000}"/>
    <cellStyle name="Normal 236 2 4 2 3" xfId="9219" xr:uid="{00000000-0005-0000-0000-000030250000}"/>
    <cellStyle name="Normal 236 2 4 2 3 2" xfId="12124" xr:uid="{00000000-0005-0000-0000-000031250000}"/>
    <cellStyle name="Normal 236 2 4 2 3 3" xfId="14929" xr:uid="{00000000-0005-0000-0000-000032250000}"/>
    <cellStyle name="Normal 236 2 4 2 4" xfId="9339" xr:uid="{00000000-0005-0000-0000-000033250000}"/>
    <cellStyle name="Normal 236 2 4 2 4 2" xfId="15049" xr:uid="{00000000-0005-0000-0000-000034250000}"/>
    <cellStyle name="Normal 236 2 4 2 5" xfId="12122" xr:uid="{00000000-0005-0000-0000-000035250000}"/>
    <cellStyle name="Normal 236 2 4 2 6" xfId="14689" xr:uid="{00000000-0005-0000-0000-000036250000}"/>
    <cellStyle name="Normal 236 2 4 3" xfId="9039" xr:uid="{00000000-0005-0000-0000-000037250000}"/>
    <cellStyle name="Normal 236 2 4 3 2" xfId="12125" xr:uid="{00000000-0005-0000-0000-000038250000}"/>
    <cellStyle name="Normal 236 2 4 3 3" xfId="14752" xr:uid="{00000000-0005-0000-0000-000039250000}"/>
    <cellStyle name="Normal 236 2 4 4" xfId="9162" xr:uid="{00000000-0005-0000-0000-00003A250000}"/>
    <cellStyle name="Normal 236 2 4 4 2" xfId="12126" xr:uid="{00000000-0005-0000-0000-00003B250000}"/>
    <cellStyle name="Normal 236 2 4 4 3" xfId="14872" xr:uid="{00000000-0005-0000-0000-00003C250000}"/>
    <cellStyle name="Normal 236 2 4 5" xfId="9282" xr:uid="{00000000-0005-0000-0000-00003D250000}"/>
    <cellStyle name="Normal 236 2 4 5 2" xfId="14992" xr:uid="{00000000-0005-0000-0000-00003E250000}"/>
    <cellStyle name="Normal 236 2 4 6" xfId="12121" xr:uid="{00000000-0005-0000-0000-00003F250000}"/>
    <cellStyle name="Normal 236 2 4 7" xfId="14632" xr:uid="{00000000-0005-0000-0000-000040250000}"/>
    <cellStyle name="Normal 236 2 5" xfId="8972" xr:uid="{00000000-0005-0000-0000-000041250000}"/>
    <cellStyle name="Normal 236 2 5 2" xfId="9093" xr:uid="{00000000-0005-0000-0000-000042250000}"/>
    <cellStyle name="Normal 236 2 5 2 2" xfId="12128" xr:uid="{00000000-0005-0000-0000-000043250000}"/>
    <cellStyle name="Normal 236 2 5 2 3" xfId="14806" xr:uid="{00000000-0005-0000-0000-000044250000}"/>
    <cellStyle name="Normal 236 2 5 3" xfId="9216" xr:uid="{00000000-0005-0000-0000-000045250000}"/>
    <cellStyle name="Normal 236 2 5 3 2" xfId="12129" xr:uid="{00000000-0005-0000-0000-000046250000}"/>
    <cellStyle name="Normal 236 2 5 3 3" xfId="14926" xr:uid="{00000000-0005-0000-0000-000047250000}"/>
    <cellStyle name="Normal 236 2 5 4" xfId="9336" xr:uid="{00000000-0005-0000-0000-000048250000}"/>
    <cellStyle name="Normal 236 2 5 4 2" xfId="15046" xr:uid="{00000000-0005-0000-0000-000049250000}"/>
    <cellStyle name="Normal 236 2 5 5" xfId="12127" xr:uid="{00000000-0005-0000-0000-00004A250000}"/>
    <cellStyle name="Normal 236 2 5 6" xfId="14686" xr:uid="{00000000-0005-0000-0000-00004B250000}"/>
    <cellStyle name="Normal 236 2 6" xfId="9036" xr:uid="{00000000-0005-0000-0000-00004C250000}"/>
    <cellStyle name="Normal 236 2 6 2" xfId="12130" xr:uid="{00000000-0005-0000-0000-00004D250000}"/>
    <cellStyle name="Normal 236 2 6 3" xfId="14749" xr:uid="{00000000-0005-0000-0000-00004E250000}"/>
    <cellStyle name="Normal 236 2 7" xfId="9159" xr:uid="{00000000-0005-0000-0000-00004F250000}"/>
    <cellStyle name="Normal 236 2 7 2" xfId="12131" xr:uid="{00000000-0005-0000-0000-000050250000}"/>
    <cellStyle name="Normal 236 2 7 3" xfId="14869" xr:uid="{00000000-0005-0000-0000-000051250000}"/>
    <cellStyle name="Normal 236 2 8" xfId="9279" xr:uid="{00000000-0005-0000-0000-000052250000}"/>
    <cellStyle name="Normal 236 2 8 2" xfId="14989" xr:uid="{00000000-0005-0000-0000-000053250000}"/>
    <cellStyle name="Normal 236 2 9" xfId="12108" xr:uid="{00000000-0005-0000-0000-000054250000}"/>
    <cellStyle name="Normal 236 3" xfId="8919" xr:uid="{00000000-0005-0000-0000-000055250000}"/>
    <cellStyle name="Normal 236 3 10" xfId="14633" xr:uid="{00000000-0005-0000-0000-000056250000}"/>
    <cellStyle name="Normal 236 3 2" xfId="8920" xr:uid="{00000000-0005-0000-0000-000057250000}"/>
    <cellStyle name="Normal 236 3 2 2" xfId="8977" xr:uid="{00000000-0005-0000-0000-000058250000}"/>
    <cellStyle name="Normal 236 3 2 2 2" xfId="9098" xr:uid="{00000000-0005-0000-0000-000059250000}"/>
    <cellStyle name="Normal 236 3 2 2 2 2" xfId="12135" xr:uid="{00000000-0005-0000-0000-00005A250000}"/>
    <cellStyle name="Normal 236 3 2 2 2 3" xfId="14811" xr:uid="{00000000-0005-0000-0000-00005B250000}"/>
    <cellStyle name="Normal 236 3 2 2 3" xfId="9221" xr:uid="{00000000-0005-0000-0000-00005C250000}"/>
    <cellStyle name="Normal 236 3 2 2 3 2" xfId="12136" xr:uid="{00000000-0005-0000-0000-00005D250000}"/>
    <cellStyle name="Normal 236 3 2 2 3 3" xfId="14931" xr:uid="{00000000-0005-0000-0000-00005E250000}"/>
    <cellStyle name="Normal 236 3 2 2 4" xfId="9341" xr:uid="{00000000-0005-0000-0000-00005F250000}"/>
    <cellStyle name="Normal 236 3 2 2 4 2" xfId="15051" xr:uid="{00000000-0005-0000-0000-000060250000}"/>
    <cellStyle name="Normal 236 3 2 2 5" xfId="12134" xr:uid="{00000000-0005-0000-0000-000061250000}"/>
    <cellStyle name="Normal 236 3 2 2 6" xfId="14691" xr:uid="{00000000-0005-0000-0000-000062250000}"/>
    <cellStyle name="Normal 236 3 2 3" xfId="9041" xr:uid="{00000000-0005-0000-0000-000063250000}"/>
    <cellStyle name="Normal 236 3 2 3 2" xfId="12137" xr:uid="{00000000-0005-0000-0000-000064250000}"/>
    <cellStyle name="Normal 236 3 2 3 3" xfId="14754" xr:uid="{00000000-0005-0000-0000-000065250000}"/>
    <cellStyle name="Normal 236 3 2 4" xfId="9164" xr:uid="{00000000-0005-0000-0000-000066250000}"/>
    <cellStyle name="Normal 236 3 2 4 2" xfId="12138" xr:uid="{00000000-0005-0000-0000-000067250000}"/>
    <cellStyle name="Normal 236 3 2 4 3" xfId="14874" xr:uid="{00000000-0005-0000-0000-000068250000}"/>
    <cellStyle name="Normal 236 3 2 5" xfId="9284" xr:uid="{00000000-0005-0000-0000-000069250000}"/>
    <cellStyle name="Normal 236 3 2 5 2" xfId="14994" xr:uid="{00000000-0005-0000-0000-00006A250000}"/>
    <cellStyle name="Normal 236 3 2 6" xfId="12133" xr:uid="{00000000-0005-0000-0000-00006B250000}"/>
    <cellStyle name="Normal 236 3 2 7" xfId="14634" xr:uid="{00000000-0005-0000-0000-00006C250000}"/>
    <cellStyle name="Normal 236 3 3" xfId="8921" xr:uid="{00000000-0005-0000-0000-00006D250000}"/>
    <cellStyle name="Normal 236 3 3 2" xfId="8978" xr:uid="{00000000-0005-0000-0000-00006E250000}"/>
    <cellStyle name="Normal 236 3 3 2 2" xfId="9099" xr:uid="{00000000-0005-0000-0000-00006F250000}"/>
    <cellStyle name="Normal 236 3 3 2 2 2" xfId="12141" xr:uid="{00000000-0005-0000-0000-000070250000}"/>
    <cellStyle name="Normal 236 3 3 2 2 3" xfId="14812" xr:uid="{00000000-0005-0000-0000-000071250000}"/>
    <cellStyle name="Normal 236 3 3 2 3" xfId="9222" xr:uid="{00000000-0005-0000-0000-000072250000}"/>
    <cellStyle name="Normal 236 3 3 2 3 2" xfId="12142" xr:uid="{00000000-0005-0000-0000-000073250000}"/>
    <cellStyle name="Normal 236 3 3 2 3 3" xfId="14932" xr:uid="{00000000-0005-0000-0000-000074250000}"/>
    <cellStyle name="Normal 236 3 3 2 4" xfId="9342" xr:uid="{00000000-0005-0000-0000-000075250000}"/>
    <cellStyle name="Normal 236 3 3 2 4 2" xfId="15052" xr:uid="{00000000-0005-0000-0000-000076250000}"/>
    <cellStyle name="Normal 236 3 3 2 5" xfId="12140" xr:uid="{00000000-0005-0000-0000-000077250000}"/>
    <cellStyle name="Normal 236 3 3 2 6" xfId="14692" xr:uid="{00000000-0005-0000-0000-000078250000}"/>
    <cellStyle name="Normal 236 3 3 3" xfId="9042" xr:uid="{00000000-0005-0000-0000-000079250000}"/>
    <cellStyle name="Normal 236 3 3 3 2" xfId="12143" xr:uid="{00000000-0005-0000-0000-00007A250000}"/>
    <cellStyle name="Normal 236 3 3 3 3" xfId="14755" xr:uid="{00000000-0005-0000-0000-00007B250000}"/>
    <cellStyle name="Normal 236 3 3 4" xfId="9165" xr:uid="{00000000-0005-0000-0000-00007C250000}"/>
    <cellStyle name="Normal 236 3 3 4 2" xfId="12144" xr:uid="{00000000-0005-0000-0000-00007D250000}"/>
    <cellStyle name="Normal 236 3 3 4 3" xfId="14875" xr:uid="{00000000-0005-0000-0000-00007E250000}"/>
    <cellStyle name="Normal 236 3 3 5" xfId="9285" xr:uid="{00000000-0005-0000-0000-00007F250000}"/>
    <cellStyle name="Normal 236 3 3 5 2" xfId="14995" xr:uid="{00000000-0005-0000-0000-000080250000}"/>
    <cellStyle name="Normal 236 3 3 6" xfId="12139" xr:uid="{00000000-0005-0000-0000-000081250000}"/>
    <cellStyle name="Normal 236 3 3 7" xfId="14635" xr:uid="{00000000-0005-0000-0000-000082250000}"/>
    <cellStyle name="Normal 236 3 4" xfId="8922" xr:uid="{00000000-0005-0000-0000-000083250000}"/>
    <cellStyle name="Normal 236 3 4 2" xfId="8979" xr:uid="{00000000-0005-0000-0000-000084250000}"/>
    <cellStyle name="Normal 236 3 4 2 2" xfId="9100" xr:uid="{00000000-0005-0000-0000-000085250000}"/>
    <cellStyle name="Normal 236 3 4 2 2 2" xfId="12147" xr:uid="{00000000-0005-0000-0000-000086250000}"/>
    <cellStyle name="Normal 236 3 4 2 2 3" xfId="14813" xr:uid="{00000000-0005-0000-0000-000087250000}"/>
    <cellStyle name="Normal 236 3 4 2 3" xfId="9223" xr:uid="{00000000-0005-0000-0000-000088250000}"/>
    <cellStyle name="Normal 236 3 4 2 3 2" xfId="12148" xr:uid="{00000000-0005-0000-0000-000089250000}"/>
    <cellStyle name="Normal 236 3 4 2 3 3" xfId="14933" xr:uid="{00000000-0005-0000-0000-00008A250000}"/>
    <cellStyle name="Normal 236 3 4 2 4" xfId="9343" xr:uid="{00000000-0005-0000-0000-00008B250000}"/>
    <cellStyle name="Normal 236 3 4 2 4 2" xfId="15053" xr:uid="{00000000-0005-0000-0000-00008C250000}"/>
    <cellStyle name="Normal 236 3 4 2 5" xfId="12146" xr:uid="{00000000-0005-0000-0000-00008D250000}"/>
    <cellStyle name="Normal 236 3 4 2 6" xfId="14693" xr:uid="{00000000-0005-0000-0000-00008E250000}"/>
    <cellStyle name="Normal 236 3 4 3" xfId="9043" xr:uid="{00000000-0005-0000-0000-00008F250000}"/>
    <cellStyle name="Normal 236 3 4 3 2" xfId="12149" xr:uid="{00000000-0005-0000-0000-000090250000}"/>
    <cellStyle name="Normal 236 3 4 3 3" xfId="14756" xr:uid="{00000000-0005-0000-0000-000091250000}"/>
    <cellStyle name="Normal 236 3 4 4" xfId="9166" xr:uid="{00000000-0005-0000-0000-000092250000}"/>
    <cellStyle name="Normal 236 3 4 4 2" xfId="12150" xr:uid="{00000000-0005-0000-0000-000093250000}"/>
    <cellStyle name="Normal 236 3 4 4 3" xfId="14876" xr:uid="{00000000-0005-0000-0000-000094250000}"/>
    <cellStyle name="Normal 236 3 4 5" xfId="9286" xr:uid="{00000000-0005-0000-0000-000095250000}"/>
    <cellStyle name="Normal 236 3 4 5 2" xfId="14996" xr:uid="{00000000-0005-0000-0000-000096250000}"/>
    <cellStyle name="Normal 236 3 4 6" xfId="12145" xr:uid="{00000000-0005-0000-0000-000097250000}"/>
    <cellStyle name="Normal 236 3 4 7" xfId="14636" xr:uid="{00000000-0005-0000-0000-000098250000}"/>
    <cellStyle name="Normal 236 3 5" xfId="8976" xr:uid="{00000000-0005-0000-0000-000099250000}"/>
    <cellStyle name="Normal 236 3 5 2" xfId="9097" xr:uid="{00000000-0005-0000-0000-00009A250000}"/>
    <cellStyle name="Normal 236 3 5 2 2" xfId="12152" xr:uid="{00000000-0005-0000-0000-00009B250000}"/>
    <cellStyle name="Normal 236 3 5 2 3" xfId="14810" xr:uid="{00000000-0005-0000-0000-00009C250000}"/>
    <cellStyle name="Normal 236 3 5 3" xfId="9220" xr:uid="{00000000-0005-0000-0000-00009D250000}"/>
    <cellStyle name="Normal 236 3 5 3 2" xfId="12153" xr:uid="{00000000-0005-0000-0000-00009E250000}"/>
    <cellStyle name="Normal 236 3 5 3 3" xfId="14930" xr:uid="{00000000-0005-0000-0000-00009F250000}"/>
    <cellStyle name="Normal 236 3 5 4" xfId="9340" xr:uid="{00000000-0005-0000-0000-0000A0250000}"/>
    <cellStyle name="Normal 236 3 5 4 2" xfId="15050" xr:uid="{00000000-0005-0000-0000-0000A1250000}"/>
    <cellStyle name="Normal 236 3 5 5" xfId="12151" xr:uid="{00000000-0005-0000-0000-0000A2250000}"/>
    <cellStyle name="Normal 236 3 5 6" xfId="14690" xr:uid="{00000000-0005-0000-0000-0000A3250000}"/>
    <cellStyle name="Normal 236 3 6" xfId="9040" xr:uid="{00000000-0005-0000-0000-0000A4250000}"/>
    <cellStyle name="Normal 236 3 6 2" xfId="12154" xr:uid="{00000000-0005-0000-0000-0000A5250000}"/>
    <cellStyle name="Normal 236 3 6 3" xfId="14753" xr:uid="{00000000-0005-0000-0000-0000A6250000}"/>
    <cellStyle name="Normal 236 3 7" xfId="9163" xr:uid="{00000000-0005-0000-0000-0000A7250000}"/>
    <cellStyle name="Normal 236 3 7 2" xfId="12155" xr:uid="{00000000-0005-0000-0000-0000A8250000}"/>
    <cellStyle name="Normal 236 3 7 3" xfId="14873" xr:uid="{00000000-0005-0000-0000-0000A9250000}"/>
    <cellStyle name="Normal 236 3 8" xfId="9283" xr:uid="{00000000-0005-0000-0000-0000AA250000}"/>
    <cellStyle name="Normal 236 3 8 2" xfId="14993" xr:uid="{00000000-0005-0000-0000-0000AB250000}"/>
    <cellStyle name="Normal 236 3 9" xfId="12132" xr:uid="{00000000-0005-0000-0000-0000AC250000}"/>
    <cellStyle name="Normal 236 4" xfId="8923" xr:uid="{00000000-0005-0000-0000-0000AD250000}"/>
    <cellStyle name="Normal 236 4 2" xfId="8924" xr:uid="{00000000-0005-0000-0000-0000AE250000}"/>
    <cellStyle name="Normal 236 4 2 2" xfId="8981" xr:uid="{00000000-0005-0000-0000-0000AF250000}"/>
    <cellStyle name="Normal 236 4 2 2 2" xfId="9102" xr:uid="{00000000-0005-0000-0000-0000B0250000}"/>
    <cellStyle name="Normal 236 4 2 2 2 2" xfId="12159" xr:uid="{00000000-0005-0000-0000-0000B1250000}"/>
    <cellStyle name="Normal 236 4 2 2 2 3" xfId="14815" xr:uid="{00000000-0005-0000-0000-0000B2250000}"/>
    <cellStyle name="Normal 236 4 2 2 3" xfId="9225" xr:uid="{00000000-0005-0000-0000-0000B3250000}"/>
    <cellStyle name="Normal 236 4 2 2 3 2" xfId="12160" xr:uid="{00000000-0005-0000-0000-0000B4250000}"/>
    <cellStyle name="Normal 236 4 2 2 3 3" xfId="14935" xr:uid="{00000000-0005-0000-0000-0000B5250000}"/>
    <cellStyle name="Normal 236 4 2 2 4" xfId="9345" xr:uid="{00000000-0005-0000-0000-0000B6250000}"/>
    <cellStyle name="Normal 236 4 2 2 4 2" xfId="15055" xr:uid="{00000000-0005-0000-0000-0000B7250000}"/>
    <cellStyle name="Normal 236 4 2 2 5" xfId="12158" xr:uid="{00000000-0005-0000-0000-0000B8250000}"/>
    <cellStyle name="Normal 236 4 2 2 6" xfId="14695" xr:uid="{00000000-0005-0000-0000-0000B9250000}"/>
    <cellStyle name="Normal 236 4 2 3" xfId="9045" xr:uid="{00000000-0005-0000-0000-0000BA250000}"/>
    <cellStyle name="Normal 236 4 2 3 2" xfId="12161" xr:uid="{00000000-0005-0000-0000-0000BB250000}"/>
    <cellStyle name="Normal 236 4 2 3 3" xfId="14758" xr:uid="{00000000-0005-0000-0000-0000BC250000}"/>
    <cellStyle name="Normal 236 4 2 4" xfId="9168" xr:uid="{00000000-0005-0000-0000-0000BD250000}"/>
    <cellStyle name="Normal 236 4 2 4 2" xfId="12162" xr:uid="{00000000-0005-0000-0000-0000BE250000}"/>
    <cellStyle name="Normal 236 4 2 4 3" xfId="14878" xr:uid="{00000000-0005-0000-0000-0000BF250000}"/>
    <cellStyle name="Normal 236 4 2 5" xfId="9288" xr:uid="{00000000-0005-0000-0000-0000C0250000}"/>
    <cellStyle name="Normal 236 4 2 5 2" xfId="14998" xr:uid="{00000000-0005-0000-0000-0000C1250000}"/>
    <cellStyle name="Normal 236 4 2 6" xfId="12157" xr:uid="{00000000-0005-0000-0000-0000C2250000}"/>
    <cellStyle name="Normal 236 4 2 7" xfId="14638" xr:uid="{00000000-0005-0000-0000-0000C3250000}"/>
    <cellStyle name="Normal 236 4 3" xfId="8925" xr:uid="{00000000-0005-0000-0000-0000C4250000}"/>
    <cellStyle name="Normal 236 4 3 2" xfId="8982" xr:uid="{00000000-0005-0000-0000-0000C5250000}"/>
    <cellStyle name="Normal 236 4 3 2 2" xfId="9103" xr:uid="{00000000-0005-0000-0000-0000C6250000}"/>
    <cellStyle name="Normal 236 4 3 2 2 2" xfId="12165" xr:uid="{00000000-0005-0000-0000-0000C7250000}"/>
    <cellStyle name="Normal 236 4 3 2 2 3" xfId="14816" xr:uid="{00000000-0005-0000-0000-0000C8250000}"/>
    <cellStyle name="Normal 236 4 3 2 3" xfId="9226" xr:uid="{00000000-0005-0000-0000-0000C9250000}"/>
    <cellStyle name="Normal 236 4 3 2 3 2" xfId="12166" xr:uid="{00000000-0005-0000-0000-0000CA250000}"/>
    <cellStyle name="Normal 236 4 3 2 3 3" xfId="14936" xr:uid="{00000000-0005-0000-0000-0000CB250000}"/>
    <cellStyle name="Normal 236 4 3 2 4" xfId="9346" xr:uid="{00000000-0005-0000-0000-0000CC250000}"/>
    <cellStyle name="Normal 236 4 3 2 4 2" xfId="15056" xr:uid="{00000000-0005-0000-0000-0000CD250000}"/>
    <cellStyle name="Normal 236 4 3 2 5" xfId="12164" xr:uid="{00000000-0005-0000-0000-0000CE250000}"/>
    <cellStyle name="Normal 236 4 3 2 6" xfId="14696" xr:uid="{00000000-0005-0000-0000-0000CF250000}"/>
    <cellStyle name="Normal 236 4 3 3" xfId="9046" xr:uid="{00000000-0005-0000-0000-0000D0250000}"/>
    <cellStyle name="Normal 236 4 3 3 2" xfId="12167" xr:uid="{00000000-0005-0000-0000-0000D1250000}"/>
    <cellStyle name="Normal 236 4 3 3 3" xfId="14759" xr:uid="{00000000-0005-0000-0000-0000D2250000}"/>
    <cellStyle name="Normal 236 4 3 4" xfId="9169" xr:uid="{00000000-0005-0000-0000-0000D3250000}"/>
    <cellStyle name="Normal 236 4 3 4 2" xfId="12168" xr:uid="{00000000-0005-0000-0000-0000D4250000}"/>
    <cellStyle name="Normal 236 4 3 4 3" xfId="14879" xr:uid="{00000000-0005-0000-0000-0000D5250000}"/>
    <cellStyle name="Normal 236 4 3 5" xfId="9289" xr:uid="{00000000-0005-0000-0000-0000D6250000}"/>
    <cellStyle name="Normal 236 4 3 5 2" xfId="14999" xr:uid="{00000000-0005-0000-0000-0000D7250000}"/>
    <cellStyle name="Normal 236 4 3 6" xfId="12163" xr:uid="{00000000-0005-0000-0000-0000D8250000}"/>
    <cellStyle name="Normal 236 4 3 7" xfId="14639" xr:uid="{00000000-0005-0000-0000-0000D9250000}"/>
    <cellStyle name="Normal 236 4 4" xfId="8980" xr:uid="{00000000-0005-0000-0000-0000DA250000}"/>
    <cellStyle name="Normal 236 4 4 2" xfId="9101" xr:uid="{00000000-0005-0000-0000-0000DB250000}"/>
    <cellStyle name="Normal 236 4 4 2 2" xfId="12170" xr:uid="{00000000-0005-0000-0000-0000DC250000}"/>
    <cellStyle name="Normal 236 4 4 2 3" xfId="14814" xr:uid="{00000000-0005-0000-0000-0000DD250000}"/>
    <cellStyle name="Normal 236 4 4 3" xfId="9224" xr:uid="{00000000-0005-0000-0000-0000DE250000}"/>
    <cellStyle name="Normal 236 4 4 3 2" xfId="12171" xr:uid="{00000000-0005-0000-0000-0000DF250000}"/>
    <cellStyle name="Normal 236 4 4 3 3" xfId="14934" xr:uid="{00000000-0005-0000-0000-0000E0250000}"/>
    <cellStyle name="Normal 236 4 4 4" xfId="9344" xr:uid="{00000000-0005-0000-0000-0000E1250000}"/>
    <cellStyle name="Normal 236 4 4 4 2" xfId="15054" xr:uid="{00000000-0005-0000-0000-0000E2250000}"/>
    <cellStyle name="Normal 236 4 4 5" xfId="12169" xr:uid="{00000000-0005-0000-0000-0000E3250000}"/>
    <cellStyle name="Normal 236 4 4 6" xfId="14694" xr:uid="{00000000-0005-0000-0000-0000E4250000}"/>
    <cellStyle name="Normal 236 4 5" xfId="9044" xr:uid="{00000000-0005-0000-0000-0000E5250000}"/>
    <cellStyle name="Normal 236 4 5 2" xfId="12172" xr:uid="{00000000-0005-0000-0000-0000E6250000}"/>
    <cellStyle name="Normal 236 4 5 3" xfId="14757" xr:uid="{00000000-0005-0000-0000-0000E7250000}"/>
    <cellStyle name="Normal 236 4 6" xfId="9167" xr:uid="{00000000-0005-0000-0000-0000E8250000}"/>
    <cellStyle name="Normal 236 4 6 2" xfId="12173" xr:uid="{00000000-0005-0000-0000-0000E9250000}"/>
    <cellStyle name="Normal 236 4 6 3" xfId="14877" xr:uid="{00000000-0005-0000-0000-0000EA250000}"/>
    <cellStyle name="Normal 236 4 7" xfId="9287" xr:uid="{00000000-0005-0000-0000-0000EB250000}"/>
    <cellStyle name="Normal 236 4 7 2" xfId="14997" xr:uid="{00000000-0005-0000-0000-0000EC250000}"/>
    <cellStyle name="Normal 236 4 8" xfId="12156" xr:uid="{00000000-0005-0000-0000-0000ED250000}"/>
    <cellStyle name="Normal 236 4 9" xfId="14637" xr:uid="{00000000-0005-0000-0000-0000EE250000}"/>
    <cellStyle name="Normal 236 5" xfId="8926" xr:uid="{00000000-0005-0000-0000-0000EF250000}"/>
    <cellStyle name="Normal 236 5 2" xfId="8983" xr:uid="{00000000-0005-0000-0000-0000F0250000}"/>
    <cellStyle name="Normal 236 5 2 2" xfId="9104" xr:uid="{00000000-0005-0000-0000-0000F1250000}"/>
    <cellStyle name="Normal 236 5 2 2 2" xfId="12176" xr:uid="{00000000-0005-0000-0000-0000F2250000}"/>
    <cellStyle name="Normal 236 5 2 2 3" xfId="14817" xr:uid="{00000000-0005-0000-0000-0000F3250000}"/>
    <cellStyle name="Normal 236 5 2 3" xfId="9227" xr:uid="{00000000-0005-0000-0000-0000F4250000}"/>
    <cellStyle name="Normal 236 5 2 3 2" xfId="12177" xr:uid="{00000000-0005-0000-0000-0000F5250000}"/>
    <cellStyle name="Normal 236 5 2 3 3" xfId="14937" xr:uid="{00000000-0005-0000-0000-0000F6250000}"/>
    <cellStyle name="Normal 236 5 2 4" xfId="9347" xr:uid="{00000000-0005-0000-0000-0000F7250000}"/>
    <cellStyle name="Normal 236 5 2 4 2" xfId="15057" xr:uid="{00000000-0005-0000-0000-0000F8250000}"/>
    <cellStyle name="Normal 236 5 2 5" xfId="12175" xr:uid="{00000000-0005-0000-0000-0000F9250000}"/>
    <cellStyle name="Normal 236 5 2 6" xfId="14697" xr:uid="{00000000-0005-0000-0000-0000FA250000}"/>
    <cellStyle name="Normal 236 5 3" xfId="9047" xr:uid="{00000000-0005-0000-0000-0000FB250000}"/>
    <cellStyle name="Normal 236 5 3 2" xfId="12178" xr:uid="{00000000-0005-0000-0000-0000FC250000}"/>
    <cellStyle name="Normal 236 5 3 3" xfId="14760" xr:uid="{00000000-0005-0000-0000-0000FD250000}"/>
    <cellStyle name="Normal 236 5 4" xfId="9170" xr:uid="{00000000-0005-0000-0000-0000FE250000}"/>
    <cellStyle name="Normal 236 5 4 2" xfId="12179" xr:uid="{00000000-0005-0000-0000-0000FF250000}"/>
    <cellStyle name="Normal 236 5 4 3" xfId="14880" xr:uid="{00000000-0005-0000-0000-000000260000}"/>
    <cellStyle name="Normal 236 5 5" xfId="9290" xr:uid="{00000000-0005-0000-0000-000001260000}"/>
    <cellStyle name="Normal 236 5 5 2" xfId="15000" xr:uid="{00000000-0005-0000-0000-000002260000}"/>
    <cellStyle name="Normal 236 5 6" xfId="12174" xr:uid="{00000000-0005-0000-0000-000003260000}"/>
    <cellStyle name="Normal 236 5 7" xfId="14640" xr:uid="{00000000-0005-0000-0000-000004260000}"/>
    <cellStyle name="Normal 236 6" xfId="8927" xr:uid="{00000000-0005-0000-0000-000005260000}"/>
    <cellStyle name="Normal 236 6 2" xfId="8984" xr:uid="{00000000-0005-0000-0000-000006260000}"/>
    <cellStyle name="Normal 236 6 2 2" xfId="9105" xr:uid="{00000000-0005-0000-0000-000007260000}"/>
    <cellStyle name="Normal 236 6 2 2 2" xfId="12182" xr:uid="{00000000-0005-0000-0000-000008260000}"/>
    <cellStyle name="Normal 236 6 2 2 3" xfId="14818" xr:uid="{00000000-0005-0000-0000-000009260000}"/>
    <cellStyle name="Normal 236 6 2 3" xfId="9228" xr:uid="{00000000-0005-0000-0000-00000A260000}"/>
    <cellStyle name="Normal 236 6 2 3 2" xfId="12183" xr:uid="{00000000-0005-0000-0000-00000B260000}"/>
    <cellStyle name="Normal 236 6 2 3 3" xfId="14938" xr:uid="{00000000-0005-0000-0000-00000C260000}"/>
    <cellStyle name="Normal 236 6 2 4" xfId="9348" xr:uid="{00000000-0005-0000-0000-00000D260000}"/>
    <cellStyle name="Normal 236 6 2 4 2" xfId="15058" xr:uid="{00000000-0005-0000-0000-00000E260000}"/>
    <cellStyle name="Normal 236 6 2 5" xfId="12181" xr:uid="{00000000-0005-0000-0000-00000F260000}"/>
    <cellStyle name="Normal 236 6 2 6" xfId="14698" xr:uid="{00000000-0005-0000-0000-000010260000}"/>
    <cellStyle name="Normal 236 6 3" xfId="9048" xr:uid="{00000000-0005-0000-0000-000011260000}"/>
    <cellStyle name="Normal 236 6 3 2" xfId="12184" xr:uid="{00000000-0005-0000-0000-000012260000}"/>
    <cellStyle name="Normal 236 6 3 3" xfId="14761" xr:uid="{00000000-0005-0000-0000-000013260000}"/>
    <cellStyle name="Normal 236 6 4" xfId="9171" xr:uid="{00000000-0005-0000-0000-000014260000}"/>
    <cellStyle name="Normal 236 6 4 2" xfId="12185" xr:uid="{00000000-0005-0000-0000-000015260000}"/>
    <cellStyle name="Normal 236 6 4 3" xfId="14881" xr:uid="{00000000-0005-0000-0000-000016260000}"/>
    <cellStyle name="Normal 236 6 5" xfId="9291" xr:uid="{00000000-0005-0000-0000-000017260000}"/>
    <cellStyle name="Normal 236 6 5 2" xfId="15001" xr:uid="{00000000-0005-0000-0000-000018260000}"/>
    <cellStyle name="Normal 236 6 6" xfId="12180" xr:uid="{00000000-0005-0000-0000-000019260000}"/>
    <cellStyle name="Normal 236 6 7" xfId="14641" xr:uid="{00000000-0005-0000-0000-00001A260000}"/>
    <cellStyle name="Normal 236 7" xfId="8928" xr:uid="{00000000-0005-0000-0000-00001B260000}"/>
    <cellStyle name="Normal 236 7 2" xfId="8985" xr:uid="{00000000-0005-0000-0000-00001C260000}"/>
    <cellStyle name="Normal 236 7 2 2" xfId="9106" xr:uid="{00000000-0005-0000-0000-00001D260000}"/>
    <cellStyle name="Normal 236 7 2 2 2" xfId="12188" xr:uid="{00000000-0005-0000-0000-00001E260000}"/>
    <cellStyle name="Normal 236 7 2 2 3" xfId="14819" xr:uid="{00000000-0005-0000-0000-00001F260000}"/>
    <cellStyle name="Normal 236 7 2 3" xfId="9229" xr:uid="{00000000-0005-0000-0000-000020260000}"/>
    <cellStyle name="Normal 236 7 2 3 2" xfId="12189" xr:uid="{00000000-0005-0000-0000-000021260000}"/>
    <cellStyle name="Normal 236 7 2 3 3" xfId="14939" xr:uid="{00000000-0005-0000-0000-000022260000}"/>
    <cellStyle name="Normal 236 7 2 4" xfId="9349" xr:uid="{00000000-0005-0000-0000-000023260000}"/>
    <cellStyle name="Normal 236 7 2 4 2" xfId="15059" xr:uid="{00000000-0005-0000-0000-000024260000}"/>
    <cellStyle name="Normal 236 7 2 5" xfId="12187" xr:uid="{00000000-0005-0000-0000-000025260000}"/>
    <cellStyle name="Normal 236 7 2 6" xfId="14699" xr:uid="{00000000-0005-0000-0000-000026260000}"/>
    <cellStyle name="Normal 236 7 3" xfId="9049" xr:uid="{00000000-0005-0000-0000-000027260000}"/>
    <cellStyle name="Normal 236 7 3 2" xfId="12190" xr:uid="{00000000-0005-0000-0000-000028260000}"/>
    <cellStyle name="Normal 236 7 3 3" xfId="14762" xr:uid="{00000000-0005-0000-0000-000029260000}"/>
    <cellStyle name="Normal 236 7 4" xfId="9172" xr:uid="{00000000-0005-0000-0000-00002A260000}"/>
    <cellStyle name="Normal 236 7 4 2" xfId="12191" xr:uid="{00000000-0005-0000-0000-00002B260000}"/>
    <cellStyle name="Normal 236 7 4 3" xfId="14882" xr:uid="{00000000-0005-0000-0000-00002C260000}"/>
    <cellStyle name="Normal 236 7 5" xfId="9292" xr:uid="{00000000-0005-0000-0000-00002D260000}"/>
    <cellStyle name="Normal 236 7 5 2" xfId="15002" xr:uid="{00000000-0005-0000-0000-00002E260000}"/>
    <cellStyle name="Normal 236 7 6" xfId="12186" xr:uid="{00000000-0005-0000-0000-00002F260000}"/>
    <cellStyle name="Normal 236 7 7" xfId="14642" xr:uid="{00000000-0005-0000-0000-000030260000}"/>
    <cellStyle name="Normal 236 8" xfId="8971" xr:uid="{00000000-0005-0000-0000-000031260000}"/>
    <cellStyle name="Normal 236 8 2" xfId="9092" xr:uid="{00000000-0005-0000-0000-000032260000}"/>
    <cellStyle name="Normal 236 8 2 2" xfId="12193" xr:uid="{00000000-0005-0000-0000-000033260000}"/>
    <cellStyle name="Normal 236 8 2 3" xfId="14805" xr:uid="{00000000-0005-0000-0000-000034260000}"/>
    <cellStyle name="Normal 236 8 3" xfId="9215" xr:uid="{00000000-0005-0000-0000-000035260000}"/>
    <cellStyle name="Normal 236 8 3 2" xfId="12194" xr:uid="{00000000-0005-0000-0000-000036260000}"/>
    <cellStyle name="Normal 236 8 3 3" xfId="14925" xr:uid="{00000000-0005-0000-0000-000037260000}"/>
    <cellStyle name="Normal 236 8 4" xfId="9335" xr:uid="{00000000-0005-0000-0000-000038260000}"/>
    <cellStyle name="Normal 236 8 4 2" xfId="15045" xr:uid="{00000000-0005-0000-0000-000039260000}"/>
    <cellStyle name="Normal 236 8 5" xfId="12192" xr:uid="{00000000-0005-0000-0000-00003A260000}"/>
    <cellStyle name="Normal 236 8 6" xfId="14685" xr:uid="{00000000-0005-0000-0000-00003B260000}"/>
    <cellStyle name="Normal 236 9" xfId="9032" xr:uid="{00000000-0005-0000-0000-00003C260000}"/>
    <cellStyle name="Normal 236 9 2" xfId="12195" xr:uid="{00000000-0005-0000-0000-00003D260000}"/>
    <cellStyle name="Normal 236 9 3" xfId="14745" xr:uid="{00000000-0005-0000-0000-00003E260000}"/>
    <cellStyle name="Normal 237" xfId="8705" xr:uid="{00000000-0005-0000-0000-00003F260000}"/>
    <cellStyle name="Normal 237 10" xfId="9156" xr:uid="{00000000-0005-0000-0000-000040260000}"/>
    <cellStyle name="Normal 237 10 2" xfId="12197" xr:uid="{00000000-0005-0000-0000-000041260000}"/>
    <cellStyle name="Normal 237 10 3" xfId="14866" xr:uid="{00000000-0005-0000-0000-000042260000}"/>
    <cellStyle name="Normal 237 11" xfId="9276" xr:uid="{00000000-0005-0000-0000-000043260000}"/>
    <cellStyle name="Normal 237 11 2" xfId="14986" xr:uid="{00000000-0005-0000-0000-000044260000}"/>
    <cellStyle name="Normal 237 12" xfId="12196" xr:uid="{00000000-0005-0000-0000-000045260000}"/>
    <cellStyle name="Normal 237 13" xfId="14626" xr:uid="{00000000-0005-0000-0000-000046260000}"/>
    <cellStyle name="Normal 237 2" xfId="8929" xr:uid="{00000000-0005-0000-0000-000047260000}"/>
    <cellStyle name="Normal 237 2 10" xfId="14643" xr:uid="{00000000-0005-0000-0000-000048260000}"/>
    <cellStyle name="Normal 237 2 2" xfId="8930" xr:uid="{00000000-0005-0000-0000-000049260000}"/>
    <cellStyle name="Normal 237 2 2 2" xfId="8988" xr:uid="{00000000-0005-0000-0000-00004A260000}"/>
    <cellStyle name="Normal 237 2 2 2 2" xfId="9109" xr:uid="{00000000-0005-0000-0000-00004B260000}"/>
    <cellStyle name="Normal 237 2 2 2 2 2" xfId="12201" xr:uid="{00000000-0005-0000-0000-00004C260000}"/>
    <cellStyle name="Normal 237 2 2 2 2 3" xfId="14822" xr:uid="{00000000-0005-0000-0000-00004D260000}"/>
    <cellStyle name="Normal 237 2 2 2 3" xfId="9232" xr:uid="{00000000-0005-0000-0000-00004E260000}"/>
    <cellStyle name="Normal 237 2 2 2 3 2" xfId="12202" xr:uid="{00000000-0005-0000-0000-00004F260000}"/>
    <cellStyle name="Normal 237 2 2 2 3 3" xfId="14942" xr:uid="{00000000-0005-0000-0000-000050260000}"/>
    <cellStyle name="Normal 237 2 2 2 4" xfId="9352" xr:uid="{00000000-0005-0000-0000-000051260000}"/>
    <cellStyle name="Normal 237 2 2 2 4 2" xfId="15062" xr:uid="{00000000-0005-0000-0000-000052260000}"/>
    <cellStyle name="Normal 237 2 2 2 5" xfId="12200" xr:uid="{00000000-0005-0000-0000-000053260000}"/>
    <cellStyle name="Normal 237 2 2 2 6" xfId="14702" xr:uid="{00000000-0005-0000-0000-000054260000}"/>
    <cellStyle name="Normal 237 2 2 3" xfId="9051" xr:uid="{00000000-0005-0000-0000-000055260000}"/>
    <cellStyle name="Normal 237 2 2 3 2" xfId="12203" xr:uid="{00000000-0005-0000-0000-000056260000}"/>
    <cellStyle name="Normal 237 2 2 3 3" xfId="14764" xr:uid="{00000000-0005-0000-0000-000057260000}"/>
    <cellStyle name="Normal 237 2 2 4" xfId="9174" xr:uid="{00000000-0005-0000-0000-000058260000}"/>
    <cellStyle name="Normal 237 2 2 4 2" xfId="12204" xr:uid="{00000000-0005-0000-0000-000059260000}"/>
    <cellStyle name="Normal 237 2 2 4 3" xfId="14884" xr:uid="{00000000-0005-0000-0000-00005A260000}"/>
    <cellStyle name="Normal 237 2 2 5" xfId="9294" xr:uid="{00000000-0005-0000-0000-00005B260000}"/>
    <cellStyle name="Normal 237 2 2 5 2" xfId="15004" xr:uid="{00000000-0005-0000-0000-00005C260000}"/>
    <cellStyle name="Normal 237 2 2 6" xfId="12199" xr:uid="{00000000-0005-0000-0000-00005D260000}"/>
    <cellStyle name="Normal 237 2 2 7" xfId="14644" xr:uid="{00000000-0005-0000-0000-00005E260000}"/>
    <cellStyle name="Normal 237 2 3" xfId="8931" xr:uid="{00000000-0005-0000-0000-00005F260000}"/>
    <cellStyle name="Normal 237 2 3 2" xfId="8989" xr:uid="{00000000-0005-0000-0000-000060260000}"/>
    <cellStyle name="Normal 237 2 3 2 2" xfId="9110" xr:uid="{00000000-0005-0000-0000-000061260000}"/>
    <cellStyle name="Normal 237 2 3 2 2 2" xfId="12207" xr:uid="{00000000-0005-0000-0000-000062260000}"/>
    <cellStyle name="Normal 237 2 3 2 2 3" xfId="14823" xr:uid="{00000000-0005-0000-0000-000063260000}"/>
    <cellStyle name="Normal 237 2 3 2 3" xfId="9233" xr:uid="{00000000-0005-0000-0000-000064260000}"/>
    <cellStyle name="Normal 237 2 3 2 3 2" xfId="12208" xr:uid="{00000000-0005-0000-0000-000065260000}"/>
    <cellStyle name="Normal 237 2 3 2 3 3" xfId="14943" xr:uid="{00000000-0005-0000-0000-000066260000}"/>
    <cellStyle name="Normal 237 2 3 2 4" xfId="9353" xr:uid="{00000000-0005-0000-0000-000067260000}"/>
    <cellStyle name="Normal 237 2 3 2 4 2" xfId="15063" xr:uid="{00000000-0005-0000-0000-000068260000}"/>
    <cellStyle name="Normal 237 2 3 2 5" xfId="12206" xr:uid="{00000000-0005-0000-0000-000069260000}"/>
    <cellStyle name="Normal 237 2 3 2 6" xfId="14703" xr:uid="{00000000-0005-0000-0000-00006A260000}"/>
    <cellStyle name="Normal 237 2 3 3" xfId="9052" xr:uid="{00000000-0005-0000-0000-00006B260000}"/>
    <cellStyle name="Normal 237 2 3 3 2" xfId="12209" xr:uid="{00000000-0005-0000-0000-00006C260000}"/>
    <cellStyle name="Normal 237 2 3 3 3" xfId="14765" xr:uid="{00000000-0005-0000-0000-00006D260000}"/>
    <cellStyle name="Normal 237 2 3 4" xfId="9175" xr:uid="{00000000-0005-0000-0000-00006E260000}"/>
    <cellStyle name="Normal 237 2 3 4 2" xfId="12210" xr:uid="{00000000-0005-0000-0000-00006F260000}"/>
    <cellStyle name="Normal 237 2 3 4 3" xfId="14885" xr:uid="{00000000-0005-0000-0000-000070260000}"/>
    <cellStyle name="Normal 237 2 3 5" xfId="9295" xr:uid="{00000000-0005-0000-0000-000071260000}"/>
    <cellStyle name="Normal 237 2 3 5 2" xfId="15005" xr:uid="{00000000-0005-0000-0000-000072260000}"/>
    <cellStyle name="Normal 237 2 3 6" xfId="12205" xr:uid="{00000000-0005-0000-0000-000073260000}"/>
    <cellStyle name="Normal 237 2 3 7" xfId="14645" xr:uid="{00000000-0005-0000-0000-000074260000}"/>
    <cellStyle name="Normal 237 2 4" xfId="8932" xr:uid="{00000000-0005-0000-0000-000075260000}"/>
    <cellStyle name="Normal 237 2 4 2" xfId="8990" xr:uid="{00000000-0005-0000-0000-000076260000}"/>
    <cellStyle name="Normal 237 2 4 2 2" xfId="9111" xr:uid="{00000000-0005-0000-0000-000077260000}"/>
    <cellStyle name="Normal 237 2 4 2 2 2" xfId="12213" xr:uid="{00000000-0005-0000-0000-000078260000}"/>
    <cellStyle name="Normal 237 2 4 2 2 3" xfId="14824" xr:uid="{00000000-0005-0000-0000-000079260000}"/>
    <cellStyle name="Normal 237 2 4 2 3" xfId="9234" xr:uid="{00000000-0005-0000-0000-00007A260000}"/>
    <cellStyle name="Normal 237 2 4 2 3 2" xfId="12214" xr:uid="{00000000-0005-0000-0000-00007B260000}"/>
    <cellStyle name="Normal 237 2 4 2 3 3" xfId="14944" xr:uid="{00000000-0005-0000-0000-00007C260000}"/>
    <cellStyle name="Normal 237 2 4 2 4" xfId="9354" xr:uid="{00000000-0005-0000-0000-00007D260000}"/>
    <cellStyle name="Normal 237 2 4 2 4 2" xfId="15064" xr:uid="{00000000-0005-0000-0000-00007E260000}"/>
    <cellStyle name="Normal 237 2 4 2 5" xfId="12212" xr:uid="{00000000-0005-0000-0000-00007F260000}"/>
    <cellStyle name="Normal 237 2 4 2 6" xfId="14704" xr:uid="{00000000-0005-0000-0000-000080260000}"/>
    <cellStyle name="Normal 237 2 4 3" xfId="9053" xr:uid="{00000000-0005-0000-0000-000081260000}"/>
    <cellStyle name="Normal 237 2 4 3 2" xfId="12215" xr:uid="{00000000-0005-0000-0000-000082260000}"/>
    <cellStyle name="Normal 237 2 4 3 3" xfId="14766" xr:uid="{00000000-0005-0000-0000-000083260000}"/>
    <cellStyle name="Normal 237 2 4 4" xfId="9176" xr:uid="{00000000-0005-0000-0000-000084260000}"/>
    <cellStyle name="Normal 237 2 4 4 2" xfId="12216" xr:uid="{00000000-0005-0000-0000-000085260000}"/>
    <cellStyle name="Normal 237 2 4 4 3" xfId="14886" xr:uid="{00000000-0005-0000-0000-000086260000}"/>
    <cellStyle name="Normal 237 2 4 5" xfId="9296" xr:uid="{00000000-0005-0000-0000-000087260000}"/>
    <cellStyle name="Normal 237 2 4 5 2" xfId="15006" xr:uid="{00000000-0005-0000-0000-000088260000}"/>
    <cellStyle name="Normal 237 2 4 6" xfId="12211" xr:uid="{00000000-0005-0000-0000-000089260000}"/>
    <cellStyle name="Normal 237 2 4 7" xfId="14646" xr:uid="{00000000-0005-0000-0000-00008A260000}"/>
    <cellStyle name="Normal 237 2 5" xfId="8987" xr:uid="{00000000-0005-0000-0000-00008B260000}"/>
    <cellStyle name="Normal 237 2 5 2" xfId="9108" xr:uid="{00000000-0005-0000-0000-00008C260000}"/>
    <cellStyle name="Normal 237 2 5 2 2" xfId="12218" xr:uid="{00000000-0005-0000-0000-00008D260000}"/>
    <cellStyle name="Normal 237 2 5 2 3" xfId="14821" xr:uid="{00000000-0005-0000-0000-00008E260000}"/>
    <cellStyle name="Normal 237 2 5 3" xfId="9231" xr:uid="{00000000-0005-0000-0000-00008F260000}"/>
    <cellStyle name="Normal 237 2 5 3 2" xfId="12219" xr:uid="{00000000-0005-0000-0000-000090260000}"/>
    <cellStyle name="Normal 237 2 5 3 3" xfId="14941" xr:uid="{00000000-0005-0000-0000-000091260000}"/>
    <cellStyle name="Normal 237 2 5 4" xfId="9351" xr:uid="{00000000-0005-0000-0000-000092260000}"/>
    <cellStyle name="Normal 237 2 5 4 2" xfId="15061" xr:uid="{00000000-0005-0000-0000-000093260000}"/>
    <cellStyle name="Normal 237 2 5 5" xfId="12217" xr:uid="{00000000-0005-0000-0000-000094260000}"/>
    <cellStyle name="Normal 237 2 5 6" xfId="14701" xr:uid="{00000000-0005-0000-0000-000095260000}"/>
    <cellStyle name="Normal 237 2 6" xfId="9050" xr:uid="{00000000-0005-0000-0000-000096260000}"/>
    <cellStyle name="Normal 237 2 6 2" xfId="12220" xr:uid="{00000000-0005-0000-0000-000097260000}"/>
    <cellStyle name="Normal 237 2 6 3" xfId="14763" xr:uid="{00000000-0005-0000-0000-000098260000}"/>
    <cellStyle name="Normal 237 2 7" xfId="9173" xr:uid="{00000000-0005-0000-0000-000099260000}"/>
    <cellStyle name="Normal 237 2 7 2" xfId="12221" xr:uid="{00000000-0005-0000-0000-00009A260000}"/>
    <cellStyle name="Normal 237 2 7 3" xfId="14883" xr:uid="{00000000-0005-0000-0000-00009B260000}"/>
    <cellStyle name="Normal 237 2 8" xfId="9293" xr:uid="{00000000-0005-0000-0000-00009C260000}"/>
    <cellStyle name="Normal 237 2 8 2" xfId="15003" xr:uid="{00000000-0005-0000-0000-00009D260000}"/>
    <cellStyle name="Normal 237 2 9" xfId="12198" xr:uid="{00000000-0005-0000-0000-00009E260000}"/>
    <cellStyle name="Normal 237 3" xfId="8933" xr:uid="{00000000-0005-0000-0000-00009F260000}"/>
    <cellStyle name="Normal 237 3 10" xfId="14647" xr:uid="{00000000-0005-0000-0000-0000A0260000}"/>
    <cellStyle name="Normal 237 3 2" xfId="8934" xr:uid="{00000000-0005-0000-0000-0000A1260000}"/>
    <cellStyle name="Normal 237 3 2 2" xfId="8992" xr:uid="{00000000-0005-0000-0000-0000A2260000}"/>
    <cellStyle name="Normal 237 3 2 2 2" xfId="9113" xr:uid="{00000000-0005-0000-0000-0000A3260000}"/>
    <cellStyle name="Normal 237 3 2 2 2 2" xfId="12225" xr:uid="{00000000-0005-0000-0000-0000A4260000}"/>
    <cellStyle name="Normal 237 3 2 2 2 3" xfId="14826" xr:uid="{00000000-0005-0000-0000-0000A5260000}"/>
    <cellStyle name="Normal 237 3 2 2 3" xfId="9236" xr:uid="{00000000-0005-0000-0000-0000A6260000}"/>
    <cellStyle name="Normal 237 3 2 2 3 2" xfId="12226" xr:uid="{00000000-0005-0000-0000-0000A7260000}"/>
    <cellStyle name="Normal 237 3 2 2 3 3" xfId="14946" xr:uid="{00000000-0005-0000-0000-0000A8260000}"/>
    <cellStyle name="Normal 237 3 2 2 4" xfId="9356" xr:uid="{00000000-0005-0000-0000-0000A9260000}"/>
    <cellStyle name="Normal 237 3 2 2 4 2" xfId="15066" xr:uid="{00000000-0005-0000-0000-0000AA260000}"/>
    <cellStyle name="Normal 237 3 2 2 5" xfId="12224" xr:uid="{00000000-0005-0000-0000-0000AB260000}"/>
    <cellStyle name="Normal 237 3 2 2 6" xfId="14706" xr:uid="{00000000-0005-0000-0000-0000AC260000}"/>
    <cellStyle name="Normal 237 3 2 3" xfId="9055" xr:uid="{00000000-0005-0000-0000-0000AD260000}"/>
    <cellStyle name="Normal 237 3 2 3 2" xfId="12227" xr:uid="{00000000-0005-0000-0000-0000AE260000}"/>
    <cellStyle name="Normal 237 3 2 3 3" xfId="14768" xr:uid="{00000000-0005-0000-0000-0000AF260000}"/>
    <cellStyle name="Normal 237 3 2 4" xfId="9178" xr:uid="{00000000-0005-0000-0000-0000B0260000}"/>
    <cellStyle name="Normal 237 3 2 4 2" xfId="12228" xr:uid="{00000000-0005-0000-0000-0000B1260000}"/>
    <cellStyle name="Normal 237 3 2 4 3" xfId="14888" xr:uid="{00000000-0005-0000-0000-0000B2260000}"/>
    <cellStyle name="Normal 237 3 2 5" xfId="9298" xr:uid="{00000000-0005-0000-0000-0000B3260000}"/>
    <cellStyle name="Normal 237 3 2 5 2" xfId="15008" xr:uid="{00000000-0005-0000-0000-0000B4260000}"/>
    <cellStyle name="Normal 237 3 2 6" xfId="12223" xr:uid="{00000000-0005-0000-0000-0000B5260000}"/>
    <cellStyle name="Normal 237 3 2 7" xfId="14648" xr:uid="{00000000-0005-0000-0000-0000B6260000}"/>
    <cellStyle name="Normal 237 3 3" xfId="8935" xr:uid="{00000000-0005-0000-0000-0000B7260000}"/>
    <cellStyle name="Normal 237 3 3 2" xfId="8993" xr:uid="{00000000-0005-0000-0000-0000B8260000}"/>
    <cellStyle name="Normal 237 3 3 2 2" xfId="9114" xr:uid="{00000000-0005-0000-0000-0000B9260000}"/>
    <cellStyle name="Normal 237 3 3 2 2 2" xfId="12231" xr:uid="{00000000-0005-0000-0000-0000BA260000}"/>
    <cellStyle name="Normal 237 3 3 2 2 3" xfId="14827" xr:uid="{00000000-0005-0000-0000-0000BB260000}"/>
    <cellStyle name="Normal 237 3 3 2 3" xfId="9237" xr:uid="{00000000-0005-0000-0000-0000BC260000}"/>
    <cellStyle name="Normal 237 3 3 2 3 2" xfId="12232" xr:uid="{00000000-0005-0000-0000-0000BD260000}"/>
    <cellStyle name="Normal 237 3 3 2 3 3" xfId="14947" xr:uid="{00000000-0005-0000-0000-0000BE260000}"/>
    <cellStyle name="Normal 237 3 3 2 4" xfId="9357" xr:uid="{00000000-0005-0000-0000-0000BF260000}"/>
    <cellStyle name="Normal 237 3 3 2 4 2" xfId="15067" xr:uid="{00000000-0005-0000-0000-0000C0260000}"/>
    <cellStyle name="Normal 237 3 3 2 5" xfId="12230" xr:uid="{00000000-0005-0000-0000-0000C1260000}"/>
    <cellStyle name="Normal 237 3 3 2 6" xfId="14707" xr:uid="{00000000-0005-0000-0000-0000C2260000}"/>
    <cellStyle name="Normal 237 3 3 3" xfId="9056" xr:uid="{00000000-0005-0000-0000-0000C3260000}"/>
    <cellStyle name="Normal 237 3 3 3 2" xfId="12233" xr:uid="{00000000-0005-0000-0000-0000C4260000}"/>
    <cellStyle name="Normal 237 3 3 3 3" xfId="14769" xr:uid="{00000000-0005-0000-0000-0000C5260000}"/>
    <cellStyle name="Normal 237 3 3 4" xfId="9179" xr:uid="{00000000-0005-0000-0000-0000C6260000}"/>
    <cellStyle name="Normal 237 3 3 4 2" xfId="12234" xr:uid="{00000000-0005-0000-0000-0000C7260000}"/>
    <cellStyle name="Normal 237 3 3 4 3" xfId="14889" xr:uid="{00000000-0005-0000-0000-0000C8260000}"/>
    <cellStyle name="Normal 237 3 3 5" xfId="9299" xr:uid="{00000000-0005-0000-0000-0000C9260000}"/>
    <cellStyle name="Normal 237 3 3 5 2" xfId="15009" xr:uid="{00000000-0005-0000-0000-0000CA260000}"/>
    <cellStyle name="Normal 237 3 3 6" xfId="12229" xr:uid="{00000000-0005-0000-0000-0000CB260000}"/>
    <cellStyle name="Normal 237 3 3 7" xfId="14649" xr:uid="{00000000-0005-0000-0000-0000CC260000}"/>
    <cellStyle name="Normal 237 3 4" xfId="8936" xr:uid="{00000000-0005-0000-0000-0000CD260000}"/>
    <cellStyle name="Normal 237 3 4 2" xfId="8994" xr:uid="{00000000-0005-0000-0000-0000CE260000}"/>
    <cellStyle name="Normal 237 3 4 2 2" xfId="9115" xr:uid="{00000000-0005-0000-0000-0000CF260000}"/>
    <cellStyle name="Normal 237 3 4 2 2 2" xfId="12237" xr:uid="{00000000-0005-0000-0000-0000D0260000}"/>
    <cellStyle name="Normal 237 3 4 2 2 3" xfId="14828" xr:uid="{00000000-0005-0000-0000-0000D1260000}"/>
    <cellStyle name="Normal 237 3 4 2 3" xfId="9238" xr:uid="{00000000-0005-0000-0000-0000D2260000}"/>
    <cellStyle name="Normal 237 3 4 2 3 2" xfId="12238" xr:uid="{00000000-0005-0000-0000-0000D3260000}"/>
    <cellStyle name="Normal 237 3 4 2 3 3" xfId="14948" xr:uid="{00000000-0005-0000-0000-0000D4260000}"/>
    <cellStyle name="Normal 237 3 4 2 4" xfId="9358" xr:uid="{00000000-0005-0000-0000-0000D5260000}"/>
    <cellStyle name="Normal 237 3 4 2 4 2" xfId="15068" xr:uid="{00000000-0005-0000-0000-0000D6260000}"/>
    <cellStyle name="Normal 237 3 4 2 5" xfId="12236" xr:uid="{00000000-0005-0000-0000-0000D7260000}"/>
    <cellStyle name="Normal 237 3 4 2 6" xfId="14708" xr:uid="{00000000-0005-0000-0000-0000D8260000}"/>
    <cellStyle name="Normal 237 3 4 3" xfId="9057" xr:uid="{00000000-0005-0000-0000-0000D9260000}"/>
    <cellStyle name="Normal 237 3 4 3 2" xfId="12239" xr:uid="{00000000-0005-0000-0000-0000DA260000}"/>
    <cellStyle name="Normal 237 3 4 3 3" xfId="14770" xr:uid="{00000000-0005-0000-0000-0000DB260000}"/>
    <cellStyle name="Normal 237 3 4 4" xfId="9180" xr:uid="{00000000-0005-0000-0000-0000DC260000}"/>
    <cellStyle name="Normal 237 3 4 4 2" xfId="12240" xr:uid="{00000000-0005-0000-0000-0000DD260000}"/>
    <cellStyle name="Normal 237 3 4 4 3" xfId="14890" xr:uid="{00000000-0005-0000-0000-0000DE260000}"/>
    <cellStyle name="Normal 237 3 4 5" xfId="9300" xr:uid="{00000000-0005-0000-0000-0000DF260000}"/>
    <cellStyle name="Normal 237 3 4 5 2" xfId="15010" xr:uid="{00000000-0005-0000-0000-0000E0260000}"/>
    <cellStyle name="Normal 237 3 4 6" xfId="12235" xr:uid="{00000000-0005-0000-0000-0000E1260000}"/>
    <cellStyle name="Normal 237 3 4 7" xfId="14650" xr:uid="{00000000-0005-0000-0000-0000E2260000}"/>
    <cellStyle name="Normal 237 3 5" xfId="8991" xr:uid="{00000000-0005-0000-0000-0000E3260000}"/>
    <cellStyle name="Normal 237 3 5 2" xfId="9112" xr:uid="{00000000-0005-0000-0000-0000E4260000}"/>
    <cellStyle name="Normal 237 3 5 2 2" xfId="12242" xr:uid="{00000000-0005-0000-0000-0000E5260000}"/>
    <cellStyle name="Normal 237 3 5 2 3" xfId="14825" xr:uid="{00000000-0005-0000-0000-0000E6260000}"/>
    <cellStyle name="Normal 237 3 5 3" xfId="9235" xr:uid="{00000000-0005-0000-0000-0000E7260000}"/>
    <cellStyle name="Normal 237 3 5 3 2" xfId="12243" xr:uid="{00000000-0005-0000-0000-0000E8260000}"/>
    <cellStyle name="Normal 237 3 5 3 3" xfId="14945" xr:uid="{00000000-0005-0000-0000-0000E9260000}"/>
    <cellStyle name="Normal 237 3 5 4" xfId="9355" xr:uid="{00000000-0005-0000-0000-0000EA260000}"/>
    <cellStyle name="Normal 237 3 5 4 2" xfId="15065" xr:uid="{00000000-0005-0000-0000-0000EB260000}"/>
    <cellStyle name="Normal 237 3 5 5" xfId="12241" xr:uid="{00000000-0005-0000-0000-0000EC260000}"/>
    <cellStyle name="Normal 237 3 5 6" xfId="14705" xr:uid="{00000000-0005-0000-0000-0000ED260000}"/>
    <cellStyle name="Normal 237 3 6" xfId="9054" xr:uid="{00000000-0005-0000-0000-0000EE260000}"/>
    <cellStyle name="Normal 237 3 6 2" xfId="12244" xr:uid="{00000000-0005-0000-0000-0000EF260000}"/>
    <cellStyle name="Normal 237 3 6 3" xfId="14767" xr:uid="{00000000-0005-0000-0000-0000F0260000}"/>
    <cellStyle name="Normal 237 3 7" xfId="9177" xr:uid="{00000000-0005-0000-0000-0000F1260000}"/>
    <cellStyle name="Normal 237 3 7 2" xfId="12245" xr:uid="{00000000-0005-0000-0000-0000F2260000}"/>
    <cellStyle name="Normal 237 3 7 3" xfId="14887" xr:uid="{00000000-0005-0000-0000-0000F3260000}"/>
    <cellStyle name="Normal 237 3 8" xfId="9297" xr:uid="{00000000-0005-0000-0000-0000F4260000}"/>
    <cellStyle name="Normal 237 3 8 2" xfId="15007" xr:uid="{00000000-0005-0000-0000-0000F5260000}"/>
    <cellStyle name="Normal 237 3 9" xfId="12222" xr:uid="{00000000-0005-0000-0000-0000F6260000}"/>
    <cellStyle name="Normal 237 4" xfId="8937" xr:uid="{00000000-0005-0000-0000-0000F7260000}"/>
    <cellStyle name="Normal 237 4 2" xfId="8938" xr:uid="{00000000-0005-0000-0000-0000F8260000}"/>
    <cellStyle name="Normal 237 4 2 2" xfId="8996" xr:uid="{00000000-0005-0000-0000-0000F9260000}"/>
    <cellStyle name="Normal 237 4 2 2 2" xfId="9117" xr:uid="{00000000-0005-0000-0000-0000FA260000}"/>
    <cellStyle name="Normal 237 4 2 2 2 2" xfId="12249" xr:uid="{00000000-0005-0000-0000-0000FB260000}"/>
    <cellStyle name="Normal 237 4 2 2 2 3" xfId="14830" xr:uid="{00000000-0005-0000-0000-0000FC260000}"/>
    <cellStyle name="Normal 237 4 2 2 3" xfId="9240" xr:uid="{00000000-0005-0000-0000-0000FD260000}"/>
    <cellStyle name="Normal 237 4 2 2 3 2" xfId="12250" xr:uid="{00000000-0005-0000-0000-0000FE260000}"/>
    <cellStyle name="Normal 237 4 2 2 3 3" xfId="14950" xr:uid="{00000000-0005-0000-0000-0000FF260000}"/>
    <cellStyle name="Normal 237 4 2 2 4" xfId="9360" xr:uid="{00000000-0005-0000-0000-000000270000}"/>
    <cellStyle name="Normal 237 4 2 2 4 2" xfId="15070" xr:uid="{00000000-0005-0000-0000-000001270000}"/>
    <cellStyle name="Normal 237 4 2 2 5" xfId="12248" xr:uid="{00000000-0005-0000-0000-000002270000}"/>
    <cellStyle name="Normal 237 4 2 2 6" xfId="14710" xr:uid="{00000000-0005-0000-0000-000003270000}"/>
    <cellStyle name="Normal 237 4 2 3" xfId="9059" xr:uid="{00000000-0005-0000-0000-000004270000}"/>
    <cellStyle name="Normal 237 4 2 3 2" xfId="12251" xr:uid="{00000000-0005-0000-0000-000005270000}"/>
    <cellStyle name="Normal 237 4 2 3 3" xfId="14772" xr:uid="{00000000-0005-0000-0000-000006270000}"/>
    <cellStyle name="Normal 237 4 2 4" xfId="9182" xr:uid="{00000000-0005-0000-0000-000007270000}"/>
    <cellStyle name="Normal 237 4 2 4 2" xfId="12252" xr:uid="{00000000-0005-0000-0000-000008270000}"/>
    <cellStyle name="Normal 237 4 2 4 3" xfId="14892" xr:uid="{00000000-0005-0000-0000-000009270000}"/>
    <cellStyle name="Normal 237 4 2 5" xfId="9302" xr:uid="{00000000-0005-0000-0000-00000A270000}"/>
    <cellStyle name="Normal 237 4 2 5 2" xfId="15012" xr:uid="{00000000-0005-0000-0000-00000B270000}"/>
    <cellStyle name="Normal 237 4 2 6" xfId="12247" xr:uid="{00000000-0005-0000-0000-00000C270000}"/>
    <cellStyle name="Normal 237 4 2 7" xfId="14652" xr:uid="{00000000-0005-0000-0000-00000D270000}"/>
    <cellStyle name="Normal 237 4 3" xfId="8939" xr:uid="{00000000-0005-0000-0000-00000E270000}"/>
    <cellStyle name="Normal 237 4 3 2" xfId="8997" xr:uid="{00000000-0005-0000-0000-00000F270000}"/>
    <cellStyle name="Normal 237 4 3 2 2" xfId="9118" xr:uid="{00000000-0005-0000-0000-000010270000}"/>
    <cellStyle name="Normal 237 4 3 2 2 2" xfId="12255" xr:uid="{00000000-0005-0000-0000-000011270000}"/>
    <cellStyle name="Normal 237 4 3 2 2 3" xfId="14831" xr:uid="{00000000-0005-0000-0000-000012270000}"/>
    <cellStyle name="Normal 237 4 3 2 3" xfId="9241" xr:uid="{00000000-0005-0000-0000-000013270000}"/>
    <cellStyle name="Normal 237 4 3 2 3 2" xfId="12256" xr:uid="{00000000-0005-0000-0000-000014270000}"/>
    <cellStyle name="Normal 237 4 3 2 3 3" xfId="14951" xr:uid="{00000000-0005-0000-0000-000015270000}"/>
    <cellStyle name="Normal 237 4 3 2 4" xfId="9361" xr:uid="{00000000-0005-0000-0000-000016270000}"/>
    <cellStyle name="Normal 237 4 3 2 4 2" xfId="15071" xr:uid="{00000000-0005-0000-0000-000017270000}"/>
    <cellStyle name="Normal 237 4 3 2 5" xfId="12254" xr:uid="{00000000-0005-0000-0000-000018270000}"/>
    <cellStyle name="Normal 237 4 3 2 6" xfId="14711" xr:uid="{00000000-0005-0000-0000-000019270000}"/>
    <cellStyle name="Normal 237 4 3 3" xfId="9060" xr:uid="{00000000-0005-0000-0000-00001A270000}"/>
    <cellStyle name="Normal 237 4 3 3 2" xfId="12257" xr:uid="{00000000-0005-0000-0000-00001B270000}"/>
    <cellStyle name="Normal 237 4 3 3 3" xfId="14773" xr:uid="{00000000-0005-0000-0000-00001C270000}"/>
    <cellStyle name="Normal 237 4 3 4" xfId="9183" xr:uid="{00000000-0005-0000-0000-00001D270000}"/>
    <cellStyle name="Normal 237 4 3 4 2" xfId="12258" xr:uid="{00000000-0005-0000-0000-00001E270000}"/>
    <cellStyle name="Normal 237 4 3 4 3" xfId="14893" xr:uid="{00000000-0005-0000-0000-00001F270000}"/>
    <cellStyle name="Normal 237 4 3 5" xfId="9303" xr:uid="{00000000-0005-0000-0000-000020270000}"/>
    <cellStyle name="Normal 237 4 3 5 2" xfId="15013" xr:uid="{00000000-0005-0000-0000-000021270000}"/>
    <cellStyle name="Normal 237 4 3 6" xfId="12253" xr:uid="{00000000-0005-0000-0000-000022270000}"/>
    <cellStyle name="Normal 237 4 3 7" xfId="14653" xr:uid="{00000000-0005-0000-0000-000023270000}"/>
    <cellStyle name="Normal 237 4 4" xfId="8995" xr:uid="{00000000-0005-0000-0000-000024270000}"/>
    <cellStyle name="Normal 237 4 4 2" xfId="9116" xr:uid="{00000000-0005-0000-0000-000025270000}"/>
    <cellStyle name="Normal 237 4 4 2 2" xfId="12260" xr:uid="{00000000-0005-0000-0000-000026270000}"/>
    <cellStyle name="Normal 237 4 4 2 3" xfId="14829" xr:uid="{00000000-0005-0000-0000-000027270000}"/>
    <cellStyle name="Normal 237 4 4 3" xfId="9239" xr:uid="{00000000-0005-0000-0000-000028270000}"/>
    <cellStyle name="Normal 237 4 4 3 2" xfId="12261" xr:uid="{00000000-0005-0000-0000-000029270000}"/>
    <cellStyle name="Normal 237 4 4 3 3" xfId="14949" xr:uid="{00000000-0005-0000-0000-00002A270000}"/>
    <cellStyle name="Normal 237 4 4 4" xfId="9359" xr:uid="{00000000-0005-0000-0000-00002B270000}"/>
    <cellStyle name="Normal 237 4 4 4 2" xfId="15069" xr:uid="{00000000-0005-0000-0000-00002C270000}"/>
    <cellStyle name="Normal 237 4 4 5" xfId="12259" xr:uid="{00000000-0005-0000-0000-00002D270000}"/>
    <cellStyle name="Normal 237 4 4 6" xfId="14709" xr:uid="{00000000-0005-0000-0000-00002E270000}"/>
    <cellStyle name="Normal 237 4 5" xfId="9058" xr:uid="{00000000-0005-0000-0000-00002F270000}"/>
    <cellStyle name="Normal 237 4 5 2" xfId="12262" xr:uid="{00000000-0005-0000-0000-000030270000}"/>
    <cellStyle name="Normal 237 4 5 3" xfId="14771" xr:uid="{00000000-0005-0000-0000-000031270000}"/>
    <cellStyle name="Normal 237 4 6" xfId="9181" xr:uid="{00000000-0005-0000-0000-000032270000}"/>
    <cellStyle name="Normal 237 4 6 2" xfId="12263" xr:uid="{00000000-0005-0000-0000-000033270000}"/>
    <cellStyle name="Normal 237 4 6 3" xfId="14891" xr:uid="{00000000-0005-0000-0000-000034270000}"/>
    <cellStyle name="Normal 237 4 7" xfId="9301" xr:uid="{00000000-0005-0000-0000-000035270000}"/>
    <cellStyle name="Normal 237 4 7 2" xfId="15011" xr:uid="{00000000-0005-0000-0000-000036270000}"/>
    <cellStyle name="Normal 237 4 8" xfId="12246" xr:uid="{00000000-0005-0000-0000-000037270000}"/>
    <cellStyle name="Normal 237 4 9" xfId="14651" xr:uid="{00000000-0005-0000-0000-000038270000}"/>
    <cellStyle name="Normal 237 5" xfId="8940" xr:uid="{00000000-0005-0000-0000-000039270000}"/>
    <cellStyle name="Normal 237 5 2" xfId="8998" xr:uid="{00000000-0005-0000-0000-00003A270000}"/>
    <cellStyle name="Normal 237 5 2 2" xfId="9119" xr:uid="{00000000-0005-0000-0000-00003B270000}"/>
    <cellStyle name="Normal 237 5 2 2 2" xfId="12266" xr:uid="{00000000-0005-0000-0000-00003C270000}"/>
    <cellStyle name="Normal 237 5 2 2 3" xfId="14832" xr:uid="{00000000-0005-0000-0000-00003D270000}"/>
    <cellStyle name="Normal 237 5 2 3" xfId="9242" xr:uid="{00000000-0005-0000-0000-00003E270000}"/>
    <cellStyle name="Normal 237 5 2 3 2" xfId="12267" xr:uid="{00000000-0005-0000-0000-00003F270000}"/>
    <cellStyle name="Normal 237 5 2 3 3" xfId="14952" xr:uid="{00000000-0005-0000-0000-000040270000}"/>
    <cellStyle name="Normal 237 5 2 4" xfId="9362" xr:uid="{00000000-0005-0000-0000-000041270000}"/>
    <cellStyle name="Normal 237 5 2 4 2" xfId="15072" xr:uid="{00000000-0005-0000-0000-000042270000}"/>
    <cellStyle name="Normal 237 5 2 5" xfId="12265" xr:uid="{00000000-0005-0000-0000-000043270000}"/>
    <cellStyle name="Normal 237 5 2 6" xfId="14712" xr:uid="{00000000-0005-0000-0000-000044270000}"/>
    <cellStyle name="Normal 237 5 3" xfId="9061" xr:uid="{00000000-0005-0000-0000-000045270000}"/>
    <cellStyle name="Normal 237 5 3 2" xfId="12268" xr:uid="{00000000-0005-0000-0000-000046270000}"/>
    <cellStyle name="Normal 237 5 3 3" xfId="14774" xr:uid="{00000000-0005-0000-0000-000047270000}"/>
    <cellStyle name="Normal 237 5 4" xfId="9184" xr:uid="{00000000-0005-0000-0000-000048270000}"/>
    <cellStyle name="Normal 237 5 4 2" xfId="12269" xr:uid="{00000000-0005-0000-0000-000049270000}"/>
    <cellStyle name="Normal 237 5 4 3" xfId="14894" xr:uid="{00000000-0005-0000-0000-00004A270000}"/>
    <cellStyle name="Normal 237 5 5" xfId="9304" xr:uid="{00000000-0005-0000-0000-00004B270000}"/>
    <cellStyle name="Normal 237 5 5 2" xfId="15014" xr:uid="{00000000-0005-0000-0000-00004C270000}"/>
    <cellStyle name="Normal 237 5 6" xfId="12264" xr:uid="{00000000-0005-0000-0000-00004D270000}"/>
    <cellStyle name="Normal 237 5 7" xfId="14654" xr:uid="{00000000-0005-0000-0000-00004E270000}"/>
    <cellStyle name="Normal 237 6" xfId="8941" xr:uid="{00000000-0005-0000-0000-00004F270000}"/>
    <cellStyle name="Normal 237 6 2" xfId="8999" xr:uid="{00000000-0005-0000-0000-000050270000}"/>
    <cellStyle name="Normal 237 6 2 2" xfId="9120" xr:uid="{00000000-0005-0000-0000-000051270000}"/>
    <cellStyle name="Normal 237 6 2 2 2" xfId="12272" xr:uid="{00000000-0005-0000-0000-000052270000}"/>
    <cellStyle name="Normal 237 6 2 2 3" xfId="14833" xr:uid="{00000000-0005-0000-0000-000053270000}"/>
    <cellStyle name="Normal 237 6 2 3" xfId="9243" xr:uid="{00000000-0005-0000-0000-000054270000}"/>
    <cellStyle name="Normal 237 6 2 3 2" xfId="12273" xr:uid="{00000000-0005-0000-0000-000055270000}"/>
    <cellStyle name="Normal 237 6 2 3 3" xfId="14953" xr:uid="{00000000-0005-0000-0000-000056270000}"/>
    <cellStyle name="Normal 237 6 2 4" xfId="9363" xr:uid="{00000000-0005-0000-0000-000057270000}"/>
    <cellStyle name="Normal 237 6 2 4 2" xfId="15073" xr:uid="{00000000-0005-0000-0000-000058270000}"/>
    <cellStyle name="Normal 237 6 2 5" xfId="12271" xr:uid="{00000000-0005-0000-0000-000059270000}"/>
    <cellStyle name="Normal 237 6 2 6" xfId="14713" xr:uid="{00000000-0005-0000-0000-00005A270000}"/>
    <cellStyle name="Normal 237 6 3" xfId="9062" xr:uid="{00000000-0005-0000-0000-00005B270000}"/>
    <cellStyle name="Normal 237 6 3 2" xfId="12274" xr:uid="{00000000-0005-0000-0000-00005C270000}"/>
    <cellStyle name="Normal 237 6 3 3" xfId="14775" xr:uid="{00000000-0005-0000-0000-00005D270000}"/>
    <cellStyle name="Normal 237 6 4" xfId="9185" xr:uid="{00000000-0005-0000-0000-00005E270000}"/>
    <cellStyle name="Normal 237 6 4 2" xfId="12275" xr:uid="{00000000-0005-0000-0000-00005F270000}"/>
    <cellStyle name="Normal 237 6 4 3" xfId="14895" xr:uid="{00000000-0005-0000-0000-000060270000}"/>
    <cellStyle name="Normal 237 6 5" xfId="9305" xr:uid="{00000000-0005-0000-0000-000061270000}"/>
    <cellStyle name="Normal 237 6 5 2" xfId="15015" xr:uid="{00000000-0005-0000-0000-000062270000}"/>
    <cellStyle name="Normal 237 6 6" xfId="12270" xr:uid="{00000000-0005-0000-0000-000063270000}"/>
    <cellStyle name="Normal 237 6 7" xfId="14655" xr:uid="{00000000-0005-0000-0000-000064270000}"/>
    <cellStyle name="Normal 237 7" xfId="8942" xr:uid="{00000000-0005-0000-0000-000065270000}"/>
    <cellStyle name="Normal 237 7 2" xfId="9000" xr:uid="{00000000-0005-0000-0000-000066270000}"/>
    <cellStyle name="Normal 237 7 2 2" xfId="9121" xr:uid="{00000000-0005-0000-0000-000067270000}"/>
    <cellStyle name="Normal 237 7 2 2 2" xfId="12278" xr:uid="{00000000-0005-0000-0000-000068270000}"/>
    <cellStyle name="Normal 237 7 2 2 3" xfId="14834" xr:uid="{00000000-0005-0000-0000-000069270000}"/>
    <cellStyle name="Normal 237 7 2 3" xfId="9244" xr:uid="{00000000-0005-0000-0000-00006A270000}"/>
    <cellStyle name="Normal 237 7 2 3 2" xfId="12279" xr:uid="{00000000-0005-0000-0000-00006B270000}"/>
    <cellStyle name="Normal 237 7 2 3 3" xfId="14954" xr:uid="{00000000-0005-0000-0000-00006C270000}"/>
    <cellStyle name="Normal 237 7 2 4" xfId="9364" xr:uid="{00000000-0005-0000-0000-00006D270000}"/>
    <cellStyle name="Normal 237 7 2 4 2" xfId="15074" xr:uid="{00000000-0005-0000-0000-00006E270000}"/>
    <cellStyle name="Normal 237 7 2 5" xfId="12277" xr:uid="{00000000-0005-0000-0000-00006F270000}"/>
    <cellStyle name="Normal 237 7 2 6" xfId="14714" xr:uid="{00000000-0005-0000-0000-000070270000}"/>
    <cellStyle name="Normal 237 7 3" xfId="9063" xr:uid="{00000000-0005-0000-0000-000071270000}"/>
    <cellStyle name="Normal 237 7 3 2" xfId="12280" xr:uid="{00000000-0005-0000-0000-000072270000}"/>
    <cellStyle name="Normal 237 7 3 3" xfId="14776" xr:uid="{00000000-0005-0000-0000-000073270000}"/>
    <cellStyle name="Normal 237 7 4" xfId="9186" xr:uid="{00000000-0005-0000-0000-000074270000}"/>
    <cellStyle name="Normal 237 7 4 2" xfId="12281" xr:uid="{00000000-0005-0000-0000-000075270000}"/>
    <cellStyle name="Normal 237 7 4 3" xfId="14896" xr:uid="{00000000-0005-0000-0000-000076270000}"/>
    <cellStyle name="Normal 237 7 5" xfId="9306" xr:uid="{00000000-0005-0000-0000-000077270000}"/>
    <cellStyle name="Normal 237 7 5 2" xfId="15016" xr:uid="{00000000-0005-0000-0000-000078270000}"/>
    <cellStyle name="Normal 237 7 6" xfId="12276" xr:uid="{00000000-0005-0000-0000-000079270000}"/>
    <cellStyle name="Normal 237 7 7" xfId="14656" xr:uid="{00000000-0005-0000-0000-00007A270000}"/>
    <cellStyle name="Normal 237 8" xfId="8986" xr:uid="{00000000-0005-0000-0000-00007B270000}"/>
    <cellStyle name="Normal 237 8 2" xfId="9107" xr:uid="{00000000-0005-0000-0000-00007C270000}"/>
    <cellStyle name="Normal 237 8 2 2" xfId="12283" xr:uid="{00000000-0005-0000-0000-00007D270000}"/>
    <cellStyle name="Normal 237 8 2 3" xfId="14820" xr:uid="{00000000-0005-0000-0000-00007E270000}"/>
    <cellStyle name="Normal 237 8 3" xfId="9230" xr:uid="{00000000-0005-0000-0000-00007F270000}"/>
    <cellStyle name="Normal 237 8 3 2" xfId="12284" xr:uid="{00000000-0005-0000-0000-000080270000}"/>
    <cellStyle name="Normal 237 8 3 3" xfId="14940" xr:uid="{00000000-0005-0000-0000-000081270000}"/>
    <cellStyle name="Normal 237 8 4" xfId="9350" xr:uid="{00000000-0005-0000-0000-000082270000}"/>
    <cellStyle name="Normal 237 8 4 2" xfId="15060" xr:uid="{00000000-0005-0000-0000-000083270000}"/>
    <cellStyle name="Normal 237 8 5" xfId="12282" xr:uid="{00000000-0005-0000-0000-000084270000}"/>
    <cellStyle name="Normal 237 8 6" xfId="14700" xr:uid="{00000000-0005-0000-0000-000085270000}"/>
    <cellStyle name="Normal 237 9" xfId="9033" xr:uid="{00000000-0005-0000-0000-000086270000}"/>
    <cellStyle name="Normal 237 9 2" xfId="12285" xr:uid="{00000000-0005-0000-0000-000087270000}"/>
    <cellStyle name="Normal 237 9 3" xfId="14746" xr:uid="{00000000-0005-0000-0000-000088270000}"/>
    <cellStyle name="Normal 238" xfId="8706" xr:uid="{00000000-0005-0000-0000-000089270000}"/>
    <cellStyle name="Normal 238 10" xfId="9157" xr:uid="{00000000-0005-0000-0000-00008A270000}"/>
    <cellStyle name="Normal 238 10 2" xfId="12287" xr:uid="{00000000-0005-0000-0000-00008B270000}"/>
    <cellStyle name="Normal 238 10 3" xfId="14867" xr:uid="{00000000-0005-0000-0000-00008C270000}"/>
    <cellStyle name="Normal 238 11" xfId="9277" xr:uid="{00000000-0005-0000-0000-00008D270000}"/>
    <cellStyle name="Normal 238 11 2" xfId="14987" xr:uid="{00000000-0005-0000-0000-00008E270000}"/>
    <cellStyle name="Normal 238 12" xfId="12286" xr:uid="{00000000-0005-0000-0000-00008F270000}"/>
    <cellStyle name="Normal 238 13" xfId="14627" xr:uid="{00000000-0005-0000-0000-000090270000}"/>
    <cellStyle name="Normal 238 2" xfId="8943" xr:uid="{00000000-0005-0000-0000-000091270000}"/>
    <cellStyle name="Normal 238 2 10" xfId="14657" xr:uid="{00000000-0005-0000-0000-000092270000}"/>
    <cellStyle name="Normal 238 2 2" xfId="8944" xr:uid="{00000000-0005-0000-0000-000093270000}"/>
    <cellStyle name="Normal 238 2 2 2" xfId="9003" xr:uid="{00000000-0005-0000-0000-000094270000}"/>
    <cellStyle name="Normal 238 2 2 2 2" xfId="9124" xr:uid="{00000000-0005-0000-0000-000095270000}"/>
    <cellStyle name="Normal 238 2 2 2 2 2" xfId="12291" xr:uid="{00000000-0005-0000-0000-000096270000}"/>
    <cellStyle name="Normal 238 2 2 2 2 3" xfId="14837" xr:uid="{00000000-0005-0000-0000-000097270000}"/>
    <cellStyle name="Normal 238 2 2 2 3" xfId="9247" xr:uid="{00000000-0005-0000-0000-000098270000}"/>
    <cellStyle name="Normal 238 2 2 2 3 2" xfId="12292" xr:uid="{00000000-0005-0000-0000-000099270000}"/>
    <cellStyle name="Normal 238 2 2 2 3 3" xfId="14957" xr:uid="{00000000-0005-0000-0000-00009A270000}"/>
    <cellStyle name="Normal 238 2 2 2 4" xfId="9367" xr:uid="{00000000-0005-0000-0000-00009B270000}"/>
    <cellStyle name="Normal 238 2 2 2 4 2" xfId="15077" xr:uid="{00000000-0005-0000-0000-00009C270000}"/>
    <cellStyle name="Normal 238 2 2 2 5" xfId="12290" xr:uid="{00000000-0005-0000-0000-00009D270000}"/>
    <cellStyle name="Normal 238 2 2 2 6" xfId="14717" xr:uid="{00000000-0005-0000-0000-00009E270000}"/>
    <cellStyle name="Normal 238 2 2 3" xfId="9065" xr:uid="{00000000-0005-0000-0000-00009F270000}"/>
    <cellStyle name="Normal 238 2 2 3 2" xfId="12293" xr:uid="{00000000-0005-0000-0000-0000A0270000}"/>
    <cellStyle name="Normal 238 2 2 3 3" xfId="14778" xr:uid="{00000000-0005-0000-0000-0000A1270000}"/>
    <cellStyle name="Normal 238 2 2 4" xfId="9188" xr:uid="{00000000-0005-0000-0000-0000A2270000}"/>
    <cellStyle name="Normal 238 2 2 4 2" xfId="12294" xr:uid="{00000000-0005-0000-0000-0000A3270000}"/>
    <cellStyle name="Normal 238 2 2 4 3" xfId="14898" xr:uid="{00000000-0005-0000-0000-0000A4270000}"/>
    <cellStyle name="Normal 238 2 2 5" xfId="9308" xr:uid="{00000000-0005-0000-0000-0000A5270000}"/>
    <cellStyle name="Normal 238 2 2 5 2" xfId="15018" xr:uid="{00000000-0005-0000-0000-0000A6270000}"/>
    <cellStyle name="Normal 238 2 2 6" xfId="12289" xr:uid="{00000000-0005-0000-0000-0000A7270000}"/>
    <cellStyle name="Normal 238 2 2 7" xfId="14658" xr:uid="{00000000-0005-0000-0000-0000A8270000}"/>
    <cellStyle name="Normal 238 2 3" xfId="8945" xr:uid="{00000000-0005-0000-0000-0000A9270000}"/>
    <cellStyle name="Normal 238 2 3 2" xfId="9004" xr:uid="{00000000-0005-0000-0000-0000AA270000}"/>
    <cellStyle name="Normal 238 2 3 2 2" xfId="9125" xr:uid="{00000000-0005-0000-0000-0000AB270000}"/>
    <cellStyle name="Normal 238 2 3 2 2 2" xfId="12297" xr:uid="{00000000-0005-0000-0000-0000AC270000}"/>
    <cellStyle name="Normal 238 2 3 2 2 3" xfId="14838" xr:uid="{00000000-0005-0000-0000-0000AD270000}"/>
    <cellStyle name="Normal 238 2 3 2 3" xfId="9248" xr:uid="{00000000-0005-0000-0000-0000AE270000}"/>
    <cellStyle name="Normal 238 2 3 2 3 2" xfId="12298" xr:uid="{00000000-0005-0000-0000-0000AF270000}"/>
    <cellStyle name="Normal 238 2 3 2 3 3" xfId="14958" xr:uid="{00000000-0005-0000-0000-0000B0270000}"/>
    <cellStyle name="Normal 238 2 3 2 4" xfId="9368" xr:uid="{00000000-0005-0000-0000-0000B1270000}"/>
    <cellStyle name="Normal 238 2 3 2 4 2" xfId="15078" xr:uid="{00000000-0005-0000-0000-0000B2270000}"/>
    <cellStyle name="Normal 238 2 3 2 5" xfId="12296" xr:uid="{00000000-0005-0000-0000-0000B3270000}"/>
    <cellStyle name="Normal 238 2 3 2 6" xfId="14718" xr:uid="{00000000-0005-0000-0000-0000B4270000}"/>
    <cellStyle name="Normal 238 2 3 3" xfId="9066" xr:uid="{00000000-0005-0000-0000-0000B5270000}"/>
    <cellStyle name="Normal 238 2 3 3 2" xfId="12299" xr:uid="{00000000-0005-0000-0000-0000B6270000}"/>
    <cellStyle name="Normal 238 2 3 3 3" xfId="14779" xr:uid="{00000000-0005-0000-0000-0000B7270000}"/>
    <cellStyle name="Normal 238 2 3 4" xfId="9189" xr:uid="{00000000-0005-0000-0000-0000B8270000}"/>
    <cellStyle name="Normal 238 2 3 4 2" xfId="12300" xr:uid="{00000000-0005-0000-0000-0000B9270000}"/>
    <cellStyle name="Normal 238 2 3 4 3" xfId="14899" xr:uid="{00000000-0005-0000-0000-0000BA270000}"/>
    <cellStyle name="Normal 238 2 3 5" xfId="9309" xr:uid="{00000000-0005-0000-0000-0000BB270000}"/>
    <cellStyle name="Normal 238 2 3 5 2" xfId="15019" xr:uid="{00000000-0005-0000-0000-0000BC270000}"/>
    <cellStyle name="Normal 238 2 3 6" xfId="12295" xr:uid="{00000000-0005-0000-0000-0000BD270000}"/>
    <cellStyle name="Normal 238 2 3 7" xfId="14659" xr:uid="{00000000-0005-0000-0000-0000BE270000}"/>
    <cellStyle name="Normal 238 2 4" xfId="8946" xr:uid="{00000000-0005-0000-0000-0000BF270000}"/>
    <cellStyle name="Normal 238 2 4 2" xfId="9005" xr:uid="{00000000-0005-0000-0000-0000C0270000}"/>
    <cellStyle name="Normal 238 2 4 2 2" xfId="9126" xr:uid="{00000000-0005-0000-0000-0000C1270000}"/>
    <cellStyle name="Normal 238 2 4 2 2 2" xfId="12303" xr:uid="{00000000-0005-0000-0000-0000C2270000}"/>
    <cellStyle name="Normal 238 2 4 2 2 3" xfId="14839" xr:uid="{00000000-0005-0000-0000-0000C3270000}"/>
    <cellStyle name="Normal 238 2 4 2 3" xfId="9249" xr:uid="{00000000-0005-0000-0000-0000C4270000}"/>
    <cellStyle name="Normal 238 2 4 2 3 2" xfId="12304" xr:uid="{00000000-0005-0000-0000-0000C5270000}"/>
    <cellStyle name="Normal 238 2 4 2 3 3" xfId="14959" xr:uid="{00000000-0005-0000-0000-0000C6270000}"/>
    <cellStyle name="Normal 238 2 4 2 4" xfId="9369" xr:uid="{00000000-0005-0000-0000-0000C7270000}"/>
    <cellStyle name="Normal 238 2 4 2 4 2" xfId="15079" xr:uid="{00000000-0005-0000-0000-0000C8270000}"/>
    <cellStyle name="Normal 238 2 4 2 5" xfId="12302" xr:uid="{00000000-0005-0000-0000-0000C9270000}"/>
    <cellStyle name="Normal 238 2 4 2 6" xfId="14719" xr:uid="{00000000-0005-0000-0000-0000CA270000}"/>
    <cellStyle name="Normal 238 2 4 3" xfId="9067" xr:uid="{00000000-0005-0000-0000-0000CB270000}"/>
    <cellStyle name="Normal 238 2 4 3 2" xfId="12305" xr:uid="{00000000-0005-0000-0000-0000CC270000}"/>
    <cellStyle name="Normal 238 2 4 3 3" xfId="14780" xr:uid="{00000000-0005-0000-0000-0000CD270000}"/>
    <cellStyle name="Normal 238 2 4 4" xfId="9190" xr:uid="{00000000-0005-0000-0000-0000CE270000}"/>
    <cellStyle name="Normal 238 2 4 4 2" xfId="12306" xr:uid="{00000000-0005-0000-0000-0000CF270000}"/>
    <cellStyle name="Normal 238 2 4 4 3" xfId="14900" xr:uid="{00000000-0005-0000-0000-0000D0270000}"/>
    <cellStyle name="Normal 238 2 4 5" xfId="9310" xr:uid="{00000000-0005-0000-0000-0000D1270000}"/>
    <cellStyle name="Normal 238 2 4 5 2" xfId="15020" xr:uid="{00000000-0005-0000-0000-0000D2270000}"/>
    <cellStyle name="Normal 238 2 4 6" xfId="12301" xr:uid="{00000000-0005-0000-0000-0000D3270000}"/>
    <cellStyle name="Normal 238 2 4 7" xfId="14660" xr:uid="{00000000-0005-0000-0000-0000D4270000}"/>
    <cellStyle name="Normal 238 2 5" xfId="9002" xr:uid="{00000000-0005-0000-0000-0000D5270000}"/>
    <cellStyle name="Normal 238 2 5 2" xfId="9123" xr:uid="{00000000-0005-0000-0000-0000D6270000}"/>
    <cellStyle name="Normal 238 2 5 2 2" xfId="12308" xr:uid="{00000000-0005-0000-0000-0000D7270000}"/>
    <cellStyle name="Normal 238 2 5 2 3" xfId="14836" xr:uid="{00000000-0005-0000-0000-0000D8270000}"/>
    <cellStyle name="Normal 238 2 5 3" xfId="9246" xr:uid="{00000000-0005-0000-0000-0000D9270000}"/>
    <cellStyle name="Normal 238 2 5 3 2" xfId="12309" xr:uid="{00000000-0005-0000-0000-0000DA270000}"/>
    <cellStyle name="Normal 238 2 5 3 3" xfId="14956" xr:uid="{00000000-0005-0000-0000-0000DB270000}"/>
    <cellStyle name="Normal 238 2 5 4" xfId="9366" xr:uid="{00000000-0005-0000-0000-0000DC270000}"/>
    <cellStyle name="Normal 238 2 5 4 2" xfId="15076" xr:uid="{00000000-0005-0000-0000-0000DD270000}"/>
    <cellStyle name="Normal 238 2 5 5" xfId="12307" xr:uid="{00000000-0005-0000-0000-0000DE270000}"/>
    <cellStyle name="Normal 238 2 5 6" xfId="14716" xr:uid="{00000000-0005-0000-0000-0000DF270000}"/>
    <cellStyle name="Normal 238 2 6" xfId="9064" xr:uid="{00000000-0005-0000-0000-0000E0270000}"/>
    <cellStyle name="Normal 238 2 6 2" xfId="12310" xr:uid="{00000000-0005-0000-0000-0000E1270000}"/>
    <cellStyle name="Normal 238 2 6 3" xfId="14777" xr:uid="{00000000-0005-0000-0000-0000E2270000}"/>
    <cellStyle name="Normal 238 2 7" xfId="9187" xr:uid="{00000000-0005-0000-0000-0000E3270000}"/>
    <cellStyle name="Normal 238 2 7 2" xfId="12311" xr:uid="{00000000-0005-0000-0000-0000E4270000}"/>
    <cellStyle name="Normal 238 2 7 3" xfId="14897" xr:uid="{00000000-0005-0000-0000-0000E5270000}"/>
    <cellStyle name="Normal 238 2 8" xfId="9307" xr:uid="{00000000-0005-0000-0000-0000E6270000}"/>
    <cellStyle name="Normal 238 2 8 2" xfId="15017" xr:uid="{00000000-0005-0000-0000-0000E7270000}"/>
    <cellStyle name="Normal 238 2 9" xfId="12288" xr:uid="{00000000-0005-0000-0000-0000E8270000}"/>
    <cellStyle name="Normal 238 3" xfId="8947" xr:uid="{00000000-0005-0000-0000-0000E9270000}"/>
    <cellStyle name="Normal 238 3 10" xfId="14661" xr:uid="{00000000-0005-0000-0000-0000EA270000}"/>
    <cellStyle name="Normal 238 3 2" xfId="8948" xr:uid="{00000000-0005-0000-0000-0000EB270000}"/>
    <cellStyle name="Normal 238 3 2 2" xfId="9007" xr:uid="{00000000-0005-0000-0000-0000EC270000}"/>
    <cellStyle name="Normal 238 3 2 2 2" xfId="9128" xr:uid="{00000000-0005-0000-0000-0000ED270000}"/>
    <cellStyle name="Normal 238 3 2 2 2 2" xfId="12315" xr:uid="{00000000-0005-0000-0000-0000EE270000}"/>
    <cellStyle name="Normal 238 3 2 2 2 3" xfId="14841" xr:uid="{00000000-0005-0000-0000-0000EF270000}"/>
    <cellStyle name="Normal 238 3 2 2 3" xfId="9251" xr:uid="{00000000-0005-0000-0000-0000F0270000}"/>
    <cellStyle name="Normal 238 3 2 2 3 2" xfId="12316" xr:uid="{00000000-0005-0000-0000-0000F1270000}"/>
    <cellStyle name="Normal 238 3 2 2 3 3" xfId="14961" xr:uid="{00000000-0005-0000-0000-0000F2270000}"/>
    <cellStyle name="Normal 238 3 2 2 4" xfId="9371" xr:uid="{00000000-0005-0000-0000-0000F3270000}"/>
    <cellStyle name="Normal 238 3 2 2 4 2" xfId="15081" xr:uid="{00000000-0005-0000-0000-0000F4270000}"/>
    <cellStyle name="Normal 238 3 2 2 5" xfId="12314" xr:uid="{00000000-0005-0000-0000-0000F5270000}"/>
    <cellStyle name="Normal 238 3 2 2 6" xfId="14721" xr:uid="{00000000-0005-0000-0000-0000F6270000}"/>
    <cellStyle name="Normal 238 3 2 3" xfId="9069" xr:uid="{00000000-0005-0000-0000-0000F7270000}"/>
    <cellStyle name="Normal 238 3 2 3 2" xfId="12317" xr:uid="{00000000-0005-0000-0000-0000F8270000}"/>
    <cellStyle name="Normal 238 3 2 3 3" xfId="14782" xr:uid="{00000000-0005-0000-0000-0000F9270000}"/>
    <cellStyle name="Normal 238 3 2 4" xfId="9192" xr:uid="{00000000-0005-0000-0000-0000FA270000}"/>
    <cellStyle name="Normal 238 3 2 4 2" xfId="12318" xr:uid="{00000000-0005-0000-0000-0000FB270000}"/>
    <cellStyle name="Normal 238 3 2 4 3" xfId="14902" xr:uid="{00000000-0005-0000-0000-0000FC270000}"/>
    <cellStyle name="Normal 238 3 2 5" xfId="9312" xr:uid="{00000000-0005-0000-0000-0000FD270000}"/>
    <cellStyle name="Normal 238 3 2 5 2" xfId="15022" xr:uid="{00000000-0005-0000-0000-0000FE270000}"/>
    <cellStyle name="Normal 238 3 2 6" xfId="12313" xr:uid="{00000000-0005-0000-0000-0000FF270000}"/>
    <cellStyle name="Normal 238 3 2 7" xfId="14662" xr:uid="{00000000-0005-0000-0000-000000280000}"/>
    <cellStyle name="Normal 238 3 3" xfId="8949" xr:uid="{00000000-0005-0000-0000-000001280000}"/>
    <cellStyle name="Normal 238 3 3 2" xfId="9008" xr:uid="{00000000-0005-0000-0000-000002280000}"/>
    <cellStyle name="Normal 238 3 3 2 2" xfId="9129" xr:uid="{00000000-0005-0000-0000-000003280000}"/>
    <cellStyle name="Normal 238 3 3 2 2 2" xfId="12321" xr:uid="{00000000-0005-0000-0000-000004280000}"/>
    <cellStyle name="Normal 238 3 3 2 2 3" xfId="14842" xr:uid="{00000000-0005-0000-0000-000005280000}"/>
    <cellStyle name="Normal 238 3 3 2 3" xfId="9252" xr:uid="{00000000-0005-0000-0000-000006280000}"/>
    <cellStyle name="Normal 238 3 3 2 3 2" xfId="12322" xr:uid="{00000000-0005-0000-0000-000007280000}"/>
    <cellStyle name="Normal 238 3 3 2 3 3" xfId="14962" xr:uid="{00000000-0005-0000-0000-000008280000}"/>
    <cellStyle name="Normal 238 3 3 2 4" xfId="9372" xr:uid="{00000000-0005-0000-0000-000009280000}"/>
    <cellStyle name="Normal 238 3 3 2 4 2" xfId="15082" xr:uid="{00000000-0005-0000-0000-00000A280000}"/>
    <cellStyle name="Normal 238 3 3 2 5" xfId="12320" xr:uid="{00000000-0005-0000-0000-00000B280000}"/>
    <cellStyle name="Normal 238 3 3 2 6" xfId="14722" xr:uid="{00000000-0005-0000-0000-00000C280000}"/>
    <cellStyle name="Normal 238 3 3 3" xfId="9070" xr:uid="{00000000-0005-0000-0000-00000D280000}"/>
    <cellStyle name="Normal 238 3 3 3 2" xfId="12323" xr:uid="{00000000-0005-0000-0000-00000E280000}"/>
    <cellStyle name="Normal 238 3 3 3 3" xfId="14783" xr:uid="{00000000-0005-0000-0000-00000F280000}"/>
    <cellStyle name="Normal 238 3 3 4" xfId="9193" xr:uid="{00000000-0005-0000-0000-000010280000}"/>
    <cellStyle name="Normal 238 3 3 4 2" xfId="12324" xr:uid="{00000000-0005-0000-0000-000011280000}"/>
    <cellStyle name="Normal 238 3 3 4 3" xfId="14903" xr:uid="{00000000-0005-0000-0000-000012280000}"/>
    <cellStyle name="Normal 238 3 3 5" xfId="9313" xr:uid="{00000000-0005-0000-0000-000013280000}"/>
    <cellStyle name="Normal 238 3 3 5 2" xfId="15023" xr:uid="{00000000-0005-0000-0000-000014280000}"/>
    <cellStyle name="Normal 238 3 3 6" xfId="12319" xr:uid="{00000000-0005-0000-0000-000015280000}"/>
    <cellStyle name="Normal 238 3 3 7" xfId="14663" xr:uid="{00000000-0005-0000-0000-000016280000}"/>
    <cellStyle name="Normal 238 3 4" xfId="8950" xr:uid="{00000000-0005-0000-0000-000017280000}"/>
    <cellStyle name="Normal 238 3 4 2" xfId="9009" xr:uid="{00000000-0005-0000-0000-000018280000}"/>
    <cellStyle name="Normal 238 3 4 2 2" xfId="9130" xr:uid="{00000000-0005-0000-0000-000019280000}"/>
    <cellStyle name="Normal 238 3 4 2 2 2" xfId="12327" xr:uid="{00000000-0005-0000-0000-00001A280000}"/>
    <cellStyle name="Normal 238 3 4 2 2 3" xfId="14843" xr:uid="{00000000-0005-0000-0000-00001B280000}"/>
    <cellStyle name="Normal 238 3 4 2 3" xfId="9253" xr:uid="{00000000-0005-0000-0000-00001C280000}"/>
    <cellStyle name="Normal 238 3 4 2 3 2" xfId="12328" xr:uid="{00000000-0005-0000-0000-00001D280000}"/>
    <cellStyle name="Normal 238 3 4 2 3 3" xfId="14963" xr:uid="{00000000-0005-0000-0000-00001E280000}"/>
    <cellStyle name="Normal 238 3 4 2 4" xfId="9373" xr:uid="{00000000-0005-0000-0000-00001F280000}"/>
    <cellStyle name="Normal 238 3 4 2 4 2" xfId="15083" xr:uid="{00000000-0005-0000-0000-000020280000}"/>
    <cellStyle name="Normal 238 3 4 2 5" xfId="12326" xr:uid="{00000000-0005-0000-0000-000021280000}"/>
    <cellStyle name="Normal 238 3 4 2 6" xfId="14723" xr:uid="{00000000-0005-0000-0000-000022280000}"/>
    <cellStyle name="Normal 238 3 4 3" xfId="9071" xr:uid="{00000000-0005-0000-0000-000023280000}"/>
    <cellStyle name="Normal 238 3 4 3 2" xfId="12329" xr:uid="{00000000-0005-0000-0000-000024280000}"/>
    <cellStyle name="Normal 238 3 4 3 3" xfId="14784" xr:uid="{00000000-0005-0000-0000-000025280000}"/>
    <cellStyle name="Normal 238 3 4 4" xfId="9194" xr:uid="{00000000-0005-0000-0000-000026280000}"/>
    <cellStyle name="Normal 238 3 4 4 2" xfId="12330" xr:uid="{00000000-0005-0000-0000-000027280000}"/>
    <cellStyle name="Normal 238 3 4 4 3" xfId="14904" xr:uid="{00000000-0005-0000-0000-000028280000}"/>
    <cellStyle name="Normal 238 3 4 5" xfId="9314" xr:uid="{00000000-0005-0000-0000-000029280000}"/>
    <cellStyle name="Normal 238 3 4 5 2" xfId="15024" xr:uid="{00000000-0005-0000-0000-00002A280000}"/>
    <cellStyle name="Normal 238 3 4 6" xfId="12325" xr:uid="{00000000-0005-0000-0000-00002B280000}"/>
    <cellStyle name="Normal 238 3 4 7" xfId="14664" xr:uid="{00000000-0005-0000-0000-00002C280000}"/>
    <cellStyle name="Normal 238 3 5" xfId="9006" xr:uid="{00000000-0005-0000-0000-00002D280000}"/>
    <cellStyle name="Normal 238 3 5 2" xfId="9127" xr:uid="{00000000-0005-0000-0000-00002E280000}"/>
    <cellStyle name="Normal 238 3 5 2 2" xfId="12332" xr:uid="{00000000-0005-0000-0000-00002F280000}"/>
    <cellStyle name="Normal 238 3 5 2 3" xfId="14840" xr:uid="{00000000-0005-0000-0000-000030280000}"/>
    <cellStyle name="Normal 238 3 5 3" xfId="9250" xr:uid="{00000000-0005-0000-0000-000031280000}"/>
    <cellStyle name="Normal 238 3 5 3 2" xfId="12333" xr:uid="{00000000-0005-0000-0000-000032280000}"/>
    <cellStyle name="Normal 238 3 5 3 3" xfId="14960" xr:uid="{00000000-0005-0000-0000-000033280000}"/>
    <cellStyle name="Normal 238 3 5 4" xfId="9370" xr:uid="{00000000-0005-0000-0000-000034280000}"/>
    <cellStyle name="Normal 238 3 5 4 2" xfId="15080" xr:uid="{00000000-0005-0000-0000-000035280000}"/>
    <cellStyle name="Normal 238 3 5 5" xfId="12331" xr:uid="{00000000-0005-0000-0000-000036280000}"/>
    <cellStyle name="Normal 238 3 5 6" xfId="14720" xr:uid="{00000000-0005-0000-0000-000037280000}"/>
    <cellStyle name="Normal 238 3 6" xfId="9068" xr:uid="{00000000-0005-0000-0000-000038280000}"/>
    <cellStyle name="Normal 238 3 6 2" xfId="12334" xr:uid="{00000000-0005-0000-0000-000039280000}"/>
    <cellStyle name="Normal 238 3 6 3" xfId="14781" xr:uid="{00000000-0005-0000-0000-00003A280000}"/>
    <cellStyle name="Normal 238 3 7" xfId="9191" xr:uid="{00000000-0005-0000-0000-00003B280000}"/>
    <cellStyle name="Normal 238 3 7 2" xfId="12335" xr:uid="{00000000-0005-0000-0000-00003C280000}"/>
    <cellStyle name="Normal 238 3 7 3" xfId="14901" xr:uid="{00000000-0005-0000-0000-00003D280000}"/>
    <cellStyle name="Normal 238 3 8" xfId="9311" xr:uid="{00000000-0005-0000-0000-00003E280000}"/>
    <cellStyle name="Normal 238 3 8 2" xfId="15021" xr:uid="{00000000-0005-0000-0000-00003F280000}"/>
    <cellStyle name="Normal 238 3 9" xfId="12312" xr:uid="{00000000-0005-0000-0000-000040280000}"/>
    <cellStyle name="Normal 238 4" xfId="8951" xr:uid="{00000000-0005-0000-0000-000041280000}"/>
    <cellStyle name="Normal 238 4 2" xfId="8952" xr:uid="{00000000-0005-0000-0000-000042280000}"/>
    <cellStyle name="Normal 238 4 2 2" xfId="9011" xr:uid="{00000000-0005-0000-0000-000043280000}"/>
    <cellStyle name="Normal 238 4 2 2 2" xfId="9132" xr:uid="{00000000-0005-0000-0000-000044280000}"/>
    <cellStyle name="Normal 238 4 2 2 2 2" xfId="12339" xr:uid="{00000000-0005-0000-0000-000045280000}"/>
    <cellStyle name="Normal 238 4 2 2 2 3" xfId="14845" xr:uid="{00000000-0005-0000-0000-000046280000}"/>
    <cellStyle name="Normal 238 4 2 2 3" xfId="9255" xr:uid="{00000000-0005-0000-0000-000047280000}"/>
    <cellStyle name="Normal 238 4 2 2 3 2" xfId="12340" xr:uid="{00000000-0005-0000-0000-000048280000}"/>
    <cellStyle name="Normal 238 4 2 2 3 3" xfId="14965" xr:uid="{00000000-0005-0000-0000-000049280000}"/>
    <cellStyle name="Normal 238 4 2 2 4" xfId="9375" xr:uid="{00000000-0005-0000-0000-00004A280000}"/>
    <cellStyle name="Normal 238 4 2 2 4 2" xfId="15085" xr:uid="{00000000-0005-0000-0000-00004B280000}"/>
    <cellStyle name="Normal 238 4 2 2 5" xfId="12338" xr:uid="{00000000-0005-0000-0000-00004C280000}"/>
    <cellStyle name="Normal 238 4 2 2 6" xfId="14725" xr:uid="{00000000-0005-0000-0000-00004D280000}"/>
    <cellStyle name="Normal 238 4 2 3" xfId="9073" xr:uid="{00000000-0005-0000-0000-00004E280000}"/>
    <cellStyle name="Normal 238 4 2 3 2" xfId="12341" xr:uid="{00000000-0005-0000-0000-00004F280000}"/>
    <cellStyle name="Normal 238 4 2 3 3" xfId="14786" xr:uid="{00000000-0005-0000-0000-000050280000}"/>
    <cellStyle name="Normal 238 4 2 4" xfId="9196" xr:uid="{00000000-0005-0000-0000-000051280000}"/>
    <cellStyle name="Normal 238 4 2 4 2" xfId="12342" xr:uid="{00000000-0005-0000-0000-000052280000}"/>
    <cellStyle name="Normal 238 4 2 4 3" xfId="14906" xr:uid="{00000000-0005-0000-0000-000053280000}"/>
    <cellStyle name="Normal 238 4 2 5" xfId="9316" xr:uid="{00000000-0005-0000-0000-000054280000}"/>
    <cellStyle name="Normal 238 4 2 5 2" xfId="15026" xr:uid="{00000000-0005-0000-0000-000055280000}"/>
    <cellStyle name="Normal 238 4 2 6" xfId="12337" xr:uid="{00000000-0005-0000-0000-000056280000}"/>
    <cellStyle name="Normal 238 4 2 7" xfId="14666" xr:uid="{00000000-0005-0000-0000-000057280000}"/>
    <cellStyle name="Normal 238 4 3" xfId="8953" xr:uid="{00000000-0005-0000-0000-000058280000}"/>
    <cellStyle name="Normal 238 4 3 2" xfId="9012" xr:uid="{00000000-0005-0000-0000-000059280000}"/>
    <cellStyle name="Normal 238 4 3 2 2" xfId="9133" xr:uid="{00000000-0005-0000-0000-00005A280000}"/>
    <cellStyle name="Normal 238 4 3 2 2 2" xfId="12345" xr:uid="{00000000-0005-0000-0000-00005B280000}"/>
    <cellStyle name="Normal 238 4 3 2 2 3" xfId="14846" xr:uid="{00000000-0005-0000-0000-00005C280000}"/>
    <cellStyle name="Normal 238 4 3 2 3" xfId="9256" xr:uid="{00000000-0005-0000-0000-00005D280000}"/>
    <cellStyle name="Normal 238 4 3 2 3 2" xfId="12346" xr:uid="{00000000-0005-0000-0000-00005E280000}"/>
    <cellStyle name="Normal 238 4 3 2 3 3" xfId="14966" xr:uid="{00000000-0005-0000-0000-00005F280000}"/>
    <cellStyle name="Normal 238 4 3 2 4" xfId="9376" xr:uid="{00000000-0005-0000-0000-000060280000}"/>
    <cellStyle name="Normal 238 4 3 2 4 2" xfId="15086" xr:uid="{00000000-0005-0000-0000-000061280000}"/>
    <cellStyle name="Normal 238 4 3 2 5" xfId="12344" xr:uid="{00000000-0005-0000-0000-000062280000}"/>
    <cellStyle name="Normal 238 4 3 2 6" xfId="14726" xr:uid="{00000000-0005-0000-0000-000063280000}"/>
    <cellStyle name="Normal 238 4 3 3" xfId="9074" xr:uid="{00000000-0005-0000-0000-000064280000}"/>
    <cellStyle name="Normal 238 4 3 3 2" xfId="12347" xr:uid="{00000000-0005-0000-0000-000065280000}"/>
    <cellStyle name="Normal 238 4 3 3 3" xfId="14787" xr:uid="{00000000-0005-0000-0000-000066280000}"/>
    <cellStyle name="Normal 238 4 3 4" xfId="9197" xr:uid="{00000000-0005-0000-0000-000067280000}"/>
    <cellStyle name="Normal 238 4 3 4 2" xfId="12348" xr:uid="{00000000-0005-0000-0000-000068280000}"/>
    <cellStyle name="Normal 238 4 3 4 3" xfId="14907" xr:uid="{00000000-0005-0000-0000-000069280000}"/>
    <cellStyle name="Normal 238 4 3 5" xfId="9317" xr:uid="{00000000-0005-0000-0000-00006A280000}"/>
    <cellStyle name="Normal 238 4 3 5 2" xfId="15027" xr:uid="{00000000-0005-0000-0000-00006B280000}"/>
    <cellStyle name="Normal 238 4 3 6" xfId="12343" xr:uid="{00000000-0005-0000-0000-00006C280000}"/>
    <cellStyle name="Normal 238 4 3 7" xfId="14667" xr:uid="{00000000-0005-0000-0000-00006D280000}"/>
    <cellStyle name="Normal 238 4 4" xfId="9010" xr:uid="{00000000-0005-0000-0000-00006E280000}"/>
    <cellStyle name="Normal 238 4 4 2" xfId="9131" xr:uid="{00000000-0005-0000-0000-00006F280000}"/>
    <cellStyle name="Normal 238 4 4 2 2" xfId="12350" xr:uid="{00000000-0005-0000-0000-000070280000}"/>
    <cellStyle name="Normal 238 4 4 2 3" xfId="14844" xr:uid="{00000000-0005-0000-0000-000071280000}"/>
    <cellStyle name="Normal 238 4 4 3" xfId="9254" xr:uid="{00000000-0005-0000-0000-000072280000}"/>
    <cellStyle name="Normal 238 4 4 3 2" xfId="12351" xr:uid="{00000000-0005-0000-0000-000073280000}"/>
    <cellStyle name="Normal 238 4 4 3 3" xfId="14964" xr:uid="{00000000-0005-0000-0000-000074280000}"/>
    <cellStyle name="Normal 238 4 4 4" xfId="9374" xr:uid="{00000000-0005-0000-0000-000075280000}"/>
    <cellStyle name="Normal 238 4 4 4 2" xfId="15084" xr:uid="{00000000-0005-0000-0000-000076280000}"/>
    <cellStyle name="Normal 238 4 4 5" xfId="12349" xr:uid="{00000000-0005-0000-0000-000077280000}"/>
    <cellStyle name="Normal 238 4 4 6" xfId="14724" xr:uid="{00000000-0005-0000-0000-000078280000}"/>
    <cellStyle name="Normal 238 4 5" xfId="9072" xr:uid="{00000000-0005-0000-0000-000079280000}"/>
    <cellStyle name="Normal 238 4 5 2" xfId="12352" xr:uid="{00000000-0005-0000-0000-00007A280000}"/>
    <cellStyle name="Normal 238 4 5 3" xfId="14785" xr:uid="{00000000-0005-0000-0000-00007B280000}"/>
    <cellStyle name="Normal 238 4 6" xfId="9195" xr:uid="{00000000-0005-0000-0000-00007C280000}"/>
    <cellStyle name="Normal 238 4 6 2" xfId="12353" xr:uid="{00000000-0005-0000-0000-00007D280000}"/>
    <cellStyle name="Normal 238 4 6 3" xfId="14905" xr:uid="{00000000-0005-0000-0000-00007E280000}"/>
    <cellStyle name="Normal 238 4 7" xfId="9315" xr:uid="{00000000-0005-0000-0000-00007F280000}"/>
    <cellStyle name="Normal 238 4 7 2" xfId="15025" xr:uid="{00000000-0005-0000-0000-000080280000}"/>
    <cellStyle name="Normal 238 4 8" xfId="12336" xr:uid="{00000000-0005-0000-0000-000081280000}"/>
    <cellStyle name="Normal 238 4 9" xfId="14665" xr:uid="{00000000-0005-0000-0000-000082280000}"/>
    <cellStyle name="Normal 238 5" xfId="8954" xr:uid="{00000000-0005-0000-0000-000083280000}"/>
    <cellStyle name="Normal 238 5 2" xfId="9013" xr:uid="{00000000-0005-0000-0000-000084280000}"/>
    <cellStyle name="Normal 238 5 2 2" xfId="9134" xr:uid="{00000000-0005-0000-0000-000085280000}"/>
    <cellStyle name="Normal 238 5 2 2 2" xfId="12356" xr:uid="{00000000-0005-0000-0000-000086280000}"/>
    <cellStyle name="Normal 238 5 2 2 3" xfId="14847" xr:uid="{00000000-0005-0000-0000-000087280000}"/>
    <cellStyle name="Normal 238 5 2 3" xfId="9257" xr:uid="{00000000-0005-0000-0000-000088280000}"/>
    <cellStyle name="Normal 238 5 2 3 2" xfId="12357" xr:uid="{00000000-0005-0000-0000-000089280000}"/>
    <cellStyle name="Normal 238 5 2 3 3" xfId="14967" xr:uid="{00000000-0005-0000-0000-00008A280000}"/>
    <cellStyle name="Normal 238 5 2 4" xfId="9377" xr:uid="{00000000-0005-0000-0000-00008B280000}"/>
    <cellStyle name="Normal 238 5 2 4 2" xfId="15087" xr:uid="{00000000-0005-0000-0000-00008C280000}"/>
    <cellStyle name="Normal 238 5 2 5" xfId="12355" xr:uid="{00000000-0005-0000-0000-00008D280000}"/>
    <cellStyle name="Normal 238 5 2 6" xfId="14727" xr:uid="{00000000-0005-0000-0000-00008E280000}"/>
    <cellStyle name="Normal 238 5 3" xfId="9075" xr:uid="{00000000-0005-0000-0000-00008F280000}"/>
    <cellStyle name="Normal 238 5 3 2" xfId="12358" xr:uid="{00000000-0005-0000-0000-000090280000}"/>
    <cellStyle name="Normal 238 5 3 3" xfId="14788" xr:uid="{00000000-0005-0000-0000-000091280000}"/>
    <cellStyle name="Normal 238 5 4" xfId="9198" xr:uid="{00000000-0005-0000-0000-000092280000}"/>
    <cellStyle name="Normal 238 5 4 2" xfId="12359" xr:uid="{00000000-0005-0000-0000-000093280000}"/>
    <cellStyle name="Normal 238 5 4 3" xfId="14908" xr:uid="{00000000-0005-0000-0000-000094280000}"/>
    <cellStyle name="Normal 238 5 5" xfId="9318" xr:uid="{00000000-0005-0000-0000-000095280000}"/>
    <cellStyle name="Normal 238 5 5 2" xfId="15028" xr:uid="{00000000-0005-0000-0000-000096280000}"/>
    <cellStyle name="Normal 238 5 6" xfId="12354" xr:uid="{00000000-0005-0000-0000-000097280000}"/>
    <cellStyle name="Normal 238 5 7" xfId="14668" xr:uid="{00000000-0005-0000-0000-000098280000}"/>
    <cellStyle name="Normal 238 6" xfId="8955" xr:uid="{00000000-0005-0000-0000-000099280000}"/>
    <cellStyle name="Normal 238 6 2" xfId="9014" xr:uid="{00000000-0005-0000-0000-00009A280000}"/>
    <cellStyle name="Normal 238 6 2 2" xfId="9135" xr:uid="{00000000-0005-0000-0000-00009B280000}"/>
    <cellStyle name="Normal 238 6 2 2 2" xfId="12362" xr:uid="{00000000-0005-0000-0000-00009C280000}"/>
    <cellStyle name="Normal 238 6 2 2 3" xfId="14848" xr:uid="{00000000-0005-0000-0000-00009D280000}"/>
    <cellStyle name="Normal 238 6 2 3" xfId="9258" xr:uid="{00000000-0005-0000-0000-00009E280000}"/>
    <cellStyle name="Normal 238 6 2 3 2" xfId="12363" xr:uid="{00000000-0005-0000-0000-00009F280000}"/>
    <cellStyle name="Normal 238 6 2 3 3" xfId="14968" xr:uid="{00000000-0005-0000-0000-0000A0280000}"/>
    <cellStyle name="Normal 238 6 2 4" xfId="9378" xr:uid="{00000000-0005-0000-0000-0000A1280000}"/>
    <cellStyle name="Normal 238 6 2 4 2" xfId="15088" xr:uid="{00000000-0005-0000-0000-0000A2280000}"/>
    <cellStyle name="Normal 238 6 2 5" xfId="12361" xr:uid="{00000000-0005-0000-0000-0000A3280000}"/>
    <cellStyle name="Normal 238 6 2 6" xfId="14728" xr:uid="{00000000-0005-0000-0000-0000A4280000}"/>
    <cellStyle name="Normal 238 6 3" xfId="9076" xr:uid="{00000000-0005-0000-0000-0000A5280000}"/>
    <cellStyle name="Normal 238 6 3 2" xfId="12364" xr:uid="{00000000-0005-0000-0000-0000A6280000}"/>
    <cellStyle name="Normal 238 6 3 3" xfId="14789" xr:uid="{00000000-0005-0000-0000-0000A7280000}"/>
    <cellStyle name="Normal 238 6 4" xfId="9199" xr:uid="{00000000-0005-0000-0000-0000A8280000}"/>
    <cellStyle name="Normal 238 6 4 2" xfId="12365" xr:uid="{00000000-0005-0000-0000-0000A9280000}"/>
    <cellStyle name="Normal 238 6 4 3" xfId="14909" xr:uid="{00000000-0005-0000-0000-0000AA280000}"/>
    <cellStyle name="Normal 238 6 5" xfId="9319" xr:uid="{00000000-0005-0000-0000-0000AB280000}"/>
    <cellStyle name="Normal 238 6 5 2" xfId="15029" xr:uid="{00000000-0005-0000-0000-0000AC280000}"/>
    <cellStyle name="Normal 238 6 6" xfId="12360" xr:uid="{00000000-0005-0000-0000-0000AD280000}"/>
    <cellStyle name="Normal 238 6 7" xfId="14669" xr:uid="{00000000-0005-0000-0000-0000AE280000}"/>
    <cellStyle name="Normal 238 7" xfId="8956" xr:uid="{00000000-0005-0000-0000-0000AF280000}"/>
    <cellStyle name="Normal 238 7 2" xfId="9015" xr:uid="{00000000-0005-0000-0000-0000B0280000}"/>
    <cellStyle name="Normal 238 7 2 2" xfId="9136" xr:uid="{00000000-0005-0000-0000-0000B1280000}"/>
    <cellStyle name="Normal 238 7 2 2 2" xfId="12368" xr:uid="{00000000-0005-0000-0000-0000B2280000}"/>
    <cellStyle name="Normal 238 7 2 2 3" xfId="14849" xr:uid="{00000000-0005-0000-0000-0000B3280000}"/>
    <cellStyle name="Normal 238 7 2 3" xfId="9259" xr:uid="{00000000-0005-0000-0000-0000B4280000}"/>
    <cellStyle name="Normal 238 7 2 3 2" xfId="12369" xr:uid="{00000000-0005-0000-0000-0000B5280000}"/>
    <cellStyle name="Normal 238 7 2 3 3" xfId="14969" xr:uid="{00000000-0005-0000-0000-0000B6280000}"/>
    <cellStyle name="Normal 238 7 2 4" xfId="9379" xr:uid="{00000000-0005-0000-0000-0000B7280000}"/>
    <cellStyle name="Normal 238 7 2 4 2" xfId="15089" xr:uid="{00000000-0005-0000-0000-0000B8280000}"/>
    <cellStyle name="Normal 238 7 2 5" xfId="12367" xr:uid="{00000000-0005-0000-0000-0000B9280000}"/>
    <cellStyle name="Normal 238 7 2 6" xfId="14729" xr:uid="{00000000-0005-0000-0000-0000BA280000}"/>
    <cellStyle name="Normal 238 7 3" xfId="9077" xr:uid="{00000000-0005-0000-0000-0000BB280000}"/>
    <cellStyle name="Normal 238 7 3 2" xfId="12370" xr:uid="{00000000-0005-0000-0000-0000BC280000}"/>
    <cellStyle name="Normal 238 7 3 3" xfId="14790" xr:uid="{00000000-0005-0000-0000-0000BD280000}"/>
    <cellStyle name="Normal 238 7 4" xfId="9200" xr:uid="{00000000-0005-0000-0000-0000BE280000}"/>
    <cellStyle name="Normal 238 7 4 2" xfId="12371" xr:uid="{00000000-0005-0000-0000-0000BF280000}"/>
    <cellStyle name="Normal 238 7 4 3" xfId="14910" xr:uid="{00000000-0005-0000-0000-0000C0280000}"/>
    <cellStyle name="Normal 238 7 5" xfId="9320" xr:uid="{00000000-0005-0000-0000-0000C1280000}"/>
    <cellStyle name="Normal 238 7 5 2" xfId="15030" xr:uid="{00000000-0005-0000-0000-0000C2280000}"/>
    <cellStyle name="Normal 238 7 6" xfId="12366" xr:uid="{00000000-0005-0000-0000-0000C3280000}"/>
    <cellStyle name="Normal 238 7 7" xfId="14670" xr:uid="{00000000-0005-0000-0000-0000C4280000}"/>
    <cellStyle name="Normal 238 8" xfId="9001" xr:uid="{00000000-0005-0000-0000-0000C5280000}"/>
    <cellStyle name="Normal 238 8 2" xfId="9122" xr:uid="{00000000-0005-0000-0000-0000C6280000}"/>
    <cellStyle name="Normal 238 8 2 2" xfId="12373" xr:uid="{00000000-0005-0000-0000-0000C7280000}"/>
    <cellStyle name="Normal 238 8 2 3" xfId="14835" xr:uid="{00000000-0005-0000-0000-0000C8280000}"/>
    <cellStyle name="Normal 238 8 3" xfId="9245" xr:uid="{00000000-0005-0000-0000-0000C9280000}"/>
    <cellStyle name="Normal 238 8 3 2" xfId="12374" xr:uid="{00000000-0005-0000-0000-0000CA280000}"/>
    <cellStyle name="Normal 238 8 3 3" xfId="14955" xr:uid="{00000000-0005-0000-0000-0000CB280000}"/>
    <cellStyle name="Normal 238 8 4" xfId="9365" xr:uid="{00000000-0005-0000-0000-0000CC280000}"/>
    <cellStyle name="Normal 238 8 4 2" xfId="15075" xr:uid="{00000000-0005-0000-0000-0000CD280000}"/>
    <cellStyle name="Normal 238 8 5" xfId="12372" xr:uid="{00000000-0005-0000-0000-0000CE280000}"/>
    <cellStyle name="Normal 238 8 6" xfId="14715" xr:uid="{00000000-0005-0000-0000-0000CF280000}"/>
    <cellStyle name="Normal 238 9" xfId="9034" xr:uid="{00000000-0005-0000-0000-0000D0280000}"/>
    <cellStyle name="Normal 238 9 2" xfId="12375" xr:uid="{00000000-0005-0000-0000-0000D1280000}"/>
    <cellStyle name="Normal 238 9 3" xfId="14747" xr:uid="{00000000-0005-0000-0000-0000D2280000}"/>
    <cellStyle name="Normal 239" xfId="5543" xr:uid="{00000000-0005-0000-0000-0000D3280000}"/>
    <cellStyle name="Normal 239 2" xfId="12376" xr:uid="{00000000-0005-0000-0000-0000D4280000}"/>
    <cellStyle name="Normal 24" xfId="944" xr:uid="{00000000-0005-0000-0000-0000D5280000}"/>
    <cellStyle name="Normal 24 2" xfId="945" xr:uid="{00000000-0005-0000-0000-0000D6280000}"/>
    <cellStyle name="Normal 24 2 2" xfId="8561" xr:uid="{00000000-0005-0000-0000-0000D7280000}"/>
    <cellStyle name="Normal 24 2 2 2" xfId="12379" xr:uid="{00000000-0005-0000-0000-0000D8280000}"/>
    <cellStyle name="Normal 24 2 3" xfId="12378" xr:uid="{00000000-0005-0000-0000-0000D9280000}"/>
    <cellStyle name="Normal 24 3" xfId="5544" xr:uid="{00000000-0005-0000-0000-0000DA280000}"/>
    <cellStyle name="Normal 24 3 2" xfId="12380" xr:uid="{00000000-0005-0000-0000-0000DB280000}"/>
    <cellStyle name="Normal 24 4" xfId="7660" xr:uid="{00000000-0005-0000-0000-0000DC280000}"/>
    <cellStyle name="Normal 24 4 2" xfId="12381" xr:uid="{00000000-0005-0000-0000-0000DD280000}"/>
    <cellStyle name="Normal 24 5" xfId="12377" xr:uid="{00000000-0005-0000-0000-0000DE280000}"/>
    <cellStyle name="Normal 240" xfId="5545" xr:uid="{00000000-0005-0000-0000-0000DF280000}"/>
    <cellStyle name="Normal 240 2" xfId="12382" xr:uid="{00000000-0005-0000-0000-0000E0280000}"/>
    <cellStyle name="Normal 241" xfId="8707" xr:uid="{00000000-0005-0000-0000-0000E1280000}"/>
    <cellStyle name="Normal 241 10" xfId="9158" xr:uid="{00000000-0005-0000-0000-0000E2280000}"/>
    <cellStyle name="Normal 241 10 2" xfId="12384" xr:uid="{00000000-0005-0000-0000-0000E3280000}"/>
    <cellStyle name="Normal 241 10 3" xfId="14868" xr:uid="{00000000-0005-0000-0000-0000E4280000}"/>
    <cellStyle name="Normal 241 11" xfId="9278" xr:uid="{00000000-0005-0000-0000-0000E5280000}"/>
    <cellStyle name="Normal 241 11 2" xfId="14988" xr:uid="{00000000-0005-0000-0000-0000E6280000}"/>
    <cellStyle name="Normal 241 12" xfId="12383" xr:uid="{00000000-0005-0000-0000-0000E7280000}"/>
    <cellStyle name="Normal 241 13" xfId="14628" xr:uid="{00000000-0005-0000-0000-0000E8280000}"/>
    <cellStyle name="Normal 241 2" xfId="8957" xr:uid="{00000000-0005-0000-0000-0000E9280000}"/>
    <cellStyle name="Normal 241 2 10" xfId="14671" xr:uid="{00000000-0005-0000-0000-0000EA280000}"/>
    <cellStyle name="Normal 241 2 2" xfId="8958" xr:uid="{00000000-0005-0000-0000-0000EB280000}"/>
    <cellStyle name="Normal 241 2 2 2" xfId="9018" xr:uid="{00000000-0005-0000-0000-0000EC280000}"/>
    <cellStyle name="Normal 241 2 2 2 2" xfId="9139" xr:uid="{00000000-0005-0000-0000-0000ED280000}"/>
    <cellStyle name="Normal 241 2 2 2 2 2" xfId="12388" xr:uid="{00000000-0005-0000-0000-0000EE280000}"/>
    <cellStyle name="Normal 241 2 2 2 2 3" xfId="14852" xr:uid="{00000000-0005-0000-0000-0000EF280000}"/>
    <cellStyle name="Normal 241 2 2 2 3" xfId="9262" xr:uid="{00000000-0005-0000-0000-0000F0280000}"/>
    <cellStyle name="Normal 241 2 2 2 3 2" xfId="12389" xr:uid="{00000000-0005-0000-0000-0000F1280000}"/>
    <cellStyle name="Normal 241 2 2 2 3 3" xfId="14972" xr:uid="{00000000-0005-0000-0000-0000F2280000}"/>
    <cellStyle name="Normal 241 2 2 2 4" xfId="9382" xr:uid="{00000000-0005-0000-0000-0000F3280000}"/>
    <cellStyle name="Normal 241 2 2 2 4 2" xfId="15092" xr:uid="{00000000-0005-0000-0000-0000F4280000}"/>
    <cellStyle name="Normal 241 2 2 2 5" xfId="12387" xr:uid="{00000000-0005-0000-0000-0000F5280000}"/>
    <cellStyle name="Normal 241 2 2 2 6" xfId="14732" xr:uid="{00000000-0005-0000-0000-0000F6280000}"/>
    <cellStyle name="Normal 241 2 2 3" xfId="9079" xr:uid="{00000000-0005-0000-0000-0000F7280000}"/>
    <cellStyle name="Normal 241 2 2 3 2" xfId="12390" xr:uid="{00000000-0005-0000-0000-0000F8280000}"/>
    <cellStyle name="Normal 241 2 2 3 3" xfId="14792" xr:uid="{00000000-0005-0000-0000-0000F9280000}"/>
    <cellStyle name="Normal 241 2 2 4" xfId="9202" xr:uid="{00000000-0005-0000-0000-0000FA280000}"/>
    <cellStyle name="Normal 241 2 2 4 2" xfId="12391" xr:uid="{00000000-0005-0000-0000-0000FB280000}"/>
    <cellStyle name="Normal 241 2 2 4 3" xfId="14912" xr:uid="{00000000-0005-0000-0000-0000FC280000}"/>
    <cellStyle name="Normal 241 2 2 5" xfId="9322" xr:uid="{00000000-0005-0000-0000-0000FD280000}"/>
    <cellStyle name="Normal 241 2 2 5 2" xfId="15032" xr:uid="{00000000-0005-0000-0000-0000FE280000}"/>
    <cellStyle name="Normal 241 2 2 6" xfId="12386" xr:uid="{00000000-0005-0000-0000-0000FF280000}"/>
    <cellStyle name="Normal 241 2 2 7" xfId="14672" xr:uid="{00000000-0005-0000-0000-000000290000}"/>
    <cellStyle name="Normal 241 2 3" xfId="8959" xr:uid="{00000000-0005-0000-0000-000001290000}"/>
    <cellStyle name="Normal 241 2 3 2" xfId="9019" xr:uid="{00000000-0005-0000-0000-000002290000}"/>
    <cellStyle name="Normal 241 2 3 2 2" xfId="9140" xr:uid="{00000000-0005-0000-0000-000003290000}"/>
    <cellStyle name="Normal 241 2 3 2 2 2" xfId="12394" xr:uid="{00000000-0005-0000-0000-000004290000}"/>
    <cellStyle name="Normal 241 2 3 2 2 3" xfId="14853" xr:uid="{00000000-0005-0000-0000-000005290000}"/>
    <cellStyle name="Normal 241 2 3 2 3" xfId="9263" xr:uid="{00000000-0005-0000-0000-000006290000}"/>
    <cellStyle name="Normal 241 2 3 2 3 2" xfId="12395" xr:uid="{00000000-0005-0000-0000-000007290000}"/>
    <cellStyle name="Normal 241 2 3 2 3 3" xfId="14973" xr:uid="{00000000-0005-0000-0000-000008290000}"/>
    <cellStyle name="Normal 241 2 3 2 4" xfId="9383" xr:uid="{00000000-0005-0000-0000-000009290000}"/>
    <cellStyle name="Normal 241 2 3 2 4 2" xfId="15093" xr:uid="{00000000-0005-0000-0000-00000A290000}"/>
    <cellStyle name="Normal 241 2 3 2 5" xfId="12393" xr:uid="{00000000-0005-0000-0000-00000B290000}"/>
    <cellStyle name="Normal 241 2 3 2 6" xfId="14733" xr:uid="{00000000-0005-0000-0000-00000C290000}"/>
    <cellStyle name="Normal 241 2 3 3" xfId="9080" xr:uid="{00000000-0005-0000-0000-00000D290000}"/>
    <cellStyle name="Normal 241 2 3 3 2" xfId="12396" xr:uid="{00000000-0005-0000-0000-00000E290000}"/>
    <cellStyle name="Normal 241 2 3 3 3" xfId="14793" xr:uid="{00000000-0005-0000-0000-00000F290000}"/>
    <cellStyle name="Normal 241 2 3 4" xfId="9203" xr:uid="{00000000-0005-0000-0000-000010290000}"/>
    <cellStyle name="Normal 241 2 3 4 2" xfId="12397" xr:uid="{00000000-0005-0000-0000-000011290000}"/>
    <cellStyle name="Normal 241 2 3 4 3" xfId="14913" xr:uid="{00000000-0005-0000-0000-000012290000}"/>
    <cellStyle name="Normal 241 2 3 5" xfId="9323" xr:uid="{00000000-0005-0000-0000-000013290000}"/>
    <cellStyle name="Normal 241 2 3 5 2" xfId="15033" xr:uid="{00000000-0005-0000-0000-000014290000}"/>
    <cellStyle name="Normal 241 2 3 6" xfId="12392" xr:uid="{00000000-0005-0000-0000-000015290000}"/>
    <cellStyle name="Normal 241 2 3 7" xfId="14673" xr:uid="{00000000-0005-0000-0000-000016290000}"/>
    <cellStyle name="Normal 241 2 4" xfId="8960" xr:uid="{00000000-0005-0000-0000-000017290000}"/>
    <cellStyle name="Normal 241 2 4 2" xfId="9020" xr:uid="{00000000-0005-0000-0000-000018290000}"/>
    <cellStyle name="Normal 241 2 4 2 2" xfId="9141" xr:uid="{00000000-0005-0000-0000-000019290000}"/>
    <cellStyle name="Normal 241 2 4 2 2 2" xfId="12400" xr:uid="{00000000-0005-0000-0000-00001A290000}"/>
    <cellStyle name="Normal 241 2 4 2 2 3" xfId="14854" xr:uid="{00000000-0005-0000-0000-00001B290000}"/>
    <cellStyle name="Normal 241 2 4 2 3" xfId="9264" xr:uid="{00000000-0005-0000-0000-00001C290000}"/>
    <cellStyle name="Normal 241 2 4 2 3 2" xfId="12401" xr:uid="{00000000-0005-0000-0000-00001D290000}"/>
    <cellStyle name="Normal 241 2 4 2 3 3" xfId="14974" xr:uid="{00000000-0005-0000-0000-00001E290000}"/>
    <cellStyle name="Normal 241 2 4 2 4" xfId="9384" xr:uid="{00000000-0005-0000-0000-00001F290000}"/>
    <cellStyle name="Normal 241 2 4 2 4 2" xfId="15094" xr:uid="{00000000-0005-0000-0000-000020290000}"/>
    <cellStyle name="Normal 241 2 4 2 5" xfId="12399" xr:uid="{00000000-0005-0000-0000-000021290000}"/>
    <cellStyle name="Normal 241 2 4 2 6" xfId="14734" xr:uid="{00000000-0005-0000-0000-000022290000}"/>
    <cellStyle name="Normal 241 2 4 3" xfId="9081" xr:uid="{00000000-0005-0000-0000-000023290000}"/>
    <cellStyle name="Normal 241 2 4 3 2" xfId="12402" xr:uid="{00000000-0005-0000-0000-000024290000}"/>
    <cellStyle name="Normal 241 2 4 3 3" xfId="14794" xr:uid="{00000000-0005-0000-0000-000025290000}"/>
    <cellStyle name="Normal 241 2 4 4" xfId="9204" xr:uid="{00000000-0005-0000-0000-000026290000}"/>
    <cellStyle name="Normal 241 2 4 4 2" xfId="12403" xr:uid="{00000000-0005-0000-0000-000027290000}"/>
    <cellStyle name="Normal 241 2 4 4 3" xfId="14914" xr:uid="{00000000-0005-0000-0000-000028290000}"/>
    <cellStyle name="Normal 241 2 4 5" xfId="9324" xr:uid="{00000000-0005-0000-0000-000029290000}"/>
    <cellStyle name="Normal 241 2 4 5 2" xfId="15034" xr:uid="{00000000-0005-0000-0000-00002A290000}"/>
    <cellStyle name="Normal 241 2 4 6" xfId="12398" xr:uid="{00000000-0005-0000-0000-00002B290000}"/>
    <cellStyle name="Normal 241 2 4 7" xfId="14674" xr:uid="{00000000-0005-0000-0000-00002C290000}"/>
    <cellStyle name="Normal 241 2 5" xfId="9017" xr:uid="{00000000-0005-0000-0000-00002D290000}"/>
    <cellStyle name="Normal 241 2 5 2" xfId="9138" xr:uid="{00000000-0005-0000-0000-00002E290000}"/>
    <cellStyle name="Normal 241 2 5 2 2" xfId="12405" xr:uid="{00000000-0005-0000-0000-00002F290000}"/>
    <cellStyle name="Normal 241 2 5 2 3" xfId="14851" xr:uid="{00000000-0005-0000-0000-000030290000}"/>
    <cellStyle name="Normal 241 2 5 3" xfId="9261" xr:uid="{00000000-0005-0000-0000-000031290000}"/>
    <cellStyle name="Normal 241 2 5 3 2" xfId="12406" xr:uid="{00000000-0005-0000-0000-000032290000}"/>
    <cellStyle name="Normal 241 2 5 3 3" xfId="14971" xr:uid="{00000000-0005-0000-0000-000033290000}"/>
    <cellStyle name="Normal 241 2 5 4" xfId="9381" xr:uid="{00000000-0005-0000-0000-000034290000}"/>
    <cellStyle name="Normal 241 2 5 4 2" xfId="15091" xr:uid="{00000000-0005-0000-0000-000035290000}"/>
    <cellStyle name="Normal 241 2 5 5" xfId="12404" xr:uid="{00000000-0005-0000-0000-000036290000}"/>
    <cellStyle name="Normal 241 2 5 6" xfId="14731" xr:uid="{00000000-0005-0000-0000-000037290000}"/>
    <cellStyle name="Normal 241 2 6" xfId="9078" xr:uid="{00000000-0005-0000-0000-000038290000}"/>
    <cellStyle name="Normal 241 2 6 2" xfId="12407" xr:uid="{00000000-0005-0000-0000-000039290000}"/>
    <cellStyle name="Normal 241 2 6 3" xfId="14791" xr:uid="{00000000-0005-0000-0000-00003A290000}"/>
    <cellStyle name="Normal 241 2 7" xfId="9201" xr:uid="{00000000-0005-0000-0000-00003B290000}"/>
    <cellStyle name="Normal 241 2 7 2" xfId="12408" xr:uid="{00000000-0005-0000-0000-00003C290000}"/>
    <cellStyle name="Normal 241 2 7 3" xfId="14911" xr:uid="{00000000-0005-0000-0000-00003D290000}"/>
    <cellStyle name="Normal 241 2 8" xfId="9321" xr:uid="{00000000-0005-0000-0000-00003E290000}"/>
    <cellStyle name="Normal 241 2 8 2" xfId="15031" xr:uid="{00000000-0005-0000-0000-00003F290000}"/>
    <cellStyle name="Normal 241 2 9" xfId="12385" xr:uid="{00000000-0005-0000-0000-000040290000}"/>
    <cellStyle name="Normal 241 3" xfId="8961" xr:uid="{00000000-0005-0000-0000-000041290000}"/>
    <cellStyle name="Normal 241 3 10" xfId="14675" xr:uid="{00000000-0005-0000-0000-000042290000}"/>
    <cellStyle name="Normal 241 3 2" xfId="8962" xr:uid="{00000000-0005-0000-0000-000043290000}"/>
    <cellStyle name="Normal 241 3 2 2" xfId="9022" xr:uid="{00000000-0005-0000-0000-000044290000}"/>
    <cellStyle name="Normal 241 3 2 2 2" xfId="9143" xr:uid="{00000000-0005-0000-0000-000045290000}"/>
    <cellStyle name="Normal 241 3 2 2 2 2" xfId="12412" xr:uid="{00000000-0005-0000-0000-000046290000}"/>
    <cellStyle name="Normal 241 3 2 2 2 3" xfId="14856" xr:uid="{00000000-0005-0000-0000-000047290000}"/>
    <cellStyle name="Normal 241 3 2 2 3" xfId="9266" xr:uid="{00000000-0005-0000-0000-000048290000}"/>
    <cellStyle name="Normal 241 3 2 2 3 2" xfId="12413" xr:uid="{00000000-0005-0000-0000-000049290000}"/>
    <cellStyle name="Normal 241 3 2 2 3 3" xfId="14976" xr:uid="{00000000-0005-0000-0000-00004A290000}"/>
    <cellStyle name="Normal 241 3 2 2 4" xfId="9386" xr:uid="{00000000-0005-0000-0000-00004B290000}"/>
    <cellStyle name="Normal 241 3 2 2 4 2" xfId="15096" xr:uid="{00000000-0005-0000-0000-00004C290000}"/>
    <cellStyle name="Normal 241 3 2 2 5" xfId="12411" xr:uid="{00000000-0005-0000-0000-00004D290000}"/>
    <cellStyle name="Normal 241 3 2 2 6" xfId="14736" xr:uid="{00000000-0005-0000-0000-00004E290000}"/>
    <cellStyle name="Normal 241 3 2 3" xfId="9083" xr:uid="{00000000-0005-0000-0000-00004F290000}"/>
    <cellStyle name="Normal 241 3 2 3 2" xfId="12414" xr:uid="{00000000-0005-0000-0000-000050290000}"/>
    <cellStyle name="Normal 241 3 2 3 3" xfId="14796" xr:uid="{00000000-0005-0000-0000-000051290000}"/>
    <cellStyle name="Normal 241 3 2 4" xfId="9206" xr:uid="{00000000-0005-0000-0000-000052290000}"/>
    <cellStyle name="Normal 241 3 2 4 2" xfId="12415" xr:uid="{00000000-0005-0000-0000-000053290000}"/>
    <cellStyle name="Normal 241 3 2 4 3" xfId="14916" xr:uid="{00000000-0005-0000-0000-000054290000}"/>
    <cellStyle name="Normal 241 3 2 5" xfId="9326" xr:uid="{00000000-0005-0000-0000-000055290000}"/>
    <cellStyle name="Normal 241 3 2 5 2" xfId="15036" xr:uid="{00000000-0005-0000-0000-000056290000}"/>
    <cellStyle name="Normal 241 3 2 6" xfId="12410" xr:uid="{00000000-0005-0000-0000-000057290000}"/>
    <cellStyle name="Normal 241 3 2 7" xfId="14676" xr:uid="{00000000-0005-0000-0000-000058290000}"/>
    <cellStyle name="Normal 241 3 3" xfId="8963" xr:uid="{00000000-0005-0000-0000-000059290000}"/>
    <cellStyle name="Normal 241 3 3 2" xfId="9023" xr:uid="{00000000-0005-0000-0000-00005A290000}"/>
    <cellStyle name="Normal 241 3 3 2 2" xfId="9144" xr:uid="{00000000-0005-0000-0000-00005B290000}"/>
    <cellStyle name="Normal 241 3 3 2 2 2" xfId="12418" xr:uid="{00000000-0005-0000-0000-00005C290000}"/>
    <cellStyle name="Normal 241 3 3 2 2 3" xfId="14857" xr:uid="{00000000-0005-0000-0000-00005D290000}"/>
    <cellStyle name="Normal 241 3 3 2 3" xfId="9267" xr:uid="{00000000-0005-0000-0000-00005E290000}"/>
    <cellStyle name="Normal 241 3 3 2 3 2" xfId="12419" xr:uid="{00000000-0005-0000-0000-00005F290000}"/>
    <cellStyle name="Normal 241 3 3 2 3 3" xfId="14977" xr:uid="{00000000-0005-0000-0000-000060290000}"/>
    <cellStyle name="Normal 241 3 3 2 4" xfId="9387" xr:uid="{00000000-0005-0000-0000-000061290000}"/>
    <cellStyle name="Normal 241 3 3 2 4 2" xfId="15097" xr:uid="{00000000-0005-0000-0000-000062290000}"/>
    <cellStyle name="Normal 241 3 3 2 5" xfId="12417" xr:uid="{00000000-0005-0000-0000-000063290000}"/>
    <cellStyle name="Normal 241 3 3 2 6" xfId="14737" xr:uid="{00000000-0005-0000-0000-000064290000}"/>
    <cellStyle name="Normal 241 3 3 3" xfId="9084" xr:uid="{00000000-0005-0000-0000-000065290000}"/>
    <cellStyle name="Normal 241 3 3 3 2" xfId="12420" xr:uid="{00000000-0005-0000-0000-000066290000}"/>
    <cellStyle name="Normal 241 3 3 3 3" xfId="14797" xr:uid="{00000000-0005-0000-0000-000067290000}"/>
    <cellStyle name="Normal 241 3 3 4" xfId="9207" xr:uid="{00000000-0005-0000-0000-000068290000}"/>
    <cellStyle name="Normal 241 3 3 4 2" xfId="12421" xr:uid="{00000000-0005-0000-0000-000069290000}"/>
    <cellStyle name="Normal 241 3 3 4 3" xfId="14917" xr:uid="{00000000-0005-0000-0000-00006A290000}"/>
    <cellStyle name="Normal 241 3 3 5" xfId="9327" xr:uid="{00000000-0005-0000-0000-00006B290000}"/>
    <cellStyle name="Normal 241 3 3 5 2" xfId="15037" xr:uid="{00000000-0005-0000-0000-00006C290000}"/>
    <cellStyle name="Normal 241 3 3 6" xfId="12416" xr:uid="{00000000-0005-0000-0000-00006D290000}"/>
    <cellStyle name="Normal 241 3 3 7" xfId="14677" xr:uid="{00000000-0005-0000-0000-00006E290000}"/>
    <cellStyle name="Normal 241 3 4" xfId="8964" xr:uid="{00000000-0005-0000-0000-00006F290000}"/>
    <cellStyle name="Normal 241 3 4 2" xfId="9024" xr:uid="{00000000-0005-0000-0000-000070290000}"/>
    <cellStyle name="Normal 241 3 4 2 2" xfId="9145" xr:uid="{00000000-0005-0000-0000-000071290000}"/>
    <cellStyle name="Normal 241 3 4 2 2 2" xfId="12424" xr:uid="{00000000-0005-0000-0000-000072290000}"/>
    <cellStyle name="Normal 241 3 4 2 2 3" xfId="14858" xr:uid="{00000000-0005-0000-0000-000073290000}"/>
    <cellStyle name="Normal 241 3 4 2 3" xfId="9268" xr:uid="{00000000-0005-0000-0000-000074290000}"/>
    <cellStyle name="Normal 241 3 4 2 3 2" xfId="12425" xr:uid="{00000000-0005-0000-0000-000075290000}"/>
    <cellStyle name="Normal 241 3 4 2 3 3" xfId="14978" xr:uid="{00000000-0005-0000-0000-000076290000}"/>
    <cellStyle name="Normal 241 3 4 2 4" xfId="9388" xr:uid="{00000000-0005-0000-0000-000077290000}"/>
    <cellStyle name="Normal 241 3 4 2 4 2" xfId="15098" xr:uid="{00000000-0005-0000-0000-000078290000}"/>
    <cellStyle name="Normal 241 3 4 2 5" xfId="12423" xr:uid="{00000000-0005-0000-0000-000079290000}"/>
    <cellStyle name="Normal 241 3 4 2 6" xfId="14738" xr:uid="{00000000-0005-0000-0000-00007A290000}"/>
    <cellStyle name="Normal 241 3 4 3" xfId="9085" xr:uid="{00000000-0005-0000-0000-00007B290000}"/>
    <cellStyle name="Normal 241 3 4 3 2" xfId="12426" xr:uid="{00000000-0005-0000-0000-00007C290000}"/>
    <cellStyle name="Normal 241 3 4 3 3" xfId="14798" xr:uid="{00000000-0005-0000-0000-00007D290000}"/>
    <cellStyle name="Normal 241 3 4 4" xfId="9208" xr:uid="{00000000-0005-0000-0000-00007E290000}"/>
    <cellStyle name="Normal 241 3 4 4 2" xfId="12427" xr:uid="{00000000-0005-0000-0000-00007F290000}"/>
    <cellStyle name="Normal 241 3 4 4 3" xfId="14918" xr:uid="{00000000-0005-0000-0000-000080290000}"/>
    <cellStyle name="Normal 241 3 4 5" xfId="9328" xr:uid="{00000000-0005-0000-0000-000081290000}"/>
    <cellStyle name="Normal 241 3 4 5 2" xfId="15038" xr:uid="{00000000-0005-0000-0000-000082290000}"/>
    <cellStyle name="Normal 241 3 4 6" xfId="12422" xr:uid="{00000000-0005-0000-0000-000083290000}"/>
    <cellStyle name="Normal 241 3 4 7" xfId="14678" xr:uid="{00000000-0005-0000-0000-000084290000}"/>
    <cellStyle name="Normal 241 3 5" xfId="9021" xr:uid="{00000000-0005-0000-0000-000085290000}"/>
    <cellStyle name="Normal 241 3 5 2" xfId="9142" xr:uid="{00000000-0005-0000-0000-000086290000}"/>
    <cellStyle name="Normal 241 3 5 2 2" xfId="12429" xr:uid="{00000000-0005-0000-0000-000087290000}"/>
    <cellStyle name="Normal 241 3 5 2 3" xfId="14855" xr:uid="{00000000-0005-0000-0000-000088290000}"/>
    <cellStyle name="Normal 241 3 5 3" xfId="9265" xr:uid="{00000000-0005-0000-0000-000089290000}"/>
    <cellStyle name="Normal 241 3 5 3 2" xfId="12430" xr:uid="{00000000-0005-0000-0000-00008A290000}"/>
    <cellStyle name="Normal 241 3 5 3 3" xfId="14975" xr:uid="{00000000-0005-0000-0000-00008B290000}"/>
    <cellStyle name="Normal 241 3 5 4" xfId="9385" xr:uid="{00000000-0005-0000-0000-00008C290000}"/>
    <cellStyle name="Normal 241 3 5 4 2" xfId="15095" xr:uid="{00000000-0005-0000-0000-00008D290000}"/>
    <cellStyle name="Normal 241 3 5 5" xfId="12428" xr:uid="{00000000-0005-0000-0000-00008E290000}"/>
    <cellStyle name="Normal 241 3 5 6" xfId="14735" xr:uid="{00000000-0005-0000-0000-00008F290000}"/>
    <cellStyle name="Normal 241 3 6" xfId="9082" xr:uid="{00000000-0005-0000-0000-000090290000}"/>
    <cellStyle name="Normal 241 3 6 2" xfId="12431" xr:uid="{00000000-0005-0000-0000-000091290000}"/>
    <cellStyle name="Normal 241 3 6 3" xfId="14795" xr:uid="{00000000-0005-0000-0000-000092290000}"/>
    <cellStyle name="Normal 241 3 7" xfId="9205" xr:uid="{00000000-0005-0000-0000-000093290000}"/>
    <cellStyle name="Normal 241 3 7 2" xfId="12432" xr:uid="{00000000-0005-0000-0000-000094290000}"/>
    <cellStyle name="Normal 241 3 7 3" xfId="14915" xr:uid="{00000000-0005-0000-0000-000095290000}"/>
    <cellStyle name="Normal 241 3 8" xfId="9325" xr:uid="{00000000-0005-0000-0000-000096290000}"/>
    <cellStyle name="Normal 241 3 8 2" xfId="15035" xr:uid="{00000000-0005-0000-0000-000097290000}"/>
    <cellStyle name="Normal 241 3 9" xfId="12409" xr:uid="{00000000-0005-0000-0000-000098290000}"/>
    <cellStyle name="Normal 241 4" xfId="8965" xr:uid="{00000000-0005-0000-0000-000099290000}"/>
    <cellStyle name="Normal 241 4 2" xfId="8966" xr:uid="{00000000-0005-0000-0000-00009A290000}"/>
    <cellStyle name="Normal 241 4 2 2" xfId="9026" xr:uid="{00000000-0005-0000-0000-00009B290000}"/>
    <cellStyle name="Normal 241 4 2 2 2" xfId="9147" xr:uid="{00000000-0005-0000-0000-00009C290000}"/>
    <cellStyle name="Normal 241 4 2 2 2 2" xfId="12436" xr:uid="{00000000-0005-0000-0000-00009D290000}"/>
    <cellStyle name="Normal 241 4 2 2 2 3" xfId="14860" xr:uid="{00000000-0005-0000-0000-00009E290000}"/>
    <cellStyle name="Normal 241 4 2 2 3" xfId="9270" xr:uid="{00000000-0005-0000-0000-00009F290000}"/>
    <cellStyle name="Normal 241 4 2 2 3 2" xfId="12437" xr:uid="{00000000-0005-0000-0000-0000A0290000}"/>
    <cellStyle name="Normal 241 4 2 2 3 3" xfId="14980" xr:uid="{00000000-0005-0000-0000-0000A1290000}"/>
    <cellStyle name="Normal 241 4 2 2 4" xfId="9390" xr:uid="{00000000-0005-0000-0000-0000A2290000}"/>
    <cellStyle name="Normal 241 4 2 2 4 2" xfId="15100" xr:uid="{00000000-0005-0000-0000-0000A3290000}"/>
    <cellStyle name="Normal 241 4 2 2 5" xfId="12435" xr:uid="{00000000-0005-0000-0000-0000A4290000}"/>
    <cellStyle name="Normal 241 4 2 2 6" xfId="14740" xr:uid="{00000000-0005-0000-0000-0000A5290000}"/>
    <cellStyle name="Normal 241 4 2 3" xfId="9087" xr:uid="{00000000-0005-0000-0000-0000A6290000}"/>
    <cellStyle name="Normal 241 4 2 3 2" xfId="12438" xr:uid="{00000000-0005-0000-0000-0000A7290000}"/>
    <cellStyle name="Normal 241 4 2 3 3" xfId="14800" xr:uid="{00000000-0005-0000-0000-0000A8290000}"/>
    <cellStyle name="Normal 241 4 2 4" xfId="9210" xr:uid="{00000000-0005-0000-0000-0000A9290000}"/>
    <cellStyle name="Normal 241 4 2 4 2" xfId="12439" xr:uid="{00000000-0005-0000-0000-0000AA290000}"/>
    <cellStyle name="Normal 241 4 2 4 3" xfId="14920" xr:uid="{00000000-0005-0000-0000-0000AB290000}"/>
    <cellStyle name="Normal 241 4 2 5" xfId="9330" xr:uid="{00000000-0005-0000-0000-0000AC290000}"/>
    <cellStyle name="Normal 241 4 2 5 2" xfId="15040" xr:uid="{00000000-0005-0000-0000-0000AD290000}"/>
    <cellStyle name="Normal 241 4 2 6" xfId="12434" xr:uid="{00000000-0005-0000-0000-0000AE290000}"/>
    <cellStyle name="Normal 241 4 2 7" xfId="14680" xr:uid="{00000000-0005-0000-0000-0000AF290000}"/>
    <cellStyle name="Normal 241 4 3" xfId="8967" xr:uid="{00000000-0005-0000-0000-0000B0290000}"/>
    <cellStyle name="Normal 241 4 3 2" xfId="9027" xr:uid="{00000000-0005-0000-0000-0000B1290000}"/>
    <cellStyle name="Normal 241 4 3 2 2" xfId="9148" xr:uid="{00000000-0005-0000-0000-0000B2290000}"/>
    <cellStyle name="Normal 241 4 3 2 2 2" xfId="12442" xr:uid="{00000000-0005-0000-0000-0000B3290000}"/>
    <cellStyle name="Normal 241 4 3 2 2 3" xfId="14861" xr:uid="{00000000-0005-0000-0000-0000B4290000}"/>
    <cellStyle name="Normal 241 4 3 2 3" xfId="9271" xr:uid="{00000000-0005-0000-0000-0000B5290000}"/>
    <cellStyle name="Normal 241 4 3 2 3 2" xfId="12443" xr:uid="{00000000-0005-0000-0000-0000B6290000}"/>
    <cellStyle name="Normal 241 4 3 2 3 3" xfId="14981" xr:uid="{00000000-0005-0000-0000-0000B7290000}"/>
    <cellStyle name="Normal 241 4 3 2 4" xfId="9391" xr:uid="{00000000-0005-0000-0000-0000B8290000}"/>
    <cellStyle name="Normal 241 4 3 2 4 2" xfId="15101" xr:uid="{00000000-0005-0000-0000-0000B9290000}"/>
    <cellStyle name="Normal 241 4 3 2 5" xfId="12441" xr:uid="{00000000-0005-0000-0000-0000BA290000}"/>
    <cellStyle name="Normal 241 4 3 2 6" xfId="14741" xr:uid="{00000000-0005-0000-0000-0000BB290000}"/>
    <cellStyle name="Normal 241 4 3 3" xfId="9088" xr:uid="{00000000-0005-0000-0000-0000BC290000}"/>
    <cellStyle name="Normal 241 4 3 3 2" xfId="12444" xr:uid="{00000000-0005-0000-0000-0000BD290000}"/>
    <cellStyle name="Normal 241 4 3 3 3" xfId="14801" xr:uid="{00000000-0005-0000-0000-0000BE290000}"/>
    <cellStyle name="Normal 241 4 3 4" xfId="9211" xr:uid="{00000000-0005-0000-0000-0000BF290000}"/>
    <cellStyle name="Normal 241 4 3 4 2" xfId="12445" xr:uid="{00000000-0005-0000-0000-0000C0290000}"/>
    <cellStyle name="Normal 241 4 3 4 3" xfId="14921" xr:uid="{00000000-0005-0000-0000-0000C1290000}"/>
    <cellStyle name="Normal 241 4 3 5" xfId="9331" xr:uid="{00000000-0005-0000-0000-0000C2290000}"/>
    <cellStyle name="Normal 241 4 3 5 2" xfId="15041" xr:uid="{00000000-0005-0000-0000-0000C3290000}"/>
    <cellStyle name="Normal 241 4 3 6" xfId="12440" xr:uid="{00000000-0005-0000-0000-0000C4290000}"/>
    <cellStyle name="Normal 241 4 3 7" xfId="14681" xr:uid="{00000000-0005-0000-0000-0000C5290000}"/>
    <cellStyle name="Normal 241 4 4" xfId="9025" xr:uid="{00000000-0005-0000-0000-0000C6290000}"/>
    <cellStyle name="Normal 241 4 4 2" xfId="9146" xr:uid="{00000000-0005-0000-0000-0000C7290000}"/>
    <cellStyle name="Normal 241 4 4 2 2" xfId="12447" xr:uid="{00000000-0005-0000-0000-0000C8290000}"/>
    <cellStyle name="Normal 241 4 4 2 3" xfId="14859" xr:uid="{00000000-0005-0000-0000-0000C9290000}"/>
    <cellStyle name="Normal 241 4 4 3" xfId="9269" xr:uid="{00000000-0005-0000-0000-0000CA290000}"/>
    <cellStyle name="Normal 241 4 4 3 2" xfId="12448" xr:uid="{00000000-0005-0000-0000-0000CB290000}"/>
    <cellStyle name="Normal 241 4 4 3 3" xfId="14979" xr:uid="{00000000-0005-0000-0000-0000CC290000}"/>
    <cellStyle name="Normal 241 4 4 4" xfId="9389" xr:uid="{00000000-0005-0000-0000-0000CD290000}"/>
    <cellStyle name="Normal 241 4 4 4 2" xfId="15099" xr:uid="{00000000-0005-0000-0000-0000CE290000}"/>
    <cellStyle name="Normal 241 4 4 5" xfId="12446" xr:uid="{00000000-0005-0000-0000-0000CF290000}"/>
    <cellStyle name="Normal 241 4 4 6" xfId="14739" xr:uid="{00000000-0005-0000-0000-0000D0290000}"/>
    <cellStyle name="Normal 241 4 5" xfId="9086" xr:uid="{00000000-0005-0000-0000-0000D1290000}"/>
    <cellStyle name="Normal 241 4 5 2" xfId="12449" xr:uid="{00000000-0005-0000-0000-0000D2290000}"/>
    <cellStyle name="Normal 241 4 5 3" xfId="14799" xr:uid="{00000000-0005-0000-0000-0000D3290000}"/>
    <cellStyle name="Normal 241 4 6" xfId="9209" xr:uid="{00000000-0005-0000-0000-0000D4290000}"/>
    <cellStyle name="Normal 241 4 6 2" xfId="12450" xr:uid="{00000000-0005-0000-0000-0000D5290000}"/>
    <cellStyle name="Normal 241 4 6 3" xfId="14919" xr:uid="{00000000-0005-0000-0000-0000D6290000}"/>
    <cellStyle name="Normal 241 4 7" xfId="9329" xr:uid="{00000000-0005-0000-0000-0000D7290000}"/>
    <cellStyle name="Normal 241 4 7 2" xfId="15039" xr:uid="{00000000-0005-0000-0000-0000D8290000}"/>
    <cellStyle name="Normal 241 4 8" xfId="12433" xr:uid="{00000000-0005-0000-0000-0000D9290000}"/>
    <cellStyle name="Normal 241 4 9" xfId="14679" xr:uid="{00000000-0005-0000-0000-0000DA290000}"/>
    <cellStyle name="Normal 241 5" xfId="8968" xr:uid="{00000000-0005-0000-0000-0000DB290000}"/>
    <cellStyle name="Normal 241 5 2" xfId="9028" xr:uid="{00000000-0005-0000-0000-0000DC290000}"/>
    <cellStyle name="Normal 241 5 2 2" xfId="9149" xr:uid="{00000000-0005-0000-0000-0000DD290000}"/>
    <cellStyle name="Normal 241 5 2 2 2" xfId="12453" xr:uid="{00000000-0005-0000-0000-0000DE290000}"/>
    <cellStyle name="Normal 241 5 2 2 3" xfId="14862" xr:uid="{00000000-0005-0000-0000-0000DF290000}"/>
    <cellStyle name="Normal 241 5 2 3" xfId="9272" xr:uid="{00000000-0005-0000-0000-0000E0290000}"/>
    <cellStyle name="Normal 241 5 2 3 2" xfId="12454" xr:uid="{00000000-0005-0000-0000-0000E1290000}"/>
    <cellStyle name="Normal 241 5 2 3 3" xfId="14982" xr:uid="{00000000-0005-0000-0000-0000E2290000}"/>
    <cellStyle name="Normal 241 5 2 4" xfId="9392" xr:uid="{00000000-0005-0000-0000-0000E3290000}"/>
    <cellStyle name="Normal 241 5 2 4 2" xfId="15102" xr:uid="{00000000-0005-0000-0000-0000E4290000}"/>
    <cellStyle name="Normal 241 5 2 5" xfId="12452" xr:uid="{00000000-0005-0000-0000-0000E5290000}"/>
    <cellStyle name="Normal 241 5 2 6" xfId="14742" xr:uid="{00000000-0005-0000-0000-0000E6290000}"/>
    <cellStyle name="Normal 241 5 3" xfId="9089" xr:uid="{00000000-0005-0000-0000-0000E7290000}"/>
    <cellStyle name="Normal 241 5 3 2" xfId="12455" xr:uid="{00000000-0005-0000-0000-0000E8290000}"/>
    <cellStyle name="Normal 241 5 3 3" xfId="14802" xr:uid="{00000000-0005-0000-0000-0000E9290000}"/>
    <cellStyle name="Normal 241 5 4" xfId="9212" xr:uid="{00000000-0005-0000-0000-0000EA290000}"/>
    <cellStyle name="Normal 241 5 4 2" xfId="12456" xr:uid="{00000000-0005-0000-0000-0000EB290000}"/>
    <cellStyle name="Normal 241 5 4 3" xfId="14922" xr:uid="{00000000-0005-0000-0000-0000EC290000}"/>
    <cellStyle name="Normal 241 5 5" xfId="9332" xr:uid="{00000000-0005-0000-0000-0000ED290000}"/>
    <cellStyle name="Normal 241 5 5 2" xfId="15042" xr:uid="{00000000-0005-0000-0000-0000EE290000}"/>
    <cellStyle name="Normal 241 5 6" xfId="12451" xr:uid="{00000000-0005-0000-0000-0000EF290000}"/>
    <cellStyle name="Normal 241 5 7" xfId="14682" xr:uid="{00000000-0005-0000-0000-0000F0290000}"/>
    <cellStyle name="Normal 241 6" xfId="8969" xr:uid="{00000000-0005-0000-0000-0000F1290000}"/>
    <cellStyle name="Normal 241 6 2" xfId="9029" xr:uid="{00000000-0005-0000-0000-0000F2290000}"/>
    <cellStyle name="Normal 241 6 2 2" xfId="9150" xr:uid="{00000000-0005-0000-0000-0000F3290000}"/>
    <cellStyle name="Normal 241 6 2 2 2" xfId="12459" xr:uid="{00000000-0005-0000-0000-0000F4290000}"/>
    <cellStyle name="Normal 241 6 2 2 3" xfId="14863" xr:uid="{00000000-0005-0000-0000-0000F5290000}"/>
    <cellStyle name="Normal 241 6 2 3" xfId="9273" xr:uid="{00000000-0005-0000-0000-0000F6290000}"/>
    <cellStyle name="Normal 241 6 2 3 2" xfId="12460" xr:uid="{00000000-0005-0000-0000-0000F7290000}"/>
    <cellStyle name="Normal 241 6 2 3 3" xfId="14983" xr:uid="{00000000-0005-0000-0000-0000F8290000}"/>
    <cellStyle name="Normal 241 6 2 4" xfId="9393" xr:uid="{00000000-0005-0000-0000-0000F9290000}"/>
    <cellStyle name="Normal 241 6 2 4 2" xfId="15103" xr:uid="{00000000-0005-0000-0000-0000FA290000}"/>
    <cellStyle name="Normal 241 6 2 5" xfId="12458" xr:uid="{00000000-0005-0000-0000-0000FB290000}"/>
    <cellStyle name="Normal 241 6 2 6" xfId="14743" xr:uid="{00000000-0005-0000-0000-0000FC290000}"/>
    <cellStyle name="Normal 241 6 3" xfId="9090" xr:uid="{00000000-0005-0000-0000-0000FD290000}"/>
    <cellStyle name="Normal 241 6 3 2" xfId="12461" xr:uid="{00000000-0005-0000-0000-0000FE290000}"/>
    <cellStyle name="Normal 241 6 3 3" xfId="14803" xr:uid="{00000000-0005-0000-0000-0000FF290000}"/>
    <cellStyle name="Normal 241 6 4" xfId="9213" xr:uid="{00000000-0005-0000-0000-0000002A0000}"/>
    <cellStyle name="Normal 241 6 4 2" xfId="12462" xr:uid="{00000000-0005-0000-0000-0000012A0000}"/>
    <cellStyle name="Normal 241 6 4 3" xfId="14923" xr:uid="{00000000-0005-0000-0000-0000022A0000}"/>
    <cellStyle name="Normal 241 6 5" xfId="9333" xr:uid="{00000000-0005-0000-0000-0000032A0000}"/>
    <cellStyle name="Normal 241 6 5 2" xfId="15043" xr:uid="{00000000-0005-0000-0000-0000042A0000}"/>
    <cellStyle name="Normal 241 6 6" xfId="12457" xr:uid="{00000000-0005-0000-0000-0000052A0000}"/>
    <cellStyle name="Normal 241 6 7" xfId="14683" xr:uid="{00000000-0005-0000-0000-0000062A0000}"/>
    <cellStyle name="Normal 241 7" xfId="8970" xr:uid="{00000000-0005-0000-0000-0000072A0000}"/>
    <cellStyle name="Normal 241 7 2" xfId="9030" xr:uid="{00000000-0005-0000-0000-0000082A0000}"/>
    <cellStyle name="Normal 241 7 2 2" xfId="9151" xr:uid="{00000000-0005-0000-0000-0000092A0000}"/>
    <cellStyle name="Normal 241 7 2 2 2" xfId="12465" xr:uid="{00000000-0005-0000-0000-00000A2A0000}"/>
    <cellStyle name="Normal 241 7 2 2 3" xfId="14864" xr:uid="{00000000-0005-0000-0000-00000B2A0000}"/>
    <cellStyle name="Normal 241 7 2 3" xfId="9274" xr:uid="{00000000-0005-0000-0000-00000C2A0000}"/>
    <cellStyle name="Normal 241 7 2 3 2" xfId="12466" xr:uid="{00000000-0005-0000-0000-00000D2A0000}"/>
    <cellStyle name="Normal 241 7 2 3 3" xfId="14984" xr:uid="{00000000-0005-0000-0000-00000E2A0000}"/>
    <cellStyle name="Normal 241 7 2 4" xfId="9394" xr:uid="{00000000-0005-0000-0000-00000F2A0000}"/>
    <cellStyle name="Normal 241 7 2 4 2" xfId="15104" xr:uid="{00000000-0005-0000-0000-0000102A0000}"/>
    <cellStyle name="Normal 241 7 2 5" xfId="12464" xr:uid="{00000000-0005-0000-0000-0000112A0000}"/>
    <cellStyle name="Normal 241 7 2 6" xfId="14744" xr:uid="{00000000-0005-0000-0000-0000122A0000}"/>
    <cellStyle name="Normal 241 7 3" xfId="9091" xr:uid="{00000000-0005-0000-0000-0000132A0000}"/>
    <cellStyle name="Normal 241 7 3 2" xfId="12467" xr:uid="{00000000-0005-0000-0000-0000142A0000}"/>
    <cellStyle name="Normal 241 7 3 3" xfId="14804" xr:uid="{00000000-0005-0000-0000-0000152A0000}"/>
    <cellStyle name="Normal 241 7 4" xfId="9214" xr:uid="{00000000-0005-0000-0000-0000162A0000}"/>
    <cellStyle name="Normal 241 7 4 2" xfId="12468" xr:uid="{00000000-0005-0000-0000-0000172A0000}"/>
    <cellStyle name="Normal 241 7 4 3" xfId="14924" xr:uid="{00000000-0005-0000-0000-0000182A0000}"/>
    <cellStyle name="Normal 241 7 5" xfId="9334" xr:uid="{00000000-0005-0000-0000-0000192A0000}"/>
    <cellStyle name="Normal 241 7 5 2" xfId="15044" xr:uid="{00000000-0005-0000-0000-00001A2A0000}"/>
    <cellStyle name="Normal 241 7 6" xfId="12463" xr:uid="{00000000-0005-0000-0000-00001B2A0000}"/>
    <cellStyle name="Normal 241 7 7" xfId="14684" xr:uid="{00000000-0005-0000-0000-00001C2A0000}"/>
    <cellStyle name="Normal 241 8" xfId="9016" xr:uid="{00000000-0005-0000-0000-00001D2A0000}"/>
    <cellStyle name="Normal 241 8 2" xfId="9137" xr:uid="{00000000-0005-0000-0000-00001E2A0000}"/>
    <cellStyle name="Normal 241 8 2 2" xfId="12470" xr:uid="{00000000-0005-0000-0000-00001F2A0000}"/>
    <cellStyle name="Normal 241 8 2 3" xfId="14850" xr:uid="{00000000-0005-0000-0000-0000202A0000}"/>
    <cellStyle name="Normal 241 8 3" xfId="9260" xr:uid="{00000000-0005-0000-0000-0000212A0000}"/>
    <cellStyle name="Normal 241 8 3 2" xfId="12471" xr:uid="{00000000-0005-0000-0000-0000222A0000}"/>
    <cellStyle name="Normal 241 8 3 3" xfId="14970" xr:uid="{00000000-0005-0000-0000-0000232A0000}"/>
    <cellStyle name="Normal 241 8 4" xfId="9380" xr:uid="{00000000-0005-0000-0000-0000242A0000}"/>
    <cellStyle name="Normal 241 8 4 2" xfId="15090" xr:uid="{00000000-0005-0000-0000-0000252A0000}"/>
    <cellStyle name="Normal 241 8 5" xfId="12469" xr:uid="{00000000-0005-0000-0000-0000262A0000}"/>
    <cellStyle name="Normal 241 8 6" xfId="14730" xr:uid="{00000000-0005-0000-0000-0000272A0000}"/>
    <cellStyle name="Normal 241 9" xfId="9035" xr:uid="{00000000-0005-0000-0000-0000282A0000}"/>
    <cellStyle name="Normal 241 9 2" xfId="12472" xr:uid="{00000000-0005-0000-0000-0000292A0000}"/>
    <cellStyle name="Normal 241 9 3" xfId="14748" xr:uid="{00000000-0005-0000-0000-00002A2A0000}"/>
    <cellStyle name="Normal 242" xfId="5546" xr:uid="{00000000-0005-0000-0000-00002B2A0000}"/>
    <cellStyle name="Normal 242 2" xfId="12473" xr:uid="{00000000-0005-0000-0000-00002C2A0000}"/>
    <cellStyle name="Normal 243" xfId="5547" xr:uid="{00000000-0005-0000-0000-00002D2A0000}"/>
    <cellStyle name="Normal 243 2" xfId="12474" xr:uid="{00000000-0005-0000-0000-00002E2A0000}"/>
    <cellStyle name="Normal 244" xfId="70" xr:uid="{00000000-0005-0000-0000-00002F2A0000}"/>
    <cellStyle name="Normal 244 2" xfId="9031" xr:uid="{00000000-0005-0000-0000-0000302A0000}"/>
    <cellStyle name="Normal 244 2 2" xfId="9152" xr:uid="{00000000-0005-0000-0000-0000312A0000}"/>
    <cellStyle name="Normal 244 2 2 2" xfId="12477" xr:uid="{00000000-0005-0000-0000-0000322A0000}"/>
    <cellStyle name="Normal 244 2 3" xfId="12476" xr:uid="{00000000-0005-0000-0000-0000332A0000}"/>
    <cellStyle name="Normal 244 3" xfId="12475" xr:uid="{00000000-0005-0000-0000-0000342A0000}"/>
    <cellStyle name="Normal 245" xfId="12478" xr:uid="{00000000-0005-0000-0000-0000352A0000}"/>
    <cellStyle name="Normal 245 2" xfId="12479" xr:uid="{00000000-0005-0000-0000-0000362A0000}"/>
    <cellStyle name="Normal 25" xfId="946" xr:uid="{00000000-0005-0000-0000-0000372A0000}"/>
    <cellStyle name="Normal 25 2" xfId="947" xr:uid="{00000000-0005-0000-0000-0000382A0000}"/>
    <cellStyle name="Normal 25 2 2" xfId="8562" xr:uid="{00000000-0005-0000-0000-0000392A0000}"/>
    <cellStyle name="Normal 25 2 2 2" xfId="12482" xr:uid="{00000000-0005-0000-0000-00003A2A0000}"/>
    <cellStyle name="Normal 25 2 3" xfId="12481" xr:uid="{00000000-0005-0000-0000-00003B2A0000}"/>
    <cellStyle name="Normal 25 3" xfId="5548" xr:uid="{00000000-0005-0000-0000-00003C2A0000}"/>
    <cellStyle name="Normal 25 3 2" xfId="12483" xr:uid="{00000000-0005-0000-0000-00003D2A0000}"/>
    <cellStyle name="Normal 25 4" xfId="7661" xr:uid="{00000000-0005-0000-0000-00003E2A0000}"/>
    <cellStyle name="Normal 25 4 2" xfId="12484" xr:uid="{00000000-0005-0000-0000-00003F2A0000}"/>
    <cellStyle name="Normal 25 5" xfId="12480" xr:uid="{00000000-0005-0000-0000-0000402A0000}"/>
    <cellStyle name="Normal 250" xfId="5549" xr:uid="{00000000-0005-0000-0000-0000412A0000}"/>
    <cellStyle name="Normal 250 2" xfId="12485" xr:uid="{00000000-0005-0000-0000-0000422A0000}"/>
    <cellStyle name="Normal 251" xfId="5550" xr:uid="{00000000-0005-0000-0000-0000432A0000}"/>
    <cellStyle name="Normal 251 2" xfId="12486" xr:uid="{00000000-0005-0000-0000-0000442A0000}"/>
    <cellStyle name="Normal 252" xfId="5551" xr:uid="{00000000-0005-0000-0000-0000452A0000}"/>
    <cellStyle name="Normal 252 2" xfId="12487" xr:uid="{00000000-0005-0000-0000-0000462A0000}"/>
    <cellStyle name="Normal 253" xfId="5552" xr:uid="{00000000-0005-0000-0000-0000472A0000}"/>
    <cellStyle name="Normal 253 2" xfId="12488" xr:uid="{00000000-0005-0000-0000-0000482A0000}"/>
    <cellStyle name="Normal 26" xfId="948" xr:uid="{00000000-0005-0000-0000-0000492A0000}"/>
    <cellStyle name="Normal 26 2" xfId="949" xr:uid="{00000000-0005-0000-0000-00004A2A0000}"/>
    <cellStyle name="Normal 26 2 2" xfId="8563" xr:uid="{00000000-0005-0000-0000-00004B2A0000}"/>
    <cellStyle name="Normal 26 2 2 2" xfId="12491" xr:uid="{00000000-0005-0000-0000-00004C2A0000}"/>
    <cellStyle name="Normal 26 2 3" xfId="12490" xr:uid="{00000000-0005-0000-0000-00004D2A0000}"/>
    <cellStyle name="Normal 26 3" xfId="5553" xr:uid="{00000000-0005-0000-0000-00004E2A0000}"/>
    <cellStyle name="Normal 26 3 2" xfId="12492" xr:uid="{00000000-0005-0000-0000-00004F2A0000}"/>
    <cellStyle name="Normal 26 4" xfId="7662" xr:uid="{00000000-0005-0000-0000-0000502A0000}"/>
    <cellStyle name="Normal 26 4 2" xfId="12493" xr:uid="{00000000-0005-0000-0000-0000512A0000}"/>
    <cellStyle name="Normal 26 5" xfId="12489" xr:uid="{00000000-0005-0000-0000-0000522A0000}"/>
    <cellStyle name="Normal 27" xfId="950" xr:uid="{00000000-0005-0000-0000-0000532A0000}"/>
    <cellStyle name="Normal 27 2" xfId="951" xr:uid="{00000000-0005-0000-0000-0000542A0000}"/>
    <cellStyle name="Normal 27 2 2" xfId="8564" xr:uid="{00000000-0005-0000-0000-0000552A0000}"/>
    <cellStyle name="Normal 27 2 2 2" xfId="12496" xr:uid="{00000000-0005-0000-0000-0000562A0000}"/>
    <cellStyle name="Normal 27 2 3" xfId="12495" xr:uid="{00000000-0005-0000-0000-0000572A0000}"/>
    <cellStyle name="Normal 27 3" xfId="5554" xr:uid="{00000000-0005-0000-0000-0000582A0000}"/>
    <cellStyle name="Normal 27 3 2" xfId="12497" xr:uid="{00000000-0005-0000-0000-0000592A0000}"/>
    <cellStyle name="Normal 27 4" xfId="7663" xr:uid="{00000000-0005-0000-0000-00005A2A0000}"/>
    <cellStyle name="Normal 27 4 2" xfId="12498" xr:uid="{00000000-0005-0000-0000-00005B2A0000}"/>
    <cellStyle name="Normal 27 5" xfId="12494" xr:uid="{00000000-0005-0000-0000-00005C2A0000}"/>
    <cellStyle name="Normal 28" xfId="952" xr:uid="{00000000-0005-0000-0000-00005D2A0000}"/>
    <cellStyle name="Normal 28 2" xfId="953" xr:uid="{00000000-0005-0000-0000-00005E2A0000}"/>
    <cellStyle name="Normal 28 2 2" xfId="8565" xr:uid="{00000000-0005-0000-0000-00005F2A0000}"/>
    <cellStyle name="Normal 28 2 2 2" xfId="12501" xr:uid="{00000000-0005-0000-0000-0000602A0000}"/>
    <cellStyle name="Normal 28 2 3" xfId="12500" xr:uid="{00000000-0005-0000-0000-0000612A0000}"/>
    <cellStyle name="Normal 28 3" xfId="5555" xr:uid="{00000000-0005-0000-0000-0000622A0000}"/>
    <cellStyle name="Normal 28 3 2" xfId="12502" xr:uid="{00000000-0005-0000-0000-0000632A0000}"/>
    <cellStyle name="Normal 28 4" xfId="7664" xr:uid="{00000000-0005-0000-0000-0000642A0000}"/>
    <cellStyle name="Normal 28 4 2" xfId="12503" xr:uid="{00000000-0005-0000-0000-0000652A0000}"/>
    <cellStyle name="Normal 28 5" xfId="12499" xr:uid="{00000000-0005-0000-0000-0000662A0000}"/>
    <cellStyle name="Normal 29" xfId="954" xr:uid="{00000000-0005-0000-0000-0000672A0000}"/>
    <cellStyle name="Normal 29 2" xfId="955" xr:uid="{00000000-0005-0000-0000-0000682A0000}"/>
    <cellStyle name="Normal 29 2 2" xfId="8566" xr:uid="{00000000-0005-0000-0000-0000692A0000}"/>
    <cellStyle name="Normal 29 2 2 2" xfId="12506" xr:uid="{00000000-0005-0000-0000-00006A2A0000}"/>
    <cellStyle name="Normal 29 2 3" xfId="12505" xr:uid="{00000000-0005-0000-0000-00006B2A0000}"/>
    <cellStyle name="Normal 29 3" xfId="5556" xr:uid="{00000000-0005-0000-0000-00006C2A0000}"/>
    <cellStyle name="Normal 29 3 2" xfId="12507" xr:uid="{00000000-0005-0000-0000-00006D2A0000}"/>
    <cellStyle name="Normal 29 4" xfId="7665" xr:uid="{00000000-0005-0000-0000-00006E2A0000}"/>
    <cellStyle name="Normal 29 4 2" xfId="12508" xr:uid="{00000000-0005-0000-0000-00006F2A0000}"/>
    <cellStyle name="Normal 29 5" xfId="12504" xr:uid="{00000000-0005-0000-0000-0000702A0000}"/>
    <cellStyle name="Normal 3" xfId="1172" xr:uid="{00000000-0005-0000-0000-0000712A0000}"/>
    <cellStyle name="Normal 3 10" xfId="5557" xr:uid="{00000000-0005-0000-0000-0000722A0000}"/>
    <cellStyle name="Normal 3 10 2" xfId="12510" xr:uid="{00000000-0005-0000-0000-0000732A0000}"/>
    <cellStyle name="Normal 3 100" xfId="5558" xr:uid="{00000000-0005-0000-0000-0000742A0000}"/>
    <cellStyle name="Normal 3 100 2" xfId="12511" xr:uid="{00000000-0005-0000-0000-0000752A0000}"/>
    <cellStyle name="Normal 3 101" xfId="5559" xr:uid="{00000000-0005-0000-0000-0000762A0000}"/>
    <cellStyle name="Normal 3 101 2" xfId="12512" xr:uid="{00000000-0005-0000-0000-0000772A0000}"/>
    <cellStyle name="Normal 3 102" xfId="5560" xr:uid="{00000000-0005-0000-0000-0000782A0000}"/>
    <cellStyle name="Normal 3 102 2" xfId="12513" xr:uid="{00000000-0005-0000-0000-0000792A0000}"/>
    <cellStyle name="Normal 3 103" xfId="5561" xr:uid="{00000000-0005-0000-0000-00007A2A0000}"/>
    <cellStyle name="Normal 3 103 2" xfId="12514" xr:uid="{00000000-0005-0000-0000-00007B2A0000}"/>
    <cellStyle name="Normal 3 104" xfId="5562" xr:uid="{00000000-0005-0000-0000-00007C2A0000}"/>
    <cellStyle name="Normal 3 104 2" xfId="12515" xr:uid="{00000000-0005-0000-0000-00007D2A0000}"/>
    <cellStyle name="Normal 3 105" xfId="5563" xr:uid="{00000000-0005-0000-0000-00007E2A0000}"/>
    <cellStyle name="Normal 3 105 2" xfId="12516" xr:uid="{00000000-0005-0000-0000-00007F2A0000}"/>
    <cellStyle name="Normal 3 106" xfId="5564" xr:uid="{00000000-0005-0000-0000-0000802A0000}"/>
    <cellStyle name="Normal 3 106 2" xfId="12517" xr:uid="{00000000-0005-0000-0000-0000812A0000}"/>
    <cellStyle name="Normal 3 107" xfId="5565" xr:uid="{00000000-0005-0000-0000-0000822A0000}"/>
    <cellStyle name="Normal 3 107 2" xfId="12518" xr:uid="{00000000-0005-0000-0000-0000832A0000}"/>
    <cellStyle name="Normal 3 108" xfId="5566" xr:uid="{00000000-0005-0000-0000-0000842A0000}"/>
    <cellStyle name="Normal 3 108 2" xfId="12519" xr:uid="{00000000-0005-0000-0000-0000852A0000}"/>
    <cellStyle name="Normal 3 109" xfId="5567" xr:uid="{00000000-0005-0000-0000-0000862A0000}"/>
    <cellStyle name="Normal 3 109 2" xfId="12520" xr:uid="{00000000-0005-0000-0000-0000872A0000}"/>
    <cellStyle name="Normal 3 11" xfId="5568" xr:uid="{00000000-0005-0000-0000-0000882A0000}"/>
    <cellStyle name="Normal 3 11 2" xfId="12521" xr:uid="{00000000-0005-0000-0000-0000892A0000}"/>
    <cellStyle name="Normal 3 110" xfId="5569" xr:uid="{00000000-0005-0000-0000-00008A2A0000}"/>
    <cellStyle name="Normal 3 110 2" xfId="12522" xr:uid="{00000000-0005-0000-0000-00008B2A0000}"/>
    <cellStyle name="Normal 3 111" xfId="5570" xr:uid="{00000000-0005-0000-0000-00008C2A0000}"/>
    <cellStyle name="Normal 3 111 2" xfId="12523" xr:uid="{00000000-0005-0000-0000-00008D2A0000}"/>
    <cellStyle name="Normal 3 112" xfId="5571" xr:uid="{00000000-0005-0000-0000-00008E2A0000}"/>
    <cellStyle name="Normal 3 112 2" xfId="12524" xr:uid="{00000000-0005-0000-0000-00008F2A0000}"/>
    <cellStyle name="Normal 3 113" xfId="5572" xr:uid="{00000000-0005-0000-0000-0000902A0000}"/>
    <cellStyle name="Normal 3 113 2" xfId="12525" xr:uid="{00000000-0005-0000-0000-0000912A0000}"/>
    <cellStyle name="Normal 3 114" xfId="5573" xr:uid="{00000000-0005-0000-0000-0000922A0000}"/>
    <cellStyle name="Normal 3 114 2" xfId="12526" xr:uid="{00000000-0005-0000-0000-0000932A0000}"/>
    <cellStyle name="Normal 3 115" xfId="5574" xr:uid="{00000000-0005-0000-0000-0000942A0000}"/>
    <cellStyle name="Normal 3 115 2" xfId="12527" xr:uid="{00000000-0005-0000-0000-0000952A0000}"/>
    <cellStyle name="Normal 3 116" xfId="5575" xr:uid="{00000000-0005-0000-0000-0000962A0000}"/>
    <cellStyle name="Normal 3 116 2" xfId="12528" xr:uid="{00000000-0005-0000-0000-0000972A0000}"/>
    <cellStyle name="Normal 3 117" xfId="5576" xr:uid="{00000000-0005-0000-0000-0000982A0000}"/>
    <cellStyle name="Normal 3 117 2" xfId="12529" xr:uid="{00000000-0005-0000-0000-0000992A0000}"/>
    <cellStyle name="Normal 3 118" xfId="5577" xr:uid="{00000000-0005-0000-0000-00009A2A0000}"/>
    <cellStyle name="Normal 3 118 2" xfId="12530" xr:uid="{00000000-0005-0000-0000-00009B2A0000}"/>
    <cellStyle name="Normal 3 119" xfId="5578" xr:uid="{00000000-0005-0000-0000-00009C2A0000}"/>
    <cellStyle name="Normal 3 119 2" xfId="12531" xr:uid="{00000000-0005-0000-0000-00009D2A0000}"/>
    <cellStyle name="Normal 3 12" xfId="5579" xr:uid="{00000000-0005-0000-0000-00009E2A0000}"/>
    <cellStyle name="Normal 3 12 2" xfId="12532" xr:uid="{00000000-0005-0000-0000-00009F2A0000}"/>
    <cellStyle name="Normal 3 120" xfId="5580" xr:uid="{00000000-0005-0000-0000-0000A02A0000}"/>
    <cellStyle name="Normal 3 120 2" xfId="12533" xr:uid="{00000000-0005-0000-0000-0000A12A0000}"/>
    <cellStyle name="Normal 3 121" xfId="5581" xr:uid="{00000000-0005-0000-0000-0000A22A0000}"/>
    <cellStyle name="Normal 3 121 2" xfId="12534" xr:uid="{00000000-0005-0000-0000-0000A32A0000}"/>
    <cellStyle name="Normal 3 122" xfId="5582" xr:uid="{00000000-0005-0000-0000-0000A42A0000}"/>
    <cellStyle name="Normal 3 122 2" xfId="12535" xr:uid="{00000000-0005-0000-0000-0000A52A0000}"/>
    <cellStyle name="Normal 3 123" xfId="5583" xr:uid="{00000000-0005-0000-0000-0000A62A0000}"/>
    <cellStyle name="Normal 3 123 2" xfId="12536" xr:uid="{00000000-0005-0000-0000-0000A72A0000}"/>
    <cellStyle name="Normal 3 124" xfId="5584" xr:uid="{00000000-0005-0000-0000-0000A82A0000}"/>
    <cellStyle name="Normal 3 124 2" xfId="12537" xr:uid="{00000000-0005-0000-0000-0000A92A0000}"/>
    <cellStyle name="Normal 3 125" xfId="5585" xr:uid="{00000000-0005-0000-0000-0000AA2A0000}"/>
    <cellStyle name="Normal 3 125 2" xfId="12538" xr:uid="{00000000-0005-0000-0000-0000AB2A0000}"/>
    <cellStyle name="Normal 3 126" xfId="5586" xr:uid="{00000000-0005-0000-0000-0000AC2A0000}"/>
    <cellStyle name="Normal 3 126 2" xfId="12539" xr:uid="{00000000-0005-0000-0000-0000AD2A0000}"/>
    <cellStyle name="Normal 3 127" xfId="5587" xr:uid="{00000000-0005-0000-0000-0000AE2A0000}"/>
    <cellStyle name="Normal 3 127 2" xfId="12540" xr:uid="{00000000-0005-0000-0000-0000AF2A0000}"/>
    <cellStyle name="Normal 3 128" xfId="5588" xr:uid="{00000000-0005-0000-0000-0000B02A0000}"/>
    <cellStyle name="Normal 3 128 2" xfId="12541" xr:uid="{00000000-0005-0000-0000-0000B12A0000}"/>
    <cellStyle name="Normal 3 129" xfId="5589" xr:uid="{00000000-0005-0000-0000-0000B22A0000}"/>
    <cellStyle name="Normal 3 129 2" xfId="12542" xr:uid="{00000000-0005-0000-0000-0000B32A0000}"/>
    <cellStyle name="Normal 3 13" xfId="5590" xr:uid="{00000000-0005-0000-0000-0000B42A0000}"/>
    <cellStyle name="Normal 3 13 2" xfId="12543" xr:uid="{00000000-0005-0000-0000-0000B52A0000}"/>
    <cellStyle name="Normal 3 130" xfId="5591" xr:uid="{00000000-0005-0000-0000-0000B62A0000}"/>
    <cellStyle name="Normal 3 130 2" xfId="12544" xr:uid="{00000000-0005-0000-0000-0000B72A0000}"/>
    <cellStyle name="Normal 3 131" xfId="5592" xr:uid="{00000000-0005-0000-0000-0000B82A0000}"/>
    <cellStyle name="Normal 3 131 2" xfId="12545" xr:uid="{00000000-0005-0000-0000-0000B92A0000}"/>
    <cellStyle name="Normal 3 132" xfId="5593" xr:uid="{00000000-0005-0000-0000-0000BA2A0000}"/>
    <cellStyle name="Normal 3 132 2" xfId="12546" xr:uid="{00000000-0005-0000-0000-0000BB2A0000}"/>
    <cellStyle name="Normal 3 133" xfId="5594" xr:uid="{00000000-0005-0000-0000-0000BC2A0000}"/>
    <cellStyle name="Normal 3 133 2" xfId="12547" xr:uid="{00000000-0005-0000-0000-0000BD2A0000}"/>
    <cellStyle name="Normal 3 134" xfId="5595" xr:uid="{00000000-0005-0000-0000-0000BE2A0000}"/>
    <cellStyle name="Normal 3 134 2" xfId="12548" xr:uid="{00000000-0005-0000-0000-0000BF2A0000}"/>
    <cellStyle name="Normal 3 135" xfId="5596" xr:uid="{00000000-0005-0000-0000-0000C02A0000}"/>
    <cellStyle name="Normal 3 135 2" xfId="12549" xr:uid="{00000000-0005-0000-0000-0000C12A0000}"/>
    <cellStyle name="Normal 3 136" xfId="5597" xr:uid="{00000000-0005-0000-0000-0000C22A0000}"/>
    <cellStyle name="Normal 3 136 2" xfId="12550" xr:uid="{00000000-0005-0000-0000-0000C32A0000}"/>
    <cellStyle name="Normal 3 137" xfId="5598" xr:uid="{00000000-0005-0000-0000-0000C42A0000}"/>
    <cellStyle name="Normal 3 137 2" xfId="12551" xr:uid="{00000000-0005-0000-0000-0000C52A0000}"/>
    <cellStyle name="Normal 3 138" xfId="5599" xr:uid="{00000000-0005-0000-0000-0000C62A0000}"/>
    <cellStyle name="Normal 3 138 2" xfId="12552" xr:uid="{00000000-0005-0000-0000-0000C72A0000}"/>
    <cellStyle name="Normal 3 139" xfId="5600" xr:uid="{00000000-0005-0000-0000-0000C82A0000}"/>
    <cellStyle name="Normal 3 139 2" xfId="12553" xr:uid="{00000000-0005-0000-0000-0000C92A0000}"/>
    <cellStyle name="Normal 3 14" xfId="5601" xr:uid="{00000000-0005-0000-0000-0000CA2A0000}"/>
    <cellStyle name="Normal 3 14 2" xfId="12554" xr:uid="{00000000-0005-0000-0000-0000CB2A0000}"/>
    <cellStyle name="Normal 3 140" xfId="5602" xr:uid="{00000000-0005-0000-0000-0000CC2A0000}"/>
    <cellStyle name="Normal 3 140 2" xfId="12555" xr:uid="{00000000-0005-0000-0000-0000CD2A0000}"/>
    <cellStyle name="Normal 3 141" xfId="5603" xr:uid="{00000000-0005-0000-0000-0000CE2A0000}"/>
    <cellStyle name="Normal 3 141 2" xfId="12556" xr:uid="{00000000-0005-0000-0000-0000CF2A0000}"/>
    <cellStyle name="Normal 3 142" xfId="5604" xr:uid="{00000000-0005-0000-0000-0000D02A0000}"/>
    <cellStyle name="Normal 3 142 2" xfId="12557" xr:uid="{00000000-0005-0000-0000-0000D12A0000}"/>
    <cellStyle name="Normal 3 143" xfId="5605" xr:uid="{00000000-0005-0000-0000-0000D22A0000}"/>
    <cellStyle name="Normal 3 143 2" xfId="12558" xr:uid="{00000000-0005-0000-0000-0000D32A0000}"/>
    <cellStyle name="Normal 3 144" xfId="5606" xr:uid="{00000000-0005-0000-0000-0000D42A0000}"/>
    <cellStyle name="Normal 3 144 2" xfId="12559" xr:uid="{00000000-0005-0000-0000-0000D52A0000}"/>
    <cellStyle name="Normal 3 145" xfId="5607" xr:uid="{00000000-0005-0000-0000-0000D62A0000}"/>
    <cellStyle name="Normal 3 145 2" xfId="12560" xr:uid="{00000000-0005-0000-0000-0000D72A0000}"/>
    <cellStyle name="Normal 3 146" xfId="5608" xr:uid="{00000000-0005-0000-0000-0000D82A0000}"/>
    <cellStyle name="Normal 3 146 2" xfId="12561" xr:uid="{00000000-0005-0000-0000-0000D92A0000}"/>
    <cellStyle name="Normal 3 147" xfId="5609" xr:uid="{00000000-0005-0000-0000-0000DA2A0000}"/>
    <cellStyle name="Normal 3 147 2" xfId="12562" xr:uid="{00000000-0005-0000-0000-0000DB2A0000}"/>
    <cellStyle name="Normal 3 148" xfId="5610" xr:uid="{00000000-0005-0000-0000-0000DC2A0000}"/>
    <cellStyle name="Normal 3 148 2" xfId="12563" xr:uid="{00000000-0005-0000-0000-0000DD2A0000}"/>
    <cellStyle name="Normal 3 149" xfId="5611" xr:uid="{00000000-0005-0000-0000-0000DE2A0000}"/>
    <cellStyle name="Normal 3 149 2" xfId="12564" xr:uid="{00000000-0005-0000-0000-0000DF2A0000}"/>
    <cellStyle name="Normal 3 15" xfId="5612" xr:uid="{00000000-0005-0000-0000-0000E02A0000}"/>
    <cellStyle name="Normal 3 15 2" xfId="12565" xr:uid="{00000000-0005-0000-0000-0000E12A0000}"/>
    <cellStyle name="Normal 3 150" xfId="5613" xr:uid="{00000000-0005-0000-0000-0000E22A0000}"/>
    <cellStyle name="Normal 3 150 2" xfId="12566" xr:uid="{00000000-0005-0000-0000-0000E32A0000}"/>
    <cellStyle name="Normal 3 151" xfId="5614" xr:uid="{00000000-0005-0000-0000-0000E42A0000}"/>
    <cellStyle name="Normal 3 151 2" xfId="12567" xr:uid="{00000000-0005-0000-0000-0000E52A0000}"/>
    <cellStyle name="Normal 3 152" xfId="5615" xr:uid="{00000000-0005-0000-0000-0000E62A0000}"/>
    <cellStyle name="Normal 3 152 2" xfId="12568" xr:uid="{00000000-0005-0000-0000-0000E72A0000}"/>
    <cellStyle name="Normal 3 153" xfId="5616" xr:uid="{00000000-0005-0000-0000-0000E82A0000}"/>
    <cellStyle name="Normal 3 153 2" xfId="12569" xr:uid="{00000000-0005-0000-0000-0000E92A0000}"/>
    <cellStyle name="Normal 3 154" xfId="5617" xr:uid="{00000000-0005-0000-0000-0000EA2A0000}"/>
    <cellStyle name="Normal 3 154 2" xfId="12570" xr:uid="{00000000-0005-0000-0000-0000EB2A0000}"/>
    <cellStyle name="Normal 3 155" xfId="5618" xr:uid="{00000000-0005-0000-0000-0000EC2A0000}"/>
    <cellStyle name="Normal 3 155 2" xfId="12571" xr:uid="{00000000-0005-0000-0000-0000ED2A0000}"/>
    <cellStyle name="Normal 3 156" xfId="5619" xr:uid="{00000000-0005-0000-0000-0000EE2A0000}"/>
    <cellStyle name="Normal 3 156 2" xfId="12572" xr:uid="{00000000-0005-0000-0000-0000EF2A0000}"/>
    <cellStyle name="Normal 3 157" xfId="5620" xr:uid="{00000000-0005-0000-0000-0000F02A0000}"/>
    <cellStyle name="Normal 3 157 2" xfId="12573" xr:uid="{00000000-0005-0000-0000-0000F12A0000}"/>
    <cellStyle name="Normal 3 158" xfId="5621" xr:uid="{00000000-0005-0000-0000-0000F22A0000}"/>
    <cellStyle name="Normal 3 158 2" xfId="12574" xr:uid="{00000000-0005-0000-0000-0000F32A0000}"/>
    <cellStyle name="Normal 3 159" xfId="5622" xr:uid="{00000000-0005-0000-0000-0000F42A0000}"/>
    <cellStyle name="Normal 3 159 2" xfId="12575" xr:uid="{00000000-0005-0000-0000-0000F52A0000}"/>
    <cellStyle name="Normal 3 16" xfId="5623" xr:uid="{00000000-0005-0000-0000-0000F62A0000}"/>
    <cellStyle name="Normal 3 16 2" xfId="12576" xr:uid="{00000000-0005-0000-0000-0000F72A0000}"/>
    <cellStyle name="Normal 3 160" xfId="5624" xr:uid="{00000000-0005-0000-0000-0000F82A0000}"/>
    <cellStyle name="Normal 3 160 2" xfId="12577" xr:uid="{00000000-0005-0000-0000-0000F92A0000}"/>
    <cellStyle name="Normal 3 161" xfId="5625" xr:uid="{00000000-0005-0000-0000-0000FA2A0000}"/>
    <cellStyle name="Normal 3 161 2" xfId="12578" xr:uid="{00000000-0005-0000-0000-0000FB2A0000}"/>
    <cellStyle name="Normal 3 162" xfId="5626" xr:uid="{00000000-0005-0000-0000-0000FC2A0000}"/>
    <cellStyle name="Normal 3 162 2" xfId="12579" xr:uid="{00000000-0005-0000-0000-0000FD2A0000}"/>
    <cellStyle name="Normal 3 163" xfId="5627" xr:uid="{00000000-0005-0000-0000-0000FE2A0000}"/>
    <cellStyle name="Normal 3 163 2" xfId="12580" xr:uid="{00000000-0005-0000-0000-0000FF2A0000}"/>
    <cellStyle name="Normal 3 164" xfId="5628" xr:uid="{00000000-0005-0000-0000-0000002B0000}"/>
    <cellStyle name="Normal 3 164 2" xfId="12581" xr:uid="{00000000-0005-0000-0000-0000012B0000}"/>
    <cellStyle name="Normal 3 165" xfId="5629" xr:uid="{00000000-0005-0000-0000-0000022B0000}"/>
    <cellStyle name="Normal 3 165 2" xfId="12582" xr:uid="{00000000-0005-0000-0000-0000032B0000}"/>
    <cellStyle name="Normal 3 166" xfId="5630" xr:uid="{00000000-0005-0000-0000-0000042B0000}"/>
    <cellStyle name="Normal 3 166 2" xfId="12583" xr:uid="{00000000-0005-0000-0000-0000052B0000}"/>
    <cellStyle name="Normal 3 167" xfId="5631" xr:uid="{00000000-0005-0000-0000-0000062B0000}"/>
    <cellStyle name="Normal 3 167 2" xfId="12584" xr:uid="{00000000-0005-0000-0000-0000072B0000}"/>
    <cellStyle name="Normal 3 168" xfId="5632" xr:uid="{00000000-0005-0000-0000-0000082B0000}"/>
    <cellStyle name="Normal 3 168 2" xfId="12585" xr:uid="{00000000-0005-0000-0000-0000092B0000}"/>
    <cellStyle name="Normal 3 169" xfId="5633" xr:uid="{00000000-0005-0000-0000-00000A2B0000}"/>
    <cellStyle name="Normal 3 169 2" xfId="12586" xr:uid="{00000000-0005-0000-0000-00000B2B0000}"/>
    <cellStyle name="Normal 3 17" xfId="5634" xr:uid="{00000000-0005-0000-0000-00000C2B0000}"/>
    <cellStyle name="Normal 3 17 2" xfId="12587" xr:uid="{00000000-0005-0000-0000-00000D2B0000}"/>
    <cellStyle name="Normal 3 170" xfId="5635" xr:uid="{00000000-0005-0000-0000-00000E2B0000}"/>
    <cellStyle name="Normal 3 170 2" xfId="12588" xr:uid="{00000000-0005-0000-0000-00000F2B0000}"/>
    <cellStyle name="Normal 3 171" xfId="5636" xr:uid="{00000000-0005-0000-0000-0000102B0000}"/>
    <cellStyle name="Normal 3 171 2" xfId="12589" xr:uid="{00000000-0005-0000-0000-0000112B0000}"/>
    <cellStyle name="Normal 3 172" xfId="5637" xr:uid="{00000000-0005-0000-0000-0000122B0000}"/>
    <cellStyle name="Normal 3 172 2" xfId="12590" xr:uid="{00000000-0005-0000-0000-0000132B0000}"/>
    <cellStyle name="Normal 3 173" xfId="5638" xr:uid="{00000000-0005-0000-0000-0000142B0000}"/>
    <cellStyle name="Normal 3 173 2" xfId="12591" xr:uid="{00000000-0005-0000-0000-0000152B0000}"/>
    <cellStyle name="Normal 3 174" xfId="5639" xr:uid="{00000000-0005-0000-0000-0000162B0000}"/>
    <cellStyle name="Normal 3 174 2" xfId="12592" xr:uid="{00000000-0005-0000-0000-0000172B0000}"/>
    <cellStyle name="Normal 3 175" xfId="5640" xr:uid="{00000000-0005-0000-0000-0000182B0000}"/>
    <cellStyle name="Normal 3 175 2" xfId="12593" xr:uid="{00000000-0005-0000-0000-0000192B0000}"/>
    <cellStyle name="Normal 3 176" xfId="5641" xr:uid="{00000000-0005-0000-0000-00001A2B0000}"/>
    <cellStyle name="Normal 3 176 2" xfId="12594" xr:uid="{00000000-0005-0000-0000-00001B2B0000}"/>
    <cellStyle name="Normal 3 177" xfId="5642" xr:uid="{00000000-0005-0000-0000-00001C2B0000}"/>
    <cellStyle name="Normal 3 177 2" xfId="12595" xr:uid="{00000000-0005-0000-0000-00001D2B0000}"/>
    <cellStyle name="Normal 3 178" xfId="5643" xr:uid="{00000000-0005-0000-0000-00001E2B0000}"/>
    <cellStyle name="Normal 3 178 2" xfId="12596" xr:uid="{00000000-0005-0000-0000-00001F2B0000}"/>
    <cellStyle name="Normal 3 179" xfId="5644" xr:uid="{00000000-0005-0000-0000-0000202B0000}"/>
    <cellStyle name="Normal 3 179 2" xfId="12597" xr:uid="{00000000-0005-0000-0000-0000212B0000}"/>
    <cellStyle name="Normal 3 18" xfId="5645" xr:uid="{00000000-0005-0000-0000-0000222B0000}"/>
    <cellStyle name="Normal 3 18 2" xfId="12598" xr:uid="{00000000-0005-0000-0000-0000232B0000}"/>
    <cellStyle name="Normal 3 180" xfId="5646" xr:uid="{00000000-0005-0000-0000-0000242B0000}"/>
    <cellStyle name="Normal 3 180 2" xfId="12599" xr:uid="{00000000-0005-0000-0000-0000252B0000}"/>
    <cellStyle name="Normal 3 181" xfId="5647" xr:uid="{00000000-0005-0000-0000-0000262B0000}"/>
    <cellStyle name="Normal 3 181 2" xfId="12600" xr:uid="{00000000-0005-0000-0000-0000272B0000}"/>
    <cellStyle name="Normal 3 182" xfId="5648" xr:uid="{00000000-0005-0000-0000-0000282B0000}"/>
    <cellStyle name="Normal 3 182 2" xfId="12601" xr:uid="{00000000-0005-0000-0000-0000292B0000}"/>
    <cellStyle name="Normal 3 183" xfId="5649" xr:uid="{00000000-0005-0000-0000-00002A2B0000}"/>
    <cellStyle name="Normal 3 183 2" xfId="12602" xr:uid="{00000000-0005-0000-0000-00002B2B0000}"/>
    <cellStyle name="Normal 3 184" xfId="5650" xr:uid="{00000000-0005-0000-0000-00002C2B0000}"/>
    <cellStyle name="Normal 3 184 2" xfId="12603" xr:uid="{00000000-0005-0000-0000-00002D2B0000}"/>
    <cellStyle name="Normal 3 185" xfId="5651" xr:uid="{00000000-0005-0000-0000-00002E2B0000}"/>
    <cellStyle name="Normal 3 185 2" xfId="12604" xr:uid="{00000000-0005-0000-0000-00002F2B0000}"/>
    <cellStyle name="Normal 3 186" xfId="5652" xr:uid="{00000000-0005-0000-0000-0000302B0000}"/>
    <cellStyle name="Normal 3 186 2" xfId="12605" xr:uid="{00000000-0005-0000-0000-0000312B0000}"/>
    <cellStyle name="Normal 3 187" xfId="5653" xr:uid="{00000000-0005-0000-0000-0000322B0000}"/>
    <cellStyle name="Normal 3 187 2" xfId="12606" xr:uid="{00000000-0005-0000-0000-0000332B0000}"/>
    <cellStyle name="Normal 3 188" xfId="5654" xr:uid="{00000000-0005-0000-0000-0000342B0000}"/>
    <cellStyle name="Normal 3 188 2" xfId="12607" xr:uid="{00000000-0005-0000-0000-0000352B0000}"/>
    <cellStyle name="Normal 3 189" xfId="5655" xr:uid="{00000000-0005-0000-0000-0000362B0000}"/>
    <cellStyle name="Normal 3 189 2" xfId="12608" xr:uid="{00000000-0005-0000-0000-0000372B0000}"/>
    <cellStyle name="Normal 3 19" xfId="5656" xr:uid="{00000000-0005-0000-0000-0000382B0000}"/>
    <cellStyle name="Normal 3 19 2" xfId="12609" xr:uid="{00000000-0005-0000-0000-0000392B0000}"/>
    <cellStyle name="Normal 3 190" xfId="5657" xr:uid="{00000000-0005-0000-0000-00003A2B0000}"/>
    <cellStyle name="Normal 3 190 2" xfId="12610" xr:uid="{00000000-0005-0000-0000-00003B2B0000}"/>
    <cellStyle name="Normal 3 191" xfId="5658" xr:uid="{00000000-0005-0000-0000-00003C2B0000}"/>
    <cellStyle name="Normal 3 191 2" xfId="12611" xr:uid="{00000000-0005-0000-0000-00003D2B0000}"/>
    <cellStyle name="Normal 3 192" xfId="5659" xr:uid="{00000000-0005-0000-0000-00003E2B0000}"/>
    <cellStyle name="Normal 3 192 2" xfId="12612" xr:uid="{00000000-0005-0000-0000-00003F2B0000}"/>
    <cellStyle name="Normal 3 193" xfId="5660" xr:uid="{00000000-0005-0000-0000-0000402B0000}"/>
    <cellStyle name="Normal 3 193 2" xfId="12613" xr:uid="{00000000-0005-0000-0000-0000412B0000}"/>
    <cellStyle name="Normal 3 194" xfId="5661" xr:uid="{00000000-0005-0000-0000-0000422B0000}"/>
    <cellStyle name="Normal 3 194 2" xfId="12614" xr:uid="{00000000-0005-0000-0000-0000432B0000}"/>
    <cellStyle name="Normal 3 195" xfId="5662" xr:uid="{00000000-0005-0000-0000-0000442B0000}"/>
    <cellStyle name="Normal 3 195 2" xfId="12615" xr:uid="{00000000-0005-0000-0000-0000452B0000}"/>
    <cellStyle name="Normal 3 196" xfId="5663" xr:uid="{00000000-0005-0000-0000-0000462B0000}"/>
    <cellStyle name="Normal 3 196 2" xfId="12616" xr:uid="{00000000-0005-0000-0000-0000472B0000}"/>
    <cellStyle name="Normal 3 197" xfId="5664" xr:uid="{00000000-0005-0000-0000-0000482B0000}"/>
    <cellStyle name="Normal 3 197 2" xfId="12617" xr:uid="{00000000-0005-0000-0000-0000492B0000}"/>
    <cellStyle name="Normal 3 198" xfId="5665" xr:uid="{00000000-0005-0000-0000-00004A2B0000}"/>
    <cellStyle name="Normal 3 198 2" xfId="12618" xr:uid="{00000000-0005-0000-0000-00004B2B0000}"/>
    <cellStyle name="Normal 3 199" xfId="5666" xr:uid="{00000000-0005-0000-0000-00004C2B0000}"/>
    <cellStyle name="Normal 3 199 2" xfId="12619" xr:uid="{00000000-0005-0000-0000-00004D2B0000}"/>
    <cellStyle name="Normal 3 2" xfId="5667" xr:uid="{00000000-0005-0000-0000-00004E2B0000}"/>
    <cellStyle name="Normal 3 2 2" xfId="5668" xr:uid="{00000000-0005-0000-0000-00004F2B0000}"/>
    <cellStyle name="Normal 3 2 2 2" xfId="12621" xr:uid="{00000000-0005-0000-0000-0000502B0000}"/>
    <cellStyle name="Normal 3 2 3" xfId="12620" xr:uid="{00000000-0005-0000-0000-0000512B0000}"/>
    <cellStyle name="Normal 3 20" xfId="5669" xr:uid="{00000000-0005-0000-0000-0000522B0000}"/>
    <cellStyle name="Normal 3 20 2" xfId="12622" xr:uid="{00000000-0005-0000-0000-0000532B0000}"/>
    <cellStyle name="Normal 3 200" xfId="5670" xr:uid="{00000000-0005-0000-0000-0000542B0000}"/>
    <cellStyle name="Normal 3 200 2" xfId="12623" xr:uid="{00000000-0005-0000-0000-0000552B0000}"/>
    <cellStyle name="Normal 3 201" xfId="5671" xr:uid="{00000000-0005-0000-0000-0000562B0000}"/>
    <cellStyle name="Normal 3 201 2" xfId="12624" xr:uid="{00000000-0005-0000-0000-0000572B0000}"/>
    <cellStyle name="Normal 3 202" xfId="5672" xr:uid="{00000000-0005-0000-0000-0000582B0000}"/>
    <cellStyle name="Normal 3 202 2" xfId="12625" xr:uid="{00000000-0005-0000-0000-0000592B0000}"/>
    <cellStyle name="Normal 3 203" xfId="5673" xr:uid="{00000000-0005-0000-0000-00005A2B0000}"/>
    <cellStyle name="Normal 3 203 2" xfId="12626" xr:uid="{00000000-0005-0000-0000-00005B2B0000}"/>
    <cellStyle name="Normal 3 204" xfId="5674" xr:uid="{00000000-0005-0000-0000-00005C2B0000}"/>
    <cellStyle name="Normal 3 204 2" xfId="12627" xr:uid="{00000000-0005-0000-0000-00005D2B0000}"/>
    <cellStyle name="Normal 3 205" xfId="5675" xr:uid="{00000000-0005-0000-0000-00005E2B0000}"/>
    <cellStyle name="Normal 3 205 2" xfId="12628" xr:uid="{00000000-0005-0000-0000-00005F2B0000}"/>
    <cellStyle name="Normal 3 206" xfId="5676" xr:uid="{00000000-0005-0000-0000-0000602B0000}"/>
    <cellStyle name="Normal 3 206 2" xfId="12629" xr:uid="{00000000-0005-0000-0000-0000612B0000}"/>
    <cellStyle name="Normal 3 207" xfId="5677" xr:uid="{00000000-0005-0000-0000-0000622B0000}"/>
    <cellStyle name="Normal 3 207 2" xfId="12630" xr:uid="{00000000-0005-0000-0000-0000632B0000}"/>
    <cellStyle name="Normal 3 208" xfId="5678" xr:uid="{00000000-0005-0000-0000-0000642B0000}"/>
    <cellStyle name="Normal 3 208 2" xfId="12631" xr:uid="{00000000-0005-0000-0000-0000652B0000}"/>
    <cellStyle name="Normal 3 209" xfId="5679" xr:uid="{00000000-0005-0000-0000-0000662B0000}"/>
    <cellStyle name="Normal 3 209 2" xfId="12632" xr:uid="{00000000-0005-0000-0000-0000672B0000}"/>
    <cellStyle name="Normal 3 21" xfId="5680" xr:uid="{00000000-0005-0000-0000-0000682B0000}"/>
    <cellStyle name="Normal 3 21 2" xfId="12633" xr:uid="{00000000-0005-0000-0000-0000692B0000}"/>
    <cellStyle name="Normal 3 210" xfId="5681" xr:uid="{00000000-0005-0000-0000-00006A2B0000}"/>
    <cellStyle name="Normal 3 210 2" xfId="12634" xr:uid="{00000000-0005-0000-0000-00006B2B0000}"/>
    <cellStyle name="Normal 3 211" xfId="5682" xr:uid="{00000000-0005-0000-0000-00006C2B0000}"/>
    <cellStyle name="Normal 3 211 2" xfId="12635" xr:uid="{00000000-0005-0000-0000-00006D2B0000}"/>
    <cellStyle name="Normal 3 212" xfId="5683" xr:uid="{00000000-0005-0000-0000-00006E2B0000}"/>
    <cellStyle name="Normal 3 212 2" xfId="12636" xr:uid="{00000000-0005-0000-0000-00006F2B0000}"/>
    <cellStyle name="Normal 3 213" xfId="5684" xr:uid="{00000000-0005-0000-0000-0000702B0000}"/>
    <cellStyle name="Normal 3 213 2" xfId="12637" xr:uid="{00000000-0005-0000-0000-0000712B0000}"/>
    <cellStyle name="Normal 3 214" xfId="5685" xr:uid="{00000000-0005-0000-0000-0000722B0000}"/>
    <cellStyle name="Normal 3 214 2" xfId="12638" xr:uid="{00000000-0005-0000-0000-0000732B0000}"/>
    <cellStyle name="Normal 3 215" xfId="5686" xr:uid="{00000000-0005-0000-0000-0000742B0000}"/>
    <cellStyle name="Normal 3 215 2" xfId="12639" xr:uid="{00000000-0005-0000-0000-0000752B0000}"/>
    <cellStyle name="Normal 3 216" xfId="5687" xr:uid="{00000000-0005-0000-0000-0000762B0000}"/>
    <cellStyle name="Normal 3 216 2" xfId="12640" xr:uid="{00000000-0005-0000-0000-0000772B0000}"/>
    <cellStyle name="Normal 3 217" xfId="5688" xr:uid="{00000000-0005-0000-0000-0000782B0000}"/>
    <cellStyle name="Normal 3 217 2" xfId="12641" xr:uid="{00000000-0005-0000-0000-0000792B0000}"/>
    <cellStyle name="Normal 3 218" xfId="5689" xr:uid="{00000000-0005-0000-0000-00007A2B0000}"/>
    <cellStyle name="Normal 3 218 2" xfId="12642" xr:uid="{00000000-0005-0000-0000-00007B2B0000}"/>
    <cellStyle name="Normal 3 219" xfId="5690" xr:uid="{00000000-0005-0000-0000-00007C2B0000}"/>
    <cellStyle name="Normal 3 219 2" xfId="12643" xr:uid="{00000000-0005-0000-0000-00007D2B0000}"/>
    <cellStyle name="Normal 3 22" xfId="5691" xr:uid="{00000000-0005-0000-0000-00007E2B0000}"/>
    <cellStyle name="Normal 3 22 2" xfId="12644" xr:uid="{00000000-0005-0000-0000-00007F2B0000}"/>
    <cellStyle name="Normal 3 220" xfId="5692" xr:uid="{00000000-0005-0000-0000-0000802B0000}"/>
    <cellStyle name="Normal 3 220 2" xfId="12645" xr:uid="{00000000-0005-0000-0000-0000812B0000}"/>
    <cellStyle name="Normal 3 221" xfId="5693" xr:uid="{00000000-0005-0000-0000-0000822B0000}"/>
    <cellStyle name="Normal 3 221 2" xfId="12646" xr:uid="{00000000-0005-0000-0000-0000832B0000}"/>
    <cellStyle name="Normal 3 222" xfId="5694" xr:uid="{00000000-0005-0000-0000-0000842B0000}"/>
    <cellStyle name="Normal 3 222 2" xfId="12647" xr:uid="{00000000-0005-0000-0000-0000852B0000}"/>
    <cellStyle name="Normal 3 223" xfId="5695" xr:uid="{00000000-0005-0000-0000-0000862B0000}"/>
    <cellStyle name="Normal 3 223 2" xfId="12648" xr:uid="{00000000-0005-0000-0000-0000872B0000}"/>
    <cellStyle name="Normal 3 224" xfId="5696" xr:uid="{00000000-0005-0000-0000-0000882B0000}"/>
    <cellStyle name="Normal 3 224 2" xfId="12649" xr:uid="{00000000-0005-0000-0000-0000892B0000}"/>
    <cellStyle name="Normal 3 225" xfId="5697" xr:uid="{00000000-0005-0000-0000-00008A2B0000}"/>
    <cellStyle name="Normal 3 225 2" xfId="12650" xr:uid="{00000000-0005-0000-0000-00008B2B0000}"/>
    <cellStyle name="Normal 3 226" xfId="5698" xr:uid="{00000000-0005-0000-0000-00008C2B0000}"/>
    <cellStyle name="Normal 3 226 2" xfId="12651" xr:uid="{00000000-0005-0000-0000-00008D2B0000}"/>
    <cellStyle name="Normal 3 227" xfId="5699" xr:uid="{00000000-0005-0000-0000-00008E2B0000}"/>
    <cellStyle name="Normal 3 227 2" xfId="12652" xr:uid="{00000000-0005-0000-0000-00008F2B0000}"/>
    <cellStyle name="Normal 3 228" xfId="5700" xr:uid="{00000000-0005-0000-0000-0000902B0000}"/>
    <cellStyle name="Normal 3 228 2" xfId="12653" xr:uid="{00000000-0005-0000-0000-0000912B0000}"/>
    <cellStyle name="Normal 3 229" xfId="5701" xr:uid="{00000000-0005-0000-0000-0000922B0000}"/>
    <cellStyle name="Normal 3 229 2" xfId="12654" xr:uid="{00000000-0005-0000-0000-0000932B0000}"/>
    <cellStyle name="Normal 3 23" xfId="5702" xr:uid="{00000000-0005-0000-0000-0000942B0000}"/>
    <cellStyle name="Normal 3 23 2" xfId="12655" xr:uid="{00000000-0005-0000-0000-0000952B0000}"/>
    <cellStyle name="Normal 3 230" xfId="5703" xr:uid="{00000000-0005-0000-0000-0000962B0000}"/>
    <cellStyle name="Normal 3 230 2" xfId="12656" xr:uid="{00000000-0005-0000-0000-0000972B0000}"/>
    <cellStyle name="Normal 3 231" xfId="5704" xr:uid="{00000000-0005-0000-0000-0000982B0000}"/>
    <cellStyle name="Normal 3 231 2" xfId="12657" xr:uid="{00000000-0005-0000-0000-0000992B0000}"/>
    <cellStyle name="Normal 3 232" xfId="5705" xr:uid="{00000000-0005-0000-0000-00009A2B0000}"/>
    <cellStyle name="Normal 3 232 2" xfId="12658" xr:uid="{00000000-0005-0000-0000-00009B2B0000}"/>
    <cellStyle name="Normal 3 233" xfId="5706" xr:uid="{00000000-0005-0000-0000-00009C2B0000}"/>
    <cellStyle name="Normal 3 233 2" xfId="12659" xr:uid="{00000000-0005-0000-0000-00009D2B0000}"/>
    <cellStyle name="Normal 3 234" xfId="5707" xr:uid="{00000000-0005-0000-0000-00009E2B0000}"/>
    <cellStyle name="Normal 3 234 2" xfId="12660" xr:uid="{00000000-0005-0000-0000-00009F2B0000}"/>
    <cellStyle name="Normal 3 235" xfId="5708" xr:uid="{00000000-0005-0000-0000-0000A02B0000}"/>
    <cellStyle name="Normal 3 235 2" xfId="12661" xr:uid="{00000000-0005-0000-0000-0000A12B0000}"/>
    <cellStyle name="Normal 3 236" xfId="5709" xr:uid="{00000000-0005-0000-0000-0000A22B0000}"/>
    <cellStyle name="Normal 3 236 2" xfId="12662" xr:uid="{00000000-0005-0000-0000-0000A32B0000}"/>
    <cellStyle name="Normal 3 237" xfId="5710" xr:uid="{00000000-0005-0000-0000-0000A42B0000}"/>
    <cellStyle name="Normal 3 237 2" xfId="12663" xr:uid="{00000000-0005-0000-0000-0000A52B0000}"/>
    <cellStyle name="Normal 3 238" xfId="5711" xr:uid="{00000000-0005-0000-0000-0000A62B0000}"/>
    <cellStyle name="Normal 3 238 2" xfId="12664" xr:uid="{00000000-0005-0000-0000-0000A72B0000}"/>
    <cellStyle name="Normal 3 239" xfId="5712" xr:uid="{00000000-0005-0000-0000-0000A82B0000}"/>
    <cellStyle name="Normal 3 239 2" xfId="12665" xr:uid="{00000000-0005-0000-0000-0000A92B0000}"/>
    <cellStyle name="Normal 3 24" xfId="5713" xr:uid="{00000000-0005-0000-0000-0000AA2B0000}"/>
    <cellStyle name="Normal 3 24 2" xfId="12666" xr:uid="{00000000-0005-0000-0000-0000AB2B0000}"/>
    <cellStyle name="Normal 3 240" xfId="5714" xr:uid="{00000000-0005-0000-0000-0000AC2B0000}"/>
    <cellStyle name="Normal 3 240 2" xfId="12667" xr:uid="{00000000-0005-0000-0000-0000AD2B0000}"/>
    <cellStyle name="Normal 3 241" xfId="5715" xr:uid="{00000000-0005-0000-0000-0000AE2B0000}"/>
    <cellStyle name="Normal 3 241 2" xfId="12668" xr:uid="{00000000-0005-0000-0000-0000AF2B0000}"/>
    <cellStyle name="Normal 3 242" xfId="5716" xr:uid="{00000000-0005-0000-0000-0000B02B0000}"/>
    <cellStyle name="Normal 3 242 2" xfId="12669" xr:uid="{00000000-0005-0000-0000-0000B12B0000}"/>
    <cellStyle name="Normal 3 243" xfId="5717" xr:uid="{00000000-0005-0000-0000-0000B22B0000}"/>
    <cellStyle name="Normal 3 243 2" xfId="12670" xr:uid="{00000000-0005-0000-0000-0000B32B0000}"/>
    <cellStyle name="Normal 3 244" xfId="5718" xr:uid="{00000000-0005-0000-0000-0000B42B0000}"/>
    <cellStyle name="Normal 3 244 2" xfId="12671" xr:uid="{00000000-0005-0000-0000-0000B52B0000}"/>
    <cellStyle name="Normal 3 245" xfId="5719" xr:uid="{00000000-0005-0000-0000-0000B62B0000}"/>
    <cellStyle name="Normal 3 245 2" xfId="12672" xr:uid="{00000000-0005-0000-0000-0000B72B0000}"/>
    <cellStyle name="Normal 3 246" xfId="5720" xr:uid="{00000000-0005-0000-0000-0000B82B0000}"/>
    <cellStyle name="Normal 3 246 2" xfId="12673" xr:uid="{00000000-0005-0000-0000-0000B92B0000}"/>
    <cellStyle name="Normal 3 247" xfId="5721" xr:uid="{00000000-0005-0000-0000-0000BA2B0000}"/>
    <cellStyle name="Normal 3 247 2" xfId="12674" xr:uid="{00000000-0005-0000-0000-0000BB2B0000}"/>
    <cellStyle name="Normal 3 248" xfId="5722" xr:uid="{00000000-0005-0000-0000-0000BC2B0000}"/>
    <cellStyle name="Normal 3 248 2" xfId="12675" xr:uid="{00000000-0005-0000-0000-0000BD2B0000}"/>
    <cellStyle name="Normal 3 249" xfId="5723" xr:uid="{00000000-0005-0000-0000-0000BE2B0000}"/>
    <cellStyle name="Normal 3 249 2" xfId="12676" xr:uid="{00000000-0005-0000-0000-0000BF2B0000}"/>
    <cellStyle name="Normal 3 25" xfId="5724" xr:uid="{00000000-0005-0000-0000-0000C02B0000}"/>
    <cellStyle name="Normal 3 25 2" xfId="12677" xr:uid="{00000000-0005-0000-0000-0000C12B0000}"/>
    <cellStyle name="Normal 3 250" xfId="5725" xr:uid="{00000000-0005-0000-0000-0000C22B0000}"/>
    <cellStyle name="Normal 3 250 2" xfId="12678" xr:uid="{00000000-0005-0000-0000-0000C32B0000}"/>
    <cellStyle name="Normal 3 251" xfId="5726" xr:uid="{00000000-0005-0000-0000-0000C42B0000}"/>
    <cellStyle name="Normal 3 251 2" xfId="12679" xr:uid="{00000000-0005-0000-0000-0000C52B0000}"/>
    <cellStyle name="Normal 3 252" xfId="5727" xr:uid="{00000000-0005-0000-0000-0000C62B0000}"/>
    <cellStyle name="Normal 3 252 2" xfId="12680" xr:uid="{00000000-0005-0000-0000-0000C72B0000}"/>
    <cellStyle name="Normal 3 253" xfId="5728" xr:uid="{00000000-0005-0000-0000-0000C82B0000}"/>
    <cellStyle name="Normal 3 253 2" xfId="12681" xr:uid="{00000000-0005-0000-0000-0000C92B0000}"/>
    <cellStyle name="Normal 3 254" xfId="5729" xr:uid="{00000000-0005-0000-0000-0000CA2B0000}"/>
    <cellStyle name="Normal 3 254 2" xfId="12682" xr:uid="{00000000-0005-0000-0000-0000CB2B0000}"/>
    <cellStyle name="Normal 3 255" xfId="5730" xr:uid="{00000000-0005-0000-0000-0000CC2B0000}"/>
    <cellStyle name="Normal 3 255 2" xfId="12683" xr:uid="{00000000-0005-0000-0000-0000CD2B0000}"/>
    <cellStyle name="Normal 3 256" xfId="7666" xr:uid="{00000000-0005-0000-0000-0000CE2B0000}"/>
    <cellStyle name="Normal 3 256 2" xfId="12684" xr:uid="{00000000-0005-0000-0000-0000CF2B0000}"/>
    <cellStyle name="Normal 3 257" xfId="12509" xr:uid="{00000000-0005-0000-0000-0000D02B0000}"/>
    <cellStyle name="Normal 3 26" xfId="5731" xr:uid="{00000000-0005-0000-0000-0000D12B0000}"/>
    <cellStyle name="Normal 3 26 2" xfId="12685" xr:uid="{00000000-0005-0000-0000-0000D22B0000}"/>
    <cellStyle name="Normal 3 27" xfId="5732" xr:uid="{00000000-0005-0000-0000-0000D32B0000}"/>
    <cellStyle name="Normal 3 27 2" xfId="12686" xr:uid="{00000000-0005-0000-0000-0000D42B0000}"/>
    <cellStyle name="Normal 3 28" xfId="5733" xr:uid="{00000000-0005-0000-0000-0000D52B0000}"/>
    <cellStyle name="Normal 3 28 2" xfId="12687" xr:uid="{00000000-0005-0000-0000-0000D62B0000}"/>
    <cellStyle name="Normal 3 29" xfId="5734" xr:uid="{00000000-0005-0000-0000-0000D72B0000}"/>
    <cellStyle name="Normal 3 29 2" xfId="12688" xr:uid="{00000000-0005-0000-0000-0000D82B0000}"/>
    <cellStyle name="Normal 3 3" xfId="5735" xr:uid="{00000000-0005-0000-0000-0000D92B0000}"/>
    <cellStyle name="Normal 3 3 2" xfId="12689" xr:uid="{00000000-0005-0000-0000-0000DA2B0000}"/>
    <cellStyle name="Normal 3 30" xfId="5736" xr:uid="{00000000-0005-0000-0000-0000DB2B0000}"/>
    <cellStyle name="Normal 3 30 2" xfId="12690" xr:uid="{00000000-0005-0000-0000-0000DC2B0000}"/>
    <cellStyle name="Normal 3 31" xfId="5737" xr:uid="{00000000-0005-0000-0000-0000DD2B0000}"/>
    <cellStyle name="Normal 3 31 2" xfId="12691" xr:uid="{00000000-0005-0000-0000-0000DE2B0000}"/>
    <cellStyle name="Normal 3 32" xfId="5738" xr:uid="{00000000-0005-0000-0000-0000DF2B0000}"/>
    <cellStyle name="Normal 3 32 2" xfId="12692" xr:uid="{00000000-0005-0000-0000-0000E02B0000}"/>
    <cellStyle name="Normal 3 33" xfId="5739" xr:uid="{00000000-0005-0000-0000-0000E12B0000}"/>
    <cellStyle name="Normal 3 33 2" xfId="12693" xr:uid="{00000000-0005-0000-0000-0000E22B0000}"/>
    <cellStyle name="Normal 3 34" xfId="5740" xr:uid="{00000000-0005-0000-0000-0000E32B0000}"/>
    <cellStyle name="Normal 3 34 2" xfId="12694" xr:uid="{00000000-0005-0000-0000-0000E42B0000}"/>
    <cellStyle name="Normal 3 35" xfId="5741" xr:uid="{00000000-0005-0000-0000-0000E52B0000}"/>
    <cellStyle name="Normal 3 35 2" xfId="12695" xr:uid="{00000000-0005-0000-0000-0000E62B0000}"/>
    <cellStyle name="Normal 3 36" xfId="5742" xr:uid="{00000000-0005-0000-0000-0000E72B0000}"/>
    <cellStyle name="Normal 3 36 2" xfId="12696" xr:uid="{00000000-0005-0000-0000-0000E82B0000}"/>
    <cellStyle name="Normal 3 37" xfId="5743" xr:uid="{00000000-0005-0000-0000-0000E92B0000}"/>
    <cellStyle name="Normal 3 37 2" xfId="12697" xr:uid="{00000000-0005-0000-0000-0000EA2B0000}"/>
    <cellStyle name="Normal 3 38" xfId="5744" xr:uid="{00000000-0005-0000-0000-0000EB2B0000}"/>
    <cellStyle name="Normal 3 38 2" xfId="12698" xr:uid="{00000000-0005-0000-0000-0000EC2B0000}"/>
    <cellStyle name="Normal 3 39" xfId="5745" xr:uid="{00000000-0005-0000-0000-0000ED2B0000}"/>
    <cellStyle name="Normal 3 39 2" xfId="12699" xr:uid="{00000000-0005-0000-0000-0000EE2B0000}"/>
    <cellStyle name="Normal 3 4" xfId="5746" xr:uid="{00000000-0005-0000-0000-0000EF2B0000}"/>
    <cellStyle name="Normal 3 4 2" xfId="12700" xr:uid="{00000000-0005-0000-0000-0000F02B0000}"/>
    <cellStyle name="Normal 3 40" xfId="5747" xr:uid="{00000000-0005-0000-0000-0000F12B0000}"/>
    <cellStyle name="Normal 3 40 2" xfId="12701" xr:uid="{00000000-0005-0000-0000-0000F22B0000}"/>
    <cellStyle name="Normal 3 41" xfId="5748" xr:uid="{00000000-0005-0000-0000-0000F32B0000}"/>
    <cellStyle name="Normal 3 41 2" xfId="12702" xr:uid="{00000000-0005-0000-0000-0000F42B0000}"/>
    <cellStyle name="Normal 3 42" xfId="5749" xr:uid="{00000000-0005-0000-0000-0000F52B0000}"/>
    <cellStyle name="Normal 3 42 2" xfId="12703" xr:uid="{00000000-0005-0000-0000-0000F62B0000}"/>
    <cellStyle name="Normal 3 43" xfId="5750" xr:uid="{00000000-0005-0000-0000-0000F72B0000}"/>
    <cellStyle name="Normal 3 43 2" xfId="12704" xr:uid="{00000000-0005-0000-0000-0000F82B0000}"/>
    <cellStyle name="Normal 3 44" xfId="5751" xr:uid="{00000000-0005-0000-0000-0000F92B0000}"/>
    <cellStyle name="Normal 3 44 2" xfId="12705" xr:uid="{00000000-0005-0000-0000-0000FA2B0000}"/>
    <cellStyle name="Normal 3 45" xfId="5752" xr:uid="{00000000-0005-0000-0000-0000FB2B0000}"/>
    <cellStyle name="Normal 3 45 2" xfId="12706" xr:uid="{00000000-0005-0000-0000-0000FC2B0000}"/>
    <cellStyle name="Normal 3 46" xfId="5753" xr:uid="{00000000-0005-0000-0000-0000FD2B0000}"/>
    <cellStyle name="Normal 3 46 2" xfId="12707" xr:uid="{00000000-0005-0000-0000-0000FE2B0000}"/>
    <cellStyle name="Normal 3 47" xfId="5754" xr:uid="{00000000-0005-0000-0000-0000FF2B0000}"/>
    <cellStyle name="Normal 3 47 2" xfId="12708" xr:uid="{00000000-0005-0000-0000-0000002C0000}"/>
    <cellStyle name="Normal 3 48" xfId="5755" xr:uid="{00000000-0005-0000-0000-0000012C0000}"/>
    <cellStyle name="Normal 3 48 2" xfId="12709" xr:uid="{00000000-0005-0000-0000-0000022C0000}"/>
    <cellStyle name="Normal 3 49" xfId="5756" xr:uid="{00000000-0005-0000-0000-0000032C0000}"/>
    <cellStyle name="Normal 3 49 2" xfId="12710" xr:uid="{00000000-0005-0000-0000-0000042C0000}"/>
    <cellStyle name="Normal 3 5" xfId="5757" xr:uid="{00000000-0005-0000-0000-0000052C0000}"/>
    <cellStyle name="Normal 3 5 2" xfId="12711" xr:uid="{00000000-0005-0000-0000-0000062C0000}"/>
    <cellStyle name="Normal 3 50" xfId="5758" xr:uid="{00000000-0005-0000-0000-0000072C0000}"/>
    <cellStyle name="Normal 3 50 2" xfId="12712" xr:uid="{00000000-0005-0000-0000-0000082C0000}"/>
    <cellStyle name="Normal 3 51" xfId="5759" xr:uid="{00000000-0005-0000-0000-0000092C0000}"/>
    <cellStyle name="Normal 3 51 2" xfId="12713" xr:uid="{00000000-0005-0000-0000-00000A2C0000}"/>
    <cellStyle name="Normal 3 52" xfId="5760" xr:uid="{00000000-0005-0000-0000-00000B2C0000}"/>
    <cellStyle name="Normal 3 52 2" xfId="12714" xr:uid="{00000000-0005-0000-0000-00000C2C0000}"/>
    <cellStyle name="Normal 3 53" xfId="5761" xr:uid="{00000000-0005-0000-0000-00000D2C0000}"/>
    <cellStyle name="Normal 3 53 2" xfId="12715" xr:uid="{00000000-0005-0000-0000-00000E2C0000}"/>
    <cellStyle name="Normal 3 54" xfId="5762" xr:uid="{00000000-0005-0000-0000-00000F2C0000}"/>
    <cellStyle name="Normal 3 54 2" xfId="12716" xr:uid="{00000000-0005-0000-0000-0000102C0000}"/>
    <cellStyle name="Normal 3 55" xfId="5763" xr:uid="{00000000-0005-0000-0000-0000112C0000}"/>
    <cellStyle name="Normal 3 55 2" xfId="12717" xr:uid="{00000000-0005-0000-0000-0000122C0000}"/>
    <cellStyle name="Normal 3 56" xfId="5764" xr:uid="{00000000-0005-0000-0000-0000132C0000}"/>
    <cellStyle name="Normal 3 56 2" xfId="12718" xr:uid="{00000000-0005-0000-0000-0000142C0000}"/>
    <cellStyle name="Normal 3 57" xfId="5765" xr:uid="{00000000-0005-0000-0000-0000152C0000}"/>
    <cellStyle name="Normal 3 57 2" xfId="12719" xr:uid="{00000000-0005-0000-0000-0000162C0000}"/>
    <cellStyle name="Normal 3 58" xfId="5766" xr:uid="{00000000-0005-0000-0000-0000172C0000}"/>
    <cellStyle name="Normal 3 58 2" xfId="12720" xr:uid="{00000000-0005-0000-0000-0000182C0000}"/>
    <cellStyle name="Normal 3 59" xfId="5767" xr:uid="{00000000-0005-0000-0000-0000192C0000}"/>
    <cellStyle name="Normal 3 59 2" xfId="12721" xr:uid="{00000000-0005-0000-0000-00001A2C0000}"/>
    <cellStyle name="Normal 3 6" xfId="5768" xr:uid="{00000000-0005-0000-0000-00001B2C0000}"/>
    <cellStyle name="Normal 3 6 2" xfId="12722" xr:uid="{00000000-0005-0000-0000-00001C2C0000}"/>
    <cellStyle name="Normal 3 60" xfId="5769" xr:uid="{00000000-0005-0000-0000-00001D2C0000}"/>
    <cellStyle name="Normal 3 60 2" xfId="12723" xr:uid="{00000000-0005-0000-0000-00001E2C0000}"/>
    <cellStyle name="Normal 3 61" xfId="5770" xr:uid="{00000000-0005-0000-0000-00001F2C0000}"/>
    <cellStyle name="Normal 3 61 2" xfId="12724" xr:uid="{00000000-0005-0000-0000-0000202C0000}"/>
    <cellStyle name="Normal 3 62" xfId="5771" xr:uid="{00000000-0005-0000-0000-0000212C0000}"/>
    <cellStyle name="Normal 3 62 2" xfId="12725" xr:uid="{00000000-0005-0000-0000-0000222C0000}"/>
    <cellStyle name="Normal 3 63" xfId="5772" xr:uid="{00000000-0005-0000-0000-0000232C0000}"/>
    <cellStyle name="Normal 3 63 2" xfId="12726" xr:uid="{00000000-0005-0000-0000-0000242C0000}"/>
    <cellStyle name="Normal 3 64" xfId="5773" xr:uid="{00000000-0005-0000-0000-0000252C0000}"/>
    <cellStyle name="Normal 3 64 2" xfId="12727" xr:uid="{00000000-0005-0000-0000-0000262C0000}"/>
    <cellStyle name="Normal 3 65" xfId="5774" xr:uid="{00000000-0005-0000-0000-0000272C0000}"/>
    <cellStyle name="Normal 3 65 2" xfId="12728" xr:uid="{00000000-0005-0000-0000-0000282C0000}"/>
    <cellStyle name="Normal 3 66" xfId="5775" xr:uid="{00000000-0005-0000-0000-0000292C0000}"/>
    <cellStyle name="Normal 3 66 2" xfId="12729" xr:uid="{00000000-0005-0000-0000-00002A2C0000}"/>
    <cellStyle name="Normal 3 67" xfId="5776" xr:uid="{00000000-0005-0000-0000-00002B2C0000}"/>
    <cellStyle name="Normal 3 67 2" xfId="12730" xr:uid="{00000000-0005-0000-0000-00002C2C0000}"/>
    <cellStyle name="Normal 3 68" xfId="5777" xr:uid="{00000000-0005-0000-0000-00002D2C0000}"/>
    <cellStyle name="Normal 3 68 2" xfId="12731" xr:uid="{00000000-0005-0000-0000-00002E2C0000}"/>
    <cellStyle name="Normal 3 69" xfId="5778" xr:uid="{00000000-0005-0000-0000-00002F2C0000}"/>
    <cellStyle name="Normal 3 69 2" xfId="12732" xr:uid="{00000000-0005-0000-0000-0000302C0000}"/>
    <cellStyle name="Normal 3 7" xfId="5779" xr:uid="{00000000-0005-0000-0000-0000312C0000}"/>
    <cellStyle name="Normal 3 7 2" xfId="12733" xr:uid="{00000000-0005-0000-0000-0000322C0000}"/>
    <cellStyle name="Normal 3 70" xfId="5780" xr:uid="{00000000-0005-0000-0000-0000332C0000}"/>
    <cellStyle name="Normal 3 70 2" xfId="12734" xr:uid="{00000000-0005-0000-0000-0000342C0000}"/>
    <cellStyle name="Normal 3 71" xfId="5781" xr:uid="{00000000-0005-0000-0000-0000352C0000}"/>
    <cellStyle name="Normal 3 71 2" xfId="12735" xr:uid="{00000000-0005-0000-0000-0000362C0000}"/>
    <cellStyle name="Normal 3 72" xfId="5782" xr:uid="{00000000-0005-0000-0000-0000372C0000}"/>
    <cellStyle name="Normal 3 72 2" xfId="12736" xr:uid="{00000000-0005-0000-0000-0000382C0000}"/>
    <cellStyle name="Normal 3 73" xfId="5783" xr:uid="{00000000-0005-0000-0000-0000392C0000}"/>
    <cellStyle name="Normal 3 73 2" xfId="12737" xr:uid="{00000000-0005-0000-0000-00003A2C0000}"/>
    <cellStyle name="Normal 3 74" xfId="5784" xr:uid="{00000000-0005-0000-0000-00003B2C0000}"/>
    <cellStyle name="Normal 3 74 2" xfId="12738" xr:uid="{00000000-0005-0000-0000-00003C2C0000}"/>
    <cellStyle name="Normal 3 75" xfId="5785" xr:uid="{00000000-0005-0000-0000-00003D2C0000}"/>
    <cellStyle name="Normal 3 75 2" xfId="12739" xr:uid="{00000000-0005-0000-0000-00003E2C0000}"/>
    <cellStyle name="Normal 3 76" xfId="5786" xr:uid="{00000000-0005-0000-0000-00003F2C0000}"/>
    <cellStyle name="Normal 3 76 2" xfId="12740" xr:uid="{00000000-0005-0000-0000-0000402C0000}"/>
    <cellStyle name="Normal 3 77" xfId="5787" xr:uid="{00000000-0005-0000-0000-0000412C0000}"/>
    <cellStyle name="Normal 3 77 2" xfId="12741" xr:uid="{00000000-0005-0000-0000-0000422C0000}"/>
    <cellStyle name="Normal 3 78" xfId="5788" xr:uid="{00000000-0005-0000-0000-0000432C0000}"/>
    <cellStyle name="Normal 3 78 2" xfId="12742" xr:uid="{00000000-0005-0000-0000-0000442C0000}"/>
    <cellStyle name="Normal 3 79" xfId="5789" xr:uid="{00000000-0005-0000-0000-0000452C0000}"/>
    <cellStyle name="Normal 3 79 2" xfId="12743" xr:uid="{00000000-0005-0000-0000-0000462C0000}"/>
    <cellStyle name="Normal 3 8" xfId="5790" xr:uid="{00000000-0005-0000-0000-0000472C0000}"/>
    <cellStyle name="Normal 3 8 2" xfId="12744" xr:uid="{00000000-0005-0000-0000-0000482C0000}"/>
    <cellStyle name="Normal 3 80" xfId="5791" xr:uid="{00000000-0005-0000-0000-0000492C0000}"/>
    <cellStyle name="Normal 3 80 2" xfId="12745" xr:uid="{00000000-0005-0000-0000-00004A2C0000}"/>
    <cellStyle name="Normal 3 81" xfId="5792" xr:uid="{00000000-0005-0000-0000-00004B2C0000}"/>
    <cellStyle name="Normal 3 81 2" xfId="12746" xr:uid="{00000000-0005-0000-0000-00004C2C0000}"/>
    <cellStyle name="Normal 3 82" xfId="5793" xr:uid="{00000000-0005-0000-0000-00004D2C0000}"/>
    <cellStyle name="Normal 3 82 2" xfId="12747" xr:uid="{00000000-0005-0000-0000-00004E2C0000}"/>
    <cellStyle name="Normal 3 83" xfId="5794" xr:uid="{00000000-0005-0000-0000-00004F2C0000}"/>
    <cellStyle name="Normal 3 83 2" xfId="12748" xr:uid="{00000000-0005-0000-0000-0000502C0000}"/>
    <cellStyle name="Normal 3 84" xfId="5795" xr:uid="{00000000-0005-0000-0000-0000512C0000}"/>
    <cellStyle name="Normal 3 84 2" xfId="12749" xr:uid="{00000000-0005-0000-0000-0000522C0000}"/>
    <cellStyle name="Normal 3 85" xfId="5796" xr:uid="{00000000-0005-0000-0000-0000532C0000}"/>
    <cellStyle name="Normal 3 85 2" xfId="12750" xr:uid="{00000000-0005-0000-0000-0000542C0000}"/>
    <cellStyle name="Normal 3 86" xfId="5797" xr:uid="{00000000-0005-0000-0000-0000552C0000}"/>
    <cellStyle name="Normal 3 86 2" xfId="12751" xr:uid="{00000000-0005-0000-0000-0000562C0000}"/>
    <cellStyle name="Normal 3 87" xfId="5798" xr:uid="{00000000-0005-0000-0000-0000572C0000}"/>
    <cellStyle name="Normal 3 87 2" xfId="12752" xr:uid="{00000000-0005-0000-0000-0000582C0000}"/>
    <cellStyle name="Normal 3 88" xfId="5799" xr:uid="{00000000-0005-0000-0000-0000592C0000}"/>
    <cellStyle name="Normal 3 88 2" xfId="12753" xr:uid="{00000000-0005-0000-0000-00005A2C0000}"/>
    <cellStyle name="Normal 3 89" xfId="5800" xr:uid="{00000000-0005-0000-0000-00005B2C0000}"/>
    <cellStyle name="Normal 3 89 2" xfId="12754" xr:uid="{00000000-0005-0000-0000-00005C2C0000}"/>
    <cellStyle name="Normal 3 9" xfId="5801" xr:uid="{00000000-0005-0000-0000-00005D2C0000}"/>
    <cellStyle name="Normal 3 9 2" xfId="12755" xr:uid="{00000000-0005-0000-0000-00005E2C0000}"/>
    <cellStyle name="Normal 3 90" xfId="5802" xr:uid="{00000000-0005-0000-0000-00005F2C0000}"/>
    <cellStyle name="Normal 3 90 2" xfId="12756" xr:uid="{00000000-0005-0000-0000-0000602C0000}"/>
    <cellStyle name="Normal 3 91" xfId="5803" xr:uid="{00000000-0005-0000-0000-0000612C0000}"/>
    <cellStyle name="Normal 3 91 2" xfId="12757" xr:uid="{00000000-0005-0000-0000-0000622C0000}"/>
    <cellStyle name="Normal 3 92" xfId="5804" xr:uid="{00000000-0005-0000-0000-0000632C0000}"/>
    <cellStyle name="Normal 3 92 2" xfId="12758" xr:uid="{00000000-0005-0000-0000-0000642C0000}"/>
    <cellStyle name="Normal 3 93" xfId="5805" xr:uid="{00000000-0005-0000-0000-0000652C0000}"/>
    <cellStyle name="Normal 3 93 2" xfId="12759" xr:uid="{00000000-0005-0000-0000-0000662C0000}"/>
    <cellStyle name="Normal 3 94" xfId="5806" xr:uid="{00000000-0005-0000-0000-0000672C0000}"/>
    <cellStyle name="Normal 3 94 2" xfId="12760" xr:uid="{00000000-0005-0000-0000-0000682C0000}"/>
    <cellStyle name="Normal 3 95" xfId="5807" xr:uid="{00000000-0005-0000-0000-0000692C0000}"/>
    <cellStyle name="Normal 3 95 2" xfId="12761" xr:uid="{00000000-0005-0000-0000-00006A2C0000}"/>
    <cellStyle name="Normal 3 96" xfId="5808" xr:uid="{00000000-0005-0000-0000-00006B2C0000}"/>
    <cellStyle name="Normal 3 96 2" xfId="12762" xr:uid="{00000000-0005-0000-0000-00006C2C0000}"/>
    <cellStyle name="Normal 3 97" xfId="5809" xr:uid="{00000000-0005-0000-0000-00006D2C0000}"/>
    <cellStyle name="Normal 3 97 2" xfId="12763" xr:uid="{00000000-0005-0000-0000-00006E2C0000}"/>
    <cellStyle name="Normal 3 98" xfId="5810" xr:uid="{00000000-0005-0000-0000-00006F2C0000}"/>
    <cellStyle name="Normal 3 98 2" xfId="12764" xr:uid="{00000000-0005-0000-0000-0000702C0000}"/>
    <cellStyle name="Normal 3 99" xfId="5811" xr:uid="{00000000-0005-0000-0000-0000712C0000}"/>
    <cellStyle name="Normal 3 99 2" xfId="12765" xr:uid="{00000000-0005-0000-0000-0000722C0000}"/>
    <cellStyle name="Normal 30" xfId="956" xr:uid="{00000000-0005-0000-0000-0000732C0000}"/>
    <cellStyle name="Normal 30 2" xfId="957" xr:uid="{00000000-0005-0000-0000-0000742C0000}"/>
    <cellStyle name="Normal 30 2 2" xfId="8567" xr:uid="{00000000-0005-0000-0000-0000752C0000}"/>
    <cellStyle name="Normal 30 2 2 2" xfId="12768" xr:uid="{00000000-0005-0000-0000-0000762C0000}"/>
    <cellStyle name="Normal 30 2 3" xfId="12767" xr:uid="{00000000-0005-0000-0000-0000772C0000}"/>
    <cellStyle name="Normal 30 3" xfId="5812" xr:uid="{00000000-0005-0000-0000-0000782C0000}"/>
    <cellStyle name="Normal 30 3 2" xfId="12769" xr:uid="{00000000-0005-0000-0000-0000792C0000}"/>
    <cellStyle name="Normal 30 4" xfId="7667" xr:uid="{00000000-0005-0000-0000-00007A2C0000}"/>
    <cellStyle name="Normal 30 4 2" xfId="12770" xr:uid="{00000000-0005-0000-0000-00007B2C0000}"/>
    <cellStyle name="Normal 30 5" xfId="12766" xr:uid="{00000000-0005-0000-0000-00007C2C0000}"/>
    <cellStyle name="Normal 31" xfId="958" xr:uid="{00000000-0005-0000-0000-00007D2C0000}"/>
    <cellStyle name="Normal 31 2" xfId="959" xr:uid="{00000000-0005-0000-0000-00007E2C0000}"/>
    <cellStyle name="Normal 31 2 2" xfId="8568" xr:uid="{00000000-0005-0000-0000-00007F2C0000}"/>
    <cellStyle name="Normal 31 2 2 2" xfId="12773" xr:uid="{00000000-0005-0000-0000-0000802C0000}"/>
    <cellStyle name="Normal 31 2 3" xfId="12772" xr:uid="{00000000-0005-0000-0000-0000812C0000}"/>
    <cellStyle name="Normal 31 3" xfId="5813" xr:uid="{00000000-0005-0000-0000-0000822C0000}"/>
    <cellStyle name="Normal 31 3 2" xfId="12774" xr:uid="{00000000-0005-0000-0000-0000832C0000}"/>
    <cellStyle name="Normal 31 4" xfId="7668" xr:uid="{00000000-0005-0000-0000-0000842C0000}"/>
    <cellStyle name="Normal 31 4 2" xfId="12775" xr:uid="{00000000-0005-0000-0000-0000852C0000}"/>
    <cellStyle name="Normal 31 5" xfId="12771" xr:uid="{00000000-0005-0000-0000-0000862C0000}"/>
    <cellStyle name="Normal 32" xfId="5814" xr:uid="{00000000-0005-0000-0000-0000872C0000}"/>
    <cellStyle name="Normal 32 2" xfId="12776" xr:uid="{00000000-0005-0000-0000-0000882C0000}"/>
    <cellStyle name="Normal 33" xfId="5815" xr:uid="{00000000-0005-0000-0000-0000892C0000}"/>
    <cellStyle name="Normal 33 2" xfId="12777" xr:uid="{00000000-0005-0000-0000-00008A2C0000}"/>
    <cellStyle name="Normal 34" xfId="5816" xr:uid="{00000000-0005-0000-0000-00008B2C0000}"/>
    <cellStyle name="Normal 34 2" xfId="12778" xr:uid="{00000000-0005-0000-0000-00008C2C0000}"/>
    <cellStyle name="Normal 35" xfId="5817" xr:uid="{00000000-0005-0000-0000-00008D2C0000}"/>
    <cellStyle name="Normal 35 2" xfId="12779" xr:uid="{00000000-0005-0000-0000-00008E2C0000}"/>
    <cellStyle name="Normal 36" xfId="5818" xr:uid="{00000000-0005-0000-0000-00008F2C0000}"/>
    <cellStyle name="Normal 36 2" xfId="12780" xr:uid="{00000000-0005-0000-0000-0000902C0000}"/>
    <cellStyle name="Normal 37" xfId="5819" xr:uid="{00000000-0005-0000-0000-0000912C0000}"/>
    <cellStyle name="Normal 37 2" xfId="12781" xr:uid="{00000000-0005-0000-0000-0000922C0000}"/>
    <cellStyle name="Normal 38" xfId="5820" xr:uid="{00000000-0005-0000-0000-0000932C0000}"/>
    <cellStyle name="Normal 38 2" xfId="12782" xr:uid="{00000000-0005-0000-0000-0000942C0000}"/>
    <cellStyle name="Normal 39" xfId="5821" xr:uid="{00000000-0005-0000-0000-0000952C0000}"/>
    <cellStyle name="Normal 39 2" xfId="12783" xr:uid="{00000000-0005-0000-0000-0000962C0000}"/>
    <cellStyle name="Normal 4" xfId="960" xr:uid="{00000000-0005-0000-0000-0000972C0000}"/>
    <cellStyle name="Normal 4 2" xfId="961" xr:uid="{00000000-0005-0000-0000-0000982C0000}"/>
    <cellStyle name="Normal 4 2 2" xfId="962" xr:uid="{00000000-0005-0000-0000-0000992C0000}"/>
    <cellStyle name="Normal 4 2 2 2" xfId="8569" xr:uid="{00000000-0005-0000-0000-00009A2C0000}"/>
    <cellStyle name="Normal 4 2 2 2 2" xfId="12787" xr:uid="{00000000-0005-0000-0000-00009B2C0000}"/>
    <cellStyle name="Normal 4 2 2 3" xfId="12786" xr:uid="{00000000-0005-0000-0000-00009C2C0000}"/>
    <cellStyle name="Normal 4 2 3" xfId="5822" xr:uid="{00000000-0005-0000-0000-00009D2C0000}"/>
    <cellStyle name="Normal 4 2 3 2" xfId="12788" xr:uid="{00000000-0005-0000-0000-00009E2C0000}"/>
    <cellStyle name="Normal 4 2 4" xfId="7669" xr:uid="{00000000-0005-0000-0000-00009F2C0000}"/>
    <cellStyle name="Normal 4 2 4 2" xfId="12789" xr:uid="{00000000-0005-0000-0000-0000A02C0000}"/>
    <cellStyle name="Normal 4 2 5" xfId="12785" xr:uid="{00000000-0005-0000-0000-0000A12C0000}"/>
    <cellStyle name="Normal 4 3" xfId="963" xr:uid="{00000000-0005-0000-0000-0000A22C0000}"/>
    <cellStyle name="Normal 4 3 2" xfId="964" xr:uid="{00000000-0005-0000-0000-0000A32C0000}"/>
    <cellStyle name="Normal 4 3 2 2" xfId="8570" xr:uid="{00000000-0005-0000-0000-0000A42C0000}"/>
    <cellStyle name="Normal 4 3 2 2 2" xfId="12792" xr:uid="{00000000-0005-0000-0000-0000A52C0000}"/>
    <cellStyle name="Normal 4 3 2 3" xfId="12791" xr:uid="{00000000-0005-0000-0000-0000A62C0000}"/>
    <cellStyle name="Normal 4 3 3" xfId="5823" xr:uid="{00000000-0005-0000-0000-0000A72C0000}"/>
    <cellStyle name="Normal 4 3 3 2" xfId="12793" xr:uid="{00000000-0005-0000-0000-0000A82C0000}"/>
    <cellStyle name="Normal 4 3 4" xfId="12790" xr:uid="{00000000-0005-0000-0000-0000A92C0000}"/>
    <cellStyle name="Normal 4 4" xfId="965" xr:uid="{00000000-0005-0000-0000-0000AA2C0000}"/>
    <cellStyle name="Normal 4 4 2" xfId="966" xr:uid="{00000000-0005-0000-0000-0000AB2C0000}"/>
    <cellStyle name="Normal 4 4 2 2" xfId="8571" xr:uid="{00000000-0005-0000-0000-0000AC2C0000}"/>
    <cellStyle name="Normal 4 4 2 2 2" xfId="12796" xr:uid="{00000000-0005-0000-0000-0000AD2C0000}"/>
    <cellStyle name="Normal 4 4 2 3" xfId="12795" xr:uid="{00000000-0005-0000-0000-0000AE2C0000}"/>
    <cellStyle name="Normal 4 4 3" xfId="5824" xr:uid="{00000000-0005-0000-0000-0000AF2C0000}"/>
    <cellStyle name="Normal 4 4 3 2" xfId="12797" xr:uid="{00000000-0005-0000-0000-0000B02C0000}"/>
    <cellStyle name="Normal 4 4 4" xfId="12794" xr:uid="{00000000-0005-0000-0000-0000B12C0000}"/>
    <cellStyle name="Normal 4 5" xfId="967" xr:uid="{00000000-0005-0000-0000-0000B22C0000}"/>
    <cellStyle name="Normal 4 5 2" xfId="5825" xr:uid="{00000000-0005-0000-0000-0000B32C0000}"/>
    <cellStyle name="Normal 4 5 2 2" xfId="12799" xr:uid="{00000000-0005-0000-0000-0000B42C0000}"/>
    <cellStyle name="Normal 4 5 3" xfId="7670" xr:uid="{00000000-0005-0000-0000-0000B52C0000}"/>
    <cellStyle name="Normal 4 5 3 2" xfId="12800" xr:uid="{00000000-0005-0000-0000-0000B62C0000}"/>
    <cellStyle name="Normal 4 5 4" xfId="12798" xr:uid="{00000000-0005-0000-0000-0000B72C0000}"/>
    <cellStyle name="Normal 4 6" xfId="5826" xr:uid="{00000000-0005-0000-0000-0000B82C0000}"/>
    <cellStyle name="Normal 4 6 2" xfId="8572" xr:uid="{00000000-0005-0000-0000-0000B92C0000}"/>
    <cellStyle name="Normal 4 6 2 2" xfId="12802" xr:uid="{00000000-0005-0000-0000-0000BA2C0000}"/>
    <cellStyle name="Normal 4 6 3" xfId="7671" xr:uid="{00000000-0005-0000-0000-0000BB2C0000}"/>
    <cellStyle name="Normal 4 6 3 2" xfId="12803" xr:uid="{00000000-0005-0000-0000-0000BC2C0000}"/>
    <cellStyle name="Normal 4 6 4" xfId="12801" xr:uid="{00000000-0005-0000-0000-0000BD2C0000}"/>
    <cellStyle name="Normal 4 7" xfId="5827" xr:uid="{00000000-0005-0000-0000-0000BE2C0000}"/>
    <cellStyle name="Normal 4 7 2" xfId="12804" xr:uid="{00000000-0005-0000-0000-0000BF2C0000}"/>
    <cellStyle name="Normal 4 8" xfId="12784" xr:uid="{00000000-0005-0000-0000-0000C02C0000}"/>
    <cellStyle name="Normal 40" xfId="5828" xr:uid="{00000000-0005-0000-0000-0000C12C0000}"/>
    <cellStyle name="Normal 40 2" xfId="12805" xr:uid="{00000000-0005-0000-0000-0000C22C0000}"/>
    <cellStyle name="Normal 41" xfId="5829" xr:uid="{00000000-0005-0000-0000-0000C32C0000}"/>
    <cellStyle name="Normal 41 2" xfId="12806" xr:uid="{00000000-0005-0000-0000-0000C42C0000}"/>
    <cellStyle name="Normal 42" xfId="5830" xr:uid="{00000000-0005-0000-0000-0000C52C0000}"/>
    <cellStyle name="Normal 42 2" xfId="12807" xr:uid="{00000000-0005-0000-0000-0000C62C0000}"/>
    <cellStyle name="Normal 43" xfId="5831" xr:uid="{00000000-0005-0000-0000-0000C72C0000}"/>
    <cellStyle name="Normal 43 2" xfId="12808" xr:uid="{00000000-0005-0000-0000-0000C82C0000}"/>
    <cellStyle name="Normal 44" xfId="5832" xr:uid="{00000000-0005-0000-0000-0000C92C0000}"/>
    <cellStyle name="Normal 44 2" xfId="12809" xr:uid="{00000000-0005-0000-0000-0000CA2C0000}"/>
    <cellStyle name="Normal 45" xfId="5833" xr:uid="{00000000-0005-0000-0000-0000CB2C0000}"/>
    <cellStyle name="Normal 45 2" xfId="12810" xr:uid="{00000000-0005-0000-0000-0000CC2C0000}"/>
    <cellStyle name="Normal 46" xfId="5834" xr:uid="{00000000-0005-0000-0000-0000CD2C0000}"/>
    <cellStyle name="Normal 46 2" xfId="12811" xr:uid="{00000000-0005-0000-0000-0000CE2C0000}"/>
    <cellStyle name="Normal 47" xfId="5835" xr:uid="{00000000-0005-0000-0000-0000CF2C0000}"/>
    <cellStyle name="Normal 47 2" xfId="12812" xr:uid="{00000000-0005-0000-0000-0000D02C0000}"/>
    <cellStyle name="Normal 48" xfId="5836" xr:uid="{00000000-0005-0000-0000-0000D12C0000}"/>
    <cellStyle name="Normal 48 2" xfId="12813" xr:uid="{00000000-0005-0000-0000-0000D22C0000}"/>
    <cellStyle name="Normal 49" xfId="5837" xr:uid="{00000000-0005-0000-0000-0000D32C0000}"/>
    <cellStyle name="Normal 49 2" xfId="12814" xr:uid="{00000000-0005-0000-0000-0000D42C0000}"/>
    <cellStyle name="Normal 5" xfId="968" xr:uid="{00000000-0005-0000-0000-0000D52C0000}"/>
    <cellStyle name="Normal 5 10" xfId="5838" xr:uid="{00000000-0005-0000-0000-0000D62C0000}"/>
    <cellStyle name="Normal 5 10 2" xfId="12816" xr:uid="{00000000-0005-0000-0000-0000D72C0000}"/>
    <cellStyle name="Normal 5 11" xfId="12815" xr:uid="{00000000-0005-0000-0000-0000D82C0000}"/>
    <cellStyle name="Normal 5 2" xfId="969" xr:uid="{00000000-0005-0000-0000-0000D92C0000}"/>
    <cellStyle name="Normal 5 2 2" xfId="970" xr:uid="{00000000-0005-0000-0000-0000DA2C0000}"/>
    <cellStyle name="Normal 5 2 2 2" xfId="8573" xr:uid="{00000000-0005-0000-0000-0000DB2C0000}"/>
    <cellStyle name="Normal 5 2 2 2 2" xfId="12819" xr:uid="{00000000-0005-0000-0000-0000DC2C0000}"/>
    <cellStyle name="Normal 5 2 2 3" xfId="12818" xr:uid="{00000000-0005-0000-0000-0000DD2C0000}"/>
    <cellStyle name="Normal 5 2 3" xfId="5839" xr:uid="{00000000-0005-0000-0000-0000DE2C0000}"/>
    <cellStyle name="Normal 5 2 3 2" xfId="12820" xr:uid="{00000000-0005-0000-0000-0000DF2C0000}"/>
    <cellStyle name="Normal 5 2 4" xfId="7672" xr:uid="{00000000-0005-0000-0000-0000E02C0000}"/>
    <cellStyle name="Normal 5 2 4 2" xfId="12821" xr:uid="{00000000-0005-0000-0000-0000E12C0000}"/>
    <cellStyle name="Normal 5 2 5" xfId="12817" xr:uid="{00000000-0005-0000-0000-0000E22C0000}"/>
    <cellStyle name="Normal 5 3" xfId="971" xr:uid="{00000000-0005-0000-0000-0000E32C0000}"/>
    <cellStyle name="Normal 5 3 2" xfId="972" xr:uid="{00000000-0005-0000-0000-0000E42C0000}"/>
    <cellStyle name="Normal 5 3 2 2" xfId="8574" xr:uid="{00000000-0005-0000-0000-0000E52C0000}"/>
    <cellStyle name="Normal 5 3 2 2 2" xfId="12824" xr:uid="{00000000-0005-0000-0000-0000E62C0000}"/>
    <cellStyle name="Normal 5 3 2 3" xfId="12823" xr:uid="{00000000-0005-0000-0000-0000E72C0000}"/>
    <cellStyle name="Normal 5 3 3" xfId="5840" xr:uid="{00000000-0005-0000-0000-0000E82C0000}"/>
    <cellStyle name="Normal 5 3 3 2" xfId="12825" xr:uid="{00000000-0005-0000-0000-0000E92C0000}"/>
    <cellStyle name="Normal 5 3 4" xfId="12822" xr:uid="{00000000-0005-0000-0000-0000EA2C0000}"/>
    <cellStyle name="Normal 5 4" xfId="973" xr:uid="{00000000-0005-0000-0000-0000EB2C0000}"/>
    <cellStyle name="Normal 5 4 2" xfId="974" xr:uid="{00000000-0005-0000-0000-0000EC2C0000}"/>
    <cellStyle name="Normal 5 4 2 2" xfId="8575" xr:uid="{00000000-0005-0000-0000-0000ED2C0000}"/>
    <cellStyle name="Normal 5 4 2 2 2" xfId="12828" xr:uid="{00000000-0005-0000-0000-0000EE2C0000}"/>
    <cellStyle name="Normal 5 4 2 3" xfId="12827" xr:uid="{00000000-0005-0000-0000-0000EF2C0000}"/>
    <cellStyle name="Normal 5 4 3" xfId="5841" xr:uid="{00000000-0005-0000-0000-0000F02C0000}"/>
    <cellStyle name="Normal 5 4 3 2" xfId="12829" xr:uid="{00000000-0005-0000-0000-0000F12C0000}"/>
    <cellStyle name="Normal 5 4 4" xfId="12826" xr:uid="{00000000-0005-0000-0000-0000F22C0000}"/>
    <cellStyle name="Normal 5 5" xfId="975" xr:uid="{00000000-0005-0000-0000-0000F32C0000}"/>
    <cellStyle name="Normal 5 5 2" xfId="976" xr:uid="{00000000-0005-0000-0000-0000F42C0000}"/>
    <cellStyle name="Normal 5 5 2 2" xfId="8576" xr:uid="{00000000-0005-0000-0000-0000F52C0000}"/>
    <cellStyle name="Normal 5 5 2 2 2" xfId="12832" xr:uid="{00000000-0005-0000-0000-0000F62C0000}"/>
    <cellStyle name="Normal 5 5 2 3" xfId="12831" xr:uid="{00000000-0005-0000-0000-0000F72C0000}"/>
    <cellStyle name="Normal 5 5 3" xfId="5842" xr:uid="{00000000-0005-0000-0000-0000F82C0000}"/>
    <cellStyle name="Normal 5 5 3 2" xfId="12833" xr:uid="{00000000-0005-0000-0000-0000F92C0000}"/>
    <cellStyle name="Normal 5 5 4" xfId="12830" xr:uid="{00000000-0005-0000-0000-0000FA2C0000}"/>
    <cellStyle name="Normal 5 6" xfId="977" xr:uid="{00000000-0005-0000-0000-0000FB2C0000}"/>
    <cellStyle name="Normal 5 6 2" xfId="978" xr:uid="{00000000-0005-0000-0000-0000FC2C0000}"/>
    <cellStyle name="Normal 5 6 2 2" xfId="8577" xr:uid="{00000000-0005-0000-0000-0000FD2C0000}"/>
    <cellStyle name="Normal 5 6 2 2 2" xfId="12836" xr:uid="{00000000-0005-0000-0000-0000FE2C0000}"/>
    <cellStyle name="Normal 5 6 2 3" xfId="12835" xr:uid="{00000000-0005-0000-0000-0000FF2C0000}"/>
    <cellStyle name="Normal 5 6 3" xfId="5843" xr:uid="{00000000-0005-0000-0000-0000002D0000}"/>
    <cellStyle name="Normal 5 6 3 2" xfId="12837" xr:uid="{00000000-0005-0000-0000-0000012D0000}"/>
    <cellStyle name="Normal 5 6 4" xfId="12834" xr:uid="{00000000-0005-0000-0000-0000022D0000}"/>
    <cellStyle name="Normal 5 7" xfId="979" xr:uid="{00000000-0005-0000-0000-0000032D0000}"/>
    <cellStyle name="Normal 5 7 2" xfId="980" xr:uid="{00000000-0005-0000-0000-0000042D0000}"/>
    <cellStyle name="Normal 5 7 2 2" xfId="8578" xr:uid="{00000000-0005-0000-0000-0000052D0000}"/>
    <cellStyle name="Normal 5 7 2 2 2" xfId="12840" xr:uid="{00000000-0005-0000-0000-0000062D0000}"/>
    <cellStyle name="Normal 5 7 2 3" xfId="12839" xr:uid="{00000000-0005-0000-0000-0000072D0000}"/>
    <cellStyle name="Normal 5 7 3" xfId="5844" xr:uid="{00000000-0005-0000-0000-0000082D0000}"/>
    <cellStyle name="Normal 5 7 3 2" xfId="12841" xr:uid="{00000000-0005-0000-0000-0000092D0000}"/>
    <cellStyle name="Normal 5 7 4" xfId="12838" xr:uid="{00000000-0005-0000-0000-00000A2D0000}"/>
    <cellStyle name="Normal 5 8" xfId="981" xr:uid="{00000000-0005-0000-0000-00000B2D0000}"/>
    <cellStyle name="Normal 5 8 2" xfId="5845" xr:uid="{00000000-0005-0000-0000-00000C2D0000}"/>
    <cellStyle name="Normal 5 8 2 2" xfId="12843" xr:uid="{00000000-0005-0000-0000-00000D2D0000}"/>
    <cellStyle name="Normal 5 8 3" xfId="7673" xr:uid="{00000000-0005-0000-0000-00000E2D0000}"/>
    <cellStyle name="Normal 5 8 3 2" xfId="12844" xr:uid="{00000000-0005-0000-0000-00000F2D0000}"/>
    <cellStyle name="Normal 5 8 4" xfId="12842" xr:uid="{00000000-0005-0000-0000-0000102D0000}"/>
    <cellStyle name="Normal 5 9" xfId="5846" xr:uid="{00000000-0005-0000-0000-0000112D0000}"/>
    <cellStyle name="Normal 5 9 2" xfId="8579" xr:uid="{00000000-0005-0000-0000-0000122D0000}"/>
    <cellStyle name="Normal 5 9 2 2" xfId="12846" xr:uid="{00000000-0005-0000-0000-0000132D0000}"/>
    <cellStyle name="Normal 5 9 3" xfId="7674" xr:uid="{00000000-0005-0000-0000-0000142D0000}"/>
    <cellStyle name="Normal 5 9 3 2" xfId="12847" xr:uid="{00000000-0005-0000-0000-0000152D0000}"/>
    <cellStyle name="Normal 5 9 4" xfId="12845" xr:uid="{00000000-0005-0000-0000-0000162D0000}"/>
    <cellStyle name="Normal 50" xfId="5847" xr:uid="{00000000-0005-0000-0000-0000172D0000}"/>
    <cellStyle name="Normal 50 2" xfId="12848" xr:uid="{00000000-0005-0000-0000-0000182D0000}"/>
    <cellStyle name="Normal 51" xfId="5848" xr:uid="{00000000-0005-0000-0000-0000192D0000}"/>
    <cellStyle name="Normal 51 2" xfId="12849" xr:uid="{00000000-0005-0000-0000-00001A2D0000}"/>
    <cellStyle name="Normal 52" xfId="5849" xr:uid="{00000000-0005-0000-0000-00001B2D0000}"/>
    <cellStyle name="Normal 52 2" xfId="12850" xr:uid="{00000000-0005-0000-0000-00001C2D0000}"/>
    <cellStyle name="Normal 53" xfId="5850" xr:uid="{00000000-0005-0000-0000-00001D2D0000}"/>
    <cellStyle name="Normal 53 2" xfId="12851" xr:uid="{00000000-0005-0000-0000-00001E2D0000}"/>
    <cellStyle name="Normal 54" xfId="5851" xr:uid="{00000000-0005-0000-0000-00001F2D0000}"/>
    <cellStyle name="Normal 54 2" xfId="12852" xr:uid="{00000000-0005-0000-0000-0000202D0000}"/>
    <cellStyle name="Normal 55" xfId="5852" xr:uid="{00000000-0005-0000-0000-0000212D0000}"/>
    <cellStyle name="Normal 55 2" xfId="12853" xr:uid="{00000000-0005-0000-0000-0000222D0000}"/>
    <cellStyle name="Normal 56" xfId="5853" xr:uid="{00000000-0005-0000-0000-0000232D0000}"/>
    <cellStyle name="Normal 56 2" xfId="12854" xr:uid="{00000000-0005-0000-0000-0000242D0000}"/>
    <cellStyle name="Normal 57" xfId="5854" xr:uid="{00000000-0005-0000-0000-0000252D0000}"/>
    <cellStyle name="Normal 57 2" xfId="12855" xr:uid="{00000000-0005-0000-0000-0000262D0000}"/>
    <cellStyle name="Normal 58" xfId="5855" xr:uid="{00000000-0005-0000-0000-0000272D0000}"/>
    <cellStyle name="Normal 58 2" xfId="12856" xr:uid="{00000000-0005-0000-0000-0000282D0000}"/>
    <cellStyle name="Normal 59" xfId="5856" xr:uid="{00000000-0005-0000-0000-0000292D0000}"/>
    <cellStyle name="Normal 59 2" xfId="12857" xr:uid="{00000000-0005-0000-0000-00002A2D0000}"/>
    <cellStyle name="Normal 6" xfId="7675" xr:uid="{00000000-0005-0000-0000-00002B2D0000}"/>
    <cellStyle name="Normal 6 2" xfId="982" xr:uid="{00000000-0005-0000-0000-00002C2D0000}"/>
    <cellStyle name="Normal 6 2 2" xfId="983" xr:uid="{00000000-0005-0000-0000-00002D2D0000}"/>
    <cellStyle name="Normal 6 2 2 2" xfId="8580" xr:uid="{00000000-0005-0000-0000-00002E2D0000}"/>
    <cellStyle name="Normal 6 2 2 2 2" xfId="12861" xr:uid="{00000000-0005-0000-0000-00002F2D0000}"/>
    <cellStyle name="Normal 6 2 2 3" xfId="12860" xr:uid="{00000000-0005-0000-0000-0000302D0000}"/>
    <cellStyle name="Normal 6 2 3" xfId="5857" xr:uid="{00000000-0005-0000-0000-0000312D0000}"/>
    <cellStyle name="Normal 6 2 3 2" xfId="12862" xr:uid="{00000000-0005-0000-0000-0000322D0000}"/>
    <cellStyle name="Normal 6 2 4" xfId="12859" xr:uid="{00000000-0005-0000-0000-0000332D0000}"/>
    <cellStyle name="Normal 6 3" xfId="984" xr:uid="{00000000-0005-0000-0000-0000342D0000}"/>
    <cellStyle name="Normal 6 3 2" xfId="985" xr:uid="{00000000-0005-0000-0000-0000352D0000}"/>
    <cellStyle name="Normal 6 3 2 2" xfId="8581" xr:uid="{00000000-0005-0000-0000-0000362D0000}"/>
    <cellStyle name="Normal 6 3 2 2 2" xfId="12865" xr:uid="{00000000-0005-0000-0000-0000372D0000}"/>
    <cellStyle name="Normal 6 3 2 3" xfId="12864" xr:uid="{00000000-0005-0000-0000-0000382D0000}"/>
    <cellStyle name="Normal 6 3 3" xfId="5858" xr:uid="{00000000-0005-0000-0000-0000392D0000}"/>
    <cellStyle name="Normal 6 3 3 2" xfId="12866" xr:uid="{00000000-0005-0000-0000-00003A2D0000}"/>
    <cellStyle name="Normal 6 3 4" xfId="12863" xr:uid="{00000000-0005-0000-0000-00003B2D0000}"/>
    <cellStyle name="Normal 6 4" xfId="5859" xr:uid="{00000000-0005-0000-0000-00003C2D0000}"/>
    <cellStyle name="Normal 6 4 2" xfId="12867" xr:uid="{00000000-0005-0000-0000-00003D2D0000}"/>
    <cellStyle name="Normal 6 5" xfId="12858" xr:uid="{00000000-0005-0000-0000-00003E2D0000}"/>
    <cellStyle name="Normal 60" xfId="5860" xr:uid="{00000000-0005-0000-0000-00003F2D0000}"/>
    <cellStyle name="Normal 60 2" xfId="8582" xr:uid="{00000000-0005-0000-0000-0000402D0000}"/>
    <cellStyle name="Normal 60 2 2" xfId="12869" xr:uid="{00000000-0005-0000-0000-0000412D0000}"/>
    <cellStyle name="Normal 60 3" xfId="7676" xr:uid="{00000000-0005-0000-0000-0000422D0000}"/>
    <cellStyle name="Normal 60 3 2" xfId="12870" xr:uid="{00000000-0005-0000-0000-0000432D0000}"/>
    <cellStyle name="Normal 60 4" xfId="12868" xr:uid="{00000000-0005-0000-0000-0000442D0000}"/>
    <cellStyle name="Normal 61" xfId="5861" xr:uid="{00000000-0005-0000-0000-0000452D0000}"/>
    <cellStyle name="Normal 61 2" xfId="8583" xr:uid="{00000000-0005-0000-0000-0000462D0000}"/>
    <cellStyle name="Normal 61 2 2" xfId="12872" xr:uid="{00000000-0005-0000-0000-0000472D0000}"/>
    <cellStyle name="Normal 61 3" xfId="7677" xr:uid="{00000000-0005-0000-0000-0000482D0000}"/>
    <cellStyle name="Normal 61 3 2" xfId="12873" xr:uid="{00000000-0005-0000-0000-0000492D0000}"/>
    <cellStyle name="Normal 61 4" xfId="12871" xr:uid="{00000000-0005-0000-0000-00004A2D0000}"/>
    <cellStyle name="Normal 62" xfId="5862" xr:uid="{00000000-0005-0000-0000-00004B2D0000}"/>
    <cellStyle name="Normal 62 2" xfId="8584" xr:uid="{00000000-0005-0000-0000-00004C2D0000}"/>
    <cellStyle name="Normal 62 2 2" xfId="12875" xr:uid="{00000000-0005-0000-0000-00004D2D0000}"/>
    <cellStyle name="Normal 62 3" xfId="7678" xr:uid="{00000000-0005-0000-0000-00004E2D0000}"/>
    <cellStyle name="Normal 62 3 2" xfId="12876" xr:uid="{00000000-0005-0000-0000-00004F2D0000}"/>
    <cellStyle name="Normal 62 4" xfId="12874" xr:uid="{00000000-0005-0000-0000-0000502D0000}"/>
    <cellStyle name="Normal 63" xfId="5863" xr:uid="{00000000-0005-0000-0000-0000512D0000}"/>
    <cellStyle name="Normal 63 2" xfId="8585" xr:uid="{00000000-0005-0000-0000-0000522D0000}"/>
    <cellStyle name="Normal 63 2 2" xfId="12878" xr:uid="{00000000-0005-0000-0000-0000532D0000}"/>
    <cellStyle name="Normal 63 3" xfId="7679" xr:uid="{00000000-0005-0000-0000-0000542D0000}"/>
    <cellStyle name="Normal 63 3 2" xfId="12879" xr:uid="{00000000-0005-0000-0000-0000552D0000}"/>
    <cellStyle name="Normal 63 4" xfId="12877" xr:uid="{00000000-0005-0000-0000-0000562D0000}"/>
    <cellStyle name="Normal 64" xfId="5864" xr:uid="{00000000-0005-0000-0000-0000572D0000}"/>
    <cellStyle name="Normal 64 2" xfId="8586" xr:uid="{00000000-0005-0000-0000-0000582D0000}"/>
    <cellStyle name="Normal 64 2 2" xfId="12881" xr:uid="{00000000-0005-0000-0000-0000592D0000}"/>
    <cellStyle name="Normal 64 3" xfId="7680" xr:uid="{00000000-0005-0000-0000-00005A2D0000}"/>
    <cellStyle name="Normal 64 3 2" xfId="12882" xr:uid="{00000000-0005-0000-0000-00005B2D0000}"/>
    <cellStyle name="Normal 64 4" xfId="12880" xr:uid="{00000000-0005-0000-0000-00005C2D0000}"/>
    <cellStyle name="Normal 65" xfId="5865" xr:uid="{00000000-0005-0000-0000-00005D2D0000}"/>
    <cellStyle name="Normal 65 2" xfId="8587" xr:uid="{00000000-0005-0000-0000-00005E2D0000}"/>
    <cellStyle name="Normal 65 2 2" xfId="12884" xr:uid="{00000000-0005-0000-0000-00005F2D0000}"/>
    <cellStyle name="Normal 65 3" xfId="7681" xr:uid="{00000000-0005-0000-0000-0000602D0000}"/>
    <cellStyle name="Normal 65 3 2" xfId="12885" xr:uid="{00000000-0005-0000-0000-0000612D0000}"/>
    <cellStyle name="Normal 65 4" xfId="12883" xr:uid="{00000000-0005-0000-0000-0000622D0000}"/>
    <cellStyle name="Normal 66" xfId="5866" xr:uid="{00000000-0005-0000-0000-0000632D0000}"/>
    <cellStyle name="Normal 66 2" xfId="8588" xr:uid="{00000000-0005-0000-0000-0000642D0000}"/>
    <cellStyle name="Normal 66 2 2" xfId="12887" xr:uid="{00000000-0005-0000-0000-0000652D0000}"/>
    <cellStyle name="Normal 66 3" xfId="7682" xr:uid="{00000000-0005-0000-0000-0000662D0000}"/>
    <cellStyle name="Normal 66 3 2" xfId="12888" xr:uid="{00000000-0005-0000-0000-0000672D0000}"/>
    <cellStyle name="Normal 66 4" xfId="12886" xr:uid="{00000000-0005-0000-0000-0000682D0000}"/>
    <cellStyle name="Normal 67" xfId="5867" xr:uid="{00000000-0005-0000-0000-0000692D0000}"/>
    <cellStyle name="Normal 67 2" xfId="12889" xr:uid="{00000000-0005-0000-0000-00006A2D0000}"/>
    <cellStyle name="Normal 68" xfId="5868" xr:uid="{00000000-0005-0000-0000-00006B2D0000}"/>
    <cellStyle name="Normal 68 2" xfId="12890" xr:uid="{00000000-0005-0000-0000-00006C2D0000}"/>
    <cellStyle name="Normal 69" xfId="5869" xr:uid="{00000000-0005-0000-0000-00006D2D0000}"/>
    <cellStyle name="Normal 69 2" xfId="8589" xr:uid="{00000000-0005-0000-0000-00006E2D0000}"/>
    <cellStyle name="Normal 69 2 2" xfId="12892" xr:uid="{00000000-0005-0000-0000-00006F2D0000}"/>
    <cellStyle name="Normal 69 3" xfId="7683" xr:uid="{00000000-0005-0000-0000-0000702D0000}"/>
    <cellStyle name="Normal 69 3 2" xfId="12893" xr:uid="{00000000-0005-0000-0000-0000712D0000}"/>
    <cellStyle name="Normal 69 4" xfId="12891" xr:uid="{00000000-0005-0000-0000-0000722D0000}"/>
    <cellStyle name="Normal 7" xfId="986" xr:uid="{00000000-0005-0000-0000-0000732D0000}"/>
    <cellStyle name="Normal 7 10" xfId="12894" xr:uid="{00000000-0005-0000-0000-0000742D0000}"/>
    <cellStyle name="Normal 7 2" xfId="987" xr:uid="{00000000-0005-0000-0000-0000752D0000}"/>
    <cellStyle name="Normal 7 2 2" xfId="988" xr:uid="{00000000-0005-0000-0000-0000762D0000}"/>
    <cellStyle name="Normal 7 2 2 2" xfId="5871" xr:uid="{00000000-0005-0000-0000-0000772D0000}"/>
    <cellStyle name="Normal 7 2 2 2 2" xfId="12897" xr:uid="{00000000-0005-0000-0000-0000782D0000}"/>
    <cellStyle name="Normal 7 2 2 3" xfId="7685" xr:uid="{00000000-0005-0000-0000-0000792D0000}"/>
    <cellStyle name="Normal 7 2 2 3 2" xfId="12898" xr:uid="{00000000-0005-0000-0000-00007A2D0000}"/>
    <cellStyle name="Normal 7 2 2 4" xfId="12896" xr:uid="{00000000-0005-0000-0000-00007B2D0000}"/>
    <cellStyle name="Normal 7 2 3" xfId="5872" xr:uid="{00000000-0005-0000-0000-00007C2D0000}"/>
    <cellStyle name="Normal 7 2 3 2" xfId="8590" xr:uid="{00000000-0005-0000-0000-00007D2D0000}"/>
    <cellStyle name="Normal 7 2 3 2 2" xfId="12900" xr:uid="{00000000-0005-0000-0000-00007E2D0000}"/>
    <cellStyle name="Normal 7 2 3 3" xfId="7686" xr:uid="{00000000-0005-0000-0000-00007F2D0000}"/>
    <cellStyle name="Normal 7 2 3 3 2" xfId="12901" xr:uid="{00000000-0005-0000-0000-0000802D0000}"/>
    <cellStyle name="Normal 7 2 3 4" xfId="12899" xr:uid="{00000000-0005-0000-0000-0000812D0000}"/>
    <cellStyle name="Normal 7 2 4" xfId="5873" xr:uid="{00000000-0005-0000-0000-0000822D0000}"/>
    <cellStyle name="Normal 7 2 4 2" xfId="8591" xr:uid="{00000000-0005-0000-0000-0000832D0000}"/>
    <cellStyle name="Normal 7 2 4 2 2" xfId="12903" xr:uid="{00000000-0005-0000-0000-0000842D0000}"/>
    <cellStyle name="Normal 7 2 4 3" xfId="7687" xr:uid="{00000000-0005-0000-0000-0000852D0000}"/>
    <cellStyle name="Normal 7 2 4 3 2" xfId="12904" xr:uid="{00000000-0005-0000-0000-0000862D0000}"/>
    <cellStyle name="Normal 7 2 4 4" xfId="12902" xr:uid="{00000000-0005-0000-0000-0000872D0000}"/>
    <cellStyle name="Normal 7 2 5" xfId="5874" xr:uid="{00000000-0005-0000-0000-0000882D0000}"/>
    <cellStyle name="Normal 7 2 5 2" xfId="12905" xr:uid="{00000000-0005-0000-0000-0000892D0000}"/>
    <cellStyle name="Normal 7 2 6" xfId="5870" xr:uid="{00000000-0005-0000-0000-00008A2D0000}"/>
    <cellStyle name="Normal 7 2 6 2" xfId="12906" xr:uid="{00000000-0005-0000-0000-00008B2D0000}"/>
    <cellStyle name="Normal 7 2 7" xfId="7684" xr:uid="{00000000-0005-0000-0000-00008C2D0000}"/>
    <cellStyle name="Normal 7 2 7 2" xfId="12907" xr:uid="{00000000-0005-0000-0000-00008D2D0000}"/>
    <cellStyle name="Normal 7 2 8" xfId="12895" xr:uid="{00000000-0005-0000-0000-00008E2D0000}"/>
    <cellStyle name="Normal 7 3" xfId="989" xr:uid="{00000000-0005-0000-0000-00008F2D0000}"/>
    <cellStyle name="Normal 7 3 2" xfId="990" xr:uid="{00000000-0005-0000-0000-0000902D0000}"/>
    <cellStyle name="Normal 7 3 2 2" xfId="8592" xr:uid="{00000000-0005-0000-0000-0000912D0000}"/>
    <cellStyle name="Normal 7 3 2 2 2" xfId="12910" xr:uid="{00000000-0005-0000-0000-0000922D0000}"/>
    <cellStyle name="Normal 7 3 2 3" xfId="12909" xr:uid="{00000000-0005-0000-0000-0000932D0000}"/>
    <cellStyle name="Normal 7 3 3" xfId="5875" xr:uid="{00000000-0005-0000-0000-0000942D0000}"/>
    <cellStyle name="Normal 7 3 3 2" xfId="12911" xr:uid="{00000000-0005-0000-0000-0000952D0000}"/>
    <cellStyle name="Normal 7 3 4" xfId="12908" xr:uid="{00000000-0005-0000-0000-0000962D0000}"/>
    <cellStyle name="Normal 7 4" xfId="991" xr:uid="{00000000-0005-0000-0000-0000972D0000}"/>
    <cellStyle name="Normal 7 4 2" xfId="5876" xr:uid="{00000000-0005-0000-0000-0000982D0000}"/>
    <cellStyle name="Normal 7 4 2 2" xfId="12913" xr:uid="{00000000-0005-0000-0000-0000992D0000}"/>
    <cellStyle name="Normal 7 4 3" xfId="12912" xr:uid="{00000000-0005-0000-0000-00009A2D0000}"/>
    <cellStyle name="Normal 7 5" xfId="992" xr:uid="{00000000-0005-0000-0000-00009B2D0000}"/>
    <cellStyle name="Normal 7 5 2" xfId="5877" xr:uid="{00000000-0005-0000-0000-00009C2D0000}"/>
    <cellStyle name="Normal 7 5 2 2" xfId="12915" xr:uid="{00000000-0005-0000-0000-00009D2D0000}"/>
    <cellStyle name="Normal 7 5 3" xfId="12914" xr:uid="{00000000-0005-0000-0000-00009E2D0000}"/>
    <cellStyle name="Normal 7 6" xfId="993" xr:uid="{00000000-0005-0000-0000-00009F2D0000}"/>
    <cellStyle name="Normal 7 6 2" xfId="5878" xr:uid="{00000000-0005-0000-0000-0000A02D0000}"/>
    <cellStyle name="Normal 7 6 2 2" xfId="12917" xr:uid="{00000000-0005-0000-0000-0000A12D0000}"/>
    <cellStyle name="Normal 7 6 3" xfId="12916" xr:uid="{00000000-0005-0000-0000-0000A22D0000}"/>
    <cellStyle name="Normal 7 7" xfId="994" xr:uid="{00000000-0005-0000-0000-0000A32D0000}"/>
    <cellStyle name="Normal 7 7 2" xfId="5879" xr:uid="{00000000-0005-0000-0000-0000A42D0000}"/>
    <cellStyle name="Normal 7 7 2 2" xfId="12919" xr:uid="{00000000-0005-0000-0000-0000A52D0000}"/>
    <cellStyle name="Normal 7 7 3" xfId="7688" xr:uid="{00000000-0005-0000-0000-0000A62D0000}"/>
    <cellStyle name="Normal 7 7 3 2" xfId="12920" xr:uid="{00000000-0005-0000-0000-0000A72D0000}"/>
    <cellStyle name="Normal 7 7 4" xfId="12918" xr:uid="{00000000-0005-0000-0000-0000A82D0000}"/>
    <cellStyle name="Normal 7 8" xfId="5880" xr:uid="{00000000-0005-0000-0000-0000A92D0000}"/>
    <cellStyle name="Normal 7 8 2" xfId="8593" xr:uid="{00000000-0005-0000-0000-0000AA2D0000}"/>
    <cellStyle name="Normal 7 8 2 2" xfId="12922" xr:uid="{00000000-0005-0000-0000-0000AB2D0000}"/>
    <cellStyle name="Normal 7 8 3" xfId="7689" xr:uid="{00000000-0005-0000-0000-0000AC2D0000}"/>
    <cellStyle name="Normal 7 8 3 2" xfId="12923" xr:uid="{00000000-0005-0000-0000-0000AD2D0000}"/>
    <cellStyle name="Normal 7 8 4" xfId="12921" xr:uid="{00000000-0005-0000-0000-0000AE2D0000}"/>
    <cellStyle name="Normal 7 9" xfId="5881" xr:uid="{00000000-0005-0000-0000-0000AF2D0000}"/>
    <cellStyle name="Normal 7 9 2" xfId="12924" xr:uid="{00000000-0005-0000-0000-0000B02D0000}"/>
    <cellStyle name="Normal 70" xfId="5882" xr:uid="{00000000-0005-0000-0000-0000B12D0000}"/>
    <cellStyle name="Normal 70 2" xfId="12925" xr:uid="{00000000-0005-0000-0000-0000B22D0000}"/>
    <cellStyle name="Normal 71" xfId="5883" xr:uid="{00000000-0005-0000-0000-0000B32D0000}"/>
    <cellStyle name="Normal 71 2" xfId="12926" xr:uid="{00000000-0005-0000-0000-0000B42D0000}"/>
    <cellStyle name="Normal 72" xfId="5884" xr:uid="{00000000-0005-0000-0000-0000B52D0000}"/>
    <cellStyle name="Normal 72 2" xfId="12927" xr:uid="{00000000-0005-0000-0000-0000B62D0000}"/>
    <cellStyle name="Normal 73" xfId="5885" xr:uid="{00000000-0005-0000-0000-0000B72D0000}"/>
    <cellStyle name="Normal 73 2" xfId="12928" xr:uid="{00000000-0005-0000-0000-0000B82D0000}"/>
    <cellStyle name="Normal 74" xfId="5886" xr:uid="{00000000-0005-0000-0000-0000B92D0000}"/>
    <cellStyle name="Normal 74 2" xfId="12929" xr:uid="{00000000-0005-0000-0000-0000BA2D0000}"/>
    <cellStyle name="Normal 75" xfId="5887" xr:uid="{00000000-0005-0000-0000-0000BB2D0000}"/>
    <cellStyle name="Normal 75 2" xfId="12930" xr:uid="{00000000-0005-0000-0000-0000BC2D0000}"/>
    <cellStyle name="Normal 76" xfId="5888" xr:uid="{00000000-0005-0000-0000-0000BD2D0000}"/>
    <cellStyle name="Normal 76 2" xfId="12931" xr:uid="{00000000-0005-0000-0000-0000BE2D0000}"/>
    <cellStyle name="Normal 77" xfId="5889" xr:uid="{00000000-0005-0000-0000-0000BF2D0000}"/>
    <cellStyle name="Normal 77 2" xfId="12932" xr:uid="{00000000-0005-0000-0000-0000C02D0000}"/>
    <cellStyle name="Normal 78" xfId="5890" xr:uid="{00000000-0005-0000-0000-0000C12D0000}"/>
    <cellStyle name="Normal 78 2" xfId="8594" xr:uid="{00000000-0005-0000-0000-0000C22D0000}"/>
    <cellStyle name="Normal 78 2 2" xfId="12934" xr:uid="{00000000-0005-0000-0000-0000C32D0000}"/>
    <cellStyle name="Normal 78 3" xfId="7690" xr:uid="{00000000-0005-0000-0000-0000C42D0000}"/>
    <cellStyle name="Normal 78 3 2" xfId="12935" xr:uid="{00000000-0005-0000-0000-0000C52D0000}"/>
    <cellStyle name="Normal 78 4" xfId="12933" xr:uid="{00000000-0005-0000-0000-0000C62D0000}"/>
    <cellStyle name="Normal 79" xfId="5891" xr:uid="{00000000-0005-0000-0000-0000C72D0000}"/>
    <cellStyle name="Normal 79 2" xfId="8595" xr:uid="{00000000-0005-0000-0000-0000C82D0000}"/>
    <cellStyle name="Normal 79 2 2" xfId="12937" xr:uid="{00000000-0005-0000-0000-0000C92D0000}"/>
    <cellStyle name="Normal 79 3" xfId="7691" xr:uid="{00000000-0005-0000-0000-0000CA2D0000}"/>
    <cellStyle name="Normal 79 3 2" xfId="12938" xr:uid="{00000000-0005-0000-0000-0000CB2D0000}"/>
    <cellStyle name="Normal 79 4" xfId="12936" xr:uid="{00000000-0005-0000-0000-0000CC2D0000}"/>
    <cellStyle name="Normal 8" xfId="995" xr:uid="{00000000-0005-0000-0000-0000CD2D0000}"/>
    <cellStyle name="Normal 8 2" xfId="5892" xr:uid="{00000000-0005-0000-0000-0000CE2D0000}"/>
    <cellStyle name="Normal 8 2 2" xfId="8596" xr:uid="{00000000-0005-0000-0000-0000CF2D0000}"/>
    <cellStyle name="Normal 8 2 2 2" xfId="12941" xr:uid="{00000000-0005-0000-0000-0000D02D0000}"/>
    <cellStyle name="Normal 8 2 3" xfId="7692" xr:uid="{00000000-0005-0000-0000-0000D12D0000}"/>
    <cellStyle name="Normal 8 2 3 2" xfId="12942" xr:uid="{00000000-0005-0000-0000-0000D22D0000}"/>
    <cellStyle name="Normal 8 2 4" xfId="12940" xr:uid="{00000000-0005-0000-0000-0000D32D0000}"/>
    <cellStyle name="Normal 8 3" xfId="5893" xr:uid="{00000000-0005-0000-0000-0000D42D0000}"/>
    <cellStyle name="Normal 8 3 2" xfId="8597" xr:uid="{00000000-0005-0000-0000-0000D52D0000}"/>
    <cellStyle name="Normal 8 3 2 2" xfId="12944" xr:uid="{00000000-0005-0000-0000-0000D62D0000}"/>
    <cellStyle name="Normal 8 3 3" xfId="7693" xr:uid="{00000000-0005-0000-0000-0000D72D0000}"/>
    <cellStyle name="Normal 8 3 3 2" xfId="12945" xr:uid="{00000000-0005-0000-0000-0000D82D0000}"/>
    <cellStyle name="Normal 8 3 4" xfId="12943" xr:uid="{00000000-0005-0000-0000-0000D92D0000}"/>
    <cellStyle name="Normal 8 4" xfId="5894" xr:uid="{00000000-0005-0000-0000-0000DA2D0000}"/>
    <cellStyle name="Normal 8 4 2" xfId="8598" xr:uid="{00000000-0005-0000-0000-0000DB2D0000}"/>
    <cellStyle name="Normal 8 4 2 2" xfId="12947" xr:uid="{00000000-0005-0000-0000-0000DC2D0000}"/>
    <cellStyle name="Normal 8 4 3" xfId="7694" xr:uid="{00000000-0005-0000-0000-0000DD2D0000}"/>
    <cellStyle name="Normal 8 4 3 2" xfId="12948" xr:uid="{00000000-0005-0000-0000-0000DE2D0000}"/>
    <cellStyle name="Normal 8 4 4" xfId="12946" xr:uid="{00000000-0005-0000-0000-0000DF2D0000}"/>
    <cellStyle name="Normal 8 5" xfId="5895" xr:uid="{00000000-0005-0000-0000-0000E02D0000}"/>
    <cellStyle name="Normal 8 5 2" xfId="12949" xr:uid="{00000000-0005-0000-0000-0000E12D0000}"/>
    <cellStyle name="Normal 8 6" xfId="12939" xr:uid="{00000000-0005-0000-0000-0000E22D0000}"/>
    <cellStyle name="Normal 80" xfId="5896" xr:uid="{00000000-0005-0000-0000-0000E32D0000}"/>
    <cellStyle name="Normal 80 2" xfId="8599" xr:uid="{00000000-0005-0000-0000-0000E42D0000}"/>
    <cellStyle name="Normal 80 2 2" xfId="12951" xr:uid="{00000000-0005-0000-0000-0000E52D0000}"/>
    <cellStyle name="Normal 80 3" xfId="7695" xr:uid="{00000000-0005-0000-0000-0000E62D0000}"/>
    <cellStyle name="Normal 80 3 2" xfId="12952" xr:uid="{00000000-0005-0000-0000-0000E72D0000}"/>
    <cellStyle name="Normal 80 4" xfId="12950" xr:uid="{00000000-0005-0000-0000-0000E82D0000}"/>
    <cellStyle name="Normal 81" xfId="5897" xr:uid="{00000000-0005-0000-0000-0000E92D0000}"/>
    <cellStyle name="Normal 81 2" xfId="8600" xr:uid="{00000000-0005-0000-0000-0000EA2D0000}"/>
    <cellStyle name="Normal 81 2 2" xfId="12954" xr:uid="{00000000-0005-0000-0000-0000EB2D0000}"/>
    <cellStyle name="Normal 81 3" xfId="7696" xr:uid="{00000000-0005-0000-0000-0000EC2D0000}"/>
    <cellStyle name="Normal 81 3 2" xfId="12955" xr:uid="{00000000-0005-0000-0000-0000ED2D0000}"/>
    <cellStyle name="Normal 81 4" xfId="12953" xr:uid="{00000000-0005-0000-0000-0000EE2D0000}"/>
    <cellStyle name="Normal 82" xfId="5898" xr:uid="{00000000-0005-0000-0000-0000EF2D0000}"/>
    <cellStyle name="Normal 82 2" xfId="8601" xr:uid="{00000000-0005-0000-0000-0000F02D0000}"/>
    <cellStyle name="Normal 82 2 2" xfId="12957" xr:uid="{00000000-0005-0000-0000-0000F12D0000}"/>
    <cellStyle name="Normal 82 3" xfId="7697" xr:uid="{00000000-0005-0000-0000-0000F22D0000}"/>
    <cellStyle name="Normal 82 3 2" xfId="12958" xr:uid="{00000000-0005-0000-0000-0000F32D0000}"/>
    <cellStyle name="Normal 82 4" xfId="12956" xr:uid="{00000000-0005-0000-0000-0000F42D0000}"/>
    <cellStyle name="Normal 83" xfId="5899" xr:uid="{00000000-0005-0000-0000-0000F52D0000}"/>
    <cellStyle name="Normal 83 2" xfId="12959" xr:uid="{00000000-0005-0000-0000-0000F62D0000}"/>
    <cellStyle name="Normal 84" xfId="5900" xr:uid="{00000000-0005-0000-0000-0000F72D0000}"/>
    <cellStyle name="Normal 84 2" xfId="12960" xr:uid="{00000000-0005-0000-0000-0000F82D0000}"/>
    <cellStyle name="Normal 85" xfId="5901" xr:uid="{00000000-0005-0000-0000-0000F92D0000}"/>
    <cellStyle name="Normal 85 2" xfId="12961" xr:uid="{00000000-0005-0000-0000-0000FA2D0000}"/>
    <cellStyle name="Normal 86" xfId="5902" xr:uid="{00000000-0005-0000-0000-0000FB2D0000}"/>
    <cellStyle name="Normal 86 2" xfId="8602" xr:uid="{00000000-0005-0000-0000-0000FC2D0000}"/>
    <cellStyle name="Normal 86 2 2" xfId="12963" xr:uid="{00000000-0005-0000-0000-0000FD2D0000}"/>
    <cellStyle name="Normal 86 3" xfId="7698" xr:uid="{00000000-0005-0000-0000-0000FE2D0000}"/>
    <cellStyle name="Normal 86 3 2" xfId="12964" xr:uid="{00000000-0005-0000-0000-0000FF2D0000}"/>
    <cellStyle name="Normal 86 4" xfId="12962" xr:uid="{00000000-0005-0000-0000-0000002E0000}"/>
    <cellStyle name="Normal 87" xfId="5903" xr:uid="{00000000-0005-0000-0000-0000012E0000}"/>
    <cellStyle name="Normal 87 2" xfId="12965" xr:uid="{00000000-0005-0000-0000-0000022E0000}"/>
    <cellStyle name="Normal 88" xfId="5904" xr:uid="{00000000-0005-0000-0000-0000032E0000}"/>
    <cellStyle name="Normal 88 2" xfId="12966" xr:uid="{00000000-0005-0000-0000-0000042E0000}"/>
    <cellStyle name="Normal 89" xfId="5905" xr:uid="{00000000-0005-0000-0000-0000052E0000}"/>
    <cellStyle name="Normal 89 2" xfId="5906" xr:uid="{00000000-0005-0000-0000-0000062E0000}"/>
    <cellStyle name="Normal 89 2 2" xfId="12968" xr:uid="{00000000-0005-0000-0000-0000072E0000}"/>
    <cellStyle name="Normal 89 3" xfId="12967" xr:uid="{00000000-0005-0000-0000-0000082E0000}"/>
    <cellStyle name="Normal 9" xfId="996" xr:uid="{00000000-0005-0000-0000-0000092E0000}"/>
    <cellStyle name="Normal 9 2" xfId="5907" xr:uid="{00000000-0005-0000-0000-00000A2E0000}"/>
    <cellStyle name="Normal 9 2 2" xfId="8603" xr:uid="{00000000-0005-0000-0000-00000B2E0000}"/>
    <cellStyle name="Normal 9 2 2 2" xfId="12971" xr:uid="{00000000-0005-0000-0000-00000C2E0000}"/>
    <cellStyle name="Normal 9 2 3" xfId="7699" xr:uid="{00000000-0005-0000-0000-00000D2E0000}"/>
    <cellStyle name="Normal 9 2 3 2" xfId="12972" xr:uid="{00000000-0005-0000-0000-00000E2E0000}"/>
    <cellStyle name="Normal 9 2 4" xfId="12970" xr:uid="{00000000-0005-0000-0000-00000F2E0000}"/>
    <cellStyle name="Normal 9 3" xfId="5908" xr:uid="{00000000-0005-0000-0000-0000102E0000}"/>
    <cellStyle name="Normal 9 3 2" xfId="8604" xr:uid="{00000000-0005-0000-0000-0000112E0000}"/>
    <cellStyle name="Normal 9 3 2 2" xfId="12974" xr:uid="{00000000-0005-0000-0000-0000122E0000}"/>
    <cellStyle name="Normal 9 3 3" xfId="7700" xr:uid="{00000000-0005-0000-0000-0000132E0000}"/>
    <cellStyle name="Normal 9 3 3 2" xfId="12975" xr:uid="{00000000-0005-0000-0000-0000142E0000}"/>
    <cellStyle name="Normal 9 3 4" xfId="12973" xr:uid="{00000000-0005-0000-0000-0000152E0000}"/>
    <cellStyle name="Normal 9 4" xfId="5909" xr:uid="{00000000-0005-0000-0000-0000162E0000}"/>
    <cellStyle name="Normal 9 4 2" xfId="8605" xr:uid="{00000000-0005-0000-0000-0000172E0000}"/>
    <cellStyle name="Normal 9 4 2 2" xfId="12977" xr:uid="{00000000-0005-0000-0000-0000182E0000}"/>
    <cellStyle name="Normal 9 4 3" xfId="7701" xr:uid="{00000000-0005-0000-0000-0000192E0000}"/>
    <cellStyle name="Normal 9 4 3 2" xfId="12978" xr:uid="{00000000-0005-0000-0000-00001A2E0000}"/>
    <cellStyle name="Normal 9 4 4" xfId="12976" xr:uid="{00000000-0005-0000-0000-00001B2E0000}"/>
    <cellStyle name="Normal 9 5" xfId="5910" xr:uid="{00000000-0005-0000-0000-00001C2E0000}"/>
    <cellStyle name="Normal 9 5 2" xfId="12979" xr:uid="{00000000-0005-0000-0000-00001D2E0000}"/>
    <cellStyle name="Normal 9 6" xfId="12969" xr:uid="{00000000-0005-0000-0000-00001E2E0000}"/>
    <cellStyle name="Normal 90" xfId="5911" xr:uid="{00000000-0005-0000-0000-00001F2E0000}"/>
    <cellStyle name="Normal 90 2" xfId="12980" xr:uid="{00000000-0005-0000-0000-0000202E0000}"/>
    <cellStyle name="Normal 91" xfId="5912" xr:uid="{00000000-0005-0000-0000-0000212E0000}"/>
    <cellStyle name="Normal 91 2" xfId="12981" xr:uid="{00000000-0005-0000-0000-0000222E0000}"/>
    <cellStyle name="Normal 92" xfId="5913" xr:uid="{00000000-0005-0000-0000-0000232E0000}"/>
    <cellStyle name="Normal 92 2" xfId="12982" xr:uid="{00000000-0005-0000-0000-0000242E0000}"/>
    <cellStyle name="Normal 93" xfId="997" xr:uid="{00000000-0005-0000-0000-0000252E0000}"/>
    <cellStyle name="Normal 93 2" xfId="5915" xr:uid="{00000000-0005-0000-0000-0000262E0000}"/>
    <cellStyle name="Normal 93 2 2" xfId="12984" xr:uid="{00000000-0005-0000-0000-0000272E0000}"/>
    <cellStyle name="Normal 93 3" xfId="5914" xr:uid="{00000000-0005-0000-0000-0000282E0000}"/>
    <cellStyle name="Normal 93 3 2" xfId="12985" xr:uid="{00000000-0005-0000-0000-0000292E0000}"/>
    <cellStyle name="Normal 93 4" xfId="7702" xr:uid="{00000000-0005-0000-0000-00002A2E0000}"/>
    <cellStyle name="Normal 93 4 2" xfId="12986" xr:uid="{00000000-0005-0000-0000-00002B2E0000}"/>
    <cellStyle name="Normal 93 5" xfId="12983" xr:uid="{00000000-0005-0000-0000-00002C2E0000}"/>
    <cellStyle name="Normal 94" xfId="5916" xr:uid="{00000000-0005-0000-0000-00002D2E0000}"/>
    <cellStyle name="Normal 94 2" xfId="12987" xr:uid="{00000000-0005-0000-0000-00002E2E0000}"/>
    <cellStyle name="Normal 95" xfId="5917" xr:uid="{00000000-0005-0000-0000-00002F2E0000}"/>
    <cellStyle name="Normal 95 2" xfId="12988" xr:uid="{00000000-0005-0000-0000-0000302E0000}"/>
    <cellStyle name="Normal 96" xfId="5918" xr:uid="{00000000-0005-0000-0000-0000312E0000}"/>
    <cellStyle name="Normal 96 2" xfId="12989" xr:uid="{00000000-0005-0000-0000-0000322E0000}"/>
    <cellStyle name="Normal 97" xfId="5919" xr:uid="{00000000-0005-0000-0000-0000332E0000}"/>
    <cellStyle name="Normal 97 2" xfId="12990" xr:uid="{00000000-0005-0000-0000-0000342E0000}"/>
    <cellStyle name="Normal 98" xfId="5920" xr:uid="{00000000-0005-0000-0000-0000352E0000}"/>
    <cellStyle name="Normal 98 2" xfId="12991" xr:uid="{00000000-0005-0000-0000-0000362E0000}"/>
    <cellStyle name="Normal 99" xfId="5921" xr:uid="{00000000-0005-0000-0000-0000372E0000}"/>
    <cellStyle name="Normal 99 2" xfId="12992" xr:uid="{00000000-0005-0000-0000-0000382E0000}"/>
    <cellStyle name="Normal_CERT3 (2)" xfId="67" xr:uid="{00000000-0005-0000-0000-0000392E0000}"/>
    <cellStyle name="Normal_CERT3 (2) 3" xfId="998" xr:uid="{00000000-0005-0000-0000-00003A2E0000}"/>
    <cellStyle name="Normal_Summary to Schedules" xfId="50" xr:uid="{00000000-0005-0000-0000-00003B2E0000}"/>
    <cellStyle name="Normal_Summary to Schedules-2650" xfId="51" xr:uid="{00000000-0005-0000-0000-00003C2E0000}"/>
    <cellStyle name="Note" xfId="52" builtinId="10" customBuiltin="1"/>
    <cellStyle name="Note 10" xfId="5922" xr:uid="{00000000-0005-0000-0000-00003E2E0000}"/>
    <cellStyle name="Note 10 2" xfId="8606" xr:uid="{00000000-0005-0000-0000-00003F2E0000}"/>
    <cellStyle name="Note 10 2 2" xfId="12995" xr:uid="{00000000-0005-0000-0000-0000402E0000}"/>
    <cellStyle name="Note 10 3" xfId="7703" xr:uid="{00000000-0005-0000-0000-0000412E0000}"/>
    <cellStyle name="Note 10 3 2" xfId="12996" xr:uid="{00000000-0005-0000-0000-0000422E0000}"/>
    <cellStyle name="Note 10 4" xfId="12994" xr:uid="{00000000-0005-0000-0000-0000432E0000}"/>
    <cellStyle name="Note 11" xfId="5923" xr:uid="{00000000-0005-0000-0000-0000442E0000}"/>
    <cellStyle name="Note 11 2" xfId="8607" xr:uid="{00000000-0005-0000-0000-0000452E0000}"/>
    <cellStyle name="Note 11 2 2" xfId="12998" xr:uid="{00000000-0005-0000-0000-0000462E0000}"/>
    <cellStyle name="Note 11 3" xfId="7704" xr:uid="{00000000-0005-0000-0000-0000472E0000}"/>
    <cellStyle name="Note 11 3 2" xfId="12999" xr:uid="{00000000-0005-0000-0000-0000482E0000}"/>
    <cellStyle name="Note 11 4" xfId="12997" xr:uid="{00000000-0005-0000-0000-0000492E0000}"/>
    <cellStyle name="Note 12" xfId="12993" xr:uid="{00000000-0005-0000-0000-00004A2E0000}"/>
    <cellStyle name="Note 13" xfId="64" xr:uid="{00000000-0005-0000-0000-00004B2E0000}"/>
    <cellStyle name="Note 2" xfId="999" xr:uid="{00000000-0005-0000-0000-00004C2E0000}"/>
    <cellStyle name="Note 2 2" xfId="5925" xr:uid="{00000000-0005-0000-0000-00004D2E0000}"/>
    <cellStyle name="Note 2 2 2" xfId="8608" xr:uid="{00000000-0005-0000-0000-00004E2E0000}"/>
    <cellStyle name="Note 2 2 2 2" xfId="13002" xr:uid="{00000000-0005-0000-0000-00004F2E0000}"/>
    <cellStyle name="Note 2 2 3" xfId="7705" xr:uid="{00000000-0005-0000-0000-0000502E0000}"/>
    <cellStyle name="Note 2 2 3 2" xfId="13003" xr:uid="{00000000-0005-0000-0000-0000512E0000}"/>
    <cellStyle name="Note 2 2 4" xfId="13001" xr:uid="{00000000-0005-0000-0000-0000522E0000}"/>
    <cellStyle name="Note 2 3" xfId="5926" xr:uid="{00000000-0005-0000-0000-0000532E0000}"/>
    <cellStyle name="Note 2 3 2" xfId="8609" xr:uid="{00000000-0005-0000-0000-0000542E0000}"/>
    <cellStyle name="Note 2 3 2 2" xfId="13005" xr:uid="{00000000-0005-0000-0000-0000552E0000}"/>
    <cellStyle name="Note 2 3 3" xfId="7706" xr:uid="{00000000-0005-0000-0000-0000562E0000}"/>
    <cellStyle name="Note 2 3 3 2" xfId="13006" xr:uid="{00000000-0005-0000-0000-0000572E0000}"/>
    <cellStyle name="Note 2 3 4" xfId="13004" xr:uid="{00000000-0005-0000-0000-0000582E0000}"/>
    <cellStyle name="Note 2 4" xfId="5927" xr:uid="{00000000-0005-0000-0000-0000592E0000}"/>
    <cellStyle name="Note 2 4 2" xfId="8610" xr:uid="{00000000-0005-0000-0000-00005A2E0000}"/>
    <cellStyle name="Note 2 4 2 2" xfId="13008" xr:uid="{00000000-0005-0000-0000-00005B2E0000}"/>
    <cellStyle name="Note 2 4 3" xfId="7707" xr:uid="{00000000-0005-0000-0000-00005C2E0000}"/>
    <cellStyle name="Note 2 4 3 2" xfId="13009" xr:uid="{00000000-0005-0000-0000-00005D2E0000}"/>
    <cellStyle name="Note 2 4 4" xfId="13007" xr:uid="{00000000-0005-0000-0000-00005E2E0000}"/>
    <cellStyle name="Note 2 5" xfId="5928" xr:uid="{00000000-0005-0000-0000-00005F2E0000}"/>
    <cellStyle name="Note 2 5 2" xfId="13010" xr:uid="{00000000-0005-0000-0000-0000602E0000}"/>
    <cellStyle name="Note 2 6" xfId="5924" xr:uid="{00000000-0005-0000-0000-0000612E0000}"/>
    <cellStyle name="Note 2 6 2" xfId="13011" xr:uid="{00000000-0005-0000-0000-0000622E0000}"/>
    <cellStyle name="Note 2 7" xfId="13000" xr:uid="{00000000-0005-0000-0000-0000632E0000}"/>
    <cellStyle name="Note 3" xfId="1000" xr:uid="{00000000-0005-0000-0000-0000642E0000}"/>
    <cellStyle name="Note 3 2" xfId="5930" xr:uid="{00000000-0005-0000-0000-0000652E0000}"/>
    <cellStyle name="Note 3 2 2" xfId="8611" xr:uid="{00000000-0005-0000-0000-0000662E0000}"/>
    <cellStyle name="Note 3 2 2 2" xfId="13014" xr:uid="{00000000-0005-0000-0000-0000672E0000}"/>
    <cellStyle name="Note 3 2 3" xfId="7708" xr:uid="{00000000-0005-0000-0000-0000682E0000}"/>
    <cellStyle name="Note 3 2 3 2" xfId="13015" xr:uid="{00000000-0005-0000-0000-0000692E0000}"/>
    <cellStyle name="Note 3 2 4" xfId="13013" xr:uid="{00000000-0005-0000-0000-00006A2E0000}"/>
    <cellStyle name="Note 3 3" xfId="5931" xr:uid="{00000000-0005-0000-0000-00006B2E0000}"/>
    <cellStyle name="Note 3 3 2" xfId="8612" xr:uid="{00000000-0005-0000-0000-00006C2E0000}"/>
    <cellStyle name="Note 3 3 2 2" xfId="13017" xr:uid="{00000000-0005-0000-0000-00006D2E0000}"/>
    <cellStyle name="Note 3 3 3" xfId="7709" xr:uid="{00000000-0005-0000-0000-00006E2E0000}"/>
    <cellStyle name="Note 3 3 3 2" xfId="13018" xr:uid="{00000000-0005-0000-0000-00006F2E0000}"/>
    <cellStyle name="Note 3 3 4" xfId="13016" xr:uid="{00000000-0005-0000-0000-0000702E0000}"/>
    <cellStyle name="Note 3 4" xfId="5932" xr:uid="{00000000-0005-0000-0000-0000712E0000}"/>
    <cellStyle name="Note 3 4 2" xfId="8613" xr:uid="{00000000-0005-0000-0000-0000722E0000}"/>
    <cellStyle name="Note 3 4 2 2" xfId="13020" xr:uid="{00000000-0005-0000-0000-0000732E0000}"/>
    <cellStyle name="Note 3 4 3" xfId="7710" xr:uid="{00000000-0005-0000-0000-0000742E0000}"/>
    <cellStyle name="Note 3 4 3 2" xfId="13021" xr:uid="{00000000-0005-0000-0000-0000752E0000}"/>
    <cellStyle name="Note 3 4 4" xfId="13019" xr:uid="{00000000-0005-0000-0000-0000762E0000}"/>
    <cellStyle name="Note 3 5" xfId="5933" xr:uid="{00000000-0005-0000-0000-0000772E0000}"/>
    <cellStyle name="Note 3 5 2" xfId="13022" xr:uid="{00000000-0005-0000-0000-0000782E0000}"/>
    <cellStyle name="Note 3 6" xfId="5929" xr:uid="{00000000-0005-0000-0000-0000792E0000}"/>
    <cellStyle name="Note 3 6 2" xfId="13023" xr:uid="{00000000-0005-0000-0000-00007A2E0000}"/>
    <cellStyle name="Note 3 7" xfId="13012" xr:uid="{00000000-0005-0000-0000-00007B2E0000}"/>
    <cellStyle name="Note 4" xfId="1001" xr:uid="{00000000-0005-0000-0000-00007C2E0000}"/>
    <cellStyle name="Note 4 2" xfId="5935" xr:uid="{00000000-0005-0000-0000-00007D2E0000}"/>
    <cellStyle name="Note 4 2 2" xfId="8614" xr:uid="{00000000-0005-0000-0000-00007E2E0000}"/>
    <cellStyle name="Note 4 2 2 2" xfId="13026" xr:uid="{00000000-0005-0000-0000-00007F2E0000}"/>
    <cellStyle name="Note 4 2 3" xfId="7711" xr:uid="{00000000-0005-0000-0000-0000802E0000}"/>
    <cellStyle name="Note 4 2 3 2" xfId="13027" xr:uid="{00000000-0005-0000-0000-0000812E0000}"/>
    <cellStyle name="Note 4 2 4" xfId="13025" xr:uid="{00000000-0005-0000-0000-0000822E0000}"/>
    <cellStyle name="Note 4 3" xfId="5936" xr:uid="{00000000-0005-0000-0000-0000832E0000}"/>
    <cellStyle name="Note 4 3 2" xfId="8615" xr:uid="{00000000-0005-0000-0000-0000842E0000}"/>
    <cellStyle name="Note 4 3 2 2" xfId="13029" xr:uid="{00000000-0005-0000-0000-0000852E0000}"/>
    <cellStyle name="Note 4 3 3" xfId="7712" xr:uid="{00000000-0005-0000-0000-0000862E0000}"/>
    <cellStyle name="Note 4 3 3 2" xfId="13030" xr:uid="{00000000-0005-0000-0000-0000872E0000}"/>
    <cellStyle name="Note 4 3 4" xfId="13028" xr:uid="{00000000-0005-0000-0000-0000882E0000}"/>
    <cellStyle name="Note 4 4" xfId="5937" xr:uid="{00000000-0005-0000-0000-0000892E0000}"/>
    <cellStyle name="Note 4 4 2" xfId="8616" xr:uid="{00000000-0005-0000-0000-00008A2E0000}"/>
    <cellStyle name="Note 4 4 2 2" xfId="13032" xr:uid="{00000000-0005-0000-0000-00008B2E0000}"/>
    <cellStyle name="Note 4 4 3" xfId="7713" xr:uid="{00000000-0005-0000-0000-00008C2E0000}"/>
    <cellStyle name="Note 4 4 3 2" xfId="13033" xr:uid="{00000000-0005-0000-0000-00008D2E0000}"/>
    <cellStyle name="Note 4 4 4" xfId="13031" xr:uid="{00000000-0005-0000-0000-00008E2E0000}"/>
    <cellStyle name="Note 4 5" xfId="5938" xr:uid="{00000000-0005-0000-0000-00008F2E0000}"/>
    <cellStyle name="Note 4 5 2" xfId="13034" xr:uid="{00000000-0005-0000-0000-0000902E0000}"/>
    <cellStyle name="Note 4 6" xfId="5934" xr:uid="{00000000-0005-0000-0000-0000912E0000}"/>
    <cellStyle name="Note 4 6 2" xfId="13035" xr:uid="{00000000-0005-0000-0000-0000922E0000}"/>
    <cellStyle name="Note 4 7" xfId="13024" xr:uid="{00000000-0005-0000-0000-0000932E0000}"/>
    <cellStyle name="Note 5" xfId="5939" xr:uid="{00000000-0005-0000-0000-0000942E0000}"/>
    <cellStyle name="Note 5 2" xfId="8617" xr:uid="{00000000-0005-0000-0000-0000952E0000}"/>
    <cellStyle name="Note 5 2 2" xfId="13037" xr:uid="{00000000-0005-0000-0000-0000962E0000}"/>
    <cellStyle name="Note 5 3" xfId="7714" xr:uid="{00000000-0005-0000-0000-0000972E0000}"/>
    <cellStyle name="Note 5 3 2" xfId="13038" xr:uid="{00000000-0005-0000-0000-0000982E0000}"/>
    <cellStyle name="Note 5 4" xfId="13036" xr:uid="{00000000-0005-0000-0000-0000992E0000}"/>
    <cellStyle name="Note 6" xfId="5940" xr:uid="{00000000-0005-0000-0000-00009A2E0000}"/>
    <cellStyle name="Note 6 2" xfId="8618" xr:uid="{00000000-0005-0000-0000-00009B2E0000}"/>
    <cellStyle name="Note 6 2 2" xfId="13040" xr:uid="{00000000-0005-0000-0000-00009C2E0000}"/>
    <cellStyle name="Note 6 3" xfId="7715" xr:uid="{00000000-0005-0000-0000-00009D2E0000}"/>
    <cellStyle name="Note 6 3 2" xfId="13041" xr:uid="{00000000-0005-0000-0000-00009E2E0000}"/>
    <cellStyle name="Note 6 4" xfId="13039" xr:uid="{00000000-0005-0000-0000-00009F2E0000}"/>
    <cellStyle name="Note 7" xfId="5941" xr:uid="{00000000-0005-0000-0000-0000A02E0000}"/>
    <cellStyle name="Note 7 2" xfId="8619" xr:uid="{00000000-0005-0000-0000-0000A12E0000}"/>
    <cellStyle name="Note 7 2 2" xfId="13043" xr:uid="{00000000-0005-0000-0000-0000A22E0000}"/>
    <cellStyle name="Note 7 3" xfId="7716" xr:uid="{00000000-0005-0000-0000-0000A32E0000}"/>
    <cellStyle name="Note 7 3 2" xfId="13044" xr:uid="{00000000-0005-0000-0000-0000A42E0000}"/>
    <cellStyle name="Note 7 4" xfId="13042" xr:uid="{00000000-0005-0000-0000-0000A52E0000}"/>
    <cellStyle name="Note 8" xfId="5942" xr:uid="{00000000-0005-0000-0000-0000A62E0000}"/>
    <cellStyle name="Note 8 2" xfId="8620" xr:uid="{00000000-0005-0000-0000-0000A72E0000}"/>
    <cellStyle name="Note 8 2 2" xfId="13046" xr:uid="{00000000-0005-0000-0000-0000A82E0000}"/>
    <cellStyle name="Note 8 3" xfId="7717" xr:uid="{00000000-0005-0000-0000-0000A92E0000}"/>
    <cellStyle name="Note 8 3 2" xfId="13047" xr:uid="{00000000-0005-0000-0000-0000AA2E0000}"/>
    <cellStyle name="Note 8 4" xfId="13045" xr:uid="{00000000-0005-0000-0000-0000AB2E0000}"/>
    <cellStyle name="Note 9" xfId="5943" xr:uid="{00000000-0005-0000-0000-0000AC2E0000}"/>
    <cellStyle name="Note 9 2" xfId="8621" xr:uid="{00000000-0005-0000-0000-0000AD2E0000}"/>
    <cellStyle name="Note 9 2 2" xfId="13049" xr:uid="{00000000-0005-0000-0000-0000AE2E0000}"/>
    <cellStyle name="Note 9 3" xfId="7718" xr:uid="{00000000-0005-0000-0000-0000AF2E0000}"/>
    <cellStyle name="Note 9 3 2" xfId="13050" xr:uid="{00000000-0005-0000-0000-0000B02E0000}"/>
    <cellStyle name="Note 9 4" xfId="13048" xr:uid="{00000000-0005-0000-0000-0000B12E0000}"/>
    <cellStyle name="OPSKRIF" xfId="5944" xr:uid="{00000000-0005-0000-0000-0000B22E0000}"/>
    <cellStyle name="OPSKRIF 2" xfId="5945" xr:uid="{00000000-0005-0000-0000-0000B32E0000}"/>
    <cellStyle name="OPSKRIF 2 10" xfId="5946" xr:uid="{00000000-0005-0000-0000-0000B42E0000}"/>
    <cellStyle name="OPSKRIF 2 10 2" xfId="13053" xr:uid="{00000000-0005-0000-0000-0000B52E0000}"/>
    <cellStyle name="OPSKRIF 2 100" xfId="5947" xr:uid="{00000000-0005-0000-0000-0000B62E0000}"/>
    <cellStyle name="OPSKRIF 2 100 2" xfId="13054" xr:uid="{00000000-0005-0000-0000-0000B72E0000}"/>
    <cellStyle name="OPSKRIF 2 101" xfId="5948" xr:uid="{00000000-0005-0000-0000-0000B82E0000}"/>
    <cellStyle name="OPSKRIF 2 101 2" xfId="13055" xr:uid="{00000000-0005-0000-0000-0000B92E0000}"/>
    <cellStyle name="OPSKRIF 2 102" xfId="5949" xr:uid="{00000000-0005-0000-0000-0000BA2E0000}"/>
    <cellStyle name="OPSKRIF 2 102 2" xfId="13056" xr:uid="{00000000-0005-0000-0000-0000BB2E0000}"/>
    <cellStyle name="OPSKRIF 2 103" xfId="5950" xr:uid="{00000000-0005-0000-0000-0000BC2E0000}"/>
    <cellStyle name="OPSKRIF 2 103 2" xfId="13057" xr:uid="{00000000-0005-0000-0000-0000BD2E0000}"/>
    <cellStyle name="OPSKRIF 2 104" xfId="5951" xr:uid="{00000000-0005-0000-0000-0000BE2E0000}"/>
    <cellStyle name="OPSKRIF 2 104 2" xfId="13058" xr:uid="{00000000-0005-0000-0000-0000BF2E0000}"/>
    <cellStyle name="OPSKRIF 2 105" xfId="5952" xr:uid="{00000000-0005-0000-0000-0000C02E0000}"/>
    <cellStyle name="OPSKRIF 2 105 2" xfId="13059" xr:uid="{00000000-0005-0000-0000-0000C12E0000}"/>
    <cellStyle name="OPSKRIF 2 106" xfId="5953" xr:uid="{00000000-0005-0000-0000-0000C22E0000}"/>
    <cellStyle name="OPSKRIF 2 106 2" xfId="13060" xr:uid="{00000000-0005-0000-0000-0000C32E0000}"/>
    <cellStyle name="OPSKRIF 2 107" xfId="5954" xr:uid="{00000000-0005-0000-0000-0000C42E0000}"/>
    <cellStyle name="OPSKRIF 2 107 2" xfId="13061" xr:uid="{00000000-0005-0000-0000-0000C52E0000}"/>
    <cellStyle name="OPSKRIF 2 108" xfId="5955" xr:uid="{00000000-0005-0000-0000-0000C62E0000}"/>
    <cellStyle name="OPSKRIF 2 108 2" xfId="13062" xr:uid="{00000000-0005-0000-0000-0000C72E0000}"/>
    <cellStyle name="OPSKRIF 2 109" xfId="5956" xr:uid="{00000000-0005-0000-0000-0000C82E0000}"/>
    <cellStyle name="OPSKRIF 2 109 2" xfId="13063" xr:uid="{00000000-0005-0000-0000-0000C92E0000}"/>
    <cellStyle name="OPSKRIF 2 11" xfId="5957" xr:uid="{00000000-0005-0000-0000-0000CA2E0000}"/>
    <cellStyle name="OPSKRIF 2 11 2" xfId="13064" xr:uid="{00000000-0005-0000-0000-0000CB2E0000}"/>
    <cellStyle name="OPSKRIF 2 110" xfId="5958" xr:uid="{00000000-0005-0000-0000-0000CC2E0000}"/>
    <cellStyle name="OPSKRIF 2 110 2" xfId="13065" xr:uid="{00000000-0005-0000-0000-0000CD2E0000}"/>
    <cellStyle name="OPSKRIF 2 111" xfId="5959" xr:uid="{00000000-0005-0000-0000-0000CE2E0000}"/>
    <cellStyle name="OPSKRIF 2 111 2" xfId="13066" xr:uid="{00000000-0005-0000-0000-0000CF2E0000}"/>
    <cellStyle name="OPSKRIF 2 112" xfId="5960" xr:uid="{00000000-0005-0000-0000-0000D02E0000}"/>
    <cellStyle name="OPSKRIF 2 112 2" xfId="13067" xr:uid="{00000000-0005-0000-0000-0000D12E0000}"/>
    <cellStyle name="OPSKRIF 2 113" xfId="5961" xr:uid="{00000000-0005-0000-0000-0000D22E0000}"/>
    <cellStyle name="OPSKRIF 2 113 2" xfId="13068" xr:uid="{00000000-0005-0000-0000-0000D32E0000}"/>
    <cellStyle name="OPSKRIF 2 114" xfId="5962" xr:uid="{00000000-0005-0000-0000-0000D42E0000}"/>
    <cellStyle name="OPSKRIF 2 114 2" xfId="13069" xr:uid="{00000000-0005-0000-0000-0000D52E0000}"/>
    <cellStyle name="OPSKRIF 2 115" xfId="5963" xr:uid="{00000000-0005-0000-0000-0000D62E0000}"/>
    <cellStyle name="OPSKRIF 2 115 2" xfId="13070" xr:uid="{00000000-0005-0000-0000-0000D72E0000}"/>
    <cellStyle name="OPSKRIF 2 116" xfId="5964" xr:uid="{00000000-0005-0000-0000-0000D82E0000}"/>
    <cellStyle name="OPSKRIF 2 116 2" xfId="13071" xr:uid="{00000000-0005-0000-0000-0000D92E0000}"/>
    <cellStyle name="OPSKRIF 2 117" xfId="5965" xr:uid="{00000000-0005-0000-0000-0000DA2E0000}"/>
    <cellStyle name="OPSKRIF 2 117 2" xfId="13072" xr:uid="{00000000-0005-0000-0000-0000DB2E0000}"/>
    <cellStyle name="OPSKRIF 2 118" xfId="5966" xr:uid="{00000000-0005-0000-0000-0000DC2E0000}"/>
    <cellStyle name="OPSKRIF 2 118 2" xfId="13073" xr:uid="{00000000-0005-0000-0000-0000DD2E0000}"/>
    <cellStyle name="OPSKRIF 2 119" xfId="5967" xr:uid="{00000000-0005-0000-0000-0000DE2E0000}"/>
    <cellStyle name="OPSKRIF 2 119 2" xfId="13074" xr:uid="{00000000-0005-0000-0000-0000DF2E0000}"/>
    <cellStyle name="OPSKRIF 2 12" xfId="5968" xr:uid="{00000000-0005-0000-0000-0000E02E0000}"/>
    <cellStyle name="OPSKRIF 2 12 2" xfId="13075" xr:uid="{00000000-0005-0000-0000-0000E12E0000}"/>
    <cellStyle name="OPSKRIF 2 120" xfId="5969" xr:uid="{00000000-0005-0000-0000-0000E22E0000}"/>
    <cellStyle name="OPSKRIF 2 120 2" xfId="13076" xr:uid="{00000000-0005-0000-0000-0000E32E0000}"/>
    <cellStyle name="OPSKRIF 2 121" xfId="5970" xr:uid="{00000000-0005-0000-0000-0000E42E0000}"/>
    <cellStyle name="OPSKRIF 2 121 2" xfId="13077" xr:uid="{00000000-0005-0000-0000-0000E52E0000}"/>
    <cellStyle name="OPSKRIF 2 122" xfId="5971" xr:uid="{00000000-0005-0000-0000-0000E62E0000}"/>
    <cellStyle name="OPSKRIF 2 122 2" xfId="13078" xr:uid="{00000000-0005-0000-0000-0000E72E0000}"/>
    <cellStyle name="OPSKRIF 2 123" xfId="5972" xr:uid="{00000000-0005-0000-0000-0000E82E0000}"/>
    <cellStyle name="OPSKRIF 2 123 2" xfId="13079" xr:uid="{00000000-0005-0000-0000-0000E92E0000}"/>
    <cellStyle name="OPSKRIF 2 124" xfId="5973" xr:uid="{00000000-0005-0000-0000-0000EA2E0000}"/>
    <cellStyle name="OPSKRIF 2 124 2" xfId="13080" xr:uid="{00000000-0005-0000-0000-0000EB2E0000}"/>
    <cellStyle name="OPSKRIF 2 125" xfId="5974" xr:uid="{00000000-0005-0000-0000-0000EC2E0000}"/>
    <cellStyle name="OPSKRIF 2 125 2" xfId="13081" xr:uid="{00000000-0005-0000-0000-0000ED2E0000}"/>
    <cellStyle name="OPSKRIF 2 126" xfId="5975" xr:uid="{00000000-0005-0000-0000-0000EE2E0000}"/>
    <cellStyle name="OPSKRIF 2 126 2" xfId="13082" xr:uid="{00000000-0005-0000-0000-0000EF2E0000}"/>
    <cellStyle name="OPSKRIF 2 127" xfId="5976" xr:uid="{00000000-0005-0000-0000-0000F02E0000}"/>
    <cellStyle name="OPSKRIF 2 127 2" xfId="13083" xr:uid="{00000000-0005-0000-0000-0000F12E0000}"/>
    <cellStyle name="OPSKRIF 2 128" xfId="5977" xr:uid="{00000000-0005-0000-0000-0000F22E0000}"/>
    <cellStyle name="OPSKRIF 2 128 2" xfId="13084" xr:uid="{00000000-0005-0000-0000-0000F32E0000}"/>
    <cellStyle name="OPSKRIF 2 129" xfId="5978" xr:uid="{00000000-0005-0000-0000-0000F42E0000}"/>
    <cellStyle name="OPSKRIF 2 129 2" xfId="13085" xr:uid="{00000000-0005-0000-0000-0000F52E0000}"/>
    <cellStyle name="OPSKRIF 2 13" xfId="5979" xr:uid="{00000000-0005-0000-0000-0000F62E0000}"/>
    <cellStyle name="OPSKRIF 2 13 2" xfId="13086" xr:uid="{00000000-0005-0000-0000-0000F72E0000}"/>
    <cellStyle name="OPSKRIF 2 130" xfId="5980" xr:uid="{00000000-0005-0000-0000-0000F82E0000}"/>
    <cellStyle name="OPSKRIF 2 130 2" xfId="13087" xr:uid="{00000000-0005-0000-0000-0000F92E0000}"/>
    <cellStyle name="OPSKRIF 2 131" xfId="5981" xr:uid="{00000000-0005-0000-0000-0000FA2E0000}"/>
    <cellStyle name="OPSKRIF 2 131 2" xfId="13088" xr:uid="{00000000-0005-0000-0000-0000FB2E0000}"/>
    <cellStyle name="OPSKRIF 2 132" xfId="5982" xr:uid="{00000000-0005-0000-0000-0000FC2E0000}"/>
    <cellStyle name="OPSKRIF 2 132 2" xfId="13089" xr:uid="{00000000-0005-0000-0000-0000FD2E0000}"/>
    <cellStyle name="OPSKRIF 2 133" xfId="5983" xr:uid="{00000000-0005-0000-0000-0000FE2E0000}"/>
    <cellStyle name="OPSKRIF 2 133 2" xfId="13090" xr:uid="{00000000-0005-0000-0000-0000FF2E0000}"/>
    <cellStyle name="OPSKRIF 2 134" xfId="5984" xr:uid="{00000000-0005-0000-0000-0000002F0000}"/>
    <cellStyle name="OPSKRIF 2 134 2" xfId="13091" xr:uid="{00000000-0005-0000-0000-0000012F0000}"/>
    <cellStyle name="OPSKRIF 2 135" xfId="5985" xr:uid="{00000000-0005-0000-0000-0000022F0000}"/>
    <cellStyle name="OPSKRIF 2 135 2" xfId="13092" xr:uid="{00000000-0005-0000-0000-0000032F0000}"/>
    <cellStyle name="OPSKRIF 2 136" xfId="5986" xr:uid="{00000000-0005-0000-0000-0000042F0000}"/>
    <cellStyle name="OPSKRIF 2 136 2" xfId="13093" xr:uid="{00000000-0005-0000-0000-0000052F0000}"/>
    <cellStyle name="OPSKRIF 2 137" xfId="5987" xr:uid="{00000000-0005-0000-0000-0000062F0000}"/>
    <cellStyle name="OPSKRIF 2 137 2" xfId="13094" xr:uid="{00000000-0005-0000-0000-0000072F0000}"/>
    <cellStyle name="OPSKRIF 2 138" xfId="5988" xr:uid="{00000000-0005-0000-0000-0000082F0000}"/>
    <cellStyle name="OPSKRIF 2 138 2" xfId="13095" xr:uid="{00000000-0005-0000-0000-0000092F0000}"/>
    <cellStyle name="OPSKRIF 2 139" xfId="5989" xr:uid="{00000000-0005-0000-0000-00000A2F0000}"/>
    <cellStyle name="OPSKRIF 2 139 2" xfId="13096" xr:uid="{00000000-0005-0000-0000-00000B2F0000}"/>
    <cellStyle name="OPSKRIF 2 14" xfId="5990" xr:uid="{00000000-0005-0000-0000-00000C2F0000}"/>
    <cellStyle name="OPSKRIF 2 14 2" xfId="13097" xr:uid="{00000000-0005-0000-0000-00000D2F0000}"/>
    <cellStyle name="OPSKRIF 2 140" xfId="5991" xr:uid="{00000000-0005-0000-0000-00000E2F0000}"/>
    <cellStyle name="OPSKRIF 2 140 2" xfId="13098" xr:uid="{00000000-0005-0000-0000-00000F2F0000}"/>
    <cellStyle name="OPSKRIF 2 141" xfId="5992" xr:uid="{00000000-0005-0000-0000-0000102F0000}"/>
    <cellStyle name="OPSKRIF 2 141 2" xfId="13099" xr:uid="{00000000-0005-0000-0000-0000112F0000}"/>
    <cellStyle name="OPSKRIF 2 142" xfId="5993" xr:uid="{00000000-0005-0000-0000-0000122F0000}"/>
    <cellStyle name="OPSKRIF 2 142 2" xfId="13100" xr:uid="{00000000-0005-0000-0000-0000132F0000}"/>
    <cellStyle name="OPSKRIF 2 143" xfId="5994" xr:uid="{00000000-0005-0000-0000-0000142F0000}"/>
    <cellStyle name="OPSKRIF 2 143 2" xfId="13101" xr:uid="{00000000-0005-0000-0000-0000152F0000}"/>
    <cellStyle name="OPSKRIF 2 144" xfId="5995" xr:uid="{00000000-0005-0000-0000-0000162F0000}"/>
    <cellStyle name="OPSKRIF 2 144 2" xfId="13102" xr:uid="{00000000-0005-0000-0000-0000172F0000}"/>
    <cellStyle name="OPSKRIF 2 145" xfId="5996" xr:uid="{00000000-0005-0000-0000-0000182F0000}"/>
    <cellStyle name="OPSKRIF 2 145 2" xfId="13103" xr:uid="{00000000-0005-0000-0000-0000192F0000}"/>
    <cellStyle name="OPSKRIF 2 146" xfId="5997" xr:uid="{00000000-0005-0000-0000-00001A2F0000}"/>
    <cellStyle name="OPSKRIF 2 146 2" xfId="13104" xr:uid="{00000000-0005-0000-0000-00001B2F0000}"/>
    <cellStyle name="OPSKRIF 2 147" xfId="5998" xr:uid="{00000000-0005-0000-0000-00001C2F0000}"/>
    <cellStyle name="OPSKRIF 2 147 2" xfId="13105" xr:uid="{00000000-0005-0000-0000-00001D2F0000}"/>
    <cellStyle name="OPSKRIF 2 148" xfId="5999" xr:uid="{00000000-0005-0000-0000-00001E2F0000}"/>
    <cellStyle name="OPSKRIF 2 148 2" xfId="13106" xr:uid="{00000000-0005-0000-0000-00001F2F0000}"/>
    <cellStyle name="OPSKRIF 2 149" xfId="6000" xr:uid="{00000000-0005-0000-0000-0000202F0000}"/>
    <cellStyle name="OPSKRIF 2 149 2" xfId="13107" xr:uid="{00000000-0005-0000-0000-0000212F0000}"/>
    <cellStyle name="OPSKRIF 2 15" xfId="6001" xr:uid="{00000000-0005-0000-0000-0000222F0000}"/>
    <cellStyle name="OPSKRIF 2 15 2" xfId="13108" xr:uid="{00000000-0005-0000-0000-0000232F0000}"/>
    <cellStyle name="OPSKRIF 2 150" xfId="6002" xr:uid="{00000000-0005-0000-0000-0000242F0000}"/>
    <cellStyle name="OPSKRIF 2 150 2" xfId="13109" xr:uid="{00000000-0005-0000-0000-0000252F0000}"/>
    <cellStyle name="OPSKRIF 2 151" xfId="6003" xr:uid="{00000000-0005-0000-0000-0000262F0000}"/>
    <cellStyle name="OPSKRIF 2 151 2" xfId="13110" xr:uid="{00000000-0005-0000-0000-0000272F0000}"/>
    <cellStyle name="OPSKRIF 2 152" xfId="6004" xr:uid="{00000000-0005-0000-0000-0000282F0000}"/>
    <cellStyle name="OPSKRIF 2 152 2" xfId="13111" xr:uid="{00000000-0005-0000-0000-0000292F0000}"/>
    <cellStyle name="OPSKRIF 2 153" xfId="6005" xr:uid="{00000000-0005-0000-0000-00002A2F0000}"/>
    <cellStyle name="OPSKRIF 2 153 2" xfId="13112" xr:uid="{00000000-0005-0000-0000-00002B2F0000}"/>
    <cellStyle name="OPSKRIF 2 154" xfId="6006" xr:uid="{00000000-0005-0000-0000-00002C2F0000}"/>
    <cellStyle name="OPSKRIF 2 154 2" xfId="13113" xr:uid="{00000000-0005-0000-0000-00002D2F0000}"/>
    <cellStyle name="OPSKRIF 2 155" xfId="6007" xr:uid="{00000000-0005-0000-0000-00002E2F0000}"/>
    <cellStyle name="OPSKRIF 2 155 2" xfId="13114" xr:uid="{00000000-0005-0000-0000-00002F2F0000}"/>
    <cellStyle name="OPSKRIF 2 156" xfId="6008" xr:uid="{00000000-0005-0000-0000-0000302F0000}"/>
    <cellStyle name="OPSKRIF 2 156 2" xfId="13115" xr:uid="{00000000-0005-0000-0000-0000312F0000}"/>
    <cellStyle name="OPSKRIF 2 157" xfId="6009" xr:uid="{00000000-0005-0000-0000-0000322F0000}"/>
    <cellStyle name="OPSKRIF 2 157 2" xfId="13116" xr:uid="{00000000-0005-0000-0000-0000332F0000}"/>
    <cellStyle name="OPSKRIF 2 158" xfId="6010" xr:uid="{00000000-0005-0000-0000-0000342F0000}"/>
    <cellStyle name="OPSKRIF 2 158 2" xfId="13117" xr:uid="{00000000-0005-0000-0000-0000352F0000}"/>
    <cellStyle name="OPSKRIF 2 159" xfId="6011" xr:uid="{00000000-0005-0000-0000-0000362F0000}"/>
    <cellStyle name="OPSKRIF 2 159 2" xfId="13118" xr:uid="{00000000-0005-0000-0000-0000372F0000}"/>
    <cellStyle name="OPSKRIF 2 16" xfId="6012" xr:uid="{00000000-0005-0000-0000-0000382F0000}"/>
    <cellStyle name="OPSKRIF 2 16 2" xfId="13119" xr:uid="{00000000-0005-0000-0000-0000392F0000}"/>
    <cellStyle name="OPSKRIF 2 160" xfId="6013" xr:uid="{00000000-0005-0000-0000-00003A2F0000}"/>
    <cellStyle name="OPSKRIF 2 160 2" xfId="13120" xr:uid="{00000000-0005-0000-0000-00003B2F0000}"/>
    <cellStyle name="OPSKRIF 2 161" xfId="6014" xr:uid="{00000000-0005-0000-0000-00003C2F0000}"/>
    <cellStyle name="OPSKRIF 2 161 2" xfId="13121" xr:uid="{00000000-0005-0000-0000-00003D2F0000}"/>
    <cellStyle name="OPSKRIF 2 162" xfId="6015" xr:uid="{00000000-0005-0000-0000-00003E2F0000}"/>
    <cellStyle name="OPSKRIF 2 162 2" xfId="13122" xr:uid="{00000000-0005-0000-0000-00003F2F0000}"/>
    <cellStyle name="OPSKRIF 2 163" xfId="6016" xr:uid="{00000000-0005-0000-0000-0000402F0000}"/>
    <cellStyle name="OPSKRIF 2 163 2" xfId="13123" xr:uid="{00000000-0005-0000-0000-0000412F0000}"/>
    <cellStyle name="OPSKRIF 2 164" xfId="6017" xr:uid="{00000000-0005-0000-0000-0000422F0000}"/>
    <cellStyle name="OPSKRIF 2 164 2" xfId="13124" xr:uid="{00000000-0005-0000-0000-0000432F0000}"/>
    <cellStyle name="OPSKRIF 2 165" xfId="6018" xr:uid="{00000000-0005-0000-0000-0000442F0000}"/>
    <cellStyle name="OPSKRIF 2 165 2" xfId="13125" xr:uid="{00000000-0005-0000-0000-0000452F0000}"/>
    <cellStyle name="OPSKRIF 2 166" xfId="6019" xr:uid="{00000000-0005-0000-0000-0000462F0000}"/>
    <cellStyle name="OPSKRIF 2 166 2" xfId="13126" xr:uid="{00000000-0005-0000-0000-0000472F0000}"/>
    <cellStyle name="OPSKRIF 2 167" xfId="6020" xr:uid="{00000000-0005-0000-0000-0000482F0000}"/>
    <cellStyle name="OPSKRIF 2 167 2" xfId="13127" xr:uid="{00000000-0005-0000-0000-0000492F0000}"/>
    <cellStyle name="OPSKRIF 2 168" xfId="6021" xr:uid="{00000000-0005-0000-0000-00004A2F0000}"/>
    <cellStyle name="OPSKRIF 2 168 2" xfId="13128" xr:uid="{00000000-0005-0000-0000-00004B2F0000}"/>
    <cellStyle name="OPSKRIF 2 169" xfId="6022" xr:uid="{00000000-0005-0000-0000-00004C2F0000}"/>
    <cellStyle name="OPSKRIF 2 169 2" xfId="13129" xr:uid="{00000000-0005-0000-0000-00004D2F0000}"/>
    <cellStyle name="OPSKRIF 2 17" xfId="6023" xr:uid="{00000000-0005-0000-0000-00004E2F0000}"/>
    <cellStyle name="OPSKRIF 2 17 2" xfId="13130" xr:uid="{00000000-0005-0000-0000-00004F2F0000}"/>
    <cellStyle name="OPSKRIF 2 170" xfId="6024" xr:uid="{00000000-0005-0000-0000-0000502F0000}"/>
    <cellStyle name="OPSKRIF 2 170 2" xfId="13131" xr:uid="{00000000-0005-0000-0000-0000512F0000}"/>
    <cellStyle name="OPSKRIF 2 171" xfId="6025" xr:uid="{00000000-0005-0000-0000-0000522F0000}"/>
    <cellStyle name="OPSKRIF 2 171 2" xfId="13132" xr:uid="{00000000-0005-0000-0000-0000532F0000}"/>
    <cellStyle name="OPSKRIF 2 172" xfId="6026" xr:uid="{00000000-0005-0000-0000-0000542F0000}"/>
    <cellStyle name="OPSKRIF 2 172 2" xfId="13133" xr:uid="{00000000-0005-0000-0000-0000552F0000}"/>
    <cellStyle name="OPSKRIF 2 173" xfId="6027" xr:uid="{00000000-0005-0000-0000-0000562F0000}"/>
    <cellStyle name="OPSKRIF 2 173 2" xfId="13134" xr:uid="{00000000-0005-0000-0000-0000572F0000}"/>
    <cellStyle name="OPSKRIF 2 174" xfId="6028" xr:uid="{00000000-0005-0000-0000-0000582F0000}"/>
    <cellStyle name="OPSKRIF 2 174 2" xfId="13135" xr:uid="{00000000-0005-0000-0000-0000592F0000}"/>
    <cellStyle name="OPSKRIF 2 175" xfId="6029" xr:uid="{00000000-0005-0000-0000-00005A2F0000}"/>
    <cellStyle name="OPSKRIF 2 175 2" xfId="13136" xr:uid="{00000000-0005-0000-0000-00005B2F0000}"/>
    <cellStyle name="OPSKRIF 2 176" xfId="6030" xr:uid="{00000000-0005-0000-0000-00005C2F0000}"/>
    <cellStyle name="OPSKRIF 2 176 2" xfId="13137" xr:uid="{00000000-0005-0000-0000-00005D2F0000}"/>
    <cellStyle name="OPSKRIF 2 177" xfId="6031" xr:uid="{00000000-0005-0000-0000-00005E2F0000}"/>
    <cellStyle name="OPSKRIF 2 177 2" xfId="13138" xr:uid="{00000000-0005-0000-0000-00005F2F0000}"/>
    <cellStyle name="OPSKRIF 2 178" xfId="6032" xr:uid="{00000000-0005-0000-0000-0000602F0000}"/>
    <cellStyle name="OPSKRIF 2 178 2" xfId="13139" xr:uid="{00000000-0005-0000-0000-0000612F0000}"/>
    <cellStyle name="OPSKRIF 2 179" xfId="6033" xr:uid="{00000000-0005-0000-0000-0000622F0000}"/>
    <cellStyle name="OPSKRIF 2 179 2" xfId="13140" xr:uid="{00000000-0005-0000-0000-0000632F0000}"/>
    <cellStyle name="OPSKRIF 2 18" xfId="6034" xr:uid="{00000000-0005-0000-0000-0000642F0000}"/>
    <cellStyle name="OPSKRIF 2 18 2" xfId="13141" xr:uid="{00000000-0005-0000-0000-0000652F0000}"/>
    <cellStyle name="OPSKRIF 2 180" xfId="6035" xr:uid="{00000000-0005-0000-0000-0000662F0000}"/>
    <cellStyle name="OPSKRIF 2 180 2" xfId="13142" xr:uid="{00000000-0005-0000-0000-0000672F0000}"/>
    <cellStyle name="OPSKRIF 2 181" xfId="6036" xr:uid="{00000000-0005-0000-0000-0000682F0000}"/>
    <cellStyle name="OPSKRIF 2 181 2" xfId="13143" xr:uid="{00000000-0005-0000-0000-0000692F0000}"/>
    <cellStyle name="OPSKRIF 2 182" xfId="6037" xr:uid="{00000000-0005-0000-0000-00006A2F0000}"/>
    <cellStyle name="OPSKRIF 2 182 2" xfId="13144" xr:uid="{00000000-0005-0000-0000-00006B2F0000}"/>
    <cellStyle name="OPSKRIF 2 183" xfId="6038" xr:uid="{00000000-0005-0000-0000-00006C2F0000}"/>
    <cellStyle name="OPSKRIF 2 183 2" xfId="13145" xr:uid="{00000000-0005-0000-0000-00006D2F0000}"/>
    <cellStyle name="OPSKRIF 2 184" xfId="6039" xr:uid="{00000000-0005-0000-0000-00006E2F0000}"/>
    <cellStyle name="OPSKRIF 2 184 2" xfId="13146" xr:uid="{00000000-0005-0000-0000-00006F2F0000}"/>
    <cellStyle name="OPSKRIF 2 185" xfId="6040" xr:uid="{00000000-0005-0000-0000-0000702F0000}"/>
    <cellStyle name="OPSKRIF 2 185 2" xfId="13147" xr:uid="{00000000-0005-0000-0000-0000712F0000}"/>
    <cellStyle name="OPSKRIF 2 186" xfId="6041" xr:uid="{00000000-0005-0000-0000-0000722F0000}"/>
    <cellStyle name="OPSKRIF 2 186 2" xfId="13148" xr:uid="{00000000-0005-0000-0000-0000732F0000}"/>
    <cellStyle name="OPSKRIF 2 187" xfId="6042" xr:uid="{00000000-0005-0000-0000-0000742F0000}"/>
    <cellStyle name="OPSKRIF 2 187 2" xfId="13149" xr:uid="{00000000-0005-0000-0000-0000752F0000}"/>
    <cellStyle name="OPSKRIF 2 188" xfId="6043" xr:uid="{00000000-0005-0000-0000-0000762F0000}"/>
    <cellStyle name="OPSKRIF 2 188 2" xfId="13150" xr:uid="{00000000-0005-0000-0000-0000772F0000}"/>
    <cellStyle name="OPSKRIF 2 189" xfId="6044" xr:uid="{00000000-0005-0000-0000-0000782F0000}"/>
    <cellStyle name="OPSKRIF 2 189 2" xfId="13151" xr:uid="{00000000-0005-0000-0000-0000792F0000}"/>
    <cellStyle name="OPSKRIF 2 19" xfId="6045" xr:uid="{00000000-0005-0000-0000-00007A2F0000}"/>
    <cellStyle name="OPSKRIF 2 19 2" xfId="13152" xr:uid="{00000000-0005-0000-0000-00007B2F0000}"/>
    <cellStyle name="OPSKRIF 2 190" xfId="6046" xr:uid="{00000000-0005-0000-0000-00007C2F0000}"/>
    <cellStyle name="OPSKRIF 2 190 2" xfId="13153" xr:uid="{00000000-0005-0000-0000-00007D2F0000}"/>
    <cellStyle name="OPSKRIF 2 191" xfId="6047" xr:uid="{00000000-0005-0000-0000-00007E2F0000}"/>
    <cellStyle name="OPSKRIF 2 191 2" xfId="13154" xr:uid="{00000000-0005-0000-0000-00007F2F0000}"/>
    <cellStyle name="OPSKRIF 2 192" xfId="6048" xr:uid="{00000000-0005-0000-0000-0000802F0000}"/>
    <cellStyle name="OPSKRIF 2 192 2" xfId="13155" xr:uid="{00000000-0005-0000-0000-0000812F0000}"/>
    <cellStyle name="OPSKRIF 2 193" xfId="6049" xr:uid="{00000000-0005-0000-0000-0000822F0000}"/>
    <cellStyle name="OPSKRIF 2 193 2" xfId="13156" xr:uid="{00000000-0005-0000-0000-0000832F0000}"/>
    <cellStyle name="OPSKRIF 2 194" xfId="6050" xr:uid="{00000000-0005-0000-0000-0000842F0000}"/>
    <cellStyle name="OPSKRIF 2 194 2" xfId="13157" xr:uid="{00000000-0005-0000-0000-0000852F0000}"/>
    <cellStyle name="OPSKRIF 2 195" xfId="6051" xr:uid="{00000000-0005-0000-0000-0000862F0000}"/>
    <cellStyle name="OPSKRIF 2 195 2" xfId="13158" xr:uid="{00000000-0005-0000-0000-0000872F0000}"/>
    <cellStyle name="OPSKRIF 2 196" xfId="6052" xr:uid="{00000000-0005-0000-0000-0000882F0000}"/>
    <cellStyle name="OPSKRIF 2 196 2" xfId="13159" xr:uid="{00000000-0005-0000-0000-0000892F0000}"/>
    <cellStyle name="OPSKRIF 2 197" xfId="6053" xr:uid="{00000000-0005-0000-0000-00008A2F0000}"/>
    <cellStyle name="OPSKRIF 2 197 2" xfId="13160" xr:uid="{00000000-0005-0000-0000-00008B2F0000}"/>
    <cellStyle name="OPSKRIF 2 198" xfId="6054" xr:uid="{00000000-0005-0000-0000-00008C2F0000}"/>
    <cellStyle name="OPSKRIF 2 198 2" xfId="13161" xr:uid="{00000000-0005-0000-0000-00008D2F0000}"/>
    <cellStyle name="OPSKRIF 2 199" xfId="6055" xr:uid="{00000000-0005-0000-0000-00008E2F0000}"/>
    <cellStyle name="OPSKRIF 2 199 2" xfId="13162" xr:uid="{00000000-0005-0000-0000-00008F2F0000}"/>
    <cellStyle name="OPSKRIF 2 2" xfId="6056" xr:uid="{00000000-0005-0000-0000-0000902F0000}"/>
    <cellStyle name="OPSKRIF 2 2 2" xfId="13163" xr:uid="{00000000-0005-0000-0000-0000912F0000}"/>
    <cellStyle name="OPSKRIF 2 20" xfId="6057" xr:uid="{00000000-0005-0000-0000-0000922F0000}"/>
    <cellStyle name="OPSKRIF 2 20 2" xfId="13164" xr:uid="{00000000-0005-0000-0000-0000932F0000}"/>
    <cellStyle name="OPSKRIF 2 200" xfId="6058" xr:uid="{00000000-0005-0000-0000-0000942F0000}"/>
    <cellStyle name="OPSKRIF 2 200 2" xfId="13165" xr:uid="{00000000-0005-0000-0000-0000952F0000}"/>
    <cellStyle name="OPSKRIF 2 201" xfId="6059" xr:uid="{00000000-0005-0000-0000-0000962F0000}"/>
    <cellStyle name="OPSKRIF 2 201 2" xfId="13166" xr:uid="{00000000-0005-0000-0000-0000972F0000}"/>
    <cellStyle name="OPSKRIF 2 202" xfId="6060" xr:uid="{00000000-0005-0000-0000-0000982F0000}"/>
    <cellStyle name="OPSKRIF 2 202 2" xfId="13167" xr:uid="{00000000-0005-0000-0000-0000992F0000}"/>
    <cellStyle name="OPSKRIF 2 203" xfId="6061" xr:uid="{00000000-0005-0000-0000-00009A2F0000}"/>
    <cellStyle name="OPSKRIF 2 203 2" xfId="13168" xr:uid="{00000000-0005-0000-0000-00009B2F0000}"/>
    <cellStyle name="OPSKRIF 2 204" xfId="6062" xr:uid="{00000000-0005-0000-0000-00009C2F0000}"/>
    <cellStyle name="OPSKRIF 2 204 2" xfId="13169" xr:uid="{00000000-0005-0000-0000-00009D2F0000}"/>
    <cellStyle name="OPSKRIF 2 205" xfId="6063" xr:uid="{00000000-0005-0000-0000-00009E2F0000}"/>
    <cellStyle name="OPSKRIF 2 205 2" xfId="13170" xr:uid="{00000000-0005-0000-0000-00009F2F0000}"/>
    <cellStyle name="OPSKRIF 2 206" xfId="6064" xr:uid="{00000000-0005-0000-0000-0000A02F0000}"/>
    <cellStyle name="OPSKRIF 2 206 2" xfId="13171" xr:uid="{00000000-0005-0000-0000-0000A12F0000}"/>
    <cellStyle name="OPSKRIF 2 207" xfId="6065" xr:uid="{00000000-0005-0000-0000-0000A22F0000}"/>
    <cellStyle name="OPSKRIF 2 207 2" xfId="13172" xr:uid="{00000000-0005-0000-0000-0000A32F0000}"/>
    <cellStyle name="OPSKRIF 2 208" xfId="6066" xr:uid="{00000000-0005-0000-0000-0000A42F0000}"/>
    <cellStyle name="OPSKRIF 2 208 2" xfId="13173" xr:uid="{00000000-0005-0000-0000-0000A52F0000}"/>
    <cellStyle name="OPSKRIF 2 209" xfId="6067" xr:uid="{00000000-0005-0000-0000-0000A62F0000}"/>
    <cellStyle name="OPSKRIF 2 209 2" xfId="13174" xr:uid="{00000000-0005-0000-0000-0000A72F0000}"/>
    <cellStyle name="OPSKRIF 2 21" xfId="6068" xr:uid="{00000000-0005-0000-0000-0000A82F0000}"/>
    <cellStyle name="OPSKRIF 2 21 2" xfId="13175" xr:uid="{00000000-0005-0000-0000-0000A92F0000}"/>
    <cellStyle name="OPSKRIF 2 210" xfId="6069" xr:uid="{00000000-0005-0000-0000-0000AA2F0000}"/>
    <cellStyle name="OPSKRIF 2 210 2" xfId="13176" xr:uid="{00000000-0005-0000-0000-0000AB2F0000}"/>
    <cellStyle name="OPSKRIF 2 211" xfId="6070" xr:uid="{00000000-0005-0000-0000-0000AC2F0000}"/>
    <cellStyle name="OPSKRIF 2 211 2" xfId="13177" xr:uid="{00000000-0005-0000-0000-0000AD2F0000}"/>
    <cellStyle name="OPSKRIF 2 212" xfId="6071" xr:uid="{00000000-0005-0000-0000-0000AE2F0000}"/>
    <cellStyle name="OPSKRIF 2 212 2" xfId="13178" xr:uid="{00000000-0005-0000-0000-0000AF2F0000}"/>
    <cellStyle name="OPSKRIF 2 213" xfId="6072" xr:uid="{00000000-0005-0000-0000-0000B02F0000}"/>
    <cellStyle name="OPSKRIF 2 213 2" xfId="13179" xr:uid="{00000000-0005-0000-0000-0000B12F0000}"/>
    <cellStyle name="OPSKRIF 2 214" xfId="6073" xr:uid="{00000000-0005-0000-0000-0000B22F0000}"/>
    <cellStyle name="OPSKRIF 2 214 2" xfId="13180" xr:uid="{00000000-0005-0000-0000-0000B32F0000}"/>
    <cellStyle name="OPSKRIF 2 215" xfId="6074" xr:uid="{00000000-0005-0000-0000-0000B42F0000}"/>
    <cellStyle name="OPSKRIF 2 215 2" xfId="13181" xr:uid="{00000000-0005-0000-0000-0000B52F0000}"/>
    <cellStyle name="OPSKRIF 2 216" xfId="6075" xr:uid="{00000000-0005-0000-0000-0000B62F0000}"/>
    <cellStyle name="OPSKRIF 2 216 2" xfId="13182" xr:uid="{00000000-0005-0000-0000-0000B72F0000}"/>
    <cellStyle name="OPSKRIF 2 217" xfId="6076" xr:uid="{00000000-0005-0000-0000-0000B82F0000}"/>
    <cellStyle name="OPSKRIF 2 217 2" xfId="13183" xr:uid="{00000000-0005-0000-0000-0000B92F0000}"/>
    <cellStyle name="OPSKRIF 2 218" xfId="6077" xr:uid="{00000000-0005-0000-0000-0000BA2F0000}"/>
    <cellStyle name="OPSKRIF 2 218 2" xfId="13184" xr:uid="{00000000-0005-0000-0000-0000BB2F0000}"/>
    <cellStyle name="OPSKRIF 2 219" xfId="6078" xr:uid="{00000000-0005-0000-0000-0000BC2F0000}"/>
    <cellStyle name="OPSKRIF 2 219 2" xfId="13185" xr:uid="{00000000-0005-0000-0000-0000BD2F0000}"/>
    <cellStyle name="OPSKRIF 2 22" xfId="6079" xr:uid="{00000000-0005-0000-0000-0000BE2F0000}"/>
    <cellStyle name="OPSKRIF 2 22 2" xfId="13186" xr:uid="{00000000-0005-0000-0000-0000BF2F0000}"/>
    <cellStyle name="OPSKRIF 2 220" xfId="6080" xr:uid="{00000000-0005-0000-0000-0000C02F0000}"/>
    <cellStyle name="OPSKRIF 2 220 2" xfId="13187" xr:uid="{00000000-0005-0000-0000-0000C12F0000}"/>
    <cellStyle name="OPSKRIF 2 221" xfId="6081" xr:uid="{00000000-0005-0000-0000-0000C22F0000}"/>
    <cellStyle name="OPSKRIF 2 221 2" xfId="13188" xr:uid="{00000000-0005-0000-0000-0000C32F0000}"/>
    <cellStyle name="OPSKRIF 2 222" xfId="6082" xr:uid="{00000000-0005-0000-0000-0000C42F0000}"/>
    <cellStyle name="OPSKRIF 2 222 2" xfId="13189" xr:uid="{00000000-0005-0000-0000-0000C52F0000}"/>
    <cellStyle name="OPSKRIF 2 223" xfId="6083" xr:uid="{00000000-0005-0000-0000-0000C62F0000}"/>
    <cellStyle name="OPSKRIF 2 223 2" xfId="13190" xr:uid="{00000000-0005-0000-0000-0000C72F0000}"/>
    <cellStyle name="OPSKRIF 2 224" xfId="6084" xr:uid="{00000000-0005-0000-0000-0000C82F0000}"/>
    <cellStyle name="OPSKRIF 2 224 2" xfId="13191" xr:uid="{00000000-0005-0000-0000-0000C92F0000}"/>
    <cellStyle name="OPSKRIF 2 225" xfId="6085" xr:uid="{00000000-0005-0000-0000-0000CA2F0000}"/>
    <cellStyle name="OPSKRIF 2 225 2" xfId="13192" xr:uid="{00000000-0005-0000-0000-0000CB2F0000}"/>
    <cellStyle name="OPSKRIF 2 226" xfId="6086" xr:uid="{00000000-0005-0000-0000-0000CC2F0000}"/>
    <cellStyle name="OPSKRIF 2 226 2" xfId="13193" xr:uid="{00000000-0005-0000-0000-0000CD2F0000}"/>
    <cellStyle name="OPSKRIF 2 227" xfId="6087" xr:uid="{00000000-0005-0000-0000-0000CE2F0000}"/>
    <cellStyle name="OPSKRIF 2 227 2" xfId="13194" xr:uid="{00000000-0005-0000-0000-0000CF2F0000}"/>
    <cellStyle name="OPSKRIF 2 228" xfId="6088" xr:uid="{00000000-0005-0000-0000-0000D02F0000}"/>
    <cellStyle name="OPSKRIF 2 228 2" xfId="13195" xr:uid="{00000000-0005-0000-0000-0000D12F0000}"/>
    <cellStyle name="OPSKRIF 2 229" xfId="6089" xr:uid="{00000000-0005-0000-0000-0000D22F0000}"/>
    <cellStyle name="OPSKRIF 2 229 2" xfId="13196" xr:uid="{00000000-0005-0000-0000-0000D32F0000}"/>
    <cellStyle name="OPSKRIF 2 23" xfId="6090" xr:uid="{00000000-0005-0000-0000-0000D42F0000}"/>
    <cellStyle name="OPSKRIF 2 23 2" xfId="13197" xr:uid="{00000000-0005-0000-0000-0000D52F0000}"/>
    <cellStyle name="OPSKRIF 2 230" xfId="6091" xr:uid="{00000000-0005-0000-0000-0000D62F0000}"/>
    <cellStyle name="OPSKRIF 2 230 2" xfId="13198" xr:uid="{00000000-0005-0000-0000-0000D72F0000}"/>
    <cellStyle name="OPSKRIF 2 231" xfId="6092" xr:uid="{00000000-0005-0000-0000-0000D82F0000}"/>
    <cellStyle name="OPSKRIF 2 231 2" xfId="13199" xr:uid="{00000000-0005-0000-0000-0000D92F0000}"/>
    <cellStyle name="OPSKRIF 2 232" xfId="6093" xr:uid="{00000000-0005-0000-0000-0000DA2F0000}"/>
    <cellStyle name="OPSKRIF 2 232 2" xfId="13200" xr:uid="{00000000-0005-0000-0000-0000DB2F0000}"/>
    <cellStyle name="OPSKRIF 2 233" xfId="6094" xr:uid="{00000000-0005-0000-0000-0000DC2F0000}"/>
    <cellStyle name="OPSKRIF 2 233 2" xfId="13201" xr:uid="{00000000-0005-0000-0000-0000DD2F0000}"/>
    <cellStyle name="OPSKRIF 2 234" xfId="6095" xr:uid="{00000000-0005-0000-0000-0000DE2F0000}"/>
    <cellStyle name="OPSKRIF 2 234 2" xfId="13202" xr:uid="{00000000-0005-0000-0000-0000DF2F0000}"/>
    <cellStyle name="OPSKRIF 2 235" xfId="6096" xr:uid="{00000000-0005-0000-0000-0000E02F0000}"/>
    <cellStyle name="OPSKRIF 2 235 2" xfId="13203" xr:uid="{00000000-0005-0000-0000-0000E12F0000}"/>
    <cellStyle name="OPSKRIF 2 236" xfId="6097" xr:uid="{00000000-0005-0000-0000-0000E22F0000}"/>
    <cellStyle name="OPSKRIF 2 236 2" xfId="13204" xr:uid="{00000000-0005-0000-0000-0000E32F0000}"/>
    <cellStyle name="OPSKRIF 2 237" xfId="6098" xr:uid="{00000000-0005-0000-0000-0000E42F0000}"/>
    <cellStyle name="OPSKRIF 2 237 2" xfId="13205" xr:uid="{00000000-0005-0000-0000-0000E52F0000}"/>
    <cellStyle name="OPSKRIF 2 238" xfId="6099" xr:uid="{00000000-0005-0000-0000-0000E62F0000}"/>
    <cellStyle name="OPSKRIF 2 238 2" xfId="13206" xr:uid="{00000000-0005-0000-0000-0000E72F0000}"/>
    <cellStyle name="OPSKRIF 2 239" xfId="6100" xr:uid="{00000000-0005-0000-0000-0000E82F0000}"/>
    <cellStyle name="OPSKRIF 2 239 2" xfId="13207" xr:uid="{00000000-0005-0000-0000-0000E92F0000}"/>
    <cellStyle name="OPSKRIF 2 24" xfId="6101" xr:uid="{00000000-0005-0000-0000-0000EA2F0000}"/>
    <cellStyle name="OPSKRIF 2 24 2" xfId="13208" xr:uid="{00000000-0005-0000-0000-0000EB2F0000}"/>
    <cellStyle name="OPSKRIF 2 240" xfId="6102" xr:uid="{00000000-0005-0000-0000-0000EC2F0000}"/>
    <cellStyle name="OPSKRIF 2 240 2" xfId="13209" xr:uid="{00000000-0005-0000-0000-0000ED2F0000}"/>
    <cellStyle name="OPSKRIF 2 241" xfId="6103" xr:uid="{00000000-0005-0000-0000-0000EE2F0000}"/>
    <cellStyle name="OPSKRIF 2 241 2" xfId="13210" xr:uid="{00000000-0005-0000-0000-0000EF2F0000}"/>
    <cellStyle name="OPSKRIF 2 242" xfId="6104" xr:uid="{00000000-0005-0000-0000-0000F02F0000}"/>
    <cellStyle name="OPSKRIF 2 242 2" xfId="13211" xr:uid="{00000000-0005-0000-0000-0000F12F0000}"/>
    <cellStyle name="OPSKRIF 2 243" xfId="6105" xr:uid="{00000000-0005-0000-0000-0000F22F0000}"/>
    <cellStyle name="OPSKRIF 2 243 2" xfId="13212" xr:uid="{00000000-0005-0000-0000-0000F32F0000}"/>
    <cellStyle name="OPSKRIF 2 244" xfId="6106" xr:uid="{00000000-0005-0000-0000-0000F42F0000}"/>
    <cellStyle name="OPSKRIF 2 244 2" xfId="13213" xr:uid="{00000000-0005-0000-0000-0000F52F0000}"/>
    <cellStyle name="OPSKRIF 2 245" xfId="6107" xr:uid="{00000000-0005-0000-0000-0000F62F0000}"/>
    <cellStyle name="OPSKRIF 2 245 2" xfId="13214" xr:uid="{00000000-0005-0000-0000-0000F72F0000}"/>
    <cellStyle name="OPSKRIF 2 246" xfId="6108" xr:uid="{00000000-0005-0000-0000-0000F82F0000}"/>
    <cellStyle name="OPSKRIF 2 246 2" xfId="13215" xr:uid="{00000000-0005-0000-0000-0000F92F0000}"/>
    <cellStyle name="OPSKRIF 2 247" xfId="6109" xr:uid="{00000000-0005-0000-0000-0000FA2F0000}"/>
    <cellStyle name="OPSKRIF 2 247 2" xfId="13216" xr:uid="{00000000-0005-0000-0000-0000FB2F0000}"/>
    <cellStyle name="OPSKRIF 2 248" xfId="6110" xr:uid="{00000000-0005-0000-0000-0000FC2F0000}"/>
    <cellStyle name="OPSKRIF 2 248 2" xfId="13217" xr:uid="{00000000-0005-0000-0000-0000FD2F0000}"/>
    <cellStyle name="OPSKRIF 2 249" xfId="6111" xr:uid="{00000000-0005-0000-0000-0000FE2F0000}"/>
    <cellStyle name="OPSKRIF 2 249 2" xfId="13218" xr:uid="{00000000-0005-0000-0000-0000FF2F0000}"/>
    <cellStyle name="OPSKRIF 2 25" xfId="6112" xr:uid="{00000000-0005-0000-0000-000000300000}"/>
    <cellStyle name="OPSKRIF 2 25 2" xfId="13219" xr:uid="{00000000-0005-0000-0000-000001300000}"/>
    <cellStyle name="OPSKRIF 2 250" xfId="6113" xr:uid="{00000000-0005-0000-0000-000002300000}"/>
    <cellStyle name="OPSKRIF 2 250 2" xfId="13220" xr:uid="{00000000-0005-0000-0000-000003300000}"/>
    <cellStyle name="OPSKRIF 2 251" xfId="6114" xr:uid="{00000000-0005-0000-0000-000004300000}"/>
    <cellStyle name="OPSKRIF 2 251 2" xfId="13221" xr:uid="{00000000-0005-0000-0000-000005300000}"/>
    <cellStyle name="OPSKRIF 2 252" xfId="6115" xr:uid="{00000000-0005-0000-0000-000006300000}"/>
    <cellStyle name="OPSKRIF 2 252 2" xfId="13222" xr:uid="{00000000-0005-0000-0000-000007300000}"/>
    <cellStyle name="OPSKRIF 2 253" xfId="6116" xr:uid="{00000000-0005-0000-0000-000008300000}"/>
    <cellStyle name="OPSKRIF 2 253 2" xfId="13223" xr:uid="{00000000-0005-0000-0000-000009300000}"/>
    <cellStyle name="OPSKRIF 2 254" xfId="6117" xr:uid="{00000000-0005-0000-0000-00000A300000}"/>
    <cellStyle name="OPSKRIF 2 254 2" xfId="13224" xr:uid="{00000000-0005-0000-0000-00000B300000}"/>
    <cellStyle name="OPSKRIF 2 255" xfId="6118" xr:uid="{00000000-0005-0000-0000-00000C300000}"/>
    <cellStyle name="OPSKRIF 2 255 2" xfId="13225" xr:uid="{00000000-0005-0000-0000-00000D300000}"/>
    <cellStyle name="OPSKRIF 2 256" xfId="13052" xr:uid="{00000000-0005-0000-0000-00000E300000}"/>
    <cellStyle name="OPSKRIF 2 26" xfId="6119" xr:uid="{00000000-0005-0000-0000-00000F300000}"/>
    <cellStyle name="OPSKRIF 2 26 2" xfId="13226" xr:uid="{00000000-0005-0000-0000-000010300000}"/>
    <cellStyle name="OPSKRIF 2 27" xfId="6120" xr:uid="{00000000-0005-0000-0000-000011300000}"/>
    <cellStyle name="OPSKRIF 2 27 2" xfId="13227" xr:uid="{00000000-0005-0000-0000-000012300000}"/>
    <cellStyle name="OPSKRIF 2 28" xfId="6121" xr:uid="{00000000-0005-0000-0000-000013300000}"/>
    <cellStyle name="OPSKRIF 2 28 2" xfId="13228" xr:uid="{00000000-0005-0000-0000-000014300000}"/>
    <cellStyle name="OPSKRIF 2 29" xfId="6122" xr:uid="{00000000-0005-0000-0000-000015300000}"/>
    <cellStyle name="OPSKRIF 2 29 2" xfId="13229" xr:uid="{00000000-0005-0000-0000-000016300000}"/>
    <cellStyle name="OPSKRIF 2 3" xfId="6123" xr:uid="{00000000-0005-0000-0000-000017300000}"/>
    <cellStyle name="OPSKRIF 2 3 2" xfId="13230" xr:uid="{00000000-0005-0000-0000-000018300000}"/>
    <cellStyle name="OPSKRIF 2 30" xfId="6124" xr:uid="{00000000-0005-0000-0000-000019300000}"/>
    <cellStyle name="OPSKRIF 2 30 2" xfId="13231" xr:uid="{00000000-0005-0000-0000-00001A300000}"/>
    <cellStyle name="OPSKRIF 2 31" xfId="6125" xr:uid="{00000000-0005-0000-0000-00001B300000}"/>
    <cellStyle name="OPSKRIF 2 31 2" xfId="13232" xr:uid="{00000000-0005-0000-0000-00001C300000}"/>
    <cellStyle name="OPSKRIF 2 32" xfId="6126" xr:uid="{00000000-0005-0000-0000-00001D300000}"/>
    <cellStyle name="OPSKRIF 2 32 2" xfId="13233" xr:uid="{00000000-0005-0000-0000-00001E300000}"/>
    <cellStyle name="OPSKRIF 2 33" xfId="6127" xr:uid="{00000000-0005-0000-0000-00001F300000}"/>
    <cellStyle name="OPSKRIF 2 33 2" xfId="13234" xr:uid="{00000000-0005-0000-0000-000020300000}"/>
    <cellStyle name="OPSKRIF 2 34" xfId="6128" xr:uid="{00000000-0005-0000-0000-000021300000}"/>
    <cellStyle name="OPSKRIF 2 34 2" xfId="13235" xr:uid="{00000000-0005-0000-0000-000022300000}"/>
    <cellStyle name="OPSKRIF 2 35" xfId="6129" xr:uid="{00000000-0005-0000-0000-000023300000}"/>
    <cellStyle name="OPSKRIF 2 35 2" xfId="13236" xr:uid="{00000000-0005-0000-0000-000024300000}"/>
    <cellStyle name="OPSKRIF 2 36" xfId="6130" xr:uid="{00000000-0005-0000-0000-000025300000}"/>
    <cellStyle name="OPSKRIF 2 36 2" xfId="13237" xr:uid="{00000000-0005-0000-0000-000026300000}"/>
    <cellStyle name="OPSKRIF 2 37" xfId="6131" xr:uid="{00000000-0005-0000-0000-000027300000}"/>
    <cellStyle name="OPSKRIF 2 37 2" xfId="13238" xr:uid="{00000000-0005-0000-0000-000028300000}"/>
    <cellStyle name="OPSKRIF 2 38" xfId="6132" xr:uid="{00000000-0005-0000-0000-000029300000}"/>
    <cellStyle name="OPSKRIF 2 38 2" xfId="13239" xr:uid="{00000000-0005-0000-0000-00002A300000}"/>
    <cellStyle name="OPSKRIF 2 39" xfId="6133" xr:uid="{00000000-0005-0000-0000-00002B300000}"/>
    <cellStyle name="OPSKRIF 2 39 2" xfId="13240" xr:uid="{00000000-0005-0000-0000-00002C300000}"/>
    <cellStyle name="OPSKRIF 2 4" xfId="6134" xr:uid="{00000000-0005-0000-0000-00002D300000}"/>
    <cellStyle name="OPSKRIF 2 4 2" xfId="13241" xr:uid="{00000000-0005-0000-0000-00002E300000}"/>
    <cellStyle name="OPSKRIF 2 40" xfId="6135" xr:uid="{00000000-0005-0000-0000-00002F300000}"/>
    <cellStyle name="OPSKRIF 2 40 2" xfId="13242" xr:uid="{00000000-0005-0000-0000-000030300000}"/>
    <cellStyle name="OPSKRIF 2 41" xfId="6136" xr:uid="{00000000-0005-0000-0000-000031300000}"/>
    <cellStyle name="OPSKRIF 2 41 2" xfId="13243" xr:uid="{00000000-0005-0000-0000-000032300000}"/>
    <cellStyle name="OPSKRIF 2 42" xfId="6137" xr:uid="{00000000-0005-0000-0000-000033300000}"/>
    <cellStyle name="OPSKRIF 2 42 2" xfId="13244" xr:uid="{00000000-0005-0000-0000-000034300000}"/>
    <cellStyle name="OPSKRIF 2 43" xfId="6138" xr:uid="{00000000-0005-0000-0000-000035300000}"/>
    <cellStyle name="OPSKRIF 2 43 2" xfId="13245" xr:uid="{00000000-0005-0000-0000-000036300000}"/>
    <cellStyle name="OPSKRIF 2 44" xfId="6139" xr:uid="{00000000-0005-0000-0000-000037300000}"/>
    <cellStyle name="OPSKRIF 2 44 2" xfId="13246" xr:uid="{00000000-0005-0000-0000-000038300000}"/>
    <cellStyle name="OPSKRIF 2 45" xfId="6140" xr:uid="{00000000-0005-0000-0000-000039300000}"/>
    <cellStyle name="OPSKRIF 2 45 2" xfId="13247" xr:uid="{00000000-0005-0000-0000-00003A300000}"/>
    <cellStyle name="OPSKRIF 2 46" xfId="6141" xr:uid="{00000000-0005-0000-0000-00003B300000}"/>
    <cellStyle name="OPSKRIF 2 46 2" xfId="13248" xr:uid="{00000000-0005-0000-0000-00003C300000}"/>
    <cellStyle name="OPSKRIF 2 47" xfId="6142" xr:uid="{00000000-0005-0000-0000-00003D300000}"/>
    <cellStyle name="OPSKRIF 2 47 2" xfId="13249" xr:uid="{00000000-0005-0000-0000-00003E300000}"/>
    <cellStyle name="OPSKRIF 2 48" xfId="6143" xr:uid="{00000000-0005-0000-0000-00003F300000}"/>
    <cellStyle name="OPSKRIF 2 48 2" xfId="13250" xr:uid="{00000000-0005-0000-0000-000040300000}"/>
    <cellStyle name="OPSKRIF 2 49" xfId="6144" xr:uid="{00000000-0005-0000-0000-000041300000}"/>
    <cellStyle name="OPSKRIF 2 49 2" xfId="13251" xr:uid="{00000000-0005-0000-0000-000042300000}"/>
    <cellStyle name="OPSKRIF 2 5" xfId="6145" xr:uid="{00000000-0005-0000-0000-000043300000}"/>
    <cellStyle name="OPSKRIF 2 5 2" xfId="13252" xr:uid="{00000000-0005-0000-0000-000044300000}"/>
    <cellStyle name="OPSKRIF 2 50" xfId="6146" xr:uid="{00000000-0005-0000-0000-000045300000}"/>
    <cellStyle name="OPSKRIF 2 50 2" xfId="13253" xr:uid="{00000000-0005-0000-0000-000046300000}"/>
    <cellStyle name="OPSKRIF 2 51" xfId="6147" xr:uid="{00000000-0005-0000-0000-000047300000}"/>
    <cellStyle name="OPSKRIF 2 51 2" xfId="13254" xr:uid="{00000000-0005-0000-0000-000048300000}"/>
    <cellStyle name="OPSKRIF 2 52" xfId="6148" xr:uid="{00000000-0005-0000-0000-000049300000}"/>
    <cellStyle name="OPSKRIF 2 52 2" xfId="13255" xr:uid="{00000000-0005-0000-0000-00004A300000}"/>
    <cellStyle name="OPSKRIF 2 53" xfId="6149" xr:uid="{00000000-0005-0000-0000-00004B300000}"/>
    <cellStyle name="OPSKRIF 2 53 2" xfId="13256" xr:uid="{00000000-0005-0000-0000-00004C300000}"/>
    <cellStyle name="OPSKRIF 2 54" xfId="6150" xr:uid="{00000000-0005-0000-0000-00004D300000}"/>
    <cellStyle name="OPSKRIF 2 54 2" xfId="13257" xr:uid="{00000000-0005-0000-0000-00004E300000}"/>
    <cellStyle name="OPSKRIF 2 55" xfId="6151" xr:uid="{00000000-0005-0000-0000-00004F300000}"/>
    <cellStyle name="OPSKRIF 2 55 2" xfId="13258" xr:uid="{00000000-0005-0000-0000-000050300000}"/>
    <cellStyle name="OPSKRIF 2 56" xfId="6152" xr:uid="{00000000-0005-0000-0000-000051300000}"/>
    <cellStyle name="OPSKRIF 2 56 2" xfId="13259" xr:uid="{00000000-0005-0000-0000-000052300000}"/>
    <cellStyle name="OPSKRIF 2 57" xfId="6153" xr:uid="{00000000-0005-0000-0000-000053300000}"/>
    <cellStyle name="OPSKRIF 2 57 2" xfId="13260" xr:uid="{00000000-0005-0000-0000-000054300000}"/>
    <cellStyle name="OPSKRIF 2 58" xfId="6154" xr:uid="{00000000-0005-0000-0000-000055300000}"/>
    <cellStyle name="OPSKRIF 2 58 2" xfId="13261" xr:uid="{00000000-0005-0000-0000-000056300000}"/>
    <cellStyle name="OPSKRIF 2 59" xfId="6155" xr:uid="{00000000-0005-0000-0000-000057300000}"/>
    <cellStyle name="OPSKRIF 2 59 2" xfId="13262" xr:uid="{00000000-0005-0000-0000-000058300000}"/>
    <cellStyle name="OPSKRIF 2 6" xfId="6156" xr:uid="{00000000-0005-0000-0000-000059300000}"/>
    <cellStyle name="OPSKRIF 2 6 2" xfId="13263" xr:uid="{00000000-0005-0000-0000-00005A300000}"/>
    <cellStyle name="OPSKRIF 2 60" xfId="6157" xr:uid="{00000000-0005-0000-0000-00005B300000}"/>
    <cellStyle name="OPSKRIF 2 60 2" xfId="13264" xr:uid="{00000000-0005-0000-0000-00005C300000}"/>
    <cellStyle name="OPSKRIF 2 61" xfId="6158" xr:uid="{00000000-0005-0000-0000-00005D300000}"/>
    <cellStyle name="OPSKRIF 2 61 2" xfId="13265" xr:uid="{00000000-0005-0000-0000-00005E300000}"/>
    <cellStyle name="OPSKRIF 2 62" xfId="6159" xr:uid="{00000000-0005-0000-0000-00005F300000}"/>
    <cellStyle name="OPSKRIF 2 62 2" xfId="13266" xr:uid="{00000000-0005-0000-0000-000060300000}"/>
    <cellStyle name="OPSKRIF 2 63" xfId="6160" xr:uid="{00000000-0005-0000-0000-000061300000}"/>
    <cellStyle name="OPSKRIF 2 63 2" xfId="13267" xr:uid="{00000000-0005-0000-0000-000062300000}"/>
    <cellStyle name="OPSKRIF 2 64" xfId="6161" xr:uid="{00000000-0005-0000-0000-000063300000}"/>
    <cellStyle name="OPSKRIF 2 64 2" xfId="13268" xr:uid="{00000000-0005-0000-0000-000064300000}"/>
    <cellStyle name="OPSKRIF 2 65" xfId="6162" xr:uid="{00000000-0005-0000-0000-000065300000}"/>
    <cellStyle name="OPSKRIF 2 65 2" xfId="13269" xr:uid="{00000000-0005-0000-0000-000066300000}"/>
    <cellStyle name="OPSKRIF 2 66" xfId="6163" xr:uid="{00000000-0005-0000-0000-000067300000}"/>
    <cellStyle name="OPSKRIF 2 66 2" xfId="13270" xr:uid="{00000000-0005-0000-0000-000068300000}"/>
    <cellStyle name="OPSKRIF 2 67" xfId="6164" xr:uid="{00000000-0005-0000-0000-000069300000}"/>
    <cellStyle name="OPSKRIF 2 67 2" xfId="13271" xr:uid="{00000000-0005-0000-0000-00006A300000}"/>
    <cellStyle name="OPSKRIF 2 68" xfId="6165" xr:uid="{00000000-0005-0000-0000-00006B300000}"/>
    <cellStyle name="OPSKRIF 2 68 2" xfId="13272" xr:uid="{00000000-0005-0000-0000-00006C300000}"/>
    <cellStyle name="OPSKRIF 2 69" xfId="6166" xr:uid="{00000000-0005-0000-0000-00006D300000}"/>
    <cellStyle name="OPSKRIF 2 69 2" xfId="13273" xr:uid="{00000000-0005-0000-0000-00006E300000}"/>
    <cellStyle name="OPSKRIF 2 7" xfId="6167" xr:uid="{00000000-0005-0000-0000-00006F300000}"/>
    <cellStyle name="OPSKRIF 2 7 2" xfId="13274" xr:uid="{00000000-0005-0000-0000-000070300000}"/>
    <cellStyle name="OPSKRIF 2 70" xfId="6168" xr:uid="{00000000-0005-0000-0000-000071300000}"/>
    <cellStyle name="OPSKRIF 2 70 2" xfId="13275" xr:uid="{00000000-0005-0000-0000-000072300000}"/>
    <cellStyle name="OPSKRIF 2 71" xfId="6169" xr:uid="{00000000-0005-0000-0000-000073300000}"/>
    <cellStyle name="OPSKRIF 2 71 2" xfId="13276" xr:uid="{00000000-0005-0000-0000-000074300000}"/>
    <cellStyle name="OPSKRIF 2 72" xfId="6170" xr:uid="{00000000-0005-0000-0000-000075300000}"/>
    <cellStyle name="OPSKRIF 2 72 2" xfId="13277" xr:uid="{00000000-0005-0000-0000-000076300000}"/>
    <cellStyle name="OPSKRIF 2 73" xfId="6171" xr:uid="{00000000-0005-0000-0000-000077300000}"/>
    <cellStyle name="OPSKRIF 2 73 2" xfId="13278" xr:uid="{00000000-0005-0000-0000-000078300000}"/>
    <cellStyle name="OPSKRIF 2 74" xfId="6172" xr:uid="{00000000-0005-0000-0000-000079300000}"/>
    <cellStyle name="OPSKRIF 2 74 2" xfId="13279" xr:uid="{00000000-0005-0000-0000-00007A300000}"/>
    <cellStyle name="OPSKRIF 2 75" xfId="6173" xr:uid="{00000000-0005-0000-0000-00007B300000}"/>
    <cellStyle name="OPSKRIF 2 75 2" xfId="13280" xr:uid="{00000000-0005-0000-0000-00007C300000}"/>
    <cellStyle name="OPSKRIF 2 76" xfId="6174" xr:uid="{00000000-0005-0000-0000-00007D300000}"/>
    <cellStyle name="OPSKRIF 2 76 2" xfId="13281" xr:uid="{00000000-0005-0000-0000-00007E300000}"/>
    <cellStyle name="OPSKRIF 2 77" xfId="6175" xr:uid="{00000000-0005-0000-0000-00007F300000}"/>
    <cellStyle name="OPSKRIF 2 77 2" xfId="13282" xr:uid="{00000000-0005-0000-0000-000080300000}"/>
    <cellStyle name="OPSKRIF 2 78" xfId="6176" xr:uid="{00000000-0005-0000-0000-000081300000}"/>
    <cellStyle name="OPSKRIF 2 78 2" xfId="13283" xr:uid="{00000000-0005-0000-0000-000082300000}"/>
    <cellStyle name="OPSKRIF 2 79" xfId="6177" xr:uid="{00000000-0005-0000-0000-000083300000}"/>
    <cellStyle name="OPSKRIF 2 79 2" xfId="13284" xr:uid="{00000000-0005-0000-0000-000084300000}"/>
    <cellStyle name="OPSKRIF 2 8" xfId="6178" xr:uid="{00000000-0005-0000-0000-000085300000}"/>
    <cellStyle name="OPSKRIF 2 8 2" xfId="13285" xr:uid="{00000000-0005-0000-0000-000086300000}"/>
    <cellStyle name="OPSKRIF 2 80" xfId="6179" xr:uid="{00000000-0005-0000-0000-000087300000}"/>
    <cellStyle name="OPSKRIF 2 80 2" xfId="13286" xr:uid="{00000000-0005-0000-0000-000088300000}"/>
    <cellStyle name="OPSKRIF 2 81" xfId="6180" xr:uid="{00000000-0005-0000-0000-000089300000}"/>
    <cellStyle name="OPSKRIF 2 81 2" xfId="13287" xr:uid="{00000000-0005-0000-0000-00008A300000}"/>
    <cellStyle name="OPSKRIF 2 82" xfId="6181" xr:uid="{00000000-0005-0000-0000-00008B300000}"/>
    <cellStyle name="OPSKRIF 2 82 2" xfId="13288" xr:uid="{00000000-0005-0000-0000-00008C300000}"/>
    <cellStyle name="OPSKRIF 2 83" xfId="6182" xr:uid="{00000000-0005-0000-0000-00008D300000}"/>
    <cellStyle name="OPSKRIF 2 83 2" xfId="13289" xr:uid="{00000000-0005-0000-0000-00008E300000}"/>
    <cellStyle name="OPSKRIF 2 84" xfId="6183" xr:uid="{00000000-0005-0000-0000-00008F300000}"/>
    <cellStyle name="OPSKRIF 2 84 2" xfId="13290" xr:uid="{00000000-0005-0000-0000-000090300000}"/>
    <cellStyle name="OPSKRIF 2 85" xfId="6184" xr:uid="{00000000-0005-0000-0000-000091300000}"/>
    <cellStyle name="OPSKRIF 2 85 2" xfId="13291" xr:uid="{00000000-0005-0000-0000-000092300000}"/>
    <cellStyle name="OPSKRIF 2 86" xfId="6185" xr:uid="{00000000-0005-0000-0000-000093300000}"/>
    <cellStyle name="OPSKRIF 2 86 2" xfId="13292" xr:uid="{00000000-0005-0000-0000-000094300000}"/>
    <cellStyle name="OPSKRIF 2 87" xfId="6186" xr:uid="{00000000-0005-0000-0000-000095300000}"/>
    <cellStyle name="OPSKRIF 2 87 2" xfId="13293" xr:uid="{00000000-0005-0000-0000-000096300000}"/>
    <cellStyle name="OPSKRIF 2 88" xfId="6187" xr:uid="{00000000-0005-0000-0000-000097300000}"/>
    <cellStyle name="OPSKRIF 2 88 2" xfId="13294" xr:uid="{00000000-0005-0000-0000-000098300000}"/>
    <cellStyle name="OPSKRIF 2 89" xfId="6188" xr:uid="{00000000-0005-0000-0000-000099300000}"/>
    <cellStyle name="OPSKRIF 2 89 2" xfId="13295" xr:uid="{00000000-0005-0000-0000-00009A300000}"/>
    <cellStyle name="OPSKRIF 2 9" xfId="6189" xr:uid="{00000000-0005-0000-0000-00009B300000}"/>
    <cellStyle name="OPSKRIF 2 9 2" xfId="13296" xr:uid="{00000000-0005-0000-0000-00009C300000}"/>
    <cellStyle name="OPSKRIF 2 90" xfId="6190" xr:uid="{00000000-0005-0000-0000-00009D300000}"/>
    <cellStyle name="OPSKRIF 2 90 2" xfId="13297" xr:uid="{00000000-0005-0000-0000-00009E300000}"/>
    <cellStyle name="OPSKRIF 2 91" xfId="6191" xr:uid="{00000000-0005-0000-0000-00009F300000}"/>
    <cellStyle name="OPSKRIF 2 91 2" xfId="13298" xr:uid="{00000000-0005-0000-0000-0000A0300000}"/>
    <cellStyle name="OPSKRIF 2 92" xfId="6192" xr:uid="{00000000-0005-0000-0000-0000A1300000}"/>
    <cellStyle name="OPSKRIF 2 92 2" xfId="13299" xr:uid="{00000000-0005-0000-0000-0000A2300000}"/>
    <cellStyle name="OPSKRIF 2 93" xfId="6193" xr:uid="{00000000-0005-0000-0000-0000A3300000}"/>
    <cellStyle name="OPSKRIF 2 93 2" xfId="13300" xr:uid="{00000000-0005-0000-0000-0000A4300000}"/>
    <cellStyle name="OPSKRIF 2 94" xfId="6194" xr:uid="{00000000-0005-0000-0000-0000A5300000}"/>
    <cellStyle name="OPSKRIF 2 94 2" xfId="13301" xr:uid="{00000000-0005-0000-0000-0000A6300000}"/>
    <cellStyle name="OPSKRIF 2 95" xfId="6195" xr:uid="{00000000-0005-0000-0000-0000A7300000}"/>
    <cellStyle name="OPSKRIF 2 95 2" xfId="13302" xr:uid="{00000000-0005-0000-0000-0000A8300000}"/>
    <cellStyle name="OPSKRIF 2 96" xfId="6196" xr:uid="{00000000-0005-0000-0000-0000A9300000}"/>
    <cellStyle name="OPSKRIF 2 96 2" xfId="13303" xr:uid="{00000000-0005-0000-0000-0000AA300000}"/>
    <cellStyle name="OPSKRIF 2 97" xfId="6197" xr:uid="{00000000-0005-0000-0000-0000AB300000}"/>
    <cellStyle name="OPSKRIF 2 97 2" xfId="13304" xr:uid="{00000000-0005-0000-0000-0000AC300000}"/>
    <cellStyle name="OPSKRIF 2 98" xfId="6198" xr:uid="{00000000-0005-0000-0000-0000AD300000}"/>
    <cellStyle name="OPSKRIF 2 98 2" xfId="13305" xr:uid="{00000000-0005-0000-0000-0000AE300000}"/>
    <cellStyle name="OPSKRIF 2 99" xfId="6199" xr:uid="{00000000-0005-0000-0000-0000AF300000}"/>
    <cellStyle name="OPSKRIF 2 99 2" xfId="13306" xr:uid="{00000000-0005-0000-0000-0000B0300000}"/>
    <cellStyle name="OPSKRIF 3" xfId="13051" xr:uid="{00000000-0005-0000-0000-0000B1300000}"/>
    <cellStyle name="or" xfId="53" xr:uid="{00000000-0005-0000-0000-0000B2300000}"/>
    <cellStyle name="or 10" xfId="1002" xr:uid="{00000000-0005-0000-0000-0000B3300000}"/>
    <cellStyle name="or 10 2" xfId="6201" xr:uid="{00000000-0005-0000-0000-0000B4300000}"/>
    <cellStyle name="or 10 2 2" xfId="13309" xr:uid="{00000000-0005-0000-0000-0000B5300000}"/>
    <cellStyle name="or 10 3" xfId="13308" xr:uid="{00000000-0005-0000-0000-0000B6300000}"/>
    <cellStyle name="or 11" xfId="1003" xr:uid="{00000000-0005-0000-0000-0000B7300000}"/>
    <cellStyle name="or 11 2" xfId="6202" xr:uid="{00000000-0005-0000-0000-0000B8300000}"/>
    <cellStyle name="or 11 2 2" xfId="13311" xr:uid="{00000000-0005-0000-0000-0000B9300000}"/>
    <cellStyle name="or 11 3" xfId="13310" xr:uid="{00000000-0005-0000-0000-0000BA300000}"/>
    <cellStyle name="or 12" xfId="1004" xr:uid="{00000000-0005-0000-0000-0000BB300000}"/>
    <cellStyle name="or 12 2" xfId="6203" xr:uid="{00000000-0005-0000-0000-0000BC300000}"/>
    <cellStyle name="or 12 2 2" xfId="13313" xr:uid="{00000000-0005-0000-0000-0000BD300000}"/>
    <cellStyle name="or 12 3" xfId="13312" xr:uid="{00000000-0005-0000-0000-0000BE300000}"/>
    <cellStyle name="or 13" xfId="6200" xr:uid="{00000000-0005-0000-0000-0000BF300000}"/>
    <cellStyle name="or 13 2" xfId="13314" xr:uid="{00000000-0005-0000-0000-0000C0300000}"/>
    <cellStyle name="or 14" xfId="13307" xr:uid="{00000000-0005-0000-0000-0000C1300000}"/>
    <cellStyle name="or 2" xfId="1005" xr:uid="{00000000-0005-0000-0000-0000C2300000}"/>
    <cellStyle name="or 2 10" xfId="6205" xr:uid="{00000000-0005-0000-0000-0000C3300000}"/>
    <cellStyle name="or 2 10 2" xfId="13316" xr:uid="{00000000-0005-0000-0000-0000C4300000}"/>
    <cellStyle name="or 2 100" xfId="6206" xr:uid="{00000000-0005-0000-0000-0000C5300000}"/>
    <cellStyle name="or 2 100 2" xfId="13317" xr:uid="{00000000-0005-0000-0000-0000C6300000}"/>
    <cellStyle name="or 2 101" xfId="6207" xr:uid="{00000000-0005-0000-0000-0000C7300000}"/>
    <cellStyle name="or 2 101 2" xfId="13318" xr:uid="{00000000-0005-0000-0000-0000C8300000}"/>
    <cellStyle name="or 2 102" xfId="6208" xr:uid="{00000000-0005-0000-0000-0000C9300000}"/>
    <cellStyle name="or 2 102 2" xfId="13319" xr:uid="{00000000-0005-0000-0000-0000CA300000}"/>
    <cellStyle name="or 2 103" xfId="6209" xr:uid="{00000000-0005-0000-0000-0000CB300000}"/>
    <cellStyle name="or 2 103 2" xfId="13320" xr:uid="{00000000-0005-0000-0000-0000CC300000}"/>
    <cellStyle name="or 2 104" xfId="6210" xr:uid="{00000000-0005-0000-0000-0000CD300000}"/>
    <cellStyle name="or 2 104 2" xfId="13321" xr:uid="{00000000-0005-0000-0000-0000CE300000}"/>
    <cellStyle name="or 2 105" xfId="6211" xr:uid="{00000000-0005-0000-0000-0000CF300000}"/>
    <cellStyle name="or 2 105 2" xfId="13322" xr:uid="{00000000-0005-0000-0000-0000D0300000}"/>
    <cellStyle name="or 2 106" xfId="6212" xr:uid="{00000000-0005-0000-0000-0000D1300000}"/>
    <cellStyle name="or 2 106 2" xfId="13323" xr:uid="{00000000-0005-0000-0000-0000D2300000}"/>
    <cellStyle name="or 2 107" xfId="6213" xr:uid="{00000000-0005-0000-0000-0000D3300000}"/>
    <cellStyle name="or 2 107 2" xfId="13324" xr:uid="{00000000-0005-0000-0000-0000D4300000}"/>
    <cellStyle name="or 2 108" xfId="6214" xr:uid="{00000000-0005-0000-0000-0000D5300000}"/>
    <cellStyle name="or 2 108 2" xfId="13325" xr:uid="{00000000-0005-0000-0000-0000D6300000}"/>
    <cellStyle name="or 2 109" xfId="6215" xr:uid="{00000000-0005-0000-0000-0000D7300000}"/>
    <cellStyle name="or 2 109 2" xfId="13326" xr:uid="{00000000-0005-0000-0000-0000D8300000}"/>
    <cellStyle name="or 2 11" xfId="6216" xr:uid="{00000000-0005-0000-0000-0000D9300000}"/>
    <cellStyle name="or 2 11 2" xfId="13327" xr:uid="{00000000-0005-0000-0000-0000DA300000}"/>
    <cellStyle name="or 2 110" xfId="6217" xr:uid="{00000000-0005-0000-0000-0000DB300000}"/>
    <cellStyle name="or 2 110 2" xfId="13328" xr:uid="{00000000-0005-0000-0000-0000DC300000}"/>
    <cellStyle name="or 2 111" xfId="6218" xr:uid="{00000000-0005-0000-0000-0000DD300000}"/>
    <cellStyle name="or 2 111 2" xfId="13329" xr:uid="{00000000-0005-0000-0000-0000DE300000}"/>
    <cellStyle name="or 2 112" xfId="6219" xr:uid="{00000000-0005-0000-0000-0000DF300000}"/>
    <cellStyle name="or 2 112 2" xfId="13330" xr:uid="{00000000-0005-0000-0000-0000E0300000}"/>
    <cellStyle name="or 2 113" xfId="6220" xr:uid="{00000000-0005-0000-0000-0000E1300000}"/>
    <cellStyle name="or 2 113 2" xfId="13331" xr:uid="{00000000-0005-0000-0000-0000E2300000}"/>
    <cellStyle name="or 2 114" xfId="6221" xr:uid="{00000000-0005-0000-0000-0000E3300000}"/>
    <cellStyle name="or 2 114 2" xfId="13332" xr:uid="{00000000-0005-0000-0000-0000E4300000}"/>
    <cellStyle name="or 2 115" xfId="6222" xr:uid="{00000000-0005-0000-0000-0000E5300000}"/>
    <cellStyle name="or 2 115 2" xfId="13333" xr:uid="{00000000-0005-0000-0000-0000E6300000}"/>
    <cellStyle name="or 2 116" xfId="6223" xr:uid="{00000000-0005-0000-0000-0000E7300000}"/>
    <cellStyle name="or 2 116 2" xfId="13334" xr:uid="{00000000-0005-0000-0000-0000E8300000}"/>
    <cellStyle name="or 2 117" xfId="6224" xr:uid="{00000000-0005-0000-0000-0000E9300000}"/>
    <cellStyle name="or 2 117 2" xfId="13335" xr:uid="{00000000-0005-0000-0000-0000EA300000}"/>
    <cellStyle name="or 2 118" xfId="6225" xr:uid="{00000000-0005-0000-0000-0000EB300000}"/>
    <cellStyle name="or 2 118 2" xfId="13336" xr:uid="{00000000-0005-0000-0000-0000EC300000}"/>
    <cellStyle name="or 2 119" xfId="6226" xr:uid="{00000000-0005-0000-0000-0000ED300000}"/>
    <cellStyle name="or 2 119 2" xfId="13337" xr:uid="{00000000-0005-0000-0000-0000EE300000}"/>
    <cellStyle name="or 2 12" xfId="6227" xr:uid="{00000000-0005-0000-0000-0000EF300000}"/>
    <cellStyle name="or 2 12 2" xfId="13338" xr:uid="{00000000-0005-0000-0000-0000F0300000}"/>
    <cellStyle name="or 2 120" xfId="6228" xr:uid="{00000000-0005-0000-0000-0000F1300000}"/>
    <cellStyle name="or 2 120 2" xfId="13339" xr:uid="{00000000-0005-0000-0000-0000F2300000}"/>
    <cellStyle name="or 2 121" xfId="6229" xr:uid="{00000000-0005-0000-0000-0000F3300000}"/>
    <cellStyle name="or 2 121 2" xfId="13340" xr:uid="{00000000-0005-0000-0000-0000F4300000}"/>
    <cellStyle name="or 2 122" xfId="6230" xr:uid="{00000000-0005-0000-0000-0000F5300000}"/>
    <cellStyle name="or 2 122 2" xfId="13341" xr:uid="{00000000-0005-0000-0000-0000F6300000}"/>
    <cellStyle name="or 2 123" xfId="6231" xr:uid="{00000000-0005-0000-0000-0000F7300000}"/>
    <cellStyle name="or 2 123 2" xfId="13342" xr:uid="{00000000-0005-0000-0000-0000F8300000}"/>
    <cellStyle name="or 2 124" xfId="6232" xr:uid="{00000000-0005-0000-0000-0000F9300000}"/>
    <cellStyle name="or 2 124 2" xfId="13343" xr:uid="{00000000-0005-0000-0000-0000FA300000}"/>
    <cellStyle name="or 2 125" xfId="6233" xr:uid="{00000000-0005-0000-0000-0000FB300000}"/>
    <cellStyle name="or 2 125 2" xfId="13344" xr:uid="{00000000-0005-0000-0000-0000FC300000}"/>
    <cellStyle name="or 2 126" xfId="6234" xr:uid="{00000000-0005-0000-0000-0000FD300000}"/>
    <cellStyle name="or 2 126 2" xfId="13345" xr:uid="{00000000-0005-0000-0000-0000FE300000}"/>
    <cellStyle name="or 2 127" xfId="6235" xr:uid="{00000000-0005-0000-0000-0000FF300000}"/>
    <cellStyle name="or 2 127 2" xfId="13346" xr:uid="{00000000-0005-0000-0000-000000310000}"/>
    <cellStyle name="or 2 128" xfId="6236" xr:uid="{00000000-0005-0000-0000-000001310000}"/>
    <cellStyle name="or 2 128 2" xfId="13347" xr:uid="{00000000-0005-0000-0000-000002310000}"/>
    <cellStyle name="or 2 129" xfId="6237" xr:uid="{00000000-0005-0000-0000-000003310000}"/>
    <cellStyle name="or 2 129 2" xfId="13348" xr:uid="{00000000-0005-0000-0000-000004310000}"/>
    <cellStyle name="or 2 13" xfId="6238" xr:uid="{00000000-0005-0000-0000-000005310000}"/>
    <cellStyle name="or 2 13 2" xfId="13349" xr:uid="{00000000-0005-0000-0000-000006310000}"/>
    <cellStyle name="or 2 130" xfId="6239" xr:uid="{00000000-0005-0000-0000-000007310000}"/>
    <cellStyle name="or 2 130 2" xfId="13350" xr:uid="{00000000-0005-0000-0000-000008310000}"/>
    <cellStyle name="or 2 131" xfId="6240" xr:uid="{00000000-0005-0000-0000-000009310000}"/>
    <cellStyle name="or 2 131 2" xfId="13351" xr:uid="{00000000-0005-0000-0000-00000A310000}"/>
    <cellStyle name="or 2 132" xfId="6241" xr:uid="{00000000-0005-0000-0000-00000B310000}"/>
    <cellStyle name="or 2 132 2" xfId="13352" xr:uid="{00000000-0005-0000-0000-00000C310000}"/>
    <cellStyle name="or 2 133" xfId="6242" xr:uid="{00000000-0005-0000-0000-00000D310000}"/>
    <cellStyle name="or 2 133 2" xfId="13353" xr:uid="{00000000-0005-0000-0000-00000E310000}"/>
    <cellStyle name="or 2 134" xfId="6243" xr:uid="{00000000-0005-0000-0000-00000F310000}"/>
    <cellStyle name="or 2 134 2" xfId="13354" xr:uid="{00000000-0005-0000-0000-000010310000}"/>
    <cellStyle name="or 2 135" xfId="6244" xr:uid="{00000000-0005-0000-0000-000011310000}"/>
    <cellStyle name="or 2 135 2" xfId="13355" xr:uid="{00000000-0005-0000-0000-000012310000}"/>
    <cellStyle name="or 2 136" xfId="6245" xr:uid="{00000000-0005-0000-0000-000013310000}"/>
    <cellStyle name="or 2 136 2" xfId="13356" xr:uid="{00000000-0005-0000-0000-000014310000}"/>
    <cellStyle name="or 2 137" xfId="6246" xr:uid="{00000000-0005-0000-0000-000015310000}"/>
    <cellStyle name="or 2 137 2" xfId="13357" xr:uid="{00000000-0005-0000-0000-000016310000}"/>
    <cellStyle name="or 2 138" xfId="6247" xr:uid="{00000000-0005-0000-0000-000017310000}"/>
    <cellStyle name="or 2 138 2" xfId="13358" xr:uid="{00000000-0005-0000-0000-000018310000}"/>
    <cellStyle name="or 2 139" xfId="6248" xr:uid="{00000000-0005-0000-0000-000019310000}"/>
    <cellStyle name="or 2 139 2" xfId="13359" xr:uid="{00000000-0005-0000-0000-00001A310000}"/>
    <cellStyle name="or 2 14" xfId="6249" xr:uid="{00000000-0005-0000-0000-00001B310000}"/>
    <cellStyle name="or 2 14 2" xfId="13360" xr:uid="{00000000-0005-0000-0000-00001C310000}"/>
    <cellStyle name="or 2 140" xfId="6250" xr:uid="{00000000-0005-0000-0000-00001D310000}"/>
    <cellStyle name="or 2 140 2" xfId="13361" xr:uid="{00000000-0005-0000-0000-00001E310000}"/>
    <cellStyle name="or 2 141" xfId="6251" xr:uid="{00000000-0005-0000-0000-00001F310000}"/>
    <cellStyle name="or 2 141 2" xfId="13362" xr:uid="{00000000-0005-0000-0000-000020310000}"/>
    <cellStyle name="or 2 142" xfId="6252" xr:uid="{00000000-0005-0000-0000-000021310000}"/>
    <cellStyle name="or 2 142 2" xfId="13363" xr:uid="{00000000-0005-0000-0000-000022310000}"/>
    <cellStyle name="or 2 143" xfId="6253" xr:uid="{00000000-0005-0000-0000-000023310000}"/>
    <cellStyle name="or 2 143 2" xfId="13364" xr:uid="{00000000-0005-0000-0000-000024310000}"/>
    <cellStyle name="or 2 144" xfId="6254" xr:uid="{00000000-0005-0000-0000-000025310000}"/>
    <cellStyle name="or 2 144 2" xfId="13365" xr:uid="{00000000-0005-0000-0000-000026310000}"/>
    <cellStyle name="or 2 145" xfId="6255" xr:uid="{00000000-0005-0000-0000-000027310000}"/>
    <cellStyle name="or 2 145 2" xfId="13366" xr:uid="{00000000-0005-0000-0000-000028310000}"/>
    <cellStyle name="or 2 146" xfId="6256" xr:uid="{00000000-0005-0000-0000-000029310000}"/>
    <cellStyle name="or 2 146 2" xfId="13367" xr:uid="{00000000-0005-0000-0000-00002A310000}"/>
    <cellStyle name="or 2 147" xfId="6257" xr:uid="{00000000-0005-0000-0000-00002B310000}"/>
    <cellStyle name="or 2 147 2" xfId="13368" xr:uid="{00000000-0005-0000-0000-00002C310000}"/>
    <cellStyle name="or 2 148" xfId="6258" xr:uid="{00000000-0005-0000-0000-00002D310000}"/>
    <cellStyle name="or 2 148 2" xfId="13369" xr:uid="{00000000-0005-0000-0000-00002E310000}"/>
    <cellStyle name="or 2 149" xfId="6259" xr:uid="{00000000-0005-0000-0000-00002F310000}"/>
    <cellStyle name="or 2 149 2" xfId="13370" xr:uid="{00000000-0005-0000-0000-000030310000}"/>
    <cellStyle name="or 2 15" xfId="6260" xr:uid="{00000000-0005-0000-0000-000031310000}"/>
    <cellStyle name="or 2 15 2" xfId="13371" xr:uid="{00000000-0005-0000-0000-000032310000}"/>
    <cellStyle name="or 2 150" xfId="6261" xr:uid="{00000000-0005-0000-0000-000033310000}"/>
    <cellStyle name="or 2 150 2" xfId="13372" xr:uid="{00000000-0005-0000-0000-000034310000}"/>
    <cellStyle name="or 2 151" xfId="6262" xr:uid="{00000000-0005-0000-0000-000035310000}"/>
    <cellStyle name="or 2 151 2" xfId="13373" xr:uid="{00000000-0005-0000-0000-000036310000}"/>
    <cellStyle name="or 2 152" xfId="6263" xr:uid="{00000000-0005-0000-0000-000037310000}"/>
    <cellStyle name="or 2 152 2" xfId="13374" xr:uid="{00000000-0005-0000-0000-000038310000}"/>
    <cellStyle name="or 2 153" xfId="6264" xr:uid="{00000000-0005-0000-0000-000039310000}"/>
    <cellStyle name="or 2 153 2" xfId="13375" xr:uid="{00000000-0005-0000-0000-00003A310000}"/>
    <cellStyle name="or 2 154" xfId="6265" xr:uid="{00000000-0005-0000-0000-00003B310000}"/>
    <cellStyle name="or 2 154 2" xfId="13376" xr:uid="{00000000-0005-0000-0000-00003C310000}"/>
    <cellStyle name="or 2 155" xfId="6266" xr:uid="{00000000-0005-0000-0000-00003D310000}"/>
    <cellStyle name="or 2 155 2" xfId="13377" xr:uid="{00000000-0005-0000-0000-00003E310000}"/>
    <cellStyle name="or 2 156" xfId="6267" xr:uid="{00000000-0005-0000-0000-00003F310000}"/>
    <cellStyle name="or 2 156 2" xfId="13378" xr:uid="{00000000-0005-0000-0000-000040310000}"/>
    <cellStyle name="or 2 157" xfId="6268" xr:uid="{00000000-0005-0000-0000-000041310000}"/>
    <cellStyle name="or 2 157 2" xfId="13379" xr:uid="{00000000-0005-0000-0000-000042310000}"/>
    <cellStyle name="or 2 158" xfId="6269" xr:uid="{00000000-0005-0000-0000-000043310000}"/>
    <cellStyle name="or 2 158 2" xfId="13380" xr:uid="{00000000-0005-0000-0000-000044310000}"/>
    <cellStyle name="or 2 159" xfId="6270" xr:uid="{00000000-0005-0000-0000-000045310000}"/>
    <cellStyle name="or 2 159 2" xfId="13381" xr:uid="{00000000-0005-0000-0000-000046310000}"/>
    <cellStyle name="or 2 16" xfId="6271" xr:uid="{00000000-0005-0000-0000-000047310000}"/>
    <cellStyle name="or 2 16 2" xfId="13382" xr:uid="{00000000-0005-0000-0000-000048310000}"/>
    <cellStyle name="or 2 160" xfId="6272" xr:uid="{00000000-0005-0000-0000-000049310000}"/>
    <cellStyle name="or 2 160 2" xfId="13383" xr:uid="{00000000-0005-0000-0000-00004A310000}"/>
    <cellStyle name="or 2 161" xfId="6273" xr:uid="{00000000-0005-0000-0000-00004B310000}"/>
    <cellStyle name="or 2 161 2" xfId="13384" xr:uid="{00000000-0005-0000-0000-00004C310000}"/>
    <cellStyle name="or 2 162" xfId="6274" xr:uid="{00000000-0005-0000-0000-00004D310000}"/>
    <cellStyle name="or 2 162 2" xfId="13385" xr:uid="{00000000-0005-0000-0000-00004E310000}"/>
    <cellStyle name="or 2 163" xfId="6275" xr:uid="{00000000-0005-0000-0000-00004F310000}"/>
    <cellStyle name="or 2 163 2" xfId="13386" xr:uid="{00000000-0005-0000-0000-000050310000}"/>
    <cellStyle name="or 2 164" xfId="6276" xr:uid="{00000000-0005-0000-0000-000051310000}"/>
    <cellStyle name="or 2 164 2" xfId="13387" xr:uid="{00000000-0005-0000-0000-000052310000}"/>
    <cellStyle name="or 2 165" xfId="6277" xr:uid="{00000000-0005-0000-0000-000053310000}"/>
    <cellStyle name="or 2 165 2" xfId="13388" xr:uid="{00000000-0005-0000-0000-000054310000}"/>
    <cellStyle name="or 2 166" xfId="6278" xr:uid="{00000000-0005-0000-0000-000055310000}"/>
    <cellStyle name="or 2 166 2" xfId="13389" xr:uid="{00000000-0005-0000-0000-000056310000}"/>
    <cellStyle name="or 2 167" xfId="6279" xr:uid="{00000000-0005-0000-0000-000057310000}"/>
    <cellStyle name="or 2 167 2" xfId="13390" xr:uid="{00000000-0005-0000-0000-000058310000}"/>
    <cellStyle name="or 2 168" xfId="6280" xr:uid="{00000000-0005-0000-0000-000059310000}"/>
    <cellStyle name="or 2 168 2" xfId="13391" xr:uid="{00000000-0005-0000-0000-00005A310000}"/>
    <cellStyle name="or 2 169" xfId="6281" xr:uid="{00000000-0005-0000-0000-00005B310000}"/>
    <cellStyle name="or 2 169 2" xfId="13392" xr:uid="{00000000-0005-0000-0000-00005C310000}"/>
    <cellStyle name="or 2 17" xfId="6282" xr:uid="{00000000-0005-0000-0000-00005D310000}"/>
    <cellStyle name="or 2 17 2" xfId="13393" xr:uid="{00000000-0005-0000-0000-00005E310000}"/>
    <cellStyle name="or 2 170" xfId="6283" xr:uid="{00000000-0005-0000-0000-00005F310000}"/>
    <cellStyle name="or 2 170 2" xfId="13394" xr:uid="{00000000-0005-0000-0000-000060310000}"/>
    <cellStyle name="or 2 171" xfId="6284" xr:uid="{00000000-0005-0000-0000-000061310000}"/>
    <cellStyle name="or 2 171 2" xfId="13395" xr:uid="{00000000-0005-0000-0000-000062310000}"/>
    <cellStyle name="or 2 172" xfId="6285" xr:uid="{00000000-0005-0000-0000-000063310000}"/>
    <cellStyle name="or 2 172 2" xfId="13396" xr:uid="{00000000-0005-0000-0000-000064310000}"/>
    <cellStyle name="or 2 173" xfId="6286" xr:uid="{00000000-0005-0000-0000-000065310000}"/>
    <cellStyle name="or 2 173 2" xfId="13397" xr:uid="{00000000-0005-0000-0000-000066310000}"/>
    <cellStyle name="or 2 174" xfId="6287" xr:uid="{00000000-0005-0000-0000-000067310000}"/>
    <cellStyle name="or 2 174 2" xfId="13398" xr:uid="{00000000-0005-0000-0000-000068310000}"/>
    <cellStyle name="or 2 175" xfId="6288" xr:uid="{00000000-0005-0000-0000-000069310000}"/>
    <cellStyle name="or 2 175 2" xfId="13399" xr:uid="{00000000-0005-0000-0000-00006A310000}"/>
    <cellStyle name="or 2 176" xfId="6289" xr:uid="{00000000-0005-0000-0000-00006B310000}"/>
    <cellStyle name="or 2 176 2" xfId="13400" xr:uid="{00000000-0005-0000-0000-00006C310000}"/>
    <cellStyle name="or 2 177" xfId="6290" xr:uid="{00000000-0005-0000-0000-00006D310000}"/>
    <cellStyle name="or 2 177 2" xfId="13401" xr:uid="{00000000-0005-0000-0000-00006E310000}"/>
    <cellStyle name="or 2 178" xfId="6291" xr:uid="{00000000-0005-0000-0000-00006F310000}"/>
    <cellStyle name="or 2 178 2" xfId="13402" xr:uid="{00000000-0005-0000-0000-000070310000}"/>
    <cellStyle name="or 2 179" xfId="6292" xr:uid="{00000000-0005-0000-0000-000071310000}"/>
    <cellStyle name="or 2 179 2" xfId="13403" xr:uid="{00000000-0005-0000-0000-000072310000}"/>
    <cellStyle name="or 2 18" xfId="6293" xr:uid="{00000000-0005-0000-0000-000073310000}"/>
    <cellStyle name="or 2 18 2" xfId="13404" xr:uid="{00000000-0005-0000-0000-000074310000}"/>
    <cellStyle name="or 2 180" xfId="6294" xr:uid="{00000000-0005-0000-0000-000075310000}"/>
    <cellStyle name="or 2 180 2" xfId="13405" xr:uid="{00000000-0005-0000-0000-000076310000}"/>
    <cellStyle name="or 2 181" xfId="6295" xr:uid="{00000000-0005-0000-0000-000077310000}"/>
    <cellStyle name="or 2 181 2" xfId="13406" xr:uid="{00000000-0005-0000-0000-000078310000}"/>
    <cellStyle name="or 2 182" xfId="6296" xr:uid="{00000000-0005-0000-0000-000079310000}"/>
    <cellStyle name="or 2 182 2" xfId="13407" xr:uid="{00000000-0005-0000-0000-00007A310000}"/>
    <cellStyle name="or 2 183" xfId="6297" xr:uid="{00000000-0005-0000-0000-00007B310000}"/>
    <cellStyle name="or 2 183 2" xfId="13408" xr:uid="{00000000-0005-0000-0000-00007C310000}"/>
    <cellStyle name="or 2 184" xfId="6298" xr:uid="{00000000-0005-0000-0000-00007D310000}"/>
    <cellStyle name="or 2 184 2" xfId="13409" xr:uid="{00000000-0005-0000-0000-00007E310000}"/>
    <cellStyle name="or 2 185" xfId="6299" xr:uid="{00000000-0005-0000-0000-00007F310000}"/>
    <cellStyle name="or 2 185 2" xfId="13410" xr:uid="{00000000-0005-0000-0000-000080310000}"/>
    <cellStyle name="or 2 186" xfId="6300" xr:uid="{00000000-0005-0000-0000-000081310000}"/>
    <cellStyle name="or 2 186 2" xfId="13411" xr:uid="{00000000-0005-0000-0000-000082310000}"/>
    <cellStyle name="or 2 187" xfId="6301" xr:uid="{00000000-0005-0000-0000-000083310000}"/>
    <cellStyle name="or 2 187 2" xfId="13412" xr:uid="{00000000-0005-0000-0000-000084310000}"/>
    <cellStyle name="or 2 188" xfId="6302" xr:uid="{00000000-0005-0000-0000-000085310000}"/>
    <cellStyle name="or 2 188 2" xfId="13413" xr:uid="{00000000-0005-0000-0000-000086310000}"/>
    <cellStyle name="or 2 189" xfId="6303" xr:uid="{00000000-0005-0000-0000-000087310000}"/>
    <cellStyle name="or 2 189 2" xfId="13414" xr:uid="{00000000-0005-0000-0000-000088310000}"/>
    <cellStyle name="or 2 19" xfId="6304" xr:uid="{00000000-0005-0000-0000-000089310000}"/>
    <cellStyle name="or 2 19 2" xfId="13415" xr:uid="{00000000-0005-0000-0000-00008A310000}"/>
    <cellStyle name="or 2 190" xfId="6305" xr:uid="{00000000-0005-0000-0000-00008B310000}"/>
    <cellStyle name="or 2 190 2" xfId="13416" xr:uid="{00000000-0005-0000-0000-00008C310000}"/>
    <cellStyle name="or 2 191" xfId="6306" xr:uid="{00000000-0005-0000-0000-00008D310000}"/>
    <cellStyle name="or 2 191 2" xfId="13417" xr:uid="{00000000-0005-0000-0000-00008E310000}"/>
    <cellStyle name="or 2 192" xfId="6307" xr:uid="{00000000-0005-0000-0000-00008F310000}"/>
    <cellStyle name="or 2 192 2" xfId="13418" xr:uid="{00000000-0005-0000-0000-000090310000}"/>
    <cellStyle name="or 2 193" xfId="6308" xr:uid="{00000000-0005-0000-0000-000091310000}"/>
    <cellStyle name="or 2 193 2" xfId="13419" xr:uid="{00000000-0005-0000-0000-000092310000}"/>
    <cellStyle name="or 2 194" xfId="6309" xr:uid="{00000000-0005-0000-0000-000093310000}"/>
    <cellStyle name="or 2 194 2" xfId="13420" xr:uid="{00000000-0005-0000-0000-000094310000}"/>
    <cellStyle name="or 2 195" xfId="6310" xr:uid="{00000000-0005-0000-0000-000095310000}"/>
    <cellStyle name="or 2 195 2" xfId="13421" xr:uid="{00000000-0005-0000-0000-000096310000}"/>
    <cellStyle name="or 2 196" xfId="6311" xr:uid="{00000000-0005-0000-0000-000097310000}"/>
    <cellStyle name="or 2 196 2" xfId="13422" xr:uid="{00000000-0005-0000-0000-000098310000}"/>
    <cellStyle name="or 2 197" xfId="6312" xr:uid="{00000000-0005-0000-0000-000099310000}"/>
    <cellStyle name="or 2 197 2" xfId="13423" xr:uid="{00000000-0005-0000-0000-00009A310000}"/>
    <cellStyle name="or 2 198" xfId="6313" xr:uid="{00000000-0005-0000-0000-00009B310000}"/>
    <cellStyle name="or 2 198 2" xfId="13424" xr:uid="{00000000-0005-0000-0000-00009C310000}"/>
    <cellStyle name="or 2 199" xfId="6314" xr:uid="{00000000-0005-0000-0000-00009D310000}"/>
    <cellStyle name="or 2 199 2" xfId="13425" xr:uid="{00000000-0005-0000-0000-00009E310000}"/>
    <cellStyle name="or 2 2" xfId="1006" xr:uid="{00000000-0005-0000-0000-00009F310000}"/>
    <cellStyle name="or 2 2 2" xfId="6315" xr:uid="{00000000-0005-0000-0000-0000A0310000}"/>
    <cellStyle name="or 2 2 2 2" xfId="13427" xr:uid="{00000000-0005-0000-0000-0000A1310000}"/>
    <cellStyle name="or 2 2 3" xfId="13426" xr:uid="{00000000-0005-0000-0000-0000A2310000}"/>
    <cellStyle name="or 2 20" xfId="6316" xr:uid="{00000000-0005-0000-0000-0000A3310000}"/>
    <cellStyle name="or 2 20 2" xfId="13428" xr:uid="{00000000-0005-0000-0000-0000A4310000}"/>
    <cellStyle name="or 2 200" xfId="6317" xr:uid="{00000000-0005-0000-0000-0000A5310000}"/>
    <cellStyle name="or 2 200 2" xfId="13429" xr:uid="{00000000-0005-0000-0000-0000A6310000}"/>
    <cellStyle name="or 2 201" xfId="6318" xr:uid="{00000000-0005-0000-0000-0000A7310000}"/>
    <cellStyle name="or 2 201 2" xfId="13430" xr:uid="{00000000-0005-0000-0000-0000A8310000}"/>
    <cellStyle name="or 2 202" xfId="6319" xr:uid="{00000000-0005-0000-0000-0000A9310000}"/>
    <cellStyle name="or 2 202 2" xfId="13431" xr:uid="{00000000-0005-0000-0000-0000AA310000}"/>
    <cellStyle name="or 2 203" xfId="6320" xr:uid="{00000000-0005-0000-0000-0000AB310000}"/>
    <cellStyle name="or 2 203 2" xfId="13432" xr:uid="{00000000-0005-0000-0000-0000AC310000}"/>
    <cellStyle name="or 2 204" xfId="6321" xr:uid="{00000000-0005-0000-0000-0000AD310000}"/>
    <cellStyle name="or 2 204 2" xfId="13433" xr:uid="{00000000-0005-0000-0000-0000AE310000}"/>
    <cellStyle name="or 2 205" xfId="6322" xr:uid="{00000000-0005-0000-0000-0000AF310000}"/>
    <cellStyle name="or 2 205 2" xfId="13434" xr:uid="{00000000-0005-0000-0000-0000B0310000}"/>
    <cellStyle name="or 2 206" xfId="6323" xr:uid="{00000000-0005-0000-0000-0000B1310000}"/>
    <cellStyle name="or 2 206 2" xfId="13435" xr:uid="{00000000-0005-0000-0000-0000B2310000}"/>
    <cellStyle name="or 2 207" xfId="6324" xr:uid="{00000000-0005-0000-0000-0000B3310000}"/>
    <cellStyle name="or 2 207 2" xfId="13436" xr:uid="{00000000-0005-0000-0000-0000B4310000}"/>
    <cellStyle name="or 2 208" xfId="6325" xr:uid="{00000000-0005-0000-0000-0000B5310000}"/>
    <cellStyle name="or 2 208 2" xfId="13437" xr:uid="{00000000-0005-0000-0000-0000B6310000}"/>
    <cellStyle name="or 2 209" xfId="6326" xr:uid="{00000000-0005-0000-0000-0000B7310000}"/>
    <cellStyle name="or 2 209 2" xfId="13438" xr:uid="{00000000-0005-0000-0000-0000B8310000}"/>
    <cellStyle name="or 2 21" xfId="6327" xr:uid="{00000000-0005-0000-0000-0000B9310000}"/>
    <cellStyle name="or 2 21 2" xfId="13439" xr:uid="{00000000-0005-0000-0000-0000BA310000}"/>
    <cellStyle name="or 2 210" xfId="6328" xr:uid="{00000000-0005-0000-0000-0000BB310000}"/>
    <cellStyle name="or 2 210 2" xfId="13440" xr:uid="{00000000-0005-0000-0000-0000BC310000}"/>
    <cellStyle name="or 2 211" xfId="6329" xr:uid="{00000000-0005-0000-0000-0000BD310000}"/>
    <cellStyle name="or 2 211 2" xfId="13441" xr:uid="{00000000-0005-0000-0000-0000BE310000}"/>
    <cellStyle name="or 2 212" xfId="6330" xr:uid="{00000000-0005-0000-0000-0000BF310000}"/>
    <cellStyle name="or 2 212 2" xfId="13442" xr:uid="{00000000-0005-0000-0000-0000C0310000}"/>
    <cellStyle name="or 2 213" xfId="6331" xr:uid="{00000000-0005-0000-0000-0000C1310000}"/>
    <cellStyle name="or 2 213 2" xfId="13443" xr:uid="{00000000-0005-0000-0000-0000C2310000}"/>
    <cellStyle name="or 2 214" xfId="6332" xr:uid="{00000000-0005-0000-0000-0000C3310000}"/>
    <cellStyle name="or 2 214 2" xfId="13444" xr:uid="{00000000-0005-0000-0000-0000C4310000}"/>
    <cellStyle name="or 2 215" xfId="6333" xr:uid="{00000000-0005-0000-0000-0000C5310000}"/>
    <cellStyle name="or 2 215 2" xfId="13445" xr:uid="{00000000-0005-0000-0000-0000C6310000}"/>
    <cellStyle name="or 2 216" xfId="6334" xr:uid="{00000000-0005-0000-0000-0000C7310000}"/>
    <cellStyle name="or 2 216 2" xfId="13446" xr:uid="{00000000-0005-0000-0000-0000C8310000}"/>
    <cellStyle name="or 2 217" xfId="6335" xr:uid="{00000000-0005-0000-0000-0000C9310000}"/>
    <cellStyle name="or 2 217 2" xfId="13447" xr:uid="{00000000-0005-0000-0000-0000CA310000}"/>
    <cellStyle name="or 2 218" xfId="6336" xr:uid="{00000000-0005-0000-0000-0000CB310000}"/>
    <cellStyle name="or 2 218 2" xfId="13448" xr:uid="{00000000-0005-0000-0000-0000CC310000}"/>
    <cellStyle name="or 2 219" xfId="6337" xr:uid="{00000000-0005-0000-0000-0000CD310000}"/>
    <cellStyle name="or 2 219 2" xfId="13449" xr:uid="{00000000-0005-0000-0000-0000CE310000}"/>
    <cellStyle name="or 2 22" xfId="6338" xr:uid="{00000000-0005-0000-0000-0000CF310000}"/>
    <cellStyle name="or 2 22 2" xfId="13450" xr:uid="{00000000-0005-0000-0000-0000D0310000}"/>
    <cellStyle name="or 2 220" xfId="6339" xr:uid="{00000000-0005-0000-0000-0000D1310000}"/>
    <cellStyle name="or 2 220 2" xfId="13451" xr:uid="{00000000-0005-0000-0000-0000D2310000}"/>
    <cellStyle name="or 2 221" xfId="6340" xr:uid="{00000000-0005-0000-0000-0000D3310000}"/>
    <cellStyle name="or 2 221 2" xfId="13452" xr:uid="{00000000-0005-0000-0000-0000D4310000}"/>
    <cellStyle name="or 2 222" xfId="6341" xr:uid="{00000000-0005-0000-0000-0000D5310000}"/>
    <cellStyle name="or 2 222 2" xfId="13453" xr:uid="{00000000-0005-0000-0000-0000D6310000}"/>
    <cellStyle name="or 2 223" xfId="6342" xr:uid="{00000000-0005-0000-0000-0000D7310000}"/>
    <cellStyle name="or 2 223 2" xfId="13454" xr:uid="{00000000-0005-0000-0000-0000D8310000}"/>
    <cellStyle name="or 2 224" xfId="6343" xr:uid="{00000000-0005-0000-0000-0000D9310000}"/>
    <cellStyle name="or 2 224 2" xfId="13455" xr:uid="{00000000-0005-0000-0000-0000DA310000}"/>
    <cellStyle name="or 2 225" xfId="6344" xr:uid="{00000000-0005-0000-0000-0000DB310000}"/>
    <cellStyle name="or 2 225 2" xfId="13456" xr:uid="{00000000-0005-0000-0000-0000DC310000}"/>
    <cellStyle name="or 2 226" xfId="6345" xr:uid="{00000000-0005-0000-0000-0000DD310000}"/>
    <cellStyle name="or 2 226 2" xfId="13457" xr:uid="{00000000-0005-0000-0000-0000DE310000}"/>
    <cellStyle name="or 2 227" xfId="6346" xr:uid="{00000000-0005-0000-0000-0000DF310000}"/>
    <cellStyle name="or 2 227 2" xfId="13458" xr:uid="{00000000-0005-0000-0000-0000E0310000}"/>
    <cellStyle name="or 2 228" xfId="6347" xr:uid="{00000000-0005-0000-0000-0000E1310000}"/>
    <cellStyle name="or 2 228 2" xfId="13459" xr:uid="{00000000-0005-0000-0000-0000E2310000}"/>
    <cellStyle name="or 2 229" xfId="6348" xr:uid="{00000000-0005-0000-0000-0000E3310000}"/>
    <cellStyle name="or 2 229 2" xfId="13460" xr:uid="{00000000-0005-0000-0000-0000E4310000}"/>
    <cellStyle name="or 2 23" xfId="6349" xr:uid="{00000000-0005-0000-0000-0000E5310000}"/>
    <cellStyle name="or 2 23 2" xfId="13461" xr:uid="{00000000-0005-0000-0000-0000E6310000}"/>
    <cellStyle name="or 2 230" xfId="6350" xr:uid="{00000000-0005-0000-0000-0000E7310000}"/>
    <cellStyle name="or 2 230 2" xfId="13462" xr:uid="{00000000-0005-0000-0000-0000E8310000}"/>
    <cellStyle name="or 2 231" xfId="6351" xr:uid="{00000000-0005-0000-0000-0000E9310000}"/>
    <cellStyle name="or 2 231 2" xfId="13463" xr:uid="{00000000-0005-0000-0000-0000EA310000}"/>
    <cellStyle name="or 2 232" xfId="6352" xr:uid="{00000000-0005-0000-0000-0000EB310000}"/>
    <cellStyle name="or 2 232 2" xfId="13464" xr:uid="{00000000-0005-0000-0000-0000EC310000}"/>
    <cellStyle name="or 2 233" xfId="6353" xr:uid="{00000000-0005-0000-0000-0000ED310000}"/>
    <cellStyle name="or 2 233 2" xfId="13465" xr:uid="{00000000-0005-0000-0000-0000EE310000}"/>
    <cellStyle name="or 2 234" xfId="6354" xr:uid="{00000000-0005-0000-0000-0000EF310000}"/>
    <cellStyle name="or 2 234 2" xfId="13466" xr:uid="{00000000-0005-0000-0000-0000F0310000}"/>
    <cellStyle name="or 2 235" xfId="6355" xr:uid="{00000000-0005-0000-0000-0000F1310000}"/>
    <cellStyle name="or 2 235 2" xfId="13467" xr:uid="{00000000-0005-0000-0000-0000F2310000}"/>
    <cellStyle name="or 2 236" xfId="6356" xr:uid="{00000000-0005-0000-0000-0000F3310000}"/>
    <cellStyle name="or 2 236 2" xfId="13468" xr:uid="{00000000-0005-0000-0000-0000F4310000}"/>
    <cellStyle name="or 2 237" xfId="6357" xr:uid="{00000000-0005-0000-0000-0000F5310000}"/>
    <cellStyle name="or 2 237 2" xfId="13469" xr:uid="{00000000-0005-0000-0000-0000F6310000}"/>
    <cellStyle name="or 2 238" xfId="6358" xr:uid="{00000000-0005-0000-0000-0000F7310000}"/>
    <cellStyle name="or 2 238 2" xfId="13470" xr:uid="{00000000-0005-0000-0000-0000F8310000}"/>
    <cellStyle name="or 2 239" xfId="6359" xr:uid="{00000000-0005-0000-0000-0000F9310000}"/>
    <cellStyle name="or 2 239 2" xfId="13471" xr:uid="{00000000-0005-0000-0000-0000FA310000}"/>
    <cellStyle name="or 2 24" xfId="6360" xr:uid="{00000000-0005-0000-0000-0000FB310000}"/>
    <cellStyle name="or 2 24 2" xfId="13472" xr:uid="{00000000-0005-0000-0000-0000FC310000}"/>
    <cellStyle name="or 2 240" xfId="6361" xr:uid="{00000000-0005-0000-0000-0000FD310000}"/>
    <cellStyle name="or 2 240 2" xfId="13473" xr:uid="{00000000-0005-0000-0000-0000FE310000}"/>
    <cellStyle name="or 2 241" xfId="6362" xr:uid="{00000000-0005-0000-0000-0000FF310000}"/>
    <cellStyle name="or 2 241 2" xfId="13474" xr:uid="{00000000-0005-0000-0000-000000320000}"/>
    <cellStyle name="or 2 242" xfId="6363" xr:uid="{00000000-0005-0000-0000-000001320000}"/>
    <cellStyle name="or 2 242 2" xfId="13475" xr:uid="{00000000-0005-0000-0000-000002320000}"/>
    <cellStyle name="or 2 243" xfId="6364" xr:uid="{00000000-0005-0000-0000-000003320000}"/>
    <cellStyle name="or 2 243 2" xfId="13476" xr:uid="{00000000-0005-0000-0000-000004320000}"/>
    <cellStyle name="or 2 244" xfId="6365" xr:uid="{00000000-0005-0000-0000-000005320000}"/>
    <cellStyle name="or 2 244 2" xfId="13477" xr:uid="{00000000-0005-0000-0000-000006320000}"/>
    <cellStyle name="or 2 245" xfId="6366" xr:uid="{00000000-0005-0000-0000-000007320000}"/>
    <cellStyle name="or 2 245 2" xfId="13478" xr:uid="{00000000-0005-0000-0000-000008320000}"/>
    <cellStyle name="or 2 246" xfId="6367" xr:uid="{00000000-0005-0000-0000-000009320000}"/>
    <cellStyle name="or 2 246 2" xfId="13479" xr:uid="{00000000-0005-0000-0000-00000A320000}"/>
    <cellStyle name="or 2 247" xfId="6368" xr:uid="{00000000-0005-0000-0000-00000B320000}"/>
    <cellStyle name="or 2 247 2" xfId="13480" xr:uid="{00000000-0005-0000-0000-00000C320000}"/>
    <cellStyle name="or 2 248" xfId="6369" xr:uid="{00000000-0005-0000-0000-00000D320000}"/>
    <cellStyle name="or 2 248 2" xfId="13481" xr:uid="{00000000-0005-0000-0000-00000E320000}"/>
    <cellStyle name="or 2 249" xfId="6370" xr:uid="{00000000-0005-0000-0000-00000F320000}"/>
    <cellStyle name="or 2 249 2" xfId="13482" xr:uid="{00000000-0005-0000-0000-000010320000}"/>
    <cellStyle name="or 2 25" xfId="6371" xr:uid="{00000000-0005-0000-0000-000011320000}"/>
    <cellStyle name="or 2 25 2" xfId="13483" xr:uid="{00000000-0005-0000-0000-000012320000}"/>
    <cellStyle name="or 2 250" xfId="6372" xr:uid="{00000000-0005-0000-0000-000013320000}"/>
    <cellStyle name="or 2 250 2" xfId="13484" xr:uid="{00000000-0005-0000-0000-000014320000}"/>
    <cellStyle name="or 2 251" xfId="6373" xr:uid="{00000000-0005-0000-0000-000015320000}"/>
    <cellStyle name="or 2 251 2" xfId="13485" xr:uid="{00000000-0005-0000-0000-000016320000}"/>
    <cellStyle name="or 2 252" xfId="6374" xr:uid="{00000000-0005-0000-0000-000017320000}"/>
    <cellStyle name="or 2 252 2" xfId="13486" xr:uid="{00000000-0005-0000-0000-000018320000}"/>
    <cellStyle name="or 2 253" xfId="6375" xr:uid="{00000000-0005-0000-0000-000019320000}"/>
    <cellStyle name="or 2 253 2" xfId="13487" xr:uid="{00000000-0005-0000-0000-00001A320000}"/>
    <cellStyle name="or 2 254" xfId="6376" xr:uid="{00000000-0005-0000-0000-00001B320000}"/>
    <cellStyle name="or 2 254 2" xfId="13488" xr:uid="{00000000-0005-0000-0000-00001C320000}"/>
    <cellStyle name="or 2 255" xfId="6377" xr:uid="{00000000-0005-0000-0000-00001D320000}"/>
    <cellStyle name="or 2 255 2" xfId="13489" xr:uid="{00000000-0005-0000-0000-00001E320000}"/>
    <cellStyle name="or 2 256" xfId="6204" xr:uid="{00000000-0005-0000-0000-00001F320000}"/>
    <cellStyle name="or 2 256 2" xfId="13490" xr:uid="{00000000-0005-0000-0000-000020320000}"/>
    <cellStyle name="or 2 257" xfId="13315" xr:uid="{00000000-0005-0000-0000-000021320000}"/>
    <cellStyle name="or 2 26" xfId="6378" xr:uid="{00000000-0005-0000-0000-000022320000}"/>
    <cellStyle name="or 2 26 2" xfId="13491" xr:uid="{00000000-0005-0000-0000-000023320000}"/>
    <cellStyle name="or 2 27" xfId="6379" xr:uid="{00000000-0005-0000-0000-000024320000}"/>
    <cellStyle name="or 2 27 2" xfId="13492" xr:uid="{00000000-0005-0000-0000-000025320000}"/>
    <cellStyle name="or 2 28" xfId="6380" xr:uid="{00000000-0005-0000-0000-000026320000}"/>
    <cellStyle name="or 2 28 2" xfId="13493" xr:uid="{00000000-0005-0000-0000-000027320000}"/>
    <cellStyle name="or 2 29" xfId="6381" xr:uid="{00000000-0005-0000-0000-000028320000}"/>
    <cellStyle name="or 2 29 2" xfId="13494" xr:uid="{00000000-0005-0000-0000-000029320000}"/>
    <cellStyle name="or 2 3" xfId="1007" xr:uid="{00000000-0005-0000-0000-00002A320000}"/>
    <cellStyle name="or 2 3 2" xfId="6382" xr:uid="{00000000-0005-0000-0000-00002B320000}"/>
    <cellStyle name="or 2 3 2 2" xfId="13496" xr:uid="{00000000-0005-0000-0000-00002C320000}"/>
    <cellStyle name="or 2 3 3" xfId="13495" xr:uid="{00000000-0005-0000-0000-00002D320000}"/>
    <cellStyle name="or 2 30" xfId="6383" xr:uid="{00000000-0005-0000-0000-00002E320000}"/>
    <cellStyle name="or 2 30 2" xfId="13497" xr:uid="{00000000-0005-0000-0000-00002F320000}"/>
    <cellStyle name="or 2 31" xfId="6384" xr:uid="{00000000-0005-0000-0000-000030320000}"/>
    <cellStyle name="or 2 31 2" xfId="13498" xr:uid="{00000000-0005-0000-0000-000031320000}"/>
    <cellStyle name="or 2 32" xfId="6385" xr:uid="{00000000-0005-0000-0000-000032320000}"/>
    <cellStyle name="or 2 32 2" xfId="13499" xr:uid="{00000000-0005-0000-0000-000033320000}"/>
    <cellStyle name="or 2 33" xfId="6386" xr:uid="{00000000-0005-0000-0000-000034320000}"/>
    <cellStyle name="or 2 33 2" xfId="13500" xr:uid="{00000000-0005-0000-0000-000035320000}"/>
    <cellStyle name="or 2 34" xfId="6387" xr:uid="{00000000-0005-0000-0000-000036320000}"/>
    <cellStyle name="or 2 34 2" xfId="13501" xr:uid="{00000000-0005-0000-0000-000037320000}"/>
    <cellStyle name="or 2 35" xfId="6388" xr:uid="{00000000-0005-0000-0000-000038320000}"/>
    <cellStyle name="or 2 35 2" xfId="13502" xr:uid="{00000000-0005-0000-0000-000039320000}"/>
    <cellStyle name="or 2 36" xfId="6389" xr:uid="{00000000-0005-0000-0000-00003A320000}"/>
    <cellStyle name="or 2 36 2" xfId="13503" xr:uid="{00000000-0005-0000-0000-00003B320000}"/>
    <cellStyle name="or 2 37" xfId="6390" xr:uid="{00000000-0005-0000-0000-00003C320000}"/>
    <cellStyle name="or 2 37 2" xfId="13504" xr:uid="{00000000-0005-0000-0000-00003D320000}"/>
    <cellStyle name="or 2 38" xfId="6391" xr:uid="{00000000-0005-0000-0000-00003E320000}"/>
    <cellStyle name="or 2 38 2" xfId="13505" xr:uid="{00000000-0005-0000-0000-00003F320000}"/>
    <cellStyle name="or 2 39" xfId="6392" xr:uid="{00000000-0005-0000-0000-000040320000}"/>
    <cellStyle name="or 2 39 2" xfId="13506" xr:uid="{00000000-0005-0000-0000-000041320000}"/>
    <cellStyle name="or 2 4" xfId="1008" xr:uid="{00000000-0005-0000-0000-000042320000}"/>
    <cellStyle name="or 2 4 2" xfId="6393" xr:uid="{00000000-0005-0000-0000-000043320000}"/>
    <cellStyle name="or 2 4 2 2" xfId="13508" xr:uid="{00000000-0005-0000-0000-000044320000}"/>
    <cellStyle name="or 2 4 3" xfId="13507" xr:uid="{00000000-0005-0000-0000-000045320000}"/>
    <cellStyle name="or 2 40" xfId="6394" xr:uid="{00000000-0005-0000-0000-000046320000}"/>
    <cellStyle name="or 2 40 2" xfId="13509" xr:uid="{00000000-0005-0000-0000-000047320000}"/>
    <cellStyle name="or 2 41" xfId="6395" xr:uid="{00000000-0005-0000-0000-000048320000}"/>
    <cellStyle name="or 2 41 2" xfId="13510" xr:uid="{00000000-0005-0000-0000-000049320000}"/>
    <cellStyle name="or 2 42" xfId="6396" xr:uid="{00000000-0005-0000-0000-00004A320000}"/>
    <cellStyle name="or 2 42 2" xfId="13511" xr:uid="{00000000-0005-0000-0000-00004B320000}"/>
    <cellStyle name="or 2 43" xfId="6397" xr:uid="{00000000-0005-0000-0000-00004C320000}"/>
    <cellStyle name="or 2 43 2" xfId="13512" xr:uid="{00000000-0005-0000-0000-00004D320000}"/>
    <cellStyle name="or 2 44" xfId="6398" xr:uid="{00000000-0005-0000-0000-00004E320000}"/>
    <cellStyle name="or 2 44 2" xfId="13513" xr:uid="{00000000-0005-0000-0000-00004F320000}"/>
    <cellStyle name="or 2 45" xfId="6399" xr:uid="{00000000-0005-0000-0000-000050320000}"/>
    <cellStyle name="or 2 45 2" xfId="13514" xr:uid="{00000000-0005-0000-0000-000051320000}"/>
    <cellStyle name="or 2 46" xfId="6400" xr:uid="{00000000-0005-0000-0000-000052320000}"/>
    <cellStyle name="or 2 46 2" xfId="13515" xr:uid="{00000000-0005-0000-0000-000053320000}"/>
    <cellStyle name="or 2 47" xfId="6401" xr:uid="{00000000-0005-0000-0000-000054320000}"/>
    <cellStyle name="or 2 47 2" xfId="13516" xr:uid="{00000000-0005-0000-0000-000055320000}"/>
    <cellStyle name="or 2 48" xfId="6402" xr:uid="{00000000-0005-0000-0000-000056320000}"/>
    <cellStyle name="or 2 48 2" xfId="13517" xr:uid="{00000000-0005-0000-0000-000057320000}"/>
    <cellStyle name="or 2 49" xfId="6403" xr:uid="{00000000-0005-0000-0000-000058320000}"/>
    <cellStyle name="or 2 49 2" xfId="13518" xr:uid="{00000000-0005-0000-0000-000059320000}"/>
    <cellStyle name="or 2 5" xfId="1009" xr:uid="{00000000-0005-0000-0000-00005A320000}"/>
    <cellStyle name="or 2 5 2" xfId="6404" xr:uid="{00000000-0005-0000-0000-00005B320000}"/>
    <cellStyle name="or 2 5 2 2" xfId="13520" xr:uid="{00000000-0005-0000-0000-00005C320000}"/>
    <cellStyle name="or 2 5 3" xfId="13519" xr:uid="{00000000-0005-0000-0000-00005D320000}"/>
    <cellStyle name="or 2 50" xfId="6405" xr:uid="{00000000-0005-0000-0000-00005E320000}"/>
    <cellStyle name="or 2 50 2" xfId="13521" xr:uid="{00000000-0005-0000-0000-00005F320000}"/>
    <cellStyle name="or 2 51" xfId="6406" xr:uid="{00000000-0005-0000-0000-000060320000}"/>
    <cellStyle name="or 2 51 2" xfId="13522" xr:uid="{00000000-0005-0000-0000-000061320000}"/>
    <cellStyle name="or 2 52" xfId="6407" xr:uid="{00000000-0005-0000-0000-000062320000}"/>
    <cellStyle name="or 2 52 2" xfId="13523" xr:uid="{00000000-0005-0000-0000-000063320000}"/>
    <cellStyle name="or 2 53" xfId="6408" xr:uid="{00000000-0005-0000-0000-000064320000}"/>
    <cellStyle name="or 2 53 2" xfId="13524" xr:uid="{00000000-0005-0000-0000-000065320000}"/>
    <cellStyle name="or 2 54" xfId="6409" xr:uid="{00000000-0005-0000-0000-000066320000}"/>
    <cellStyle name="or 2 54 2" xfId="13525" xr:uid="{00000000-0005-0000-0000-000067320000}"/>
    <cellStyle name="or 2 55" xfId="6410" xr:uid="{00000000-0005-0000-0000-000068320000}"/>
    <cellStyle name="or 2 55 2" xfId="13526" xr:uid="{00000000-0005-0000-0000-000069320000}"/>
    <cellStyle name="or 2 56" xfId="6411" xr:uid="{00000000-0005-0000-0000-00006A320000}"/>
    <cellStyle name="or 2 56 2" xfId="13527" xr:uid="{00000000-0005-0000-0000-00006B320000}"/>
    <cellStyle name="or 2 57" xfId="6412" xr:uid="{00000000-0005-0000-0000-00006C320000}"/>
    <cellStyle name="or 2 57 2" xfId="13528" xr:uid="{00000000-0005-0000-0000-00006D320000}"/>
    <cellStyle name="or 2 58" xfId="6413" xr:uid="{00000000-0005-0000-0000-00006E320000}"/>
    <cellStyle name="or 2 58 2" xfId="13529" xr:uid="{00000000-0005-0000-0000-00006F320000}"/>
    <cellStyle name="or 2 59" xfId="6414" xr:uid="{00000000-0005-0000-0000-000070320000}"/>
    <cellStyle name="or 2 59 2" xfId="13530" xr:uid="{00000000-0005-0000-0000-000071320000}"/>
    <cellStyle name="or 2 6" xfId="1010" xr:uid="{00000000-0005-0000-0000-000072320000}"/>
    <cellStyle name="or 2 6 2" xfId="6415" xr:uid="{00000000-0005-0000-0000-000073320000}"/>
    <cellStyle name="or 2 6 2 2" xfId="13532" xr:uid="{00000000-0005-0000-0000-000074320000}"/>
    <cellStyle name="or 2 6 3" xfId="13531" xr:uid="{00000000-0005-0000-0000-000075320000}"/>
    <cellStyle name="or 2 60" xfId="6416" xr:uid="{00000000-0005-0000-0000-000076320000}"/>
    <cellStyle name="or 2 60 2" xfId="13533" xr:uid="{00000000-0005-0000-0000-000077320000}"/>
    <cellStyle name="or 2 61" xfId="6417" xr:uid="{00000000-0005-0000-0000-000078320000}"/>
    <cellStyle name="or 2 61 2" xfId="13534" xr:uid="{00000000-0005-0000-0000-000079320000}"/>
    <cellStyle name="or 2 62" xfId="6418" xr:uid="{00000000-0005-0000-0000-00007A320000}"/>
    <cellStyle name="or 2 62 2" xfId="13535" xr:uid="{00000000-0005-0000-0000-00007B320000}"/>
    <cellStyle name="or 2 63" xfId="6419" xr:uid="{00000000-0005-0000-0000-00007C320000}"/>
    <cellStyle name="or 2 63 2" xfId="13536" xr:uid="{00000000-0005-0000-0000-00007D320000}"/>
    <cellStyle name="or 2 64" xfId="6420" xr:uid="{00000000-0005-0000-0000-00007E320000}"/>
    <cellStyle name="or 2 64 2" xfId="13537" xr:uid="{00000000-0005-0000-0000-00007F320000}"/>
    <cellStyle name="or 2 65" xfId="6421" xr:uid="{00000000-0005-0000-0000-000080320000}"/>
    <cellStyle name="or 2 65 2" xfId="13538" xr:uid="{00000000-0005-0000-0000-000081320000}"/>
    <cellStyle name="or 2 66" xfId="6422" xr:uid="{00000000-0005-0000-0000-000082320000}"/>
    <cellStyle name="or 2 66 2" xfId="13539" xr:uid="{00000000-0005-0000-0000-000083320000}"/>
    <cellStyle name="or 2 67" xfId="6423" xr:uid="{00000000-0005-0000-0000-000084320000}"/>
    <cellStyle name="or 2 67 2" xfId="13540" xr:uid="{00000000-0005-0000-0000-000085320000}"/>
    <cellStyle name="or 2 68" xfId="6424" xr:uid="{00000000-0005-0000-0000-000086320000}"/>
    <cellStyle name="or 2 68 2" xfId="13541" xr:uid="{00000000-0005-0000-0000-000087320000}"/>
    <cellStyle name="or 2 69" xfId="6425" xr:uid="{00000000-0005-0000-0000-000088320000}"/>
    <cellStyle name="or 2 69 2" xfId="13542" xr:uid="{00000000-0005-0000-0000-000089320000}"/>
    <cellStyle name="or 2 7" xfId="1011" xr:uid="{00000000-0005-0000-0000-00008A320000}"/>
    <cellStyle name="or 2 7 2" xfId="6426" xr:uid="{00000000-0005-0000-0000-00008B320000}"/>
    <cellStyle name="or 2 7 2 2" xfId="13544" xr:uid="{00000000-0005-0000-0000-00008C320000}"/>
    <cellStyle name="or 2 7 3" xfId="13543" xr:uid="{00000000-0005-0000-0000-00008D320000}"/>
    <cellStyle name="or 2 70" xfId="6427" xr:uid="{00000000-0005-0000-0000-00008E320000}"/>
    <cellStyle name="or 2 70 2" xfId="13545" xr:uid="{00000000-0005-0000-0000-00008F320000}"/>
    <cellStyle name="or 2 71" xfId="6428" xr:uid="{00000000-0005-0000-0000-000090320000}"/>
    <cellStyle name="or 2 71 2" xfId="13546" xr:uid="{00000000-0005-0000-0000-000091320000}"/>
    <cellStyle name="or 2 72" xfId="6429" xr:uid="{00000000-0005-0000-0000-000092320000}"/>
    <cellStyle name="or 2 72 2" xfId="13547" xr:uid="{00000000-0005-0000-0000-000093320000}"/>
    <cellStyle name="or 2 73" xfId="6430" xr:uid="{00000000-0005-0000-0000-000094320000}"/>
    <cellStyle name="or 2 73 2" xfId="13548" xr:uid="{00000000-0005-0000-0000-000095320000}"/>
    <cellStyle name="or 2 74" xfId="6431" xr:uid="{00000000-0005-0000-0000-000096320000}"/>
    <cellStyle name="or 2 74 2" xfId="13549" xr:uid="{00000000-0005-0000-0000-000097320000}"/>
    <cellStyle name="or 2 75" xfId="6432" xr:uid="{00000000-0005-0000-0000-000098320000}"/>
    <cellStyle name="or 2 75 2" xfId="13550" xr:uid="{00000000-0005-0000-0000-000099320000}"/>
    <cellStyle name="or 2 76" xfId="6433" xr:uid="{00000000-0005-0000-0000-00009A320000}"/>
    <cellStyle name="or 2 76 2" xfId="13551" xr:uid="{00000000-0005-0000-0000-00009B320000}"/>
    <cellStyle name="or 2 77" xfId="6434" xr:uid="{00000000-0005-0000-0000-00009C320000}"/>
    <cellStyle name="or 2 77 2" xfId="13552" xr:uid="{00000000-0005-0000-0000-00009D320000}"/>
    <cellStyle name="or 2 78" xfId="6435" xr:uid="{00000000-0005-0000-0000-00009E320000}"/>
    <cellStyle name="or 2 78 2" xfId="13553" xr:uid="{00000000-0005-0000-0000-00009F320000}"/>
    <cellStyle name="or 2 79" xfId="6436" xr:uid="{00000000-0005-0000-0000-0000A0320000}"/>
    <cellStyle name="or 2 79 2" xfId="13554" xr:uid="{00000000-0005-0000-0000-0000A1320000}"/>
    <cellStyle name="or 2 8" xfId="6437" xr:uid="{00000000-0005-0000-0000-0000A2320000}"/>
    <cellStyle name="or 2 8 2" xfId="13555" xr:uid="{00000000-0005-0000-0000-0000A3320000}"/>
    <cellStyle name="or 2 80" xfId="6438" xr:uid="{00000000-0005-0000-0000-0000A4320000}"/>
    <cellStyle name="or 2 80 2" xfId="13556" xr:uid="{00000000-0005-0000-0000-0000A5320000}"/>
    <cellStyle name="or 2 81" xfId="6439" xr:uid="{00000000-0005-0000-0000-0000A6320000}"/>
    <cellStyle name="or 2 81 2" xfId="13557" xr:uid="{00000000-0005-0000-0000-0000A7320000}"/>
    <cellStyle name="or 2 82" xfId="6440" xr:uid="{00000000-0005-0000-0000-0000A8320000}"/>
    <cellStyle name="or 2 82 2" xfId="13558" xr:uid="{00000000-0005-0000-0000-0000A9320000}"/>
    <cellStyle name="or 2 83" xfId="6441" xr:uid="{00000000-0005-0000-0000-0000AA320000}"/>
    <cellStyle name="or 2 83 2" xfId="13559" xr:uid="{00000000-0005-0000-0000-0000AB320000}"/>
    <cellStyle name="or 2 84" xfId="6442" xr:uid="{00000000-0005-0000-0000-0000AC320000}"/>
    <cellStyle name="or 2 84 2" xfId="13560" xr:uid="{00000000-0005-0000-0000-0000AD320000}"/>
    <cellStyle name="or 2 85" xfId="6443" xr:uid="{00000000-0005-0000-0000-0000AE320000}"/>
    <cellStyle name="or 2 85 2" xfId="13561" xr:uid="{00000000-0005-0000-0000-0000AF320000}"/>
    <cellStyle name="or 2 86" xfId="6444" xr:uid="{00000000-0005-0000-0000-0000B0320000}"/>
    <cellStyle name="or 2 86 2" xfId="13562" xr:uid="{00000000-0005-0000-0000-0000B1320000}"/>
    <cellStyle name="or 2 87" xfId="6445" xr:uid="{00000000-0005-0000-0000-0000B2320000}"/>
    <cellStyle name="or 2 87 2" xfId="13563" xr:uid="{00000000-0005-0000-0000-0000B3320000}"/>
    <cellStyle name="or 2 88" xfId="6446" xr:uid="{00000000-0005-0000-0000-0000B4320000}"/>
    <cellStyle name="or 2 88 2" xfId="13564" xr:uid="{00000000-0005-0000-0000-0000B5320000}"/>
    <cellStyle name="or 2 89" xfId="6447" xr:uid="{00000000-0005-0000-0000-0000B6320000}"/>
    <cellStyle name="or 2 89 2" xfId="13565" xr:uid="{00000000-0005-0000-0000-0000B7320000}"/>
    <cellStyle name="or 2 9" xfId="6448" xr:uid="{00000000-0005-0000-0000-0000B8320000}"/>
    <cellStyle name="or 2 9 2" xfId="13566" xr:uid="{00000000-0005-0000-0000-0000B9320000}"/>
    <cellStyle name="or 2 90" xfId="6449" xr:uid="{00000000-0005-0000-0000-0000BA320000}"/>
    <cellStyle name="or 2 90 2" xfId="13567" xr:uid="{00000000-0005-0000-0000-0000BB320000}"/>
    <cellStyle name="or 2 91" xfId="6450" xr:uid="{00000000-0005-0000-0000-0000BC320000}"/>
    <cellStyle name="or 2 91 2" xfId="13568" xr:uid="{00000000-0005-0000-0000-0000BD320000}"/>
    <cellStyle name="or 2 92" xfId="6451" xr:uid="{00000000-0005-0000-0000-0000BE320000}"/>
    <cellStyle name="or 2 92 2" xfId="13569" xr:uid="{00000000-0005-0000-0000-0000BF320000}"/>
    <cellStyle name="or 2 93" xfId="6452" xr:uid="{00000000-0005-0000-0000-0000C0320000}"/>
    <cellStyle name="or 2 93 2" xfId="13570" xr:uid="{00000000-0005-0000-0000-0000C1320000}"/>
    <cellStyle name="or 2 94" xfId="6453" xr:uid="{00000000-0005-0000-0000-0000C2320000}"/>
    <cellStyle name="or 2 94 2" xfId="13571" xr:uid="{00000000-0005-0000-0000-0000C3320000}"/>
    <cellStyle name="or 2 95" xfId="6454" xr:uid="{00000000-0005-0000-0000-0000C4320000}"/>
    <cellStyle name="or 2 95 2" xfId="13572" xr:uid="{00000000-0005-0000-0000-0000C5320000}"/>
    <cellStyle name="or 2 96" xfId="6455" xr:uid="{00000000-0005-0000-0000-0000C6320000}"/>
    <cellStyle name="or 2 96 2" xfId="13573" xr:uid="{00000000-0005-0000-0000-0000C7320000}"/>
    <cellStyle name="or 2 97" xfId="6456" xr:uid="{00000000-0005-0000-0000-0000C8320000}"/>
    <cellStyle name="or 2 97 2" xfId="13574" xr:uid="{00000000-0005-0000-0000-0000C9320000}"/>
    <cellStyle name="or 2 98" xfId="6457" xr:uid="{00000000-0005-0000-0000-0000CA320000}"/>
    <cellStyle name="or 2 98 2" xfId="13575" xr:uid="{00000000-0005-0000-0000-0000CB320000}"/>
    <cellStyle name="or 2 99" xfId="6458" xr:uid="{00000000-0005-0000-0000-0000CC320000}"/>
    <cellStyle name="or 2 99 2" xfId="13576" xr:uid="{00000000-0005-0000-0000-0000CD320000}"/>
    <cellStyle name="or 3" xfId="1012" xr:uid="{00000000-0005-0000-0000-0000CE320000}"/>
    <cellStyle name="or 3 2" xfId="1013" xr:uid="{00000000-0005-0000-0000-0000CF320000}"/>
    <cellStyle name="or 3 2 2" xfId="6460" xr:uid="{00000000-0005-0000-0000-0000D0320000}"/>
    <cellStyle name="or 3 2 2 2" xfId="13579" xr:uid="{00000000-0005-0000-0000-0000D1320000}"/>
    <cellStyle name="or 3 2 3" xfId="13578" xr:uid="{00000000-0005-0000-0000-0000D2320000}"/>
    <cellStyle name="or 3 3" xfId="1014" xr:uid="{00000000-0005-0000-0000-0000D3320000}"/>
    <cellStyle name="or 3 3 2" xfId="6461" xr:uid="{00000000-0005-0000-0000-0000D4320000}"/>
    <cellStyle name="or 3 3 2 2" xfId="13581" xr:uid="{00000000-0005-0000-0000-0000D5320000}"/>
    <cellStyle name="or 3 3 3" xfId="13580" xr:uid="{00000000-0005-0000-0000-0000D6320000}"/>
    <cellStyle name="or 3 4" xfId="1015" xr:uid="{00000000-0005-0000-0000-0000D7320000}"/>
    <cellStyle name="or 3 4 2" xfId="6462" xr:uid="{00000000-0005-0000-0000-0000D8320000}"/>
    <cellStyle name="or 3 4 2 2" xfId="13583" xr:uid="{00000000-0005-0000-0000-0000D9320000}"/>
    <cellStyle name="or 3 4 3" xfId="13582" xr:uid="{00000000-0005-0000-0000-0000DA320000}"/>
    <cellStyle name="or 3 5" xfId="1016" xr:uid="{00000000-0005-0000-0000-0000DB320000}"/>
    <cellStyle name="or 3 5 2" xfId="6463" xr:uid="{00000000-0005-0000-0000-0000DC320000}"/>
    <cellStyle name="or 3 5 2 2" xfId="13585" xr:uid="{00000000-0005-0000-0000-0000DD320000}"/>
    <cellStyle name="or 3 5 3" xfId="13584" xr:uid="{00000000-0005-0000-0000-0000DE320000}"/>
    <cellStyle name="or 3 6" xfId="1017" xr:uid="{00000000-0005-0000-0000-0000DF320000}"/>
    <cellStyle name="or 3 6 2" xfId="6464" xr:uid="{00000000-0005-0000-0000-0000E0320000}"/>
    <cellStyle name="or 3 6 2 2" xfId="13587" xr:uid="{00000000-0005-0000-0000-0000E1320000}"/>
    <cellStyle name="or 3 6 3" xfId="13586" xr:uid="{00000000-0005-0000-0000-0000E2320000}"/>
    <cellStyle name="or 3 7" xfId="1018" xr:uid="{00000000-0005-0000-0000-0000E3320000}"/>
    <cellStyle name="or 3 7 2" xfId="6465" xr:uid="{00000000-0005-0000-0000-0000E4320000}"/>
    <cellStyle name="or 3 7 2 2" xfId="13589" xr:uid="{00000000-0005-0000-0000-0000E5320000}"/>
    <cellStyle name="or 3 7 3" xfId="13588" xr:uid="{00000000-0005-0000-0000-0000E6320000}"/>
    <cellStyle name="or 3 8" xfId="6459" xr:uid="{00000000-0005-0000-0000-0000E7320000}"/>
    <cellStyle name="or 3 8 2" xfId="13590" xr:uid="{00000000-0005-0000-0000-0000E8320000}"/>
    <cellStyle name="or 3 9" xfId="13577" xr:uid="{00000000-0005-0000-0000-0000E9320000}"/>
    <cellStyle name="or 4" xfId="1019" xr:uid="{00000000-0005-0000-0000-0000EA320000}"/>
    <cellStyle name="or 4 2" xfId="6466" xr:uid="{00000000-0005-0000-0000-0000EB320000}"/>
    <cellStyle name="or 4 2 2" xfId="13592" xr:uid="{00000000-0005-0000-0000-0000EC320000}"/>
    <cellStyle name="or 4 3" xfId="13591" xr:uid="{00000000-0005-0000-0000-0000ED320000}"/>
    <cellStyle name="or 5" xfId="1020" xr:uid="{00000000-0005-0000-0000-0000EE320000}"/>
    <cellStyle name="or 5 2" xfId="6467" xr:uid="{00000000-0005-0000-0000-0000EF320000}"/>
    <cellStyle name="or 5 2 2" xfId="13594" xr:uid="{00000000-0005-0000-0000-0000F0320000}"/>
    <cellStyle name="or 5 3" xfId="13593" xr:uid="{00000000-0005-0000-0000-0000F1320000}"/>
    <cellStyle name="or 6" xfId="1021" xr:uid="{00000000-0005-0000-0000-0000F2320000}"/>
    <cellStyle name="or 6 2" xfId="6468" xr:uid="{00000000-0005-0000-0000-0000F3320000}"/>
    <cellStyle name="or 6 2 2" xfId="13596" xr:uid="{00000000-0005-0000-0000-0000F4320000}"/>
    <cellStyle name="or 6 3" xfId="13595" xr:uid="{00000000-0005-0000-0000-0000F5320000}"/>
    <cellStyle name="or 7" xfId="1022" xr:uid="{00000000-0005-0000-0000-0000F6320000}"/>
    <cellStyle name="or 7 2" xfId="6469" xr:uid="{00000000-0005-0000-0000-0000F7320000}"/>
    <cellStyle name="or 7 2 2" xfId="13598" xr:uid="{00000000-0005-0000-0000-0000F8320000}"/>
    <cellStyle name="or 7 3" xfId="13597" xr:uid="{00000000-0005-0000-0000-0000F9320000}"/>
    <cellStyle name="or 8" xfId="1023" xr:uid="{00000000-0005-0000-0000-0000FA320000}"/>
    <cellStyle name="or 8 2" xfId="6470" xr:uid="{00000000-0005-0000-0000-0000FB320000}"/>
    <cellStyle name="or 8 2 2" xfId="13600" xr:uid="{00000000-0005-0000-0000-0000FC320000}"/>
    <cellStyle name="or 8 3" xfId="13599" xr:uid="{00000000-0005-0000-0000-0000FD320000}"/>
    <cellStyle name="or 9" xfId="1024" xr:uid="{00000000-0005-0000-0000-0000FE320000}"/>
    <cellStyle name="or 9 2" xfId="6471" xr:uid="{00000000-0005-0000-0000-0000FF320000}"/>
    <cellStyle name="or 9 2 2" xfId="13602" xr:uid="{00000000-0005-0000-0000-000000330000}"/>
    <cellStyle name="or 9 3" xfId="13601" xr:uid="{00000000-0005-0000-0000-000001330000}"/>
    <cellStyle name="Output" xfId="54" builtinId="21" customBuiltin="1"/>
    <cellStyle name="Output 10" xfId="6472" xr:uid="{00000000-0005-0000-0000-000003330000}"/>
    <cellStyle name="Output 10 2" xfId="8622" xr:uid="{00000000-0005-0000-0000-000004330000}"/>
    <cellStyle name="Output 10 2 2" xfId="13605" xr:uid="{00000000-0005-0000-0000-000005330000}"/>
    <cellStyle name="Output 10 3" xfId="7719" xr:uid="{00000000-0005-0000-0000-000006330000}"/>
    <cellStyle name="Output 10 3 2" xfId="13606" xr:uid="{00000000-0005-0000-0000-000007330000}"/>
    <cellStyle name="Output 10 4" xfId="13604" xr:uid="{00000000-0005-0000-0000-000008330000}"/>
    <cellStyle name="Output 11" xfId="6473" xr:uid="{00000000-0005-0000-0000-000009330000}"/>
    <cellStyle name="Output 11 2" xfId="8623" xr:uid="{00000000-0005-0000-0000-00000A330000}"/>
    <cellStyle name="Output 11 2 2" xfId="13608" xr:uid="{00000000-0005-0000-0000-00000B330000}"/>
    <cellStyle name="Output 11 3" xfId="7720" xr:uid="{00000000-0005-0000-0000-00000C330000}"/>
    <cellStyle name="Output 11 3 2" xfId="13609" xr:uid="{00000000-0005-0000-0000-00000D330000}"/>
    <cellStyle name="Output 11 4" xfId="13607" xr:uid="{00000000-0005-0000-0000-00000E330000}"/>
    <cellStyle name="Output 12" xfId="13603" xr:uid="{00000000-0005-0000-0000-00000F330000}"/>
    <cellStyle name="Output 2" xfId="1025" xr:uid="{00000000-0005-0000-0000-000010330000}"/>
    <cellStyle name="Output 2 2" xfId="6475" xr:uid="{00000000-0005-0000-0000-000011330000}"/>
    <cellStyle name="Output 2 2 2" xfId="8624" xr:uid="{00000000-0005-0000-0000-000012330000}"/>
    <cellStyle name="Output 2 2 2 2" xfId="13612" xr:uid="{00000000-0005-0000-0000-000013330000}"/>
    <cellStyle name="Output 2 2 3" xfId="7721" xr:uid="{00000000-0005-0000-0000-000014330000}"/>
    <cellStyle name="Output 2 2 3 2" xfId="13613" xr:uid="{00000000-0005-0000-0000-000015330000}"/>
    <cellStyle name="Output 2 2 4" xfId="13611" xr:uid="{00000000-0005-0000-0000-000016330000}"/>
    <cellStyle name="Output 2 3" xfId="6476" xr:uid="{00000000-0005-0000-0000-000017330000}"/>
    <cellStyle name="Output 2 3 2" xfId="8625" xr:uid="{00000000-0005-0000-0000-000018330000}"/>
    <cellStyle name="Output 2 3 2 2" xfId="13615" xr:uid="{00000000-0005-0000-0000-000019330000}"/>
    <cellStyle name="Output 2 3 3" xfId="7722" xr:uid="{00000000-0005-0000-0000-00001A330000}"/>
    <cellStyle name="Output 2 3 3 2" xfId="13616" xr:uid="{00000000-0005-0000-0000-00001B330000}"/>
    <cellStyle name="Output 2 3 4" xfId="13614" xr:uid="{00000000-0005-0000-0000-00001C330000}"/>
    <cellStyle name="Output 2 4" xfId="6477" xr:uid="{00000000-0005-0000-0000-00001D330000}"/>
    <cellStyle name="Output 2 4 2" xfId="8626" xr:uid="{00000000-0005-0000-0000-00001E330000}"/>
    <cellStyle name="Output 2 4 2 2" xfId="13618" xr:uid="{00000000-0005-0000-0000-00001F330000}"/>
    <cellStyle name="Output 2 4 3" xfId="7723" xr:uid="{00000000-0005-0000-0000-000020330000}"/>
    <cellStyle name="Output 2 4 3 2" xfId="13619" xr:uid="{00000000-0005-0000-0000-000021330000}"/>
    <cellStyle name="Output 2 4 4" xfId="13617" xr:uid="{00000000-0005-0000-0000-000022330000}"/>
    <cellStyle name="Output 2 5" xfId="6478" xr:uid="{00000000-0005-0000-0000-000023330000}"/>
    <cellStyle name="Output 2 5 2" xfId="13620" xr:uid="{00000000-0005-0000-0000-000024330000}"/>
    <cellStyle name="Output 2 6" xfId="6474" xr:uid="{00000000-0005-0000-0000-000025330000}"/>
    <cellStyle name="Output 2 6 2" xfId="13621" xr:uid="{00000000-0005-0000-0000-000026330000}"/>
    <cellStyle name="Output 2 7" xfId="13610" xr:uid="{00000000-0005-0000-0000-000027330000}"/>
    <cellStyle name="Output 3" xfId="1026" xr:uid="{00000000-0005-0000-0000-000028330000}"/>
    <cellStyle name="Output 3 2" xfId="6480" xr:uid="{00000000-0005-0000-0000-000029330000}"/>
    <cellStyle name="Output 3 2 2" xfId="8627" xr:uid="{00000000-0005-0000-0000-00002A330000}"/>
    <cellStyle name="Output 3 2 2 2" xfId="13624" xr:uid="{00000000-0005-0000-0000-00002B330000}"/>
    <cellStyle name="Output 3 2 3" xfId="7724" xr:uid="{00000000-0005-0000-0000-00002C330000}"/>
    <cellStyle name="Output 3 2 3 2" xfId="13625" xr:uid="{00000000-0005-0000-0000-00002D330000}"/>
    <cellStyle name="Output 3 2 4" xfId="13623" xr:uid="{00000000-0005-0000-0000-00002E330000}"/>
    <cellStyle name="Output 3 3" xfId="6481" xr:uid="{00000000-0005-0000-0000-00002F330000}"/>
    <cellStyle name="Output 3 3 2" xfId="8628" xr:uid="{00000000-0005-0000-0000-000030330000}"/>
    <cellStyle name="Output 3 3 2 2" xfId="13627" xr:uid="{00000000-0005-0000-0000-000031330000}"/>
    <cellStyle name="Output 3 3 3" xfId="7725" xr:uid="{00000000-0005-0000-0000-000032330000}"/>
    <cellStyle name="Output 3 3 3 2" xfId="13628" xr:uid="{00000000-0005-0000-0000-000033330000}"/>
    <cellStyle name="Output 3 3 4" xfId="13626" xr:uid="{00000000-0005-0000-0000-000034330000}"/>
    <cellStyle name="Output 3 4" xfId="6482" xr:uid="{00000000-0005-0000-0000-000035330000}"/>
    <cellStyle name="Output 3 4 2" xfId="8629" xr:uid="{00000000-0005-0000-0000-000036330000}"/>
    <cellStyle name="Output 3 4 2 2" xfId="13630" xr:uid="{00000000-0005-0000-0000-000037330000}"/>
    <cellStyle name="Output 3 4 3" xfId="7726" xr:uid="{00000000-0005-0000-0000-000038330000}"/>
    <cellStyle name="Output 3 4 3 2" xfId="13631" xr:uid="{00000000-0005-0000-0000-000039330000}"/>
    <cellStyle name="Output 3 4 4" xfId="13629" xr:uid="{00000000-0005-0000-0000-00003A330000}"/>
    <cellStyle name="Output 3 5" xfId="6483" xr:uid="{00000000-0005-0000-0000-00003B330000}"/>
    <cellStyle name="Output 3 5 2" xfId="13632" xr:uid="{00000000-0005-0000-0000-00003C330000}"/>
    <cellStyle name="Output 3 6" xfId="6479" xr:uid="{00000000-0005-0000-0000-00003D330000}"/>
    <cellStyle name="Output 3 6 2" xfId="13633" xr:uid="{00000000-0005-0000-0000-00003E330000}"/>
    <cellStyle name="Output 3 7" xfId="13622" xr:uid="{00000000-0005-0000-0000-00003F330000}"/>
    <cellStyle name="Output 4" xfId="1027" xr:uid="{00000000-0005-0000-0000-000040330000}"/>
    <cellStyle name="Output 4 2" xfId="6485" xr:uid="{00000000-0005-0000-0000-000041330000}"/>
    <cellStyle name="Output 4 2 2" xfId="8630" xr:uid="{00000000-0005-0000-0000-000042330000}"/>
    <cellStyle name="Output 4 2 2 2" xfId="13636" xr:uid="{00000000-0005-0000-0000-000043330000}"/>
    <cellStyle name="Output 4 2 3" xfId="7727" xr:uid="{00000000-0005-0000-0000-000044330000}"/>
    <cellStyle name="Output 4 2 3 2" xfId="13637" xr:uid="{00000000-0005-0000-0000-000045330000}"/>
    <cellStyle name="Output 4 2 4" xfId="13635" xr:uid="{00000000-0005-0000-0000-000046330000}"/>
    <cellStyle name="Output 4 3" xfId="6486" xr:uid="{00000000-0005-0000-0000-000047330000}"/>
    <cellStyle name="Output 4 3 2" xfId="8631" xr:uid="{00000000-0005-0000-0000-000048330000}"/>
    <cellStyle name="Output 4 3 2 2" xfId="13639" xr:uid="{00000000-0005-0000-0000-000049330000}"/>
    <cellStyle name="Output 4 3 3" xfId="7728" xr:uid="{00000000-0005-0000-0000-00004A330000}"/>
    <cellStyle name="Output 4 3 3 2" xfId="13640" xr:uid="{00000000-0005-0000-0000-00004B330000}"/>
    <cellStyle name="Output 4 3 4" xfId="13638" xr:uid="{00000000-0005-0000-0000-00004C330000}"/>
    <cellStyle name="Output 4 4" xfId="6487" xr:uid="{00000000-0005-0000-0000-00004D330000}"/>
    <cellStyle name="Output 4 4 2" xfId="8632" xr:uid="{00000000-0005-0000-0000-00004E330000}"/>
    <cellStyle name="Output 4 4 2 2" xfId="13642" xr:uid="{00000000-0005-0000-0000-00004F330000}"/>
    <cellStyle name="Output 4 4 3" xfId="7729" xr:uid="{00000000-0005-0000-0000-000050330000}"/>
    <cellStyle name="Output 4 4 3 2" xfId="13643" xr:uid="{00000000-0005-0000-0000-000051330000}"/>
    <cellStyle name="Output 4 4 4" xfId="13641" xr:uid="{00000000-0005-0000-0000-000052330000}"/>
    <cellStyle name="Output 4 5" xfId="6488" xr:uid="{00000000-0005-0000-0000-000053330000}"/>
    <cellStyle name="Output 4 5 2" xfId="13644" xr:uid="{00000000-0005-0000-0000-000054330000}"/>
    <cellStyle name="Output 4 6" xfId="6484" xr:uid="{00000000-0005-0000-0000-000055330000}"/>
    <cellStyle name="Output 4 6 2" xfId="13645" xr:uid="{00000000-0005-0000-0000-000056330000}"/>
    <cellStyle name="Output 4 7" xfId="13634" xr:uid="{00000000-0005-0000-0000-000057330000}"/>
    <cellStyle name="Output 5" xfId="6489" xr:uid="{00000000-0005-0000-0000-000058330000}"/>
    <cellStyle name="Output 5 2" xfId="8633" xr:uid="{00000000-0005-0000-0000-000059330000}"/>
    <cellStyle name="Output 5 2 2" xfId="13647" xr:uid="{00000000-0005-0000-0000-00005A330000}"/>
    <cellStyle name="Output 5 3" xfId="7730" xr:uid="{00000000-0005-0000-0000-00005B330000}"/>
    <cellStyle name="Output 5 3 2" xfId="13648" xr:uid="{00000000-0005-0000-0000-00005C330000}"/>
    <cellStyle name="Output 5 4" xfId="13646" xr:uid="{00000000-0005-0000-0000-00005D330000}"/>
    <cellStyle name="Output 6" xfId="6490" xr:uid="{00000000-0005-0000-0000-00005E330000}"/>
    <cellStyle name="Output 6 2" xfId="8634" xr:uid="{00000000-0005-0000-0000-00005F330000}"/>
    <cellStyle name="Output 6 2 2" xfId="13650" xr:uid="{00000000-0005-0000-0000-000060330000}"/>
    <cellStyle name="Output 6 3" xfId="7731" xr:uid="{00000000-0005-0000-0000-000061330000}"/>
    <cellStyle name="Output 6 3 2" xfId="13651" xr:uid="{00000000-0005-0000-0000-000062330000}"/>
    <cellStyle name="Output 6 4" xfId="13649" xr:uid="{00000000-0005-0000-0000-000063330000}"/>
    <cellStyle name="Output 7" xfId="6491" xr:uid="{00000000-0005-0000-0000-000064330000}"/>
    <cellStyle name="Output 7 2" xfId="8635" xr:uid="{00000000-0005-0000-0000-000065330000}"/>
    <cellStyle name="Output 7 2 2" xfId="13653" xr:uid="{00000000-0005-0000-0000-000066330000}"/>
    <cellStyle name="Output 7 3" xfId="7732" xr:uid="{00000000-0005-0000-0000-000067330000}"/>
    <cellStyle name="Output 7 3 2" xfId="13654" xr:uid="{00000000-0005-0000-0000-000068330000}"/>
    <cellStyle name="Output 7 4" xfId="13652" xr:uid="{00000000-0005-0000-0000-000069330000}"/>
    <cellStyle name="Output 8" xfId="6492" xr:uid="{00000000-0005-0000-0000-00006A330000}"/>
    <cellStyle name="Output 8 2" xfId="8636" xr:uid="{00000000-0005-0000-0000-00006B330000}"/>
    <cellStyle name="Output 8 2 2" xfId="13656" xr:uid="{00000000-0005-0000-0000-00006C330000}"/>
    <cellStyle name="Output 8 3" xfId="7733" xr:uid="{00000000-0005-0000-0000-00006D330000}"/>
    <cellStyle name="Output 8 3 2" xfId="13657" xr:uid="{00000000-0005-0000-0000-00006E330000}"/>
    <cellStyle name="Output 8 4" xfId="13655" xr:uid="{00000000-0005-0000-0000-00006F330000}"/>
    <cellStyle name="Output 9" xfId="6493" xr:uid="{00000000-0005-0000-0000-000070330000}"/>
    <cellStyle name="Output 9 2" xfId="8637" xr:uid="{00000000-0005-0000-0000-000071330000}"/>
    <cellStyle name="Output 9 2 2" xfId="13659" xr:uid="{00000000-0005-0000-0000-000072330000}"/>
    <cellStyle name="Output 9 3" xfId="7734" xr:uid="{00000000-0005-0000-0000-000073330000}"/>
    <cellStyle name="Output 9 3 2" xfId="13660" xr:uid="{00000000-0005-0000-0000-000074330000}"/>
    <cellStyle name="Output 9 4" xfId="13658" xr:uid="{00000000-0005-0000-0000-000075330000}"/>
    <cellStyle name="Percent" xfId="59" builtinId="5"/>
    <cellStyle name="Percent 2" xfId="6494" xr:uid="{00000000-0005-0000-0000-000077330000}"/>
    <cellStyle name="Percent 2 2" xfId="8638" xr:uid="{00000000-0005-0000-0000-000078330000}"/>
    <cellStyle name="Percent 2 2 2" xfId="13662" xr:uid="{00000000-0005-0000-0000-000079330000}"/>
    <cellStyle name="Percent 2 3" xfId="7735" xr:uid="{00000000-0005-0000-0000-00007A330000}"/>
    <cellStyle name="Percent 2 3 2" xfId="13663" xr:uid="{00000000-0005-0000-0000-00007B330000}"/>
    <cellStyle name="Percent 2 4" xfId="13661" xr:uid="{00000000-0005-0000-0000-00007C330000}"/>
    <cellStyle name="Percent 3" xfId="1028" xr:uid="{00000000-0005-0000-0000-00007D330000}"/>
    <cellStyle name="Percent 3 2" xfId="13664" xr:uid="{00000000-0005-0000-0000-00007E330000}"/>
    <cellStyle name="Percent 4" xfId="6495" xr:uid="{00000000-0005-0000-0000-00007F330000}"/>
    <cellStyle name="Percent 4 2" xfId="8639" xr:uid="{00000000-0005-0000-0000-000080330000}"/>
    <cellStyle name="Percent 4 2 2" xfId="13666" xr:uid="{00000000-0005-0000-0000-000081330000}"/>
    <cellStyle name="Percent 4 3" xfId="7736" xr:uid="{00000000-0005-0000-0000-000082330000}"/>
    <cellStyle name="Percent 4 3 2" xfId="13667" xr:uid="{00000000-0005-0000-0000-000083330000}"/>
    <cellStyle name="Percent 4 4" xfId="13665" xr:uid="{00000000-0005-0000-0000-000084330000}"/>
    <cellStyle name="Percent 5" xfId="8708" xr:uid="{00000000-0005-0000-0000-000085330000}"/>
    <cellStyle name="Percent 5 2" xfId="13668" xr:uid="{00000000-0005-0000-0000-000086330000}"/>
    <cellStyle name="Percent 6" xfId="66" xr:uid="{00000000-0005-0000-0000-000087330000}"/>
    <cellStyle name="Title" xfId="55" builtinId="15" customBuiltin="1"/>
    <cellStyle name="Title 10" xfId="6496" xr:uid="{00000000-0005-0000-0000-000089330000}"/>
    <cellStyle name="Title 10 2" xfId="8640" xr:uid="{00000000-0005-0000-0000-00008A330000}"/>
    <cellStyle name="Title 10 2 2" xfId="13671" xr:uid="{00000000-0005-0000-0000-00008B330000}"/>
    <cellStyle name="Title 10 3" xfId="7737" xr:uid="{00000000-0005-0000-0000-00008C330000}"/>
    <cellStyle name="Title 10 3 2" xfId="13672" xr:uid="{00000000-0005-0000-0000-00008D330000}"/>
    <cellStyle name="Title 10 4" xfId="13670" xr:uid="{00000000-0005-0000-0000-00008E330000}"/>
    <cellStyle name="Title 11" xfId="6497" xr:uid="{00000000-0005-0000-0000-00008F330000}"/>
    <cellStyle name="Title 11 2" xfId="8641" xr:uid="{00000000-0005-0000-0000-000090330000}"/>
    <cellStyle name="Title 11 2 2" xfId="13674" xr:uid="{00000000-0005-0000-0000-000091330000}"/>
    <cellStyle name="Title 11 3" xfId="7738" xr:uid="{00000000-0005-0000-0000-000092330000}"/>
    <cellStyle name="Title 11 3 2" xfId="13675" xr:uid="{00000000-0005-0000-0000-000093330000}"/>
    <cellStyle name="Title 11 4" xfId="13673" xr:uid="{00000000-0005-0000-0000-000094330000}"/>
    <cellStyle name="Title 12" xfId="13669" xr:uid="{00000000-0005-0000-0000-000095330000}"/>
    <cellStyle name="Title 2" xfId="1029" xr:uid="{00000000-0005-0000-0000-000096330000}"/>
    <cellStyle name="Title 2 2" xfId="6499" xr:uid="{00000000-0005-0000-0000-000097330000}"/>
    <cellStyle name="Title 2 2 2" xfId="8642" xr:uid="{00000000-0005-0000-0000-000098330000}"/>
    <cellStyle name="Title 2 2 2 2" xfId="13678" xr:uid="{00000000-0005-0000-0000-000099330000}"/>
    <cellStyle name="Title 2 2 3" xfId="7739" xr:uid="{00000000-0005-0000-0000-00009A330000}"/>
    <cellStyle name="Title 2 2 3 2" xfId="13679" xr:uid="{00000000-0005-0000-0000-00009B330000}"/>
    <cellStyle name="Title 2 2 4" xfId="13677" xr:uid="{00000000-0005-0000-0000-00009C330000}"/>
    <cellStyle name="Title 2 3" xfId="6500" xr:uid="{00000000-0005-0000-0000-00009D330000}"/>
    <cellStyle name="Title 2 3 2" xfId="8643" xr:uid="{00000000-0005-0000-0000-00009E330000}"/>
    <cellStyle name="Title 2 3 2 2" xfId="13681" xr:uid="{00000000-0005-0000-0000-00009F330000}"/>
    <cellStyle name="Title 2 3 3" xfId="7740" xr:uid="{00000000-0005-0000-0000-0000A0330000}"/>
    <cellStyle name="Title 2 3 3 2" xfId="13682" xr:uid="{00000000-0005-0000-0000-0000A1330000}"/>
    <cellStyle name="Title 2 3 4" xfId="13680" xr:uid="{00000000-0005-0000-0000-0000A2330000}"/>
    <cellStyle name="Title 2 4" xfId="6501" xr:uid="{00000000-0005-0000-0000-0000A3330000}"/>
    <cellStyle name="Title 2 4 2" xfId="8644" xr:uid="{00000000-0005-0000-0000-0000A4330000}"/>
    <cellStyle name="Title 2 4 2 2" xfId="13684" xr:uid="{00000000-0005-0000-0000-0000A5330000}"/>
    <cellStyle name="Title 2 4 3" xfId="7741" xr:uid="{00000000-0005-0000-0000-0000A6330000}"/>
    <cellStyle name="Title 2 4 3 2" xfId="13685" xr:uid="{00000000-0005-0000-0000-0000A7330000}"/>
    <cellStyle name="Title 2 4 4" xfId="13683" xr:uid="{00000000-0005-0000-0000-0000A8330000}"/>
    <cellStyle name="Title 2 5" xfId="6502" xr:uid="{00000000-0005-0000-0000-0000A9330000}"/>
    <cellStyle name="Title 2 5 2" xfId="13686" xr:uid="{00000000-0005-0000-0000-0000AA330000}"/>
    <cellStyle name="Title 2 6" xfId="6498" xr:uid="{00000000-0005-0000-0000-0000AB330000}"/>
    <cellStyle name="Title 2 6 2" xfId="13687" xr:uid="{00000000-0005-0000-0000-0000AC330000}"/>
    <cellStyle name="Title 2 7" xfId="13676" xr:uid="{00000000-0005-0000-0000-0000AD330000}"/>
    <cellStyle name="Title 3" xfId="1030" xr:uid="{00000000-0005-0000-0000-0000AE330000}"/>
    <cellStyle name="Title 3 2" xfId="6504" xr:uid="{00000000-0005-0000-0000-0000AF330000}"/>
    <cellStyle name="Title 3 2 2" xfId="8645" xr:uid="{00000000-0005-0000-0000-0000B0330000}"/>
    <cellStyle name="Title 3 2 2 2" xfId="13690" xr:uid="{00000000-0005-0000-0000-0000B1330000}"/>
    <cellStyle name="Title 3 2 3" xfId="7742" xr:uid="{00000000-0005-0000-0000-0000B2330000}"/>
    <cellStyle name="Title 3 2 3 2" xfId="13691" xr:uid="{00000000-0005-0000-0000-0000B3330000}"/>
    <cellStyle name="Title 3 2 4" xfId="13689" xr:uid="{00000000-0005-0000-0000-0000B4330000}"/>
    <cellStyle name="Title 3 3" xfId="6505" xr:uid="{00000000-0005-0000-0000-0000B5330000}"/>
    <cellStyle name="Title 3 3 2" xfId="8646" xr:uid="{00000000-0005-0000-0000-0000B6330000}"/>
    <cellStyle name="Title 3 3 2 2" xfId="13693" xr:uid="{00000000-0005-0000-0000-0000B7330000}"/>
    <cellStyle name="Title 3 3 3" xfId="7743" xr:uid="{00000000-0005-0000-0000-0000B8330000}"/>
    <cellStyle name="Title 3 3 3 2" xfId="13694" xr:uid="{00000000-0005-0000-0000-0000B9330000}"/>
    <cellStyle name="Title 3 3 4" xfId="13692" xr:uid="{00000000-0005-0000-0000-0000BA330000}"/>
    <cellStyle name="Title 3 4" xfId="6506" xr:uid="{00000000-0005-0000-0000-0000BB330000}"/>
    <cellStyle name="Title 3 4 2" xfId="8647" xr:uid="{00000000-0005-0000-0000-0000BC330000}"/>
    <cellStyle name="Title 3 4 2 2" xfId="13696" xr:uid="{00000000-0005-0000-0000-0000BD330000}"/>
    <cellStyle name="Title 3 4 3" xfId="7744" xr:uid="{00000000-0005-0000-0000-0000BE330000}"/>
    <cellStyle name="Title 3 4 3 2" xfId="13697" xr:uid="{00000000-0005-0000-0000-0000BF330000}"/>
    <cellStyle name="Title 3 4 4" xfId="13695" xr:uid="{00000000-0005-0000-0000-0000C0330000}"/>
    <cellStyle name="Title 3 5" xfId="6507" xr:uid="{00000000-0005-0000-0000-0000C1330000}"/>
    <cellStyle name="Title 3 5 2" xfId="13698" xr:uid="{00000000-0005-0000-0000-0000C2330000}"/>
    <cellStyle name="Title 3 6" xfId="6503" xr:uid="{00000000-0005-0000-0000-0000C3330000}"/>
    <cellStyle name="Title 3 6 2" xfId="13699" xr:uid="{00000000-0005-0000-0000-0000C4330000}"/>
    <cellStyle name="Title 3 7" xfId="13688" xr:uid="{00000000-0005-0000-0000-0000C5330000}"/>
    <cellStyle name="Title 4" xfId="1031" xr:uid="{00000000-0005-0000-0000-0000C6330000}"/>
    <cellStyle name="Title 4 2" xfId="6509" xr:uid="{00000000-0005-0000-0000-0000C7330000}"/>
    <cellStyle name="Title 4 2 2" xfId="8648" xr:uid="{00000000-0005-0000-0000-0000C8330000}"/>
    <cellStyle name="Title 4 2 2 2" xfId="13702" xr:uid="{00000000-0005-0000-0000-0000C9330000}"/>
    <cellStyle name="Title 4 2 3" xfId="7745" xr:uid="{00000000-0005-0000-0000-0000CA330000}"/>
    <cellStyle name="Title 4 2 3 2" xfId="13703" xr:uid="{00000000-0005-0000-0000-0000CB330000}"/>
    <cellStyle name="Title 4 2 4" xfId="13701" xr:uid="{00000000-0005-0000-0000-0000CC330000}"/>
    <cellStyle name="Title 4 3" xfId="6510" xr:uid="{00000000-0005-0000-0000-0000CD330000}"/>
    <cellStyle name="Title 4 3 2" xfId="8649" xr:uid="{00000000-0005-0000-0000-0000CE330000}"/>
    <cellStyle name="Title 4 3 2 2" xfId="13705" xr:uid="{00000000-0005-0000-0000-0000CF330000}"/>
    <cellStyle name="Title 4 3 3" xfId="7746" xr:uid="{00000000-0005-0000-0000-0000D0330000}"/>
    <cellStyle name="Title 4 3 3 2" xfId="13706" xr:uid="{00000000-0005-0000-0000-0000D1330000}"/>
    <cellStyle name="Title 4 3 4" xfId="13704" xr:uid="{00000000-0005-0000-0000-0000D2330000}"/>
    <cellStyle name="Title 4 4" xfId="6511" xr:uid="{00000000-0005-0000-0000-0000D3330000}"/>
    <cellStyle name="Title 4 4 2" xfId="8650" xr:uid="{00000000-0005-0000-0000-0000D4330000}"/>
    <cellStyle name="Title 4 4 2 2" xfId="13708" xr:uid="{00000000-0005-0000-0000-0000D5330000}"/>
    <cellStyle name="Title 4 4 3" xfId="7747" xr:uid="{00000000-0005-0000-0000-0000D6330000}"/>
    <cellStyle name="Title 4 4 3 2" xfId="13709" xr:uid="{00000000-0005-0000-0000-0000D7330000}"/>
    <cellStyle name="Title 4 4 4" xfId="13707" xr:uid="{00000000-0005-0000-0000-0000D8330000}"/>
    <cellStyle name="Title 4 5" xfId="6512" xr:uid="{00000000-0005-0000-0000-0000D9330000}"/>
    <cellStyle name="Title 4 5 2" xfId="13710" xr:uid="{00000000-0005-0000-0000-0000DA330000}"/>
    <cellStyle name="Title 4 6" xfId="6508" xr:uid="{00000000-0005-0000-0000-0000DB330000}"/>
    <cellStyle name="Title 4 6 2" xfId="13711" xr:uid="{00000000-0005-0000-0000-0000DC330000}"/>
    <cellStyle name="Title 4 7" xfId="13700" xr:uid="{00000000-0005-0000-0000-0000DD330000}"/>
    <cellStyle name="Title 5" xfId="6513" xr:uid="{00000000-0005-0000-0000-0000DE330000}"/>
    <cellStyle name="Title 5 2" xfId="8651" xr:uid="{00000000-0005-0000-0000-0000DF330000}"/>
    <cellStyle name="Title 5 2 2" xfId="13713" xr:uid="{00000000-0005-0000-0000-0000E0330000}"/>
    <cellStyle name="Title 5 3" xfId="7748" xr:uid="{00000000-0005-0000-0000-0000E1330000}"/>
    <cellStyle name="Title 5 3 2" xfId="13714" xr:uid="{00000000-0005-0000-0000-0000E2330000}"/>
    <cellStyle name="Title 5 4" xfId="13712" xr:uid="{00000000-0005-0000-0000-0000E3330000}"/>
    <cellStyle name="Title 6" xfId="6514" xr:uid="{00000000-0005-0000-0000-0000E4330000}"/>
    <cellStyle name="Title 6 2" xfId="8652" xr:uid="{00000000-0005-0000-0000-0000E5330000}"/>
    <cellStyle name="Title 6 2 2" xfId="13716" xr:uid="{00000000-0005-0000-0000-0000E6330000}"/>
    <cellStyle name="Title 6 3" xfId="7749" xr:uid="{00000000-0005-0000-0000-0000E7330000}"/>
    <cellStyle name="Title 6 3 2" xfId="13717" xr:uid="{00000000-0005-0000-0000-0000E8330000}"/>
    <cellStyle name="Title 6 4" xfId="13715" xr:uid="{00000000-0005-0000-0000-0000E9330000}"/>
    <cellStyle name="Title 7" xfId="6515" xr:uid="{00000000-0005-0000-0000-0000EA330000}"/>
    <cellStyle name="Title 7 2" xfId="8653" xr:uid="{00000000-0005-0000-0000-0000EB330000}"/>
    <cellStyle name="Title 7 2 2" xfId="13719" xr:uid="{00000000-0005-0000-0000-0000EC330000}"/>
    <cellStyle name="Title 7 3" xfId="7750" xr:uid="{00000000-0005-0000-0000-0000ED330000}"/>
    <cellStyle name="Title 7 3 2" xfId="13720" xr:uid="{00000000-0005-0000-0000-0000EE330000}"/>
    <cellStyle name="Title 7 4" xfId="13718" xr:uid="{00000000-0005-0000-0000-0000EF330000}"/>
    <cellStyle name="Title 8" xfId="6516" xr:uid="{00000000-0005-0000-0000-0000F0330000}"/>
    <cellStyle name="Title 8 2" xfId="8654" xr:uid="{00000000-0005-0000-0000-0000F1330000}"/>
    <cellStyle name="Title 8 2 2" xfId="13722" xr:uid="{00000000-0005-0000-0000-0000F2330000}"/>
    <cellStyle name="Title 8 3" xfId="7751" xr:uid="{00000000-0005-0000-0000-0000F3330000}"/>
    <cellStyle name="Title 8 3 2" xfId="13723" xr:uid="{00000000-0005-0000-0000-0000F4330000}"/>
    <cellStyle name="Title 8 4" xfId="13721" xr:uid="{00000000-0005-0000-0000-0000F5330000}"/>
    <cellStyle name="Title 9" xfId="6517" xr:uid="{00000000-0005-0000-0000-0000F6330000}"/>
    <cellStyle name="Title 9 2" xfId="8655" xr:uid="{00000000-0005-0000-0000-0000F7330000}"/>
    <cellStyle name="Title 9 2 2" xfId="13725" xr:uid="{00000000-0005-0000-0000-0000F8330000}"/>
    <cellStyle name="Title 9 3" xfId="7752" xr:uid="{00000000-0005-0000-0000-0000F9330000}"/>
    <cellStyle name="Title 9 3 2" xfId="13726" xr:uid="{00000000-0005-0000-0000-0000FA330000}"/>
    <cellStyle name="Title 9 4" xfId="13724" xr:uid="{00000000-0005-0000-0000-0000FB330000}"/>
    <cellStyle name="Total" xfId="56" builtinId="25" customBuiltin="1"/>
    <cellStyle name="Total 10" xfId="1032" xr:uid="{00000000-0005-0000-0000-0000FD330000}"/>
    <cellStyle name="Total 10 10" xfId="6520" xr:uid="{00000000-0005-0000-0000-0000FE330000}"/>
    <cellStyle name="Total 10 10 2" xfId="13729" xr:uid="{00000000-0005-0000-0000-0000FF330000}"/>
    <cellStyle name="Total 10 11" xfId="6519" xr:uid="{00000000-0005-0000-0000-000000340000}"/>
    <cellStyle name="Total 10 11 2" xfId="13730" xr:uid="{00000000-0005-0000-0000-000001340000}"/>
    <cellStyle name="Total 10 12" xfId="7754" xr:uid="{00000000-0005-0000-0000-000002340000}"/>
    <cellStyle name="Total 10 12 2" xfId="13731" xr:uid="{00000000-0005-0000-0000-000003340000}"/>
    <cellStyle name="Total 10 13" xfId="13728" xr:uid="{00000000-0005-0000-0000-000004340000}"/>
    <cellStyle name="Total 10 2" xfId="1033" xr:uid="{00000000-0005-0000-0000-000005340000}"/>
    <cellStyle name="Total 10 2 2" xfId="1034" xr:uid="{00000000-0005-0000-0000-000006340000}"/>
    <cellStyle name="Total 10 2 2 2" xfId="6522" xr:uid="{00000000-0005-0000-0000-000007340000}"/>
    <cellStyle name="Total 10 2 2 2 2" xfId="13734" xr:uid="{00000000-0005-0000-0000-000008340000}"/>
    <cellStyle name="Total 10 2 2 3" xfId="7756" xr:uid="{00000000-0005-0000-0000-000009340000}"/>
    <cellStyle name="Total 10 2 2 3 2" xfId="13735" xr:uid="{00000000-0005-0000-0000-00000A340000}"/>
    <cellStyle name="Total 10 2 2 4" xfId="13733" xr:uid="{00000000-0005-0000-0000-00000B340000}"/>
    <cellStyle name="Total 10 2 3" xfId="6521" xr:uid="{00000000-0005-0000-0000-00000C340000}"/>
    <cellStyle name="Total 10 2 3 2" xfId="13736" xr:uid="{00000000-0005-0000-0000-00000D340000}"/>
    <cellStyle name="Total 10 2 4" xfId="7755" xr:uid="{00000000-0005-0000-0000-00000E340000}"/>
    <cellStyle name="Total 10 2 4 2" xfId="13737" xr:uid="{00000000-0005-0000-0000-00000F340000}"/>
    <cellStyle name="Total 10 2 5" xfId="13732" xr:uid="{00000000-0005-0000-0000-000010340000}"/>
    <cellStyle name="Total 10 3" xfId="1035" xr:uid="{00000000-0005-0000-0000-000011340000}"/>
    <cellStyle name="Total 10 3 2" xfId="6523" xr:uid="{00000000-0005-0000-0000-000012340000}"/>
    <cellStyle name="Total 10 3 2 2" xfId="13739" xr:uid="{00000000-0005-0000-0000-000013340000}"/>
    <cellStyle name="Total 10 3 3" xfId="7757" xr:uid="{00000000-0005-0000-0000-000014340000}"/>
    <cellStyle name="Total 10 3 3 2" xfId="13740" xr:uid="{00000000-0005-0000-0000-000015340000}"/>
    <cellStyle name="Total 10 3 4" xfId="13738" xr:uid="{00000000-0005-0000-0000-000016340000}"/>
    <cellStyle name="Total 10 4" xfId="1036" xr:uid="{00000000-0005-0000-0000-000017340000}"/>
    <cellStyle name="Total 10 4 2" xfId="6524" xr:uid="{00000000-0005-0000-0000-000018340000}"/>
    <cellStyle name="Total 10 4 2 2" xfId="13742" xr:uid="{00000000-0005-0000-0000-000019340000}"/>
    <cellStyle name="Total 10 4 3" xfId="7758" xr:uid="{00000000-0005-0000-0000-00001A340000}"/>
    <cellStyle name="Total 10 4 3 2" xfId="13743" xr:uid="{00000000-0005-0000-0000-00001B340000}"/>
    <cellStyle name="Total 10 4 4" xfId="13741" xr:uid="{00000000-0005-0000-0000-00001C340000}"/>
    <cellStyle name="Total 10 5" xfId="1037" xr:uid="{00000000-0005-0000-0000-00001D340000}"/>
    <cellStyle name="Total 10 5 2" xfId="6525" xr:uid="{00000000-0005-0000-0000-00001E340000}"/>
    <cellStyle name="Total 10 5 2 2" xfId="13745" xr:uid="{00000000-0005-0000-0000-00001F340000}"/>
    <cellStyle name="Total 10 5 3" xfId="7759" xr:uid="{00000000-0005-0000-0000-000020340000}"/>
    <cellStyle name="Total 10 5 3 2" xfId="13746" xr:uid="{00000000-0005-0000-0000-000021340000}"/>
    <cellStyle name="Total 10 5 4" xfId="13744" xr:uid="{00000000-0005-0000-0000-000022340000}"/>
    <cellStyle name="Total 10 6" xfId="1038" xr:uid="{00000000-0005-0000-0000-000023340000}"/>
    <cellStyle name="Total 10 6 2" xfId="6526" xr:uid="{00000000-0005-0000-0000-000024340000}"/>
    <cellStyle name="Total 10 6 2 2" xfId="13748" xr:uid="{00000000-0005-0000-0000-000025340000}"/>
    <cellStyle name="Total 10 6 3" xfId="7760" xr:uid="{00000000-0005-0000-0000-000026340000}"/>
    <cellStyle name="Total 10 6 3 2" xfId="13749" xr:uid="{00000000-0005-0000-0000-000027340000}"/>
    <cellStyle name="Total 10 6 4" xfId="13747" xr:uid="{00000000-0005-0000-0000-000028340000}"/>
    <cellStyle name="Total 10 7" xfId="1039" xr:uid="{00000000-0005-0000-0000-000029340000}"/>
    <cellStyle name="Total 10 7 2" xfId="6527" xr:uid="{00000000-0005-0000-0000-00002A340000}"/>
    <cellStyle name="Total 10 7 2 2" xfId="13751" xr:uid="{00000000-0005-0000-0000-00002B340000}"/>
    <cellStyle name="Total 10 7 3" xfId="7761" xr:uid="{00000000-0005-0000-0000-00002C340000}"/>
    <cellStyle name="Total 10 7 3 2" xfId="13752" xr:uid="{00000000-0005-0000-0000-00002D340000}"/>
    <cellStyle name="Total 10 7 4" xfId="13750" xr:uid="{00000000-0005-0000-0000-00002E340000}"/>
    <cellStyle name="Total 10 8" xfId="6528" xr:uid="{00000000-0005-0000-0000-00002F340000}"/>
    <cellStyle name="Total 10 8 2" xfId="8656" xr:uid="{00000000-0005-0000-0000-000030340000}"/>
    <cellStyle name="Total 10 8 2 2" xfId="13754" xr:uid="{00000000-0005-0000-0000-000031340000}"/>
    <cellStyle name="Total 10 8 3" xfId="7762" xr:uid="{00000000-0005-0000-0000-000032340000}"/>
    <cellStyle name="Total 10 8 3 2" xfId="13755" xr:uid="{00000000-0005-0000-0000-000033340000}"/>
    <cellStyle name="Total 10 8 4" xfId="13753" xr:uid="{00000000-0005-0000-0000-000034340000}"/>
    <cellStyle name="Total 10 9" xfId="6529" xr:uid="{00000000-0005-0000-0000-000035340000}"/>
    <cellStyle name="Total 10 9 2" xfId="8657" xr:uid="{00000000-0005-0000-0000-000036340000}"/>
    <cellStyle name="Total 10 9 2 2" xfId="13757" xr:uid="{00000000-0005-0000-0000-000037340000}"/>
    <cellStyle name="Total 10 9 3" xfId="7763" xr:uid="{00000000-0005-0000-0000-000038340000}"/>
    <cellStyle name="Total 10 9 3 2" xfId="13758" xr:uid="{00000000-0005-0000-0000-000039340000}"/>
    <cellStyle name="Total 10 9 4" xfId="13756" xr:uid="{00000000-0005-0000-0000-00003A340000}"/>
    <cellStyle name="Total 100" xfId="6530" xr:uid="{00000000-0005-0000-0000-00003B340000}"/>
    <cellStyle name="Total 100 2" xfId="13759" xr:uid="{00000000-0005-0000-0000-00003C340000}"/>
    <cellStyle name="Total 101" xfId="6531" xr:uid="{00000000-0005-0000-0000-00003D340000}"/>
    <cellStyle name="Total 101 2" xfId="13760" xr:uid="{00000000-0005-0000-0000-00003E340000}"/>
    <cellStyle name="Total 102" xfId="6532" xr:uid="{00000000-0005-0000-0000-00003F340000}"/>
    <cellStyle name="Total 102 2" xfId="13761" xr:uid="{00000000-0005-0000-0000-000040340000}"/>
    <cellStyle name="Total 103" xfId="6533" xr:uid="{00000000-0005-0000-0000-000041340000}"/>
    <cellStyle name="Total 103 2" xfId="13762" xr:uid="{00000000-0005-0000-0000-000042340000}"/>
    <cellStyle name="Total 104" xfId="6534" xr:uid="{00000000-0005-0000-0000-000043340000}"/>
    <cellStyle name="Total 104 2" xfId="13763" xr:uid="{00000000-0005-0000-0000-000044340000}"/>
    <cellStyle name="Total 105" xfId="6535" xr:uid="{00000000-0005-0000-0000-000045340000}"/>
    <cellStyle name="Total 105 2" xfId="13764" xr:uid="{00000000-0005-0000-0000-000046340000}"/>
    <cellStyle name="Total 106" xfId="6536" xr:uid="{00000000-0005-0000-0000-000047340000}"/>
    <cellStyle name="Total 106 2" xfId="13765" xr:uid="{00000000-0005-0000-0000-000048340000}"/>
    <cellStyle name="Total 107" xfId="6537" xr:uid="{00000000-0005-0000-0000-000049340000}"/>
    <cellStyle name="Total 107 2" xfId="13766" xr:uid="{00000000-0005-0000-0000-00004A340000}"/>
    <cellStyle name="Total 108" xfId="6538" xr:uid="{00000000-0005-0000-0000-00004B340000}"/>
    <cellStyle name="Total 108 2" xfId="13767" xr:uid="{00000000-0005-0000-0000-00004C340000}"/>
    <cellStyle name="Total 109" xfId="6539" xr:uid="{00000000-0005-0000-0000-00004D340000}"/>
    <cellStyle name="Total 109 2" xfId="13768" xr:uid="{00000000-0005-0000-0000-00004E340000}"/>
    <cellStyle name="Total 11" xfId="1040" xr:uid="{00000000-0005-0000-0000-00004F340000}"/>
    <cellStyle name="Total 11 10" xfId="6541" xr:uid="{00000000-0005-0000-0000-000050340000}"/>
    <cellStyle name="Total 11 10 2" xfId="13770" xr:uid="{00000000-0005-0000-0000-000051340000}"/>
    <cellStyle name="Total 11 11" xfId="6540" xr:uid="{00000000-0005-0000-0000-000052340000}"/>
    <cellStyle name="Total 11 11 2" xfId="13771" xr:uid="{00000000-0005-0000-0000-000053340000}"/>
    <cellStyle name="Total 11 12" xfId="7764" xr:uid="{00000000-0005-0000-0000-000054340000}"/>
    <cellStyle name="Total 11 12 2" xfId="13772" xr:uid="{00000000-0005-0000-0000-000055340000}"/>
    <cellStyle name="Total 11 13" xfId="13769" xr:uid="{00000000-0005-0000-0000-000056340000}"/>
    <cellStyle name="Total 11 2" xfId="1041" xr:uid="{00000000-0005-0000-0000-000057340000}"/>
    <cellStyle name="Total 11 2 2" xfId="1042" xr:uid="{00000000-0005-0000-0000-000058340000}"/>
    <cellStyle name="Total 11 2 2 2" xfId="6543" xr:uid="{00000000-0005-0000-0000-000059340000}"/>
    <cellStyle name="Total 11 2 2 2 2" xfId="13775" xr:uid="{00000000-0005-0000-0000-00005A340000}"/>
    <cellStyle name="Total 11 2 2 3" xfId="7766" xr:uid="{00000000-0005-0000-0000-00005B340000}"/>
    <cellStyle name="Total 11 2 2 3 2" xfId="13776" xr:uid="{00000000-0005-0000-0000-00005C340000}"/>
    <cellStyle name="Total 11 2 2 4" xfId="13774" xr:uid="{00000000-0005-0000-0000-00005D340000}"/>
    <cellStyle name="Total 11 2 3" xfId="6542" xr:uid="{00000000-0005-0000-0000-00005E340000}"/>
    <cellStyle name="Total 11 2 3 2" xfId="13777" xr:uid="{00000000-0005-0000-0000-00005F340000}"/>
    <cellStyle name="Total 11 2 4" xfId="7765" xr:uid="{00000000-0005-0000-0000-000060340000}"/>
    <cellStyle name="Total 11 2 4 2" xfId="13778" xr:uid="{00000000-0005-0000-0000-000061340000}"/>
    <cellStyle name="Total 11 2 5" xfId="13773" xr:uid="{00000000-0005-0000-0000-000062340000}"/>
    <cellStyle name="Total 11 3" xfId="1043" xr:uid="{00000000-0005-0000-0000-000063340000}"/>
    <cellStyle name="Total 11 3 2" xfId="6544" xr:uid="{00000000-0005-0000-0000-000064340000}"/>
    <cellStyle name="Total 11 3 2 2" xfId="13780" xr:uid="{00000000-0005-0000-0000-000065340000}"/>
    <cellStyle name="Total 11 3 3" xfId="7767" xr:uid="{00000000-0005-0000-0000-000066340000}"/>
    <cellStyle name="Total 11 3 3 2" xfId="13781" xr:uid="{00000000-0005-0000-0000-000067340000}"/>
    <cellStyle name="Total 11 3 4" xfId="13779" xr:uid="{00000000-0005-0000-0000-000068340000}"/>
    <cellStyle name="Total 11 4" xfId="1044" xr:uid="{00000000-0005-0000-0000-000069340000}"/>
    <cellStyle name="Total 11 4 2" xfId="6545" xr:uid="{00000000-0005-0000-0000-00006A340000}"/>
    <cellStyle name="Total 11 4 2 2" xfId="13783" xr:uid="{00000000-0005-0000-0000-00006B340000}"/>
    <cellStyle name="Total 11 4 3" xfId="7768" xr:uid="{00000000-0005-0000-0000-00006C340000}"/>
    <cellStyle name="Total 11 4 3 2" xfId="13784" xr:uid="{00000000-0005-0000-0000-00006D340000}"/>
    <cellStyle name="Total 11 4 4" xfId="13782" xr:uid="{00000000-0005-0000-0000-00006E340000}"/>
    <cellStyle name="Total 11 5" xfId="1045" xr:uid="{00000000-0005-0000-0000-00006F340000}"/>
    <cellStyle name="Total 11 5 2" xfId="6546" xr:uid="{00000000-0005-0000-0000-000070340000}"/>
    <cellStyle name="Total 11 5 2 2" xfId="13786" xr:uid="{00000000-0005-0000-0000-000071340000}"/>
    <cellStyle name="Total 11 5 3" xfId="7769" xr:uid="{00000000-0005-0000-0000-000072340000}"/>
    <cellStyle name="Total 11 5 3 2" xfId="13787" xr:uid="{00000000-0005-0000-0000-000073340000}"/>
    <cellStyle name="Total 11 5 4" xfId="13785" xr:uid="{00000000-0005-0000-0000-000074340000}"/>
    <cellStyle name="Total 11 6" xfId="1046" xr:uid="{00000000-0005-0000-0000-000075340000}"/>
    <cellStyle name="Total 11 6 2" xfId="6547" xr:uid="{00000000-0005-0000-0000-000076340000}"/>
    <cellStyle name="Total 11 6 2 2" xfId="13789" xr:uid="{00000000-0005-0000-0000-000077340000}"/>
    <cellStyle name="Total 11 6 3" xfId="7770" xr:uid="{00000000-0005-0000-0000-000078340000}"/>
    <cellStyle name="Total 11 6 3 2" xfId="13790" xr:uid="{00000000-0005-0000-0000-000079340000}"/>
    <cellStyle name="Total 11 6 4" xfId="13788" xr:uid="{00000000-0005-0000-0000-00007A340000}"/>
    <cellStyle name="Total 11 7" xfId="1047" xr:uid="{00000000-0005-0000-0000-00007B340000}"/>
    <cellStyle name="Total 11 7 2" xfId="6548" xr:uid="{00000000-0005-0000-0000-00007C340000}"/>
    <cellStyle name="Total 11 7 2 2" xfId="13792" xr:uid="{00000000-0005-0000-0000-00007D340000}"/>
    <cellStyle name="Total 11 7 3" xfId="7771" xr:uid="{00000000-0005-0000-0000-00007E340000}"/>
    <cellStyle name="Total 11 7 3 2" xfId="13793" xr:uid="{00000000-0005-0000-0000-00007F340000}"/>
    <cellStyle name="Total 11 7 4" xfId="13791" xr:uid="{00000000-0005-0000-0000-000080340000}"/>
    <cellStyle name="Total 11 8" xfId="6549" xr:uid="{00000000-0005-0000-0000-000081340000}"/>
    <cellStyle name="Total 11 8 2" xfId="8658" xr:uid="{00000000-0005-0000-0000-000082340000}"/>
    <cellStyle name="Total 11 8 2 2" xfId="13795" xr:uid="{00000000-0005-0000-0000-000083340000}"/>
    <cellStyle name="Total 11 8 3" xfId="7772" xr:uid="{00000000-0005-0000-0000-000084340000}"/>
    <cellStyle name="Total 11 8 3 2" xfId="13796" xr:uid="{00000000-0005-0000-0000-000085340000}"/>
    <cellStyle name="Total 11 8 4" xfId="13794" xr:uid="{00000000-0005-0000-0000-000086340000}"/>
    <cellStyle name="Total 11 9" xfId="6550" xr:uid="{00000000-0005-0000-0000-000087340000}"/>
    <cellStyle name="Total 11 9 2" xfId="8659" xr:uid="{00000000-0005-0000-0000-000088340000}"/>
    <cellStyle name="Total 11 9 2 2" xfId="13798" xr:uid="{00000000-0005-0000-0000-000089340000}"/>
    <cellStyle name="Total 11 9 3" xfId="7773" xr:uid="{00000000-0005-0000-0000-00008A340000}"/>
    <cellStyle name="Total 11 9 3 2" xfId="13799" xr:uid="{00000000-0005-0000-0000-00008B340000}"/>
    <cellStyle name="Total 11 9 4" xfId="13797" xr:uid="{00000000-0005-0000-0000-00008C340000}"/>
    <cellStyle name="Total 110" xfId="6551" xr:uid="{00000000-0005-0000-0000-00008D340000}"/>
    <cellStyle name="Total 110 2" xfId="13800" xr:uid="{00000000-0005-0000-0000-00008E340000}"/>
    <cellStyle name="Total 111" xfId="6518" xr:uid="{00000000-0005-0000-0000-00008F340000}"/>
    <cellStyle name="Total 111 2" xfId="13801" xr:uid="{00000000-0005-0000-0000-000090340000}"/>
    <cellStyle name="Total 112" xfId="7753" xr:uid="{00000000-0005-0000-0000-000091340000}"/>
    <cellStyle name="Total 112 2" xfId="13802" xr:uid="{00000000-0005-0000-0000-000092340000}"/>
    <cellStyle name="Total 113" xfId="13727" xr:uid="{00000000-0005-0000-0000-000093340000}"/>
    <cellStyle name="Total 114" xfId="65" xr:uid="{00000000-0005-0000-0000-000094340000}"/>
    <cellStyle name="Total 12" xfId="1048" xr:uid="{00000000-0005-0000-0000-000095340000}"/>
    <cellStyle name="Total 12 10" xfId="6553" xr:uid="{00000000-0005-0000-0000-000096340000}"/>
    <cellStyle name="Total 12 10 2" xfId="13804" xr:uid="{00000000-0005-0000-0000-000097340000}"/>
    <cellStyle name="Total 12 11" xfId="6552" xr:uid="{00000000-0005-0000-0000-000098340000}"/>
    <cellStyle name="Total 12 11 2" xfId="13805" xr:uid="{00000000-0005-0000-0000-000099340000}"/>
    <cellStyle name="Total 12 12" xfId="7774" xr:uid="{00000000-0005-0000-0000-00009A340000}"/>
    <cellStyle name="Total 12 12 2" xfId="13806" xr:uid="{00000000-0005-0000-0000-00009B340000}"/>
    <cellStyle name="Total 12 13" xfId="13803" xr:uid="{00000000-0005-0000-0000-00009C340000}"/>
    <cellStyle name="Total 12 2" xfId="1049" xr:uid="{00000000-0005-0000-0000-00009D340000}"/>
    <cellStyle name="Total 12 2 2" xfId="6554" xr:uid="{00000000-0005-0000-0000-00009E340000}"/>
    <cellStyle name="Total 12 2 2 2" xfId="13808" xr:uid="{00000000-0005-0000-0000-00009F340000}"/>
    <cellStyle name="Total 12 2 3" xfId="7775" xr:uid="{00000000-0005-0000-0000-0000A0340000}"/>
    <cellStyle name="Total 12 2 3 2" xfId="13809" xr:uid="{00000000-0005-0000-0000-0000A1340000}"/>
    <cellStyle name="Total 12 2 4" xfId="13807" xr:uid="{00000000-0005-0000-0000-0000A2340000}"/>
    <cellStyle name="Total 12 3" xfId="1050" xr:uid="{00000000-0005-0000-0000-0000A3340000}"/>
    <cellStyle name="Total 12 3 2" xfId="6555" xr:uid="{00000000-0005-0000-0000-0000A4340000}"/>
    <cellStyle name="Total 12 3 2 2" xfId="13811" xr:uid="{00000000-0005-0000-0000-0000A5340000}"/>
    <cellStyle name="Total 12 3 3" xfId="7776" xr:uid="{00000000-0005-0000-0000-0000A6340000}"/>
    <cellStyle name="Total 12 3 3 2" xfId="13812" xr:uid="{00000000-0005-0000-0000-0000A7340000}"/>
    <cellStyle name="Total 12 3 4" xfId="13810" xr:uid="{00000000-0005-0000-0000-0000A8340000}"/>
    <cellStyle name="Total 12 4" xfId="1051" xr:uid="{00000000-0005-0000-0000-0000A9340000}"/>
    <cellStyle name="Total 12 4 2" xfId="6556" xr:uid="{00000000-0005-0000-0000-0000AA340000}"/>
    <cellStyle name="Total 12 4 2 2" xfId="13814" xr:uid="{00000000-0005-0000-0000-0000AB340000}"/>
    <cellStyle name="Total 12 4 3" xfId="7777" xr:uid="{00000000-0005-0000-0000-0000AC340000}"/>
    <cellStyle name="Total 12 4 3 2" xfId="13815" xr:uid="{00000000-0005-0000-0000-0000AD340000}"/>
    <cellStyle name="Total 12 4 4" xfId="13813" xr:uid="{00000000-0005-0000-0000-0000AE340000}"/>
    <cellStyle name="Total 12 5" xfId="1052" xr:uid="{00000000-0005-0000-0000-0000AF340000}"/>
    <cellStyle name="Total 12 5 2" xfId="6557" xr:uid="{00000000-0005-0000-0000-0000B0340000}"/>
    <cellStyle name="Total 12 5 2 2" xfId="13817" xr:uid="{00000000-0005-0000-0000-0000B1340000}"/>
    <cellStyle name="Total 12 5 3" xfId="7778" xr:uid="{00000000-0005-0000-0000-0000B2340000}"/>
    <cellStyle name="Total 12 5 3 2" xfId="13818" xr:uid="{00000000-0005-0000-0000-0000B3340000}"/>
    <cellStyle name="Total 12 5 4" xfId="13816" xr:uid="{00000000-0005-0000-0000-0000B4340000}"/>
    <cellStyle name="Total 12 6" xfId="1053" xr:uid="{00000000-0005-0000-0000-0000B5340000}"/>
    <cellStyle name="Total 12 6 2" xfId="6558" xr:uid="{00000000-0005-0000-0000-0000B6340000}"/>
    <cellStyle name="Total 12 6 2 2" xfId="13820" xr:uid="{00000000-0005-0000-0000-0000B7340000}"/>
    <cellStyle name="Total 12 6 3" xfId="7779" xr:uid="{00000000-0005-0000-0000-0000B8340000}"/>
    <cellStyle name="Total 12 6 3 2" xfId="13821" xr:uid="{00000000-0005-0000-0000-0000B9340000}"/>
    <cellStyle name="Total 12 6 4" xfId="13819" xr:uid="{00000000-0005-0000-0000-0000BA340000}"/>
    <cellStyle name="Total 12 7" xfId="1054" xr:uid="{00000000-0005-0000-0000-0000BB340000}"/>
    <cellStyle name="Total 12 7 2" xfId="6559" xr:uid="{00000000-0005-0000-0000-0000BC340000}"/>
    <cellStyle name="Total 12 7 2 2" xfId="13823" xr:uid="{00000000-0005-0000-0000-0000BD340000}"/>
    <cellStyle name="Total 12 7 3" xfId="7780" xr:uid="{00000000-0005-0000-0000-0000BE340000}"/>
    <cellStyle name="Total 12 7 3 2" xfId="13824" xr:uid="{00000000-0005-0000-0000-0000BF340000}"/>
    <cellStyle name="Total 12 7 4" xfId="13822" xr:uid="{00000000-0005-0000-0000-0000C0340000}"/>
    <cellStyle name="Total 12 8" xfId="6560" xr:uid="{00000000-0005-0000-0000-0000C1340000}"/>
    <cellStyle name="Total 12 8 2" xfId="8660" xr:uid="{00000000-0005-0000-0000-0000C2340000}"/>
    <cellStyle name="Total 12 8 2 2" xfId="13826" xr:uid="{00000000-0005-0000-0000-0000C3340000}"/>
    <cellStyle name="Total 12 8 3" xfId="7781" xr:uid="{00000000-0005-0000-0000-0000C4340000}"/>
    <cellStyle name="Total 12 8 3 2" xfId="13827" xr:uid="{00000000-0005-0000-0000-0000C5340000}"/>
    <cellStyle name="Total 12 8 4" xfId="13825" xr:uid="{00000000-0005-0000-0000-0000C6340000}"/>
    <cellStyle name="Total 12 9" xfId="6561" xr:uid="{00000000-0005-0000-0000-0000C7340000}"/>
    <cellStyle name="Total 12 9 2" xfId="8661" xr:uid="{00000000-0005-0000-0000-0000C8340000}"/>
    <cellStyle name="Total 12 9 2 2" xfId="13829" xr:uid="{00000000-0005-0000-0000-0000C9340000}"/>
    <cellStyle name="Total 12 9 3" xfId="7782" xr:uid="{00000000-0005-0000-0000-0000CA340000}"/>
    <cellStyle name="Total 12 9 3 2" xfId="13830" xr:uid="{00000000-0005-0000-0000-0000CB340000}"/>
    <cellStyle name="Total 12 9 4" xfId="13828" xr:uid="{00000000-0005-0000-0000-0000CC340000}"/>
    <cellStyle name="Total 13" xfId="1055" xr:uid="{00000000-0005-0000-0000-0000CD340000}"/>
    <cellStyle name="Total 13 10" xfId="6563" xr:uid="{00000000-0005-0000-0000-0000CE340000}"/>
    <cellStyle name="Total 13 10 2" xfId="13832" xr:uid="{00000000-0005-0000-0000-0000CF340000}"/>
    <cellStyle name="Total 13 11" xfId="6562" xr:uid="{00000000-0005-0000-0000-0000D0340000}"/>
    <cellStyle name="Total 13 11 2" xfId="13833" xr:uid="{00000000-0005-0000-0000-0000D1340000}"/>
    <cellStyle name="Total 13 12" xfId="7783" xr:uid="{00000000-0005-0000-0000-0000D2340000}"/>
    <cellStyle name="Total 13 12 2" xfId="13834" xr:uid="{00000000-0005-0000-0000-0000D3340000}"/>
    <cellStyle name="Total 13 13" xfId="13831" xr:uid="{00000000-0005-0000-0000-0000D4340000}"/>
    <cellStyle name="Total 13 2" xfId="1056" xr:uid="{00000000-0005-0000-0000-0000D5340000}"/>
    <cellStyle name="Total 13 2 2" xfId="6564" xr:uid="{00000000-0005-0000-0000-0000D6340000}"/>
    <cellStyle name="Total 13 2 2 2" xfId="13836" xr:uid="{00000000-0005-0000-0000-0000D7340000}"/>
    <cellStyle name="Total 13 2 3" xfId="7784" xr:uid="{00000000-0005-0000-0000-0000D8340000}"/>
    <cellStyle name="Total 13 2 3 2" xfId="13837" xr:uid="{00000000-0005-0000-0000-0000D9340000}"/>
    <cellStyle name="Total 13 2 4" xfId="13835" xr:uid="{00000000-0005-0000-0000-0000DA340000}"/>
    <cellStyle name="Total 13 3" xfId="1057" xr:uid="{00000000-0005-0000-0000-0000DB340000}"/>
    <cellStyle name="Total 13 3 2" xfId="6565" xr:uid="{00000000-0005-0000-0000-0000DC340000}"/>
    <cellStyle name="Total 13 3 2 2" xfId="13839" xr:uid="{00000000-0005-0000-0000-0000DD340000}"/>
    <cellStyle name="Total 13 3 3" xfId="7785" xr:uid="{00000000-0005-0000-0000-0000DE340000}"/>
    <cellStyle name="Total 13 3 3 2" xfId="13840" xr:uid="{00000000-0005-0000-0000-0000DF340000}"/>
    <cellStyle name="Total 13 3 4" xfId="13838" xr:uid="{00000000-0005-0000-0000-0000E0340000}"/>
    <cellStyle name="Total 13 4" xfId="1058" xr:uid="{00000000-0005-0000-0000-0000E1340000}"/>
    <cellStyle name="Total 13 4 2" xfId="6566" xr:uid="{00000000-0005-0000-0000-0000E2340000}"/>
    <cellStyle name="Total 13 4 2 2" xfId="13842" xr:uid="{00000000-0005-0000-0000-0000E3340000}"/>
    <cellStyle name="Total 13 4 3" xfId="7786" xr:uid="{00000000-0005-0000-0000-0000E4340000}"/>
    <cellStyle name="Total 13 4 3 2" xfId="13843" xr:uid="{00000000-0005-0000-0000-0000E5340000}"/>
    <cellStyle name="Total 13 4 4" xfId="13841" xr:uid="{00000000-0005-0000-0000-0000E6340000}"/>
    <cellStyle name="Total 13 5" xfId="1059" xr:uid="{00000000-0005-0000-0000-0000E7340000}"/>
    <cellStyle name="Total 13 5 2" xfId="6567" xr:uid="{00000000-0005-0000-0000-0000E8340000}"/>
    <cellStyle name="Total 13 5 2 2" xfId="13845" xr:uid="{00000000-0005-0000-0000-0000E9340000}"/>
    <cellStyle name="Total 13 5 3" xfId="7787" xr:uid="{00000000-0005-0000-0000-0000EA340000}"/>
    <cellStyle name="Total 13 5 3 2" xfId="13846" xr:uid="{00000000-0005-0000-0000-0000EB340000}"/>
    <cellStyle name="Total 13 5 4" xfId="13844" xr:uid="{00000000-0005-0000-0000-0000EC340000}"/>
    <cellStyle name="Total 13 6" xfId="1060" xr:uid="{00000000-0005-0000-0000-0000ED340000}"/>
    <cellStyle name="Total 13 6 2" xfId="6568" xr:uid="{00000000-0005-0000-0000-0000EE340000}"/>
    <cellStyle name="Total 13 6 2 2" xfId="13848" xr:uid="{00000000-0005-0000-0000-0000EF340000}"/>
    <cellStyle name="Total 13 6 3" xfId="7788" xr:uid="{00000000-0005-0000-0000-0000F0340000}"/>
    <cellStyle name="Total 13 6 3 2" xfId="13849" xr:uid="{00000000-0005-0000-0000-0000F1340000}"/>
    <cellStyle name="Total 13 6 4" xfId="13847" xr:uid="{00000000-0005-0000-0000-0000F2340000}"/>
    <cellStyle name="Total 13 7" xfId="1061" xr:uid="{00000000-0005-0000-0000-0000F3340000}"/>
    <cellStyle name="Total 13 7 2" xfId="6569" xr:uid="{00000000-0005-0000-0000-0000F4340000}"/>
    <cellStyle name="Total 13 7 2 2" xfId="13851" xr:uid="{00000000-0005-0000-0000-0000F5340000}"/>
    <cellStyle name="Total 13 7 3" xfId="7789" xr:uid="{00000000-0005-0000-0000-0000F6340000}"/>
    <cellStyle name="Total 13 7 3 2" xfId="13852" xr:uid="{00000000-0005-0000-0000-0000F7340000}"/>
    <cellStyle name="Total 13 7 4" xfId="13850" xr:uid="{00000000-0005-0000-0000-0000F8340000}"/>
    <cellStyle name="Total 13 8" xfId="6570" xr:uid="{00000000-0005-0000-0000-0000F9340000}"/>
    <cellStyle name="Total 13 8 2" xfId="8662" xr:uid="{00000000-0005-0000-0000-0000FA340000}"/>
    <cellStyle name="Total 13 8 2 2" xfId="13854" xr:uid="{00000000-0005-0000-0000-0000FB340000}"/>
    <cellStyle name="Total 13 8 3" xfId="7790" xr:uid="{00000000-0005-0000-0000-0000FC340000}"/>
    <cellStyle name="Total 13 8 3 2" xfId="13855" xr:uid="{00000000-0005-0000-0000-0000FD340000}"/>
    <cellStyle name="Total 13 8 4" xfId="13853" xr:uid="{00000000-0005-0000-0000-0000FE340000}"/>
    <cellStyle name="Total 13 9" xfId="6571" xr:uid="{00000000-0005-0000-0000-0000FF340000}"/>
    <cellStyle name="Total 13 9 2" xfId="8663" xr:uid="{00000000-0005-0000-0000-000000350000}"/>
    <cellStyle name="Total 13 9 2 2" xfId="13857" xr:uid="{00000000-0005-0000-0000-000001350000}"/>
    <cellStyle name="Total 13 9 3" xfId="7791" xr:uid="{00000000-0005-0000-0000-000002350000}"/>
    <cellStyle name="Total 13 9 3 2" xfId="13858" xr:uid="{00000000-0005-0000-0000-000003350000}"/>
    <cellStyle name="Total 13 9 4" xfId="13856" xr:uid="{00000000-0005-0000-0000-000004350000}"/>
    <cellStyle name="Total 14" xfId="1062" xr:uid="{00000000-0005-0000-0000-000005350000}"/>
    <cellStyle name="Total 14 10" xfId="6572" xr:uid="{00000000-0005-0000-0000-000006350000}"/>
    <cellStyle name="Total 14 10 2" xfId="13860" xr:uid="{00000000-0005-0000-0000-000007350000}"/>
    <cellStyle name="Total 14 11" xfId="7792" xr:uid="{00000000-0005-0000-0000-000008350000}"/>
    <cellStyle name="Total 14 11 2" xfId="13861" xr:uid="{00000000-0005-0000-0000-000009350000}"/>
    <cellStyle name="Total 14 12" xfId="13859" xr:uid="{00000000-0005-0000-0000-00000A350000}"/>
    <cellStyle name="Total 14 2" xfId="1063" xr:uid="{00000000-0005-0000-0000-00000B350000}"/>
    <cellStyle name="Total 14 2 2" xfId="6573" xr:uid="{00000000-0005-0000-0000-00000C350000}"/>
    <cellStyle name="Total 14 2 2 2" xfId="13863" xr:uid="{00000000-0005-0000-0000-00000D350000}"/>
    <cellStyle name="Total 14 2 3" xfId="7793" xr:uid="{00000000-0005-0000-0000-00000E350000}"/>
    <cellStyle name="Total 14 2 3 2" xfId="13864" xr:uid="{00000000-0005-0000-0000-00000F350000}"/>
    <cellStyle name="Total 14 2 4" xfId="13862" xr:uid="{00000000-0005-0000-0000-000010350000}"/>
    <cellStyle name="Total 14 3" xfId="1064" xr:uid="{00000000-0005-0000-0000-000011350000}"/>
    <cellStyle name="Total 14 3 2" xfId="6574" xr:uid="{00000000-0005-0000-0000-000012350000}"/>
    <cellStyle name="Total 14 3 2 2" xfId="13866" xr:uid="{00000000-0005-0000-0000-000013350000}"/>
    <cellStyle name="Total 14 3 3" xfId="7794" xr:uid="{00000000-0005-0000-0000-000014350000}"/>
    <cellStyle name="Total 14 3 3 2" xfId="13867" xr:uid="{00000000-0005-0000-0000-000015350000}"/>
    <cellStyle name="Total 14 3 4" xfId="13865" xr:uid="{00000000-0005-0000-0000-000016350000}"/>
    <cellStyle name="Total 14 4" xfId="1065" xr:uid="{00000000-0005-0000-0000-000017350000}"/>
    <cellStyle name="Total 14 4 2" xfId="6575" xr:uid="{00000000-0005-0000-0000-000018350000}"/>
    <cellStyle name="Total 14 4 2 2" xfId="13869" xr:uid="{00000000-0005-0000-0000-000019350000}"/>
    <cellStyle name="Total 14 4 3" xfId="7795" xr:uid="{00000000-0005-0000-0000-00001A350000}"/>
    <cellStyle name="Total 14 4 3 2" xfId="13870" xr:uid="{00000000-0005-0000-0000-00001B350000}"/>
    <cellStyle name="Total 14 4 4" xfId="13868" xr:uid="{00000000-0005-0000-0000-00001C350000}"/>
    <cellStyle name="Total 14 5" xfId="1066" xr:uid="{00000000-0005-0000-0000-00001D350000}"/>
    <cellStyle name="Total 14 5 2" xfId="6576" xr:uid="{00000000-0005-0000-0000-00001E350000}"/>
    <cellStyle name="Total 14 5 2 2" xfId="13872" xr:uid="{00000000-0005-0000-0000-00001F350000}"/>
    <cellStyle name="Total 14 5 3" xfId="7796" xr:uid="{00000000-0005-0000-0000-000020350000}"/>
    <cellStyle name="Total 14 5 3 2" xfId="13873" xr:uid="{00000000-0005-0000-0000-000021350000}"/>
    <cellStyle name="Total 14 5 4" xfId="13871" xr:uid="{00000000-0005-0000-0000-000022350000}"/>
    <cellStyle name="Total 14 6" xfId="1067" xr:uid="{00000000-0005-0000-0000-000023350000}"/>
    <cellStyle name="Total 14 6 2" xfId="6577" xr:uid="{00000000-0005-0000-0000-000024350000}"/>
    <cellStyle name="Total 14 6 2 2" xfId="13875" xr:uid="{00000000-0005-0000-0000-000025350000}"/>
    <cellStyle name="Total 14 6 3" xfId="7797" xr:uid="{00000000-0005-0000-0000-000026350000}"/>
    <cellStyle name="Total 14 6 3 2" xfId="13876" xr:uid="{00000000-0005-0000-0000-000027350000}"/>
    <cellStyle name="Total 14 6 4" xfId="13874" xr:uid="{00000000-0005-0000-0000-000028350000}"/>
    <cellStyle name="Total 14 7" xfId="6578" xr:uid="{00000000-0005-0000-0000-000029350000}"/>
    <cellStyle name="Total 14 7 2" xfId="8664" xr:uid="{00000000-0005-0000-0000-00002A350000}"/>
    <cellStyle name="Total 14 7 2 2" xfId="13878" xr:uid="{00000000-0005-0000-0000-00002B350000}"/>
    <cellStyle name="Total 14 7 3" xfId="7798" xr:uid="{00000000-0005-0000-0000-00002C350000}"/>
    <cellStyle name="Total 14 7 3 2" xfId="13879" xr:uid="{00000000-0005-0000-0000-00002D350000}"/>
    <cellStyle name="Total 14 7 4" xfId="13877" xr:uid="{00000000-0005-0000-0000-00002E350000}"/>
    <cellStyle name="Total 14 8" xfId="6579" xr:uid="{00000000-0005-0000-0000-00002F350000}"/>
    <cellStyle name="Total 14 8 2" xfId="8665" xr:uid="{00000000-0005-0000-0000-000030350000}"/>
    <cellStyle name="Total 14 8 2 2" xfId="13881" xr:uid="{00000000-0005-0000-0000-000031350000}"/>
    <cellStyle name="Total 14 8 3" xfId="7799" xr:uid="{00000000-0005-0000-0000-000032350000}"/>
    <cellStyle name="Total 14 8 3 2" xfId="13882" xr:uid="{00000000-0005-0000-0000-000033350000}"/>
    <cellStyle name="Total 14 8 4" xfId="13880" xr:uid="{00000000-0005-0000-0000-000034350000}"/>
    <cellStyle name="Total 14 9" xfId="6580" xr:uid="{00000000-0005-0000-0000-000035350000}"/>
    <cellStyle name="Total 14 9 2" xfId="13883" xr:uid="{00000000-0005-0000-0000-000036350000}"/>
    <cellStyle name="Total 15" xfId="1068" xr:uid="{00000000-0005-0000-0000-000037350000}"/>
    <cellStyle name="Total 15 10" xfId="6581" xr:uid="{00000000-0005-0000-0000-000038350000}"/>
    <cellStyle name="Total 15 10 2" xfId="13885" xr:uid="{00000000-0005-0000-0000-000039350000}"/>
    <cellStyle name="Total 15 11" xfId="7800" xr:uid="{00000000-0005-0000-0000-00003A350000}"/>
    <cellStyle name="Total 15 11 2" xfId="13886" xr:uid="{00000000-0005-0000-0000-00003B350000}"/>
    <cellStyle name="Total 15 12" xfId="13884" xr:uid="{00000000-0005-0000-0000-00003C350000}"/>
    <cellStyle name="Total 15 2" xfId="1069" xr:uid="{00000000-0005-0000-0000-00003D350000}"/>
    <cellStyle name="Total 15 2 2" xfId="6582" xr:uid="{00000000-0005-0000-0000-00003E350000}"/>
    <cellStyle name="Total 15 2 2 2" xfId="13888" xr:uid="{00000000-0005-0000-0000-00003F350000}"/>
    <cellStyle name="Total 15 2 3" xfId="7801" xr:uid="{00000000-0005-0000-0000-000040350000}"/>
    <cellStyle name="Total 15 2 3 2" xfId="13889" xr:uid="{00000000-0005-0000-0000-000041350000}"/>
    <cellStyle name="Total 15 2 4" xfId="13887" xr:uid="{00000000-0005-0000-0000-000042350000}"/>
    <cellStyle name="Total 15 3" xfId="1070" xr:uid="{00000000-0005-0000-0000-000043350000}"/>
    <cellStyle name="Total 15 3 2" xfId="6583" xr:uid="{00000000-0005-0000-0000-000044350000}"/>
    <cellStyle name="Total 15 3 2 2" xfId="13891" xr:uid="{00000000-0005-0000-0000-000045350000}"/>
    <cellStyle name="Total 15 3 3" xfId="7802" xr:uid="{00000000-0005-0000-0000-000046350000}"/>
    <cellStyle name="Total 15 3 3 2" xfId="13892" xr:uid="{00000000-0005-0000-0000-000047350000}"/>
    <cellStyle name="Total 15 3 4" xfId="13890" xr:uid="{00000000-0005-0000-0000-000048350000}"/>
    <cellStyle name="Total 15 4" xfId="1071" xr:uid="{00000000-0005-0000-0000-000049350000}"/>
    <cellStyle name="Total 15 4 2" xfId="6584" xr:uid="{00000000-0005-0000-0000-00004A350000}"/>
    <cellStyle name="Total 15 4 2 2" xfId="13894" xr:uid="{00000000-0005-0000-0000-00004B350000}"/>
    <cellStyle name="Total 15 4 3" xfId="7803" xr:uid="{00000000-0005-0000-0000-00004C350000}"/>
    <cellStyle name="Total 15 4 3 2" xfId="13895" xr:uid="{00000000-0005-0000-0000-00004D350000}"/>
    <cellStyle name="Total 15 4 4" xfId="13893" xr:uid="{00000000-0005-0000-0000-00004E350000}"/>
    <cellStyle name="Total 15 5" xfId="1072" xr:uid="{00000000-0005-0000-0000-00004F350000}"/>
    <cellStyle name="Total 15 5 2" xfId="6585" xr:uid="{00000000-0005-0000-0000-000050350000}"/>
    <cellStyle name="Total 15 5 2 2" xfId="13897" xr:uid="{00000000-0005-0000-0000-000051350000}"/>
    <cellStyle name="Total 15 5 3" xfId="7804" xr:uid="{00000000-0005-0000-0000-000052350000}"/>
    <cellStyle name="Total 15 5 3 2" xfId="13898" xr:uid="{00000000-0005-0000-0000-000053350000}"/>
    <cellStyle name="Total 15 5 4" xfId="13896" xr:uid="{00000000-0005-0000-0000-000054350000}"/>
    <cellStyle name="Total 15 6" xfId="1073" xr:uid="{00000000-0005-0000-0000-000055350000}"/>
    <cellStyle name="Total 15 6 2" xfId="6586" xr:uid="{00000000-0005-0000-0000-000056350000}"/>
    <cellStyle name="Total 15 6 2 2" xfId="13900" xr:uid="{00000000-0005-0000-0000-000057350000}"/>
    <cellStyle name="Total 15 6 3" xfId="7805" xr:uid="{00000000-0005-0000-0000-000058350000}"/>
    <cellStyle name="Total 15 6 3 2" xfId="13901" xr:uid="{00000000-0005-0000-0000-000059350000}"/>
    <cellStyle name="Total 15 6 4" xfId="13899" xr:uid="{00000000-0005-0000-0000-00005A350000}"/>
    <cellStyle name="Total 15 7" xfId="6587" xr:uid="{00000000-0005-0000-0000-00005B350000}"/>
    <cellStyle name="Total 15 7 2" xfId="8666" xr:uid="{00000000-0005-0000-0000-00005C350000}"/>
    <cellStyle name="Total 15 7 2 2" xfId="13903" xr:uid="{00000000-0005-0000-0000-00005D350000}"/>
    <cellStyle name="Total 15 7 3" xfId="7806" xr:uid="{00000000-0005-0000-0000-00005E350000}"/>
    <cellStyle name="Total 15 7 3 2" xfId="13904" xr:uid="{00000000-0005-0000-0000-00005F350000}"/>
    <cellStyle name="Total 15 7 4" xfId="13902" xr:uid="{00000000-0005-0000-0000-000060350000}"/>
    <cellStyle name="Total 15 8" xfId="6588" xr:uid="{00000000-0005-0000-0000-000061350000}"/>
    <cellStyle name="Total 15 8 2" xfId="8667" xr:uid="{00000000-0005-0000-0000-000062350000}"/>
    <cellStyle name="Total 15 8 2 2" xfId="13906" xr:uid="{00000000-0005-0000-0000-000063350000}"/>
    <cellStyle name="Total 15 8 3" xfId="7807" xr:uid="{00000000-0005-0000-0000-000064350000}"/>
    <cellStyle name="Total 15 8 3 2" xfId="13907" xr:uid="{00000000-0005-0000-0000-000065350000}"/>
    <cellStyle name="Total 15 8 4" xfId="13905" xr:uid="{00000000-0005-0000-0000-000066350000}"/>
    <cellStyle name="Total 15 9" xfId="6589" xr:uid="{00000000-0005-0000-0000-000067350000}"/>
    <cellStyle name="Total 15 9 2" xfId="13908" xr:uid="{00000000-0005-0000-0000-000068350000}"/>
    <cellStyle name="Total 16" xfId="1074" xr:uid="{00000000-0005-0000-0000-000069350000}"/>
    <cellStyle name="Total 16 2" xfId="1075" xr:uid="{00000000-0005-0000-0000-00006A350000}"/>
    <cellStyle name="Total 16 2 2" xfId="6591" xr:uid="{00000000-0005-0000-0000-00006B350000}"/>
    <cellStyle name="Total 16 2 2 2" xfId="13911" xr:uid="{00000000-0005-0000-0000-00006C350000}"/>
    <cellStyle name="Total 16 2 3" xfId="7809" xr:uid="{00000000-0005-0000-0000-00006D350000}"/>
    <cellStyle name="Total 16 2 3 2" xfId="13912" xr:uid="{00000000-0005-0000-0000-00006E350000}"/>
    <cellStyle name="Total 16 2 4" xfId="13910" xr:uid="{00000000-0005-0000-0000-00006F350000}"/>
    <cellStyle name="Total 16 3" xfId="1076" xr:uid="{00000000-0005-0000-0000-000070350000}"/>
    <cellStyle name="Total 16 3 2" xfId="6592" xr:uid="{00000000-0005-0000-0000-000071350000}"/>
    <cellStyle name="Total 16 3 2 2" xfId="13914" xr:uid="{00000000-0005-0000-0000-000072350000}"/>
    <cellStyle name="Total 16 3 3" xfId="7810" xr:uid="{00000000-0005-0000-0000-000073350000}"/>
    <cellStyle name="Total 16 3 3 2" xfId="13915" xr:uid="{00000000-0005-0000-0000-000074350000}"/>
    <cellStyle name="Total 16 3 4" xfId="13913" xr:uid="{00000000-0005-0000-0000-000075350000}"/>
    <cellStyle name="Total 16 4" xfId="1077" xr:uid="{00000000-0005-0000-0000-000076350000}"/>
    <cellStyle name="Total 16 4 2" xfId="6593" xr:uid="{00000000-0005-0000-0000-000077350000}"/>
    <cellStyle name="Total 16 4 2 2" xfId="13917" xr:uid="{00000000-0005-0000-0000-000078350000}"/>
    <cellStyle name="Total 16 4 3" xfId="7811" xr:uid="{00000000-0005-0000-0000-000079350000}"/>
    <cellStyle name="Total 16 4 3 2" xfId="13918" xr:uid="{00000000-0005-0000-0000-00007A350000}"/>
    <cellStyle name="Total 16 4 4" xfId="13916" xr:uid="{00000000-0005-0000-0000-00007B350000}"/>
    <cellStyle name="Total 16 5" xfId="1078" xr:uid="{00000000-0005-0000-0000-00007C350000}"/>
    <cellStyle name="Total 16 5 2" xfId="6594" xr:uid="{00000000-0005-0000-0000-00007D350000}"/>
    <cellStyle name="Total 16 5 2 2" xfId="13920" xr:uid="{00000000-0005-0000-0000-00007E350000}"/>
    <cellStyle name="Total 16 5 3" xfId="7812" xr:uid="{00000000-0005-0000-0000-00007F350000}"/>
    <cellStyle name="Total 16 5 3 2" xfId="13921" xr:uid="{00000000-0005-0000-0000-000080350000}"/>
    <cellStyle name="Total 16 5 4" xfId="13919" xr:uid="{00000000-0005-0000-0000-000081350000}"/>
    <cellStyle name="Total 16 6" xfId="1079" xr:uid="{00000000-0005-0000-0000-000082350000}"/>
    <cellStyle name="Total 16 6 2" xfId="6595" xr:uid="{00000000-0005-0000-0000-000083350000}"/>
    <cellStyle name="Total 16 6 2 2" xfId="13923" xr:uid="{00000000-0005-0000-0000-000084350000}"/>
    <cellStyle name="Total 16 6 3" xfId="7813" xr:uid="{00000000-0005-0000-0000-000085350000}"/>
    <cellStyle name="Total 16 6 3 2" xfId="13924" xr:uid="{00000000-0005-0000-0000-000086350000}"/>
    <cellStyle name="Total 16 6 4" xfId="13922" xr:uid="{00000000-0005-0000-0000-000087350000}"/>
    <cellStyle name="Total 16 7" xfId="6590" xr:uid="{00000000-0005-0000-0000-000088350000}"/>
    <cellStyle name="Total 16 7 2" xfId="13925" xr:uid="{00000000-0005-0000-0000-000089350000}"/>
    <cellStyle name="Total 16 8" xfId="7808" xr:uid="{00000000-0005-0000-0000-00008A350000}"/>
    <cellStyle name="Total 16 8 2" xfId="13926" xr:uid="{00000000-0005-0000-0000-00008B350000}"/>
    <cellStyle name="Total 16 9" xfId="13909" xr:uid="{00000000-0005-0000-0000-00008C350000}"/>
    <cellStyle name="Total 17" xfId="1080" xr:uid="{00000000-0005-0000-0000-00008D350000}"/>
    <cellStyle name="Total 17 2" xfId="1081" xr:uid="{00000000-0005-0000-0000-00008E350000}"/>
    <cellStyle name="Total 17 2 2" xfId="6597" xr:uid="{00000000-0005-0000-0000-00008F350000}"/>
    <cellStyle name="Total 17 2 2 2" xfId="13929" xr:uid="{00000000-0005-0000-0000-000090350000}"/>
    <cellStyle name="Total 17 2 3" xfId="7815" xr:uid="{00000000-0005-0000-0000-000091350000}"/>
    <cellStyle name="Total 17 2 3 2" xfId="13930" xr:uid="{00000000-0005-0000-0000-000092350000}"/>
    <cellStyle name="Total 17 2 4" xfId="13928" xr:uid="{00000000-0005-0000-0000-000093350000}"/>
    <cellStyle name="Total 17 3" xfId="1082" xr:uid="{00000000-0005-0000-0000-000094350000}"/>
    <cellStyle name="Total 17 3 2" xfId="6598" xr:uid="{00000000-0005-0000-0000-000095350000}"/>
    <cellStyle name="Total 17 3 2 2" xfId="13932" xr:uid="{00000000-0005-0000-0000-000096350000}"/>
    <cellStyle name="Total 17 3 3" xfId="7816" xr:uid="{00000000-0005-0000-0000-000097350000}"/>
    <cellStyle name="Total 17 3 3 2" xfId="13933" xr:uid="{00000000-0005-0000-0000-000098350000}"/>
    <cellStyle name="Total 17 3 4" xfId="13931" xr:uid="{00000000-0005-0000-0000-000099350000}"/>
    <cellStyle name="Total 17 4" xfId="1083" xr:uid="{00000000-0005-0000-0000-00009A350000}"/>
    <cellStyle name="Total 17 4 2" xfId="6599" xr:uid="{00000000-0005-0000-0000-00009B350000}"/>
    <cellStyle name="Total 17 4 2 2" xfId="13935" xr:uid="{00000000-0005-0000-0000-00009C350000}"/>
    <cellStyle name="Total 17 4 3" xfId="7817" xr:uid="{00000000-0005-0000-0000-00009D350000}"/>
    <cellStyle name="Total 17 4 3 2" xfId="13936" xr:uid="{00000000-0005-0000-0000-00009E350000}"/>
    <cellStyle name="Total 17 4 4" xfId="13934" xr:uid="{00000000-0005-0000-0000-00009F350000}"/>
    <cellStyle name="Total 17 5" xfId="6596" xr:uid="{00000000-0005-0000-0000-0000A0350000}"/>
    <cellStyle name="Total 17 5 2" xfId="13937" xr:uid="{00000000-0005-0000-0000-0000A1350000}"/>
    <cellStyle name="Total 17 6" xfId="7814" xr:uid="{00000000-0005-0000-0000-0000A2350000}"/>
    <cellStyle name="Total 17 6 2" xfId="13938" xr:uid="{00000000-0005-0000-0000-0000A3350000}"/>
    <cellStyle name="Total 17 7" xfId="13927" xr:uid="{00000000-0005-0000-0000-0000A4350000}"/>
    <cellStyle name="Total 18" xfId="1084" xr:uid="{00000000-0005-0000-0000-0000A5350000}"/>
    <cellStyle name="Total 18 2" xfId="1085" xr:uid="{00000000-0005-0000-0000-0000A6350000}"/>
    <cellStyle name="Total 18 2 2" xfId="6601" xr:uid="{00000000-0005-0000-0000-0000A7350000}"/>
    <cellStyle name="Total 18 2 2 2" xfId="13941" xr:uid="{00000000-0005-0000-0000-0000A8350000}"/>
    <cellStyle name="Total 18 2 3" xfId="7819" xr:uid="{00000000-0005-0000-0000-0000A9350000}"/>
    <cellStyle name="Total 18 2 3 2" xfId="13942" xr:uid="{00000000-0005-0000-0000-0000AA350000}"/>
    <cellStyle name="Total 18 2 4" xfId="13940" xr:uid="{00000000-0005-0000-0000-0000AB350000}"/>
    <cellStyle name="Total 18 3" xfId="1086" xr:uid="{00000000-0005-0000-0000-0000AC350000}"/>
    <cellStyle name="Total 18 3 2" xfId="6602" xr:uid="{00000000-0005-0000-0000-0000AD350000}"/>
    <cellStyle name="Total 18 3 2 2" xfId="13944" xr:uid="{00000000-0005-0000-0000-0000AE350000}"/>
    <cellStyle name="Total 18 3 3" xfId="7820" xr:uid="{00000000-0005-0000-0000-0000AF350000}"/>
    <cellStyle name="Total 18 3 3 2" xfId="13945" xr:uid="{00000000-0005-0000-0000-0000B0350000}"/>
    <cellStyle name="Total 18 3 4" xfId="13943" xr:uid="{00000000-0005-0000-0000-0000B1350000}"/>
    <cellStyle name="Total 18 4" xfId="1087" xr:uid="{00000000-0005-0000-0000-0000B2350000}"/>
    <cellStyle name="Total 18 4 2" xfId="6603" xr:uid="{00000000-0005-0000-0000-0000B3350000}"/>
    <cellStyle name="Total 18 4 2 2" xfId="13947" xr:uid="{00000000-0005-0000-0000-0000B4350000}"/>
    <cellStyle name="Total 18 4 3" xfId="7821" xr:uid="{00000000-0005-0000-0000-0000B5350000}"/>
    <cellStyle name="Total 18 4 3 2" xfId="13948" xr:uid="{00000000-0005-0000-0000-0000B6350000}"/>
    <cellStyle name="Total 18 4 4" xfId="13946" xr:uid="{00000000-0005-0000-0000-0000B7350000}"/>
    <cellStyle name="Total 18 5" xfId="6600" xr:uid="{00000000-0005-0000-0000-0000B8350000}"/>
    <cellStyle name="Total 18 5 2" xfId="13949" xr:uid="{00000000-0005-0000-0000-0000B9350000}"/>
    <cellStyle name="Total 18 6" xfId="7818" xr:uid="{00000000-0005-0000-0000-0000BA350000}"/>
    <cellStyle name="Total 18 6 2" xfId="13950" xr:uid="{00000000-0005-0000-0000-0000BB350000}"/>
    <cellStyle name="Total 18 7" xfId="13939" xr:uid="{00000000-0005-0000-0000-0000BC350000}"/>
    <cellStyle name="Total 19" xfId="1088" xr:uid="{00000000-0005-0000-0000-0000BD350000}"/>
    <cellStyle name="Total 19 2" xfId="6604" xr:uid="{00000000-0005-0000-0000-0000BE350000}"/>
    <cellStyle name="Total 19 2 2" xfId="13952" xr:uid="{00000000-0005-0000-0000-0000BF350000}"/>
    <cellStyle name="Total 19 3" xfId="7822" xr:uid="{00000000-0005-0000-0000-0000C0350000}"/>
    <cellStyle name="Total 19 3 2" xfId="13953" xr:uid="{00000000-0005-0000-0000-0000C1350000}"/>
    <cellStyle name="Total 19 4" xfId="13951" xr:uid="{00000000-0005-0000-0000-0000C2350000}"/>
    <cellStyle name="Total 2" xfId="1089" xr:uid="{00000000-0005-0000-0000-0000C3350000}"/>
    <cellStyle name="Total 2 10" xfId="6606" xr:uid="{00000000-0005-0000-0000-0000C4350000}"/>
    <cellStyle name="Total 2 10 2" xfId="13955" xr:uid="{00000000-0005-0000-0000-0000C5350000}"/>
    <cellStyle name="Total 2 11" xfId="6605" xr:uid="{00000000-0005-0000-0000-0000C6350000}"/>
    <cellStyle name="Total 2 11 2" xfId="13956" xr:uid="{00000000-0005-0000-0000-0000C7350000}"/>
    <cellStyle name="Total 2 12" xfId="7823" xr:uid="{00000000-0005-0000-0000-0000C8350000}"/>
    <cellStyle name="Total 2 12 2" xfId="13957" xr:uid="{00000000-0005-0000-0000-0000C9350000}"/>
    <cellStyle name="Total 2 13" xfId="13954" xr:uid="{00000000-0005-0000-0000-0000CA350000}"/>
    <cellStyle name="Total 2 2" xfId="1090" xr:uid="{00000000-0005-0000-0000-0000CB350000}"/>
    <cellStyle name="Total 2 2 2" xfId="6607" xr:uid="{00000000-0005-0000-0000-0000CC350000}"/>
    <cellStyle name="Total 2 2 2 2" xfId="13959" xr:uid="{00000000-0005-0000-0000-0000CD350000}"/>
    <cellStyle name="Total 2 2 3" xfId="7824" xr:uid="{00000000-0005-0000-0000-0000CE350000}"/>
    <cellStyle name="Total 2 2 3 2" xfId="13960" xr:uid="{00000000-0005-0000-0000-0000CF350000}"/>
    <cellStyle name="Total 2 2 4" xfId="13958" xr:uid="{00000000-0005-0000-0000-0000D0350000}"/>
    <cellStyle name="Total 2 3" xfId="1091" xr:uid="{00000000-0005-0000-0000-0000D1350000}"/>
    <cellStyle name="Total 2 3 2" xfId="6608" xr:uid="{00000000-0005-0000-0000-0000D2350000}"/>
    <cellStyle name="Total 2 3 2 2" xfId="13962" xr:uid="{00000000-0005-0000-0000-0000D3350000}"/>
    <cellStyle name="Total 2 3 3" xfId="7825" xr:uid="{00000000-0005-0000-0000-0000D4350000}"/>
    <cellStyle name="Total 2 3 3 2" xfId="13963" xr:uid="{00000000-0005-0000-0000-0000D5350000}"/>
    <cellStyle name="Total 2 3 4" xfId="13961" xr:uid="{00000000-0005-0000-0000-0000D6350000}"/>
    <cellStyle name="Total 2 4" xfId="1092" xr:uid="{00000000-0005-0000-0000-0000D7350000}"/>
    <cellStyle name="Total 2 4 2" xfId="6609" xr:uid="{00000000-0005-0000-0000-0000D8350000}"/>
    <cellStyle name="Total 2 4 2 2" xfId="13965" xr:uid="{00000000-0005-0000-0000-0000D9350000}"/>
    <cellStyle name="Total 2 4 3" xfId="7826" xr:uid="{00000000-0005-0000-0000-0000DA350000}"/>
    <cellStyle name="Total 2 4 3 2" xfId="13966" xr:uid="{00000000-0005-0000-0000-0000DB350000}"/>
    <cellStyle name="Total 2 4 4" xfId="13964" xr:uid="{00000000-0005-0000-0000-0000DC350000}"/>
    <cellStyle name="Total 2 5" xfId="1093" xr:uid="{00000000-0005-0000-0000-0000DD350000}"/>
    <cellStyle name="Total 2 5 2" xfId="6610" xr:uid="{00000000-0005-0000-0000-0000DE350000}"/>
    <cellStyle name="Total 2 5 2 2" xfId="13968" xr:uid="{00000000-0005-0000-0000-0000DF350000}"/>
    <cellStyle name="Total 2 5 3" xfId="7827" xr:uid="{00000000-0005-0000-0000-0000E0350000}"/>
    <cellStyle name="Total 2 5 3 2" xfId="13969" xr:uid="{00000000-0005-0000-0000-0000E1350000}"/>
    <cellStyle name="Total 2 5 4" xfId="13967" xr:uid="{00000000-0005-0000-0000-0000E2350000}"/>
    <cellStyle name="Total 2 6" xfId="1094" xr:uid="{00000000-0005-0000-0000-0000E3350000}"/>
    <cellStyle name="Total 2 6 2" xfId="6611" xr:uid="{00000000-0005-0000-0000-0000E4350000}"/>
    <cellStyle name="Total 2 6 2 2" xfId="13971" xr:uid="{00000000-0005-0000-0000-0000E5350000}"/>
    <cellStyle name="Total 2 6 3" xfId="7828" xr:uid="{00000000-0005-0000-0000-0000E6350000}"/>
    <cellStyle name="Total 2 6 3 2" xfId="13972" xr:uid="{00000000-0005-0000-0000-0000E7350000}"/>
    <cellStyle name="Total 2 6 4" xfId="13970" xr:uid="{00000000-0005-0000-0000-0000E8350000}"/>
    <cellStyle name="Total 2 7" xfId="1095" xr:uid="{00000000-0005-0000-0000-0000E9350000}"/>
    <cellStyle name="Total 2 7 2" xfId="6612" xr:uid="{00000000-0005-0000-0000-0000EA350000}"/>
    <cellStyle name="Total 2 7 2 2" xfId="13974" xr:uid="{00000000-0005-0000-0000-0000EB350000}"/>
    <cellStyle name="Total 2 7 3" xfId="7829" xr:uid="{00000000-0005-0000-0000-0000EC350000}"/>
    <cellStyle name="Total 2 7 3 2" xfId="13975" xr:uid="{00000000-0005-0000-0000-0000ED350000}"/>
    <cellStyle name="Total 2 7 4" xfId="13973" xr:uid="{00000000-0005-0000-0000-0000EE350000}"/>
    <cellStyle name="Total 2 8" xfId="6613" xr:uid="{00000000-0005-0000-0000-0000EF350000}"/>
    <cellStyle name="Total 2 8 2" xfId="8668" xr:uid="{00000000-0005-0000-0000-0000F0350000}"/>
    <cellStyle name="Total 2 8 2 2" xfId="13977" xr:uid="{00000000-0005-0000-0000-0000F1350000}"/>
    <cellStyle name="Total 2 8 3" xfId="7830" xr:uid="{00000000-0005-0000-0000-0000F2350000}"/>
    <cellStyle name="Total 2 8 3 2" xfId="13978" xr:uid="{00000000-0005-0000-0000-0000F3350000}"/>
    <cellStyle name="Total 2 8 4" xfId="13976" xr:uid="{00000000-0005-0000-0000-0000F4350000}"/>
    <cellStyle name="Total 2 9" xfId="6614" xr:uid="{00000000-0005-0000-0000-0000F5350000}"/>
    <cellStyle name="Total 2 9 2" xfId="8669" xr:uid="{00000000-0005-0000-0000-0000F6350000}"/>
    <cellStyle name="Total 2 9 2 2" xfId="13980" xr:uid="{00000000-0005-0000-0000-0000F7350000}"/>
    <cellStyle name="Total 2 9 3" xfId="7831" xr:uid="{00000000-0005-0000-0000-0000F8350000}"/>
    <cellStyle name="Total 2 9 3 2" xfId="13981" xr:uid="{00000000-0005-0000-0000-0000F9350000}"/>
    <cellStyle name="Total 2 9 4" xfId="13979" xr:uid="{00000000-0005-0000-0000-0000FA350000}"/>
    <cellStyle name="Total 20" xfId="1096" xr:uid="{00000000-0005-0000-0000-0000FB350000}"/>
    <cellStyle name="Total 20 2" xfId="6615" xr:uid="{00000000-0005-0000-0000-0000FC350000}"/>
    <cellStyle name="Total 20 2 2" xfId="13983" xr:uid="{00000000-0005-0000-0000-0000FD350000}"/>
    <cellStyle name="Total 20 3" xfId="7832" xr:uid="{00000000-0005-0000-0000-0000FE350000}"/>
    <cellStyle name="Total 20 3 2" xfId="13984" xr:uid="{00000000-0005-0000-0000-0000FF350000}"/>
    <cellStyle name="Total 20 4" xfId="13982" xr:uid="{00000000-0005-0000-0000-000000360000}"/>
    <cellStyle name="Total 21" xfId="1097" xr:uid="{00000000-0005-0000-0000-000001360000}"/>
    <cellStyle name="Total 21 2" xfId="6616" xr:uid="{00000000-0005-0000-0000-000002360000}"/>
    <cellStyle name="Total 21 2 2" xfId="13986" xr:uid="{00000000-0005-0000-0000-000003360000}"/>
    <cellStyle name="Total 21 3" xfId="7833" xr:uid="{00000000-0005-0000-0000-000004360000}"/>
    <cellStyle name="Total 21 3 2" xfId="13987" xr:uid="{00000000-0005-0000-0000-000005360000}"/>
    <cellStyle name="Total 21 4" xfId="13985" xr:uid="{00000000-0005-0000-0000-000006360000}"/>
    <cellStyle name="Total 22" xfId="1098" xr:uid="{00000000-0005-0000-0000-000007360000}"/>
    <cellStyle name="Total 22 2" xfId="6617" xr:uid="{00000000-0005-0000-0000-000008360000}"/>
    <cellStyle name="Total 22 2 2" xfId="13989" xr:uid="{00000000-0005-0000-0000-000009360000}"/>
    <cellStyle name="Total 22 3" xfId="7834" xr:uid="{00000000-0005-0000-0000-00000A360000}"/>
    <cellStyle name="Total 22 3 2" xfId="13990" xr:uid="{00000000-0005-0000-0000-00000B360000}"/>
    <cellStyle name="Total 22 4" xfId="13988" xr:uid="{00000000-0005-0000-0000-00000C360000}"/>
    <cellStyle name="Total 23" xfId="1099" xr:uid="{00000000-0005-0000-0000-00000D360000}"/>
    <cellStyle name="Total 23 2" xfId="6618" xr:uid="{00000000-0005-0000-0000-00000E360000}"/>
    <cellStyle name="Total 23 2 2" xfId="13992" xr:uid="{00000000-0005-0000-0000-00000F360000}"/>
    <cellStyle name="Total 23 3" xfId="7835" xr:uid="{00000000-0005-0000-0000-000010360000}"/>
    <cellStyle name="Total 23 3 2" xfId="13993" xr:uid="{00000000-0005-0000-0000-000011360000}"/>
    <cellStyle name="Total 23 4" xfId="13991" xr:uid="{00000000-0005-0000-0000-000012360000}"/>
    <cellStyle name="Total 24" xfId="1100" xr:uid="{00000000-0005-0000-0000-000013360000}"/>
    <cellStyle name="Total 24 2" xfId="6619" xr:uid="{00000000-0005-0000-0000-000014360000}"/>
    <cellStyle name="Total 24 2 2" xfId="13995" xr:uid="{00000000-0005-0000-0000-000015360000}"/>
    <cellStyle name="Total 24 3" xfId="7836" xr:uid="{00000000-0005-0000-0000-000016360000}"/>
    <cellStyle name="Total 24 3 2" xfId="13996" xr:uid="{00000000-0005-0000-0000-000017360000}"/>
    <cellStyle name="Total 24 4" xfId="13994" xr:uid="{00000000-0005-0000-0000-000018360000}"/>
    <cellStyle name="Total 25" xfId="1101" xr:uid="{00000000-0005-0000-0000-000019360000}"/>
    <cellStyle name="Total 25 2" xfId="6620" xr:uid="{00000000-0005-0000-0000-00001A360000}"/>
    <cellStyle name="Total 25 2 2" xfId="13998" xr:uid="{00000000-0005-0000-0000-00001B360000}"/>
    <cellStyle name="Total 25 3" xfId="7837" xr:uid="{00000000-0005-0000-0000-00001C360000}"/>
    <cellStyle name="Total 25 3 2" xfId="13999" xr:uid="{00000000-0005-0000-0000-00001D360000}"/>
    <cellStyle name="Total 25 4" xfId="13997" xr:uid="{00000000-0005-0000-0000-00001E360000}"/>
    <cellStyle name="Total 26" xfId="1102" xr:uid="{00000000-0005-0000-0000-00001F360000}"/>
    <cellStyle name="Total 26 2" xfId="6621" xr:uid="{00000000-0005-0000-0000-000020360000}"/>
    <cellStyle name="Total 26 2 2" xfId="14001" xr:uid="{00000000-0005-0000-0000-000021360000}"/>
    <cellStyle name="Total 26 3" xfId="7838" xr:uid="{00000000-0005-0000-0000-000022360000}"/>
    <cellStyle name="Total 26 3 2" xfId="14002" xr:uid="{00000000-0005-0000-0000-000023360000}"/>
    <cellStyle name="Total 26 4" xfId="14000" xr:uid="{00000000-0005-0000-0000-000024360000}"/>
    <cellStyle name="Total 27" xfId="1103" xr:uid="{00000000-0005-0000-0000-000025360000}"/>
    <cellStyle name="Total 27 2" xfId="6622" xr:uid="{00000000-0005-0000-0000-000026360000}"/>
    <cellStyle name="Total 27 2 2" xfId="14004" xr:uid="{00000000-0005-0000-0000-000027360000}"/>
    <cellStyle name="Total 27 3" xfId="7839" xr:uid="{00000000-0005-0000-0000-000028360000}"/>
    <cellStyle name="Total 27 3 2" xfId="14005" xr:uid="{00000000-0005-0000-0000-000029360000}"/>
    <cellStyle name="Total 27 4" xfId="14003" xr:uid="{00000000-0005-0000-0000-00002A360000}"/>
    <cellStyle name="Total 28" xfId="1104" xr:uid="{00000000-0005-0000-0000-00002B360000}"/>
    <cellStyle name="Total 28 2" xfId="6623" xr:uid="{00000000-0005-0000-0000-00002C360000}"/>
    <cellStyle name="Total 28 2 2" xfId="14007" xr:uid="{00000000-0005-0000-0000-00002D360000}"/>
    <cellStyle name="Total 28 3" xfId="7840" xr:uid="{00000000-0005-0000-0000-00002E360000}"/>
    <cellStyle name="Total 28 3 2" xfId="14008" xr:uid="{00000000-0005-0000-0000-00002F360000}"/>
    <cellStyle name="Total 28 4" xfId="14006" xr:uid="{00000000-0005-0000-0000-000030360000}"/>
    <cellStyle name="Total 29" xfId="1105" xr:uid="{00000000-0005-0000-0000-000031360000}"/>
    <cellStyle name="Total 29 2" xfId="6624" xr:uid="{00000000-0005-0000-0000-000032360000}"/>
    <cellStyle name="Total 29 2 2" xfId="14010" xr:uid="{00000000-0005-0000-0000-000033360000}"/>
    <cellStyle name="Total 29 3" xfId="7841" xr:uid="{00000000-0005-0000-0000-000034360000}"/>
    <cellStyle name="Total 29 3 2" xfId="14011" xr:uid="{00000000-0005-0000-0000-000035360000}"/>
    <cellStyle name="Total 29 4" xfId="14009" xr:uid="{00000000-0005-0000-0000-000036360000}"/>
    <cellStyle name="Total 3" xfId="1106" xr:uid="{00000000-0005-0000-0000-000037360000}"/>
    <cellStyle name="Total 3 10" xfId="6626" xr:uid="{00000000-0005-0000-0000-000038360000}"/>
    <cellStyle name="Total 3 10 2" xfId="14013" xr:uid="{00000000-0005-0000-0000-000039360000}"/>
    <cellStyle name="Total 3 11" xfId="6625" xr:uid="{00000000-0005-0000-0000-00003A360000}"/>
    <cellStyle name="Total 3 11 2" xfId="14014" xr:uid="{00000000-0005-0000-0000-00003B360000}"/>
    <cellStyle name="Total 3 12" xfId="7842" xr:uid="{00000000-0005-0000-0000-00003C360000}"/>
    <cellStyle name="Total 3 12 2" xfId="14015" xr:uid="{00000000-0005-0000-0000-00003D360000}"/>
    <cellStyle name="Total 3 13" xfId="14012" xr:uid="{00000000-0005-0000-0000-00003E360000}"/>
    <cellStyle name="Total 3 2" xfId="1107" xr:uid="{00000000-0005-0000-0000-00003F360000}"/>
    <cellStyle name="Total 3 2 2" xfId="6627" xr:uid="{00000000-0005-0000-0000-000040360000}"/>
    <cellStyle name="Total 3 2 2 2" xfId="14017" xr:uid="{00000000-0005-0000-0000-000041360000}"/>
    <cellStyle name="Total 3 2 3" xfId="7843" xr:uid="{00000000-0005-0000-0000-000042360000}"/>
    <cellStyle name="Total 3 2 3 2" xfId="14018" xr:uid="{00000000-0005-0000-0000-000043360000}"/>
    <cellStyle name="Total 3 2 4" xfId="14016" xr:uid="{00000000-0005-0000-0000-000044360000}"/>
    <cellStyle name="Total 3 3" xfId="1108" xr:uid="{00000000-0005-0000-0000-000045360000}"/>
    <cellStyle name="Total 3 3 2" xfId="6628" xr:uid="{00000000-0005-0000-0000-000046360000}"/>
    <cellStyle name="Total 3 3 2 2" xfId="14020" xr:uid="{00000000-0005-0000-0000-000047360000}"/>
    <cellStyle name="Total 3 3 3" xfId="7844" xr:uid="{00000000-0005-0000-0000-000048360000}"/>
    <cellStyle name="Total 3 3 3 2" xfId="14021" xr:uid="{00000000-0005-0000-0000-000049360000}"/>
    <cellStyle name="Total 3 3 4" xfId="14019" xr:uid="{00000000-0005-0000-0000-00004A360000}"/>
    <cellStyle name="Total 3 4" xfId="1109" xr:uid="{00000000-0005-0000-0000-00004B360000}"/>
    <cellStyle name="Total 3 4 2" xfId="6629" xr:uid="{00000000-0005-0000-0000-00004C360000}"/>
    <cellStyle name="Total 3 4 2 2" xfId="14023" xr:uid="{00000000-0005-0000-0000-00004D360000}"/>
    <cellStyle name="Total 3 4 3" xfId="7845" xr:uid="{00000000-0005-0000-0000-00004E360000}"/>
    <cellStyle name="Total 3 4 3 2" xfId="14024" xr:uid="{00000000-0005-0000-0000-00004F360000}"/>
    <cellStyle name="Total 3 4 4" xfId="14022" xr:uid="{00000000-0005-0000-0000-000050360000}"/>
    <cellStyle name="Total 3 5" xfId="1110" xr:uid="{00000000-0005-0000-0000-000051360000}"/>
    <cellStyle name="Total 3 5 2" xfId="6630" xr:uid="{00000000-0005-0000-0000-000052360000}"/>
    <cellStyle name="Total 3 5 2 2" xfId="14026" xr:uid="{00000000-0005-0000-0000-000053360000}"/>
    <cellStyle name="Total 3 5 3" xfId="7846" xr:uid="{00000000-0005-0000-0000-000054360000}"/>
    <cellStyle name="Total 3 5 3 2" xfId="14027" xr:uid="{00000000-0005-0000-0000-000055360000}"/>
    <cellStyle name="Total 3 5 4" xfId="14025" xr:uid="{00000000-0005-0000-0000-000056360000}"/>
    <cellStyle name="Total 3 6" xfId="1111" xr:uid="{00000000-0005-0000-0000-000057360000}"/>
    <cellStyle name="Total 3 6 2" xfId="6631" xr:uid="{00000000-0005-0000-0000-000058360000}"/>
    <cellStyle name="Total 3 6 2 2" xfId="14029" xr:uid="{00000000-0005-0000-0000-000059360000}"/>
    <cellStyle name="Total 3 6 3" xfId="7847" xr:uid="{00000000-0005-0000-0000-00005A360000}"/>
    <cellStyle name="Total 3 6 3 2" xfId="14030" xr:uid="{00000000-0005-0000-0000-00005B360000}"/>
    <cellStyle name="Total 3 6 4" xfId="14028" xr:uid="{00000000-0005-0000-0000-00005C360000}"/>
    <cellStyle name="Total 3 7" xfId="1112" xr:uid="{00000000-0005-0000-0000-00005D360000}"/>
    <cellStyle name="Total 3 7 2" xfId="6632" xr:uid="{00000000-0005-0000-0000-00005E360000}"/>
    <cellStyle name="Total 3 7 2 2" xfId="14032" xr:uid="{00000000-0005-0000-0000-00005F360000}"/>
    <cellStyle name="Total 3 7 3" xfId="7848" xr:uid="{00000000-0005-0000-0000-000060360000}"/>
    <cellStyle name="Total 3 7 3 2" xfId="14033" xr:uid="{00000000-0005-0000-0000-000061360000}"/>
    <cellStyle name="Total 3 7 4" xfId="14031" xr:uid="{00000000-0005-0000-0000-000062360000}"/>
    <cellStyle name="Total 3 8" xfId="6633" xr:uid="{00000000-0005-0000-0000-000063360000}"/>
    <cellStyle name="Total 3 8 2" xfId="8670" xr:uid="{00000000-0005-0000-0000-000064360000}"/>
    <cellStyle name="Total 3 8 2 2" xfId="14035" xr:uid="{00000000-0005-0000-0000-000065360000}"/>
    <cellStyle name="Total 3 8 3" xfId="7849" xr:uid="{00000000-0005-0000-0000-000066360000}"/>
    <cellStyle name="Total 3 8 3 2" xfId="14036" xr:uid="{00000000-0005-0000-0000-000067360000}"/>
    <cellStyle name="Total 3 8 4" xfId="14034" xr:uid="{00000000-0005-0000-0000-000068360000}"/>
    <cellStyle name="Total 3 9" xfId="6634" xr:uid="{00000000-0005-0000-0000-000069360000}"/>
    <cellStyle name="Total 3 9 2" xfId="8671" xr:uid="{00000000-0005-0000-0000-00006A360000}"/>
    <cellStyle name="Total 3 9 2 2" xfId="14038" xr:uid="{00000000-0005-0000-0000-00006B360000}"/>
    <cellStyle name="Total 3 9 3" xfId="7850" xr:uid="{00000000-0005-0000-0000-00006C360000}"/>
    <cellStyle name="Total 3 9 3 2" xfId="14039" xr:uid="{00000000-0005-0000-0000-00006D360000}"/>
    <cellStyle name="Total 3 9 4" xfId="14037" xr:uid="{00000000-0005-0000-0000-00006E360000}"/>
    <cellStyle name="Total 30" xfId="1113" xr:uid="{00000000-0005-0000-0000-00006F360000}"/>
    <cellStyle name="Total 30 2" xfId="6635" xr:uid="{00000000-0005-0000-0000-000070360000}"/>
    <cellStyle name="Total 30 2 2" xfId="14041" xr:uid="{00000000-0005-0000-0000-000071360000}"/>
    <cellStyle name="Total 30 3" xfId="7851" xr:uid="{00000000-0005-0000-0000-000072360000}"/>
    <cellStyle name="Total 30 3 2" xfId="14042" xr:uid="{00000000-0005-0000-0000-000073360000}"/>
    <cellStyle name="Total 30 4" xfId="14040" xr:uid="{00000000-0005-0000-0000-000074360000}"/>
    <cellStyle name="Total 31" xfId="1114" xr:uid="{00000000-0005-0000-0000-000075360000}"/>
    <cellStyle name="Total 31 2" xfId="6636" xr:uid="{00000000-0005-0000-0000-000076360000}"/>
    <cellStyle name="Total 31 2 2" xfId="14044" xr:uid="{00000000-0005-0000-0000-000077360000}"/>
    <cellStyle name="Total 31 3" xfId="7852" xr:uid="{00000000-0005-0000-0000-000078360000}"/>
    <cellStyle name="Total 31 3 2" xfId="14045" xr:uid="{00000000-0005-0000-0000-000079360000}"/>
    <cellStyle name="Total 31 4" xfId="14043" xr:uid="{00000000-0005-0000-0000-00007A360000}"/>
    <cellStyle name="Total 32" xfId="1115" xr:uid="{00000000-0005-0000-0000-00007B360000}"/>
    <cellStyle name="Total 32 2" xfId="6637" xr:uid="{00000000-0005-0000-0000-00007C360000}"/>
    <cellStyle name="Total 32 2 2" xfId="14047" xr:uid="{00000000-0005-0000-0000-00007D360000}"/>
    <cellStyle name="Total 32 3" xfId="7853" xr:uid="{00000000-0005-0000-0000-00007E360000}"/>
    <cellStyle name="Total 32 3 2" xfId="14048" xr:uid="{00000000-0005-0000-0000-00007F360000}"/>
    <cellStyle name="Total 32 4" xfId="14046" xr:uid="{00000000-0005-0000-0000-000080360000}"/>
    <cellStyle name="Total 33" xfId="1116" xr:uid="{00000000-0005-0000-0000-000081360000}"/>
    <cellStyle name="Total 33 2" xfId="6638" xr:uid="{00000000-0005-0000-0000-000082360000}"/>
    <cellStyle name="Total 33 2 2" xfId="14050" xr:uid="{00000000-0005-0000-0000-000083360000}"/>
    <cellStyle name="Total 33 3" xfId="7854" xr:uid="{00000000-0005-0000-0000-000084360000}"/>
    <cellStyle name="Total 33 3 2" xfId="14051" xr:uid="{00000000-0005-0000-0000-000085360000}"/>
    <cellStyle name="Total 33 4" xfId="14049" xr:uid="{00000000-0005-0000-0000-000086360000}"/>
    <cellStyle name="Total 34" xfId="1117" xr:uid="{00000000-0005-0000-0000-000087360000}"/>
    <cellStyle name="Total 34 2" xfId="6639" xr:uid="{00000000-0005-0000-0000-000088360000}"/>
    <cellStyle name="Total 34 2 2" xfId="14053" xr:uid="{00000000-0005-0000-0000-000089360000}"/>
    <cellStyle name="Total 34 3" xfId="7855" xr:uid="{00000000-0005-0000-0000-00008A360000}"/>
    <cellStyle name="Total 34 3 2" xfId="14054" xr:uid="{00000000-0005-0000-0000-00008B360000}"/>
    <cellStyle name="Total 34 4" xfId="14052" xr:uid="{00000000-0005-0000-0000-00008C360000}"/>
    <cellStyle name="Total 35" xfId="1118" xr:uid="{00000000-0005-0000-0000-00008D360000}"/>
    <cellStyle name="Total 35 2" xfId="6640" xr:uid="{00000000-0005-0000-0000-00008E360000}"/>
    <cellStyle name="Total 35 2 2" xfId="14056" xr:uid="{00000000-0005-0000-0000-00008F360000}"/>
    <cellStyle name="Total 35 3" xfId="7856" xr:uid="{00000000-0005-0000-0000-000090360000}"/>
    <cellStyle name="Total 35 3 2" xfId="14057" xr:uid="{00000000-0005-0000-0000-000091360000}"/>
    <cellStyle name="Total 35 4" xfId="14055" xr:uid="{00000000-0005-0000-0000-000092360000}"/>
    <cellStyle name="Total 36" xfId="1119" xr:uid="{00000000-0005-0000-0000-000093360000}"/>
    <cellStyle name="Total 36 2" xfId="6641" xr:uid="{00000000-0005-0000-0000-000094360000}"/>
    <cellStyle name="Total 36 2 2" xfId="14059" xr:uid="{00000000-0005-0000-0000-000095360000}"/>
    <cellStyle name="Total 36 3" xfId="7857" xr:uid="{00000000-0005-0000-0000-000096360000}"/>
    <cellStyle name="Total 36 3 2" xfId="14060" xr:uid="{00000000-0005-0000-0000-000097360000}"/>
    <cellStyle name="Total 36 4" xfId="14058" xr:uid="{00000000-0005-0000-0000-000098360000}"/>
    <cellStyle name="Total 37" xfId="1120" xr:uid="{00000000-0005-0000-0000-000099360000}"/>
    <cellStyle name="Total 37 2" xfId="6642" xr:uid="{00000000-0005-0000-0000-00009A360000}"/>
    <cellStyle name="Total 37 2 2" xfId="14062" xr:uid="{00000000-0005-0000-0000-00009B360000}"/>
    <cellStyle name="Total 37 3" xfId="7858" xr:uid="{00000000-0005-0000-0000-00009C360000}"/>
    <cellStyle name="Total 37 3 2" xfId="14063" xr:uid="{00000000-0005-0000-0000-00009D360000}"/>
    <cellStyle name="Total 37 4" xfId="14061" xr:uid="{00000000-0005-0000-0000-00009E360000}"/>
    <cellStyle name="Total 38" xfId="1121" xr:uid="{00000000-0005-0000-0000-00009F360000}"/>
    <cellStyle name="Total 38 2" xfId="6643" xr:uid="{00000000-0005-0000-0000-0000A0360000}"/>
    <cellStyle name="Total 38 2 2" xfId="14065" xr:uid="{00000000-0005-0000-0000-0000A1360000}"/>
    <cellStyle name="Total 38 3" xfId="7859" xr:uid="{00000000-0005-0000-0000-0000A2360000}"/>
    <cellStyle name="Total 38 3 2" xfId="14066" xr:uid="{00000000-0005-0000-0000-0000A3360000}"/>
    <cellStyle name="Total 38 4" xfId="14064" xr:uid="{00000000-0005-0000-0000-0000A4360000}"/>
    <cellStyle name="Total 39" xfId="1122" xr:uid="{00000000-0005-0000-0000-0000A5360000}"/>
    <cellStyle name="Total 39 2" xfId="6644" xr:uid="{00000000-0005-0000-0000-0000A6360000}"/>
    <cellStyle name="Total 39 2 2" xfId="14068" xr:uid="{00000000-0005-0000-0000-0000A7360000}"/>
    <cellStyle name="Total 39 3" xfId="7860" xr:uid="{00000000-0005-0000-0000-0000A8360000}"/>
    <cellStyle name="Total 39 3 2" xfId="14069" xr:uid="{00000000-0005-0000-0000-0000A9360000}"/>
    <cellStyle name="Total 39 4" xfId="14067" xr:uid="{00000000-0005-0000-0000-0000AA360000}"/>
    <cellStyle name="Total 4" xfId="1123" xr:uid="{00000000-0005-0000-0000-0000AB360000}"/>
    <cellStyle name="Total 4 10" xfId="6646" xr:uid="{00000000-0005-0000-0000-0000AC360000}"/>
    <cellStyle name="Total 4 10 2" xfId="14071" xr:uid="{00000000-0005-0000-0000-0000AD360000}"/>
    <cellStyle name="Total 4 11" xfId="6645" xr:uid="{00000000-0005-0000-0000-0000AE360000}"/>
    <cellStyle name="Total 4 11 2" xfId="14072" xr:uid="{00000000-0005-0000-0000-0000AF360000}"/>
    <cellStyle name="Total 4 12" xfId="7861" xr:uid="{00000000-0005-0000-0000-0000B0360000}"/>
    <cellStyle name="Total 4 12 2" xfId="14073" xr:uid="{00000000-0005-0000-0000-0000B1360000}"/>
    <cellStyle name="Total 4 13" xfId="14070" xr:uid="{00000000-0005-0000-0000-0000B2360000}"/>
    <cellStyle name="Total 4 2" xfId="1124" xr:uid="{00000000-0005-0000-0000-0000B3360000}"/>
    <cellStyle name="Total 4 2 2" xfId="6647" xr:uid="{00000000-0005-0000-0000-0000B4360000}"/>
    <cellStyle name="Total 4 2 2 2" xfId="14075" xr:uid="{00000000-0005-0000-0000-0000B5360000}"/>
    <cellStyle name="Total 4 2 3" xfId="7862" xr:uid="{00000000-0005-0000-0000-0000B6360000}"/>
    <cellStyle name="Total 4 2 3 2" xfId="14076" xr:uid="{00000000-0005-0000-0000-0000B7360000}"/>
    <cellStyle name="Total 4 2 4" xfId="14074" xr:uid="{00000000-0005-0000-0000-0000B8360000}"/>
    <cellStyle name="Total 4 3" xfId="1125" xr:uid="{00000000-0005-0000-0000-0000B9360000}"/>
    <cellStyle name="Total 4 3 2" xfId="6648" xr:uid="{00000000-0005-0000-0000-0000BA360000}"/>
    <cellStyle name="Total 4 3 2 2" xfId="14078" xr:uid="{00000000-0005-0000-0000-0000BB360000}"/>
    <cellStyle name="Total 4 3 3" xfId="7863" xr:uid="{00000000-0005-0000-0000-0000BC360000}"/>
    <cellStyle name="Total 4 3 3 2" xfId="14079" xr:uid="{00000000-0005-0000-0000-0000BD360000}"/>
    <cellStyle name="Total 4 3 4" xfId="14077" xr:uid="{00000000-0005-0000-0000-0000BE360000}"/>
    <cellStyle name="Total 4 4" xfId="1126" xr:uid="{00000000-0005-0000-0000-0000BF360000}"/>
    <cellStyle name="Total 4 4 2" xfId="6649" xr:uid="{00000000-0005-0000-0000-0000C0360000}"/>
    <cellStyle name="Total 4 4 2 2" xfId="14081" xr:uid="{00000000-0005-0000-0000-0000C1360000}"/>
    <cellStyle name="Total 4 4 3" xfId="7864" xr:uid="{00000000-0005-0000-0000-0000C2360000}"/>
    <cellStyle name="Total 4 4 3 2" xfId="14082" xr:uid="{00000000-0005-0000-0000-0000C3360000}"/>
    <cellStyle name="Total 4 4 4" xfId="14080" xr:uid="{00000000-0005-0000-0000-0000C4360000}"/>
    <cellStyle name="Total 4 5" xfId="1127" xr:uid="{00000000-0005-0000-0000-0000C5360000}"/>
    <cellStyle name="Total 4 5 2" xfId="6650" xr:uid="{00000000-0005-0000-0000-0000C6360000}"/>
    <cellStyle name="Total 4 5 2 2" xfId="14084" xr:uid="{00000000-0005-0000-0000-0000C7360000}"/>
    <cellStyle name="Total 4 5 3" xfId="7865" xr:uid="{00000000-0005-0000-0000-0000C8360000}"/>
    <cellStyle name="Total 4 5 3 2" xfId="14085" xr:uid="{00000000-0005-0000-0000-0000C9360000}"/>
    <cellStyle name="Total 4 5 4" xfId="14083" xr:uid="{00000000-0005-0000-0000-0000CA360000}"/>
    <cellStyle name="Total 4 6" xfId="1128" xr:uid="{00000000-0005-0000-0000-0000CB360000}"/>
    <cellStyle name="Total 4 6 2" xfId="6651" xr:uid="{00000000-0005-0000-0000-0000CC360000}"/>
    <cellStyle name="Total 4 6 2 2" xfId="14087" xr:uid="{00000000-0005-0000-0000-0000CD360000}"/>
    <cellStyle name="Total 4 6 3" xfId="7866" xr:uid="{00000000-0005-0000-0000-0000CE360000}"/>
    <cellStyle name="Total 4 6 3 2" xfId="14088" xr:uid="{00000000-0005-0000-0000-0000CF360000}"/>
    <cellStyle name="Total 4 6 4" xfId="14086" xr:uid="{00000000-0005-0000-0000-0000D0360000}"/>
    <cellStyle name="Total 4 7" xfId="1129" xr:uid="{00000000-0005-0000-0000-0000D1360000}"/>
    <cellStyle name="Total 4 7 2" xfId="6652" xr:uid="{00000000-0005-0000-0000-0000D2360000}"/>
    <cellStyle name="Total 4 7 2 2" xfId="14090" xr:uid="{00000000-0005-0000-0000-0000D3360000}"/>
    <cellStyle name="Total 4 7 3" xfId="7867" xr:uid="{00000000-0005-0000-0000-0000D4360000}"/>
    <cellStyle name="Total 4 7 3 2" xfId="14091" xr:uid="{00000000-0005-0000-0000-0000D5360000}"/>
    <cellStyle name="Total 4 7 4" xfId="14089" xr:uid="{00000000-0005-0000-0000-0000D6360000}"/>
    <cellStyle name="Total 4 8" xfId="6653" xr:uid="{00000000-0005-0000-0000-0000D7360000}"/>
    <cellStyle name="Total 4 8 2" xfId="8672" xr:uid="{00000000-0005-0000-0000-0000D8360000}"/>
    <cellStyle name="Total 4 8 2 2" xfId="14093" xr:uid="{00000000-0005-0000-0000-0000D9360000}"/>
    <cellStyle name="Total 4 8 3" xfId="7868" xr:uid="{00000000-0005-0000-0000-0000DA360000}"/>
    <cellStyle name="Total 4 8 3 2" xfId="14094" xr:uid="{00000000-0005-0000-0000-0000DB360000}"/>
    <cellStyle name="Total 4 8 4" xfId="14092" xr:uid="{00000000-0005-0000-0000-0000DC360000}"/>
    <cellStyle name="Total 4 9" xfId="6654" xr:uid="{00000000-0005-0000-0000-0000DD360000}"/>
    <cellStyle name="Total 4 9 2" xfId="8673" xr:uid="{00000000-0005-0000-0000-0000DE360000}"/>
    <cellStyle name="Total 4 9 2 2" xfId="14096" xr:uid="{00000000-0005-0000-0000-0000DF360000}"/>
    <cellStyle name="Total 4 9 3" xfId="7869" xr:uid="{00000000-0005-0000-0000-0000E0360000}"/>
    <cellStyle name="Total 4 9 3 2" xfId="14097" xr:uid="{00000000-0005-0000-0000-0000E1360000}"/>
    <cellStyle name="Total 4 9 4" xfId="14095" xr:uid="{00000000-0005-0000-0000-0000E2360000}"/>
    <cellStyle name="Total 40" xfId="1130" xr:uid="{00000000-0005-0000-0000-0000E3360000}"/>
    <cellStyle name="Total 40 2" xfId="6655" xr:uid="{00000000-0005-0000-0000-0000E4360000}"/>
    <cellStyle name="Total 40 2 2" xfId="14099" xr:uid="{00000000-0005-0000-0000-0000E5360000}"/>
    <cellStyle name="Total 40 3" xfId="7870" xr:uid="{00000000-0005-0000-0000-0000E6360000}"/>
    <cellStyle name="Total 40 3 2" xfId="14100" xr:uid="{00000000-0005-0000-0000-0000E7360000}"/>
    <cellStyle name="Total 40 4" xfId="14098" xr:uid="{00000000-0005-0000-0000-0000E8360000}"/>
    <cellStyle name="Total 41" xfId="1131" xr:uid="{00000000-0005-0000-0000-0000E9360000}"/>
    <cellStyle name="Total 41 2" xfId="6656" xr:uid="{00000000-0005-0000-0000-0000EA360000}"/>
    <cellStyle name="Total 41 2 2" xfId="14102" xr:uid="{00000000-0005-0000-0000-0000EB360000}"/>
    <cellStyle name="Total 41 3" xfId="7871" xr:uid="{00000000-0005-0000-0000-0000EC360000}"/>
    <cellStyle name="Total 41 3 2" xfId="14103" xr:uid="{00000000-0005-0000-0000-0000ED360000}"/>
    <cellStyle name="Total 41 4" xfId="14101" xr:uid="{00000000-0005-0000-0000-0000EE360000}"/>
    <cellStyle name="Total 42" xfId="1132" xr:uid="{00000000-0005-0000-0000-0000EF360000}"/>
    <cellStyle name="Total 42 2" xfId="6657" xr:uid="{00000000-0005-0000-0000-0000F0360000}"/>
    <cellStyle name="Total 42 2 2" xfId="14105" xr:uid="{00000000-0005-0000-0000-0000F1360000}"/>
    <cellStyle name="Total 42 3" xfId="7872" xr:uid="{00000000-0005-0000-0000-0000F2360000}"/>
    <cellStyle name="Total 42 3 2" xfId="14106" xr:uid="{00000000-0005-0000-0000-0000F3360000}"/>
    <cellStyle name="Total 42 4" xfId="14104" xr:uid="{00000000-0005-0000-0000-0000F4360000}"/>
    <cellStyle name="Total 43" xfId="1133" xr:uid="{00000000-0005-0000-0000-0000F5360000}"/>
    <cellStyle name="Total 43 2" xfId="6658" xr:uid="{00000000-0005-0000-0000-0000F6360000}"/>
    <cellStyle name="Total 43 2 2" xfId="14108" xr:uid="{00000000-0005-0000-0000-0000F7360000}"/>
    <cellStyle name="Total 43 3" xfId="7873" xr:uid="{00000000-0005-0000-0000-0000F8360000}"/>
    <cellStyle name="Total 43 3 2" xfId="14109" xr:uid="{00000000-0005-0000-0000-0000F9360000}"/>
    <cellStyle name="Total 43 4" xfId="14107" xr:uid="{00000000-0005-0000-0000-0000FA360000}"/>
    <cellStyle name="Total 44" xfId="6659" xr:uid="{00000000-0005-0000-0000-0000FB360000}"/>
    <cellStyle name="Total 44 2" xfId="6660" xr:uid="{00000000-0005-0000-0000-0000FC360000}"/>
    <cellStyle name="Total 44 2 2" xfId="14111" xr:uid="{00000000-0005-0000-0000-0000FD360000}"/>
    <cellStyle name="Total 44 3" xfId="8674" xr:uid="{00000000-0005-0000-0000-0000FE360000}"/>
    <cellStyle name="Total 44 3 2" xfId="14112" xr:uid="{00000000-0005-0000-0000-0000FF360000}"/>
    <cellStyle name="Total 44 4" xfId="7874" xr:uid="{00000000-0005-0000-0000-000000370000}"/>
    <cellStyle name="Total 44 4 2" xfId="14113" xr:uid="{00000000-0005-0000-0000-000001370000}"/>
    <cellStyle name="Total 44 5" xfId="14110" xr:uid="{00000000-0005-0000-0000-000002370000}"/>
    <cellStyle name="Total 45" xfId="6661" xr:uid="{00000000-0005-0000-0000-000003370000}"/>
    <cellStyle name="Total 45 2" xfId="6662" xr:uid="{00000000-0005-0000-0000-000004370000}"/>
    <cellStyle name="Total 45 2 2" xfId="14115" xr:uid="{00000000-0005-0000-0000-000005370000}"/>
    <cellStyle name="Total 45 3" xfId="8675" xr:uid="{00000000-0005-0000-0000-000006370000}"/>
    <cellStyle name="Total 45 3 2" xfId="14116" xr:uid="{00000000-0005-0000-0000-000007370000}"/>
    <cellStyle name="Total 45 4" xfId="7875" xr:uid="{00000000-0005-0000-0000-000008370000}"/>
    <cellStyle name="Total 45 4 2" xfId="14117" xr:uid="{00000000-0005-0000-0000-000009370000}"/>
    <cellStyle name="Total 45 5" xfId="14114" xr:uid="{00000000-0005-0000-0000-00000A370000}"/>
    <cellStyle name="Total 46" xfId="6663" xr:uid="{00000000-0005-0000-0000-00000B370000}"/>
    <cellStyle name="Total 46 2" xfId="6664" xr:uid="{00000000-0005-0000-0000-00000C370000}"/>
    <cellStyle name="Total 46 2 2" xfId="14119" xr:uid="{00000000-0005-0000-0000-00000D370000}"/>
    <cellStyle name="Total 46 3" xfId="14118" xr:uid="{00000000-0005-0000-0000-00000E370000}"/>
    <cellStyle name="Total 47" xfId="6665" xr:uid="{00000000-0005-0000-0000-00000F370000}"/>
    <cellStyle name="Total 47 2" xfId="14120" xr:uid="{00000000-0005-0000-0000-000010370000}"/>
    <cellStyle name="Total 48" xfId="6666" xr:uid="{00000000-0005-0000-0000-000011370000}"/>
    <cellStyle name="Total 48 2" xfId="14121" xr:uid="{00000000-0005-0000-0000-000012370000}"/>
    <cellStyle name="Total 49" xfId="6667" xr:uid="{00000000-0005-0000-0000-000013370000}"/>
    <cellStyle name="Total 49 2" xfId="14122" xr:uid="{00000000-0005-0000-0000-000014370000}"/>
    <cellStyle name="Total 5" xfId="1134" xr:uid="{00000000-0005-0000-0000-000015370000}"/>
    <cellStyle name="Total 5 10" xfId="6669" xr:uid="{00000000-0005-0000-0000-000016370000}"/>
    <cellStyle name="Total 5 10 2" xfId="14124" xr:uid="{00000000-0005-0000-0000-000017370000}"/>
    <cellStyle name="Total 5 11" xfId="6668" xr:uid="{00000000-0005-0000-0000-000018370000}"/>
    <cellStyle name="Total 5 11 2" xfId="14125" xr:uid="{00000000-0005-0000-0000-000019370000}"/>
    <cellStyle name="Total 5 12" xfId="7876" xr:uid="{00000000-0005-0000-0000-00001A370000}"/>
    <cellStyle name="Total 5 12 2" xfId="14126" xr:uid="{00000000-0005-0000-0000-00001B370000}"/>
    <cellStyle name="Total 5 13" xfId="14123" xr:uid="{00000000-0005-0000-0000-00001C370000}"/>
    <cellStyle name="Total 5 2" xfId="1135" xr:uid="{00000000-0005-0000-0000-00001D370000}"/>
    <cellStyle name="Total 5 2 2" xfId="6670" xr:uid="{00000000-0005-0000-0000-00001E370000}"/>
    <cellStyle name="Total 5 2 2 2" xfId="14128" xr:uid="{00000000-0005-0000-0000-00001F370000}"/>
    <cellStyle name="Total 5 2 3" xfId="7877" xr:uid="{00000000-0005-0000-0000-000020370000}"/>
    <cellStyle name="Total 5 2 3 2" xfId="14129" xr:uid="{00000000-0005-0000-0000-000021370000}"/>
    <cellStyle name="Total 5 2 4" xfId="14127" xr:uid="{00000000-0005-0000-0000-000022370000}"/>
    <cellStyle name="Total 5 3" xfId="1136" xr:uid="{00000000-0005-0000-0000-000023370000}"/>
    <cellStyle name="Total 5 3 2" xfId="6671" xr:uid="{00000000-0005-0000-0000-000024370000}"/>
    <cellStyle name="Total 5 3 2 2" xfId="14131" xr:uid="{00000000-0005-0000-0000-000025370000}"/>
    <cellStyle name="Total 5 3 3" xfId="7878" xr:uid="{00000000-0005-0000-0000-000026370000}"/>
    <cellStyle name="Total 5 3 3 2" xfId="14132" xr:uid="{00000000-0005-0000-0000-000027370000}"/>
    <cellStyle name="Total 5 3 4" xfId="14130" xr:uid="{00000000-0005-0000-0000-000028370000}"/>
    <cellStyle name="Total 5 4" xfId="1137" xr:uid="{00000000-0005-0000-0000-000029370000}"/>
    <cellStyle name="Total 5 4 2" xfId="6672" xr:uid="{00000000-0005-0000-0000-00002A370000}"/>
    <cellStyle name="Total 5 4 2 2" xfId="14134" xr:uid="{00000000-0005-0000-0000-00002B370000}"/>
    <cellStyle name="Total 5 4 3" xfId="7879" xr:uid="{00000000-0005-0000-0000-00002C370000}"/>
    <cellStyle name="Total 5 4 3 2" xfId="14135" xr:uid="{00000000-0005-0000-0000-00002D370000}"/>
    <cellStyle name="Total 5 4 4" xfId="14133" xr:uid="{00000000-0005-0000-0000-00002E370000}"/>
    <cellStyle name="Total 5 5" xfId="1138" xr:uid="{00000000-0005-0000-0000-00002F370000}"/>
    <cellStyle name="Total 5 5 2" xfId="6673" xr:uid="{00000000-0005-0000-0000-000030370000}"/>
    <cellStyle name="Total 5 5 2 2" xfId="14137" xr:uid="{00000000-0005-0000-0000-000031370000}"/>
    <cellStyle name="Total 5 5 3" xfId="7880" xr:uid="{00000000-0005-0000-0000-000032370000}"/>
    <cellStyle name="Total 5 5 3 2" xfId="14138" xr:uid="{00000000-0005-0000-0000-000033370000}"/>
    <cellStyle name="Total 5 5 4" xfId="14136" xr:uid="{00000000-0005-0000-0000-000034370000}"/>
    <cellStyle name="Total 5 6" xfId="1139" xr:uid="{00000000-0005-0000-0000-000035370000}"/>
    <cellStyle name="Total 5 6 2" xfId="6674" xr:uid="{00000000-0005-0000-0000-000036370000}"/>
    <cellStyle name="Total 5 6 2 2" xfId="14140" xr:uid="{00000000-0005-0000-0000-000037370000}"/>
    <cellStyle name="Total 5 6 3" xfId="7881" xr:uid="{00000000-0005-0000-0000-000038370000}"/>
    <cellStyle name="Total 5 6 3 2" xfId="14141" xr:uid="{00000000-0005-0000-0000-000039370000}"/>
    <cellStyle name="Total 5 6 4" xfId="14139" xr:uid="{00000000-0005-0000-0000-00003A370000}"/>
    <cellStyle name="Total 5 7" xfId="1140" xr:uid="{00000000-0005-0000-0000-00003B370000}"/>
    <cellStyle name="Total 5 7 2" xfId="6675" xr:uid="{00000000-0005-0000-0000-00003C370000}"/>
    <cellStyle name="Total 5 7 2 2" xfId="14143" xr:uid="{00000000-0005-0000-0000-00003D370000}"/>
    <cellStyle name="Total 5 7 3" xfId="7882" xr:uid="{00000000-0005-0000-0000-00003E370000}"/>
    <cellStyle name="Total 5 7 3 2" xfId="14144" xr:uid="{00000000-0005-0000-0000-00003F370000}"/>
    <cellStyle name="Total 5 7 4" xfId="14142" xr:uid="{00000000-0005-0000-0000-000040370000}"/>
    <cellStyle name="Total 5 8" xfId="6676" xr:uid="{00000000-0005-0000-0000-000041370000}"/>
    <cellStyle name="Total 5 8 2" xfId="8676" xr:uid="{00000000-0005-0000-0000-000042370000}"/>
    <cellStyle name="Total 5 8 2 2" xfId="14146" xr:uid="{00000000-0005-0000-0000-000043370000}"/>
    <cellStyle name="Total 5 8 3" xfId="7883" xr:uid="{00000000-0005-0000-0000-000044370000}"/>
    <cellStyle name="Total 5 8 3 2" xfId="14147" xr:uid="{00000000-0005-0000-0000-000045370000}"/>
    <cellStyle name="Total 5 8 4" xfId="14145" xr:uid="{00000000-0005-0000-0000-000046370000}"/>
    <cellStyle name="Total 5 9" xfId="6677" xr:uid="{00000000-0005-0000-0000-000047370000}"/>
    <cellStyle name="Total 5 9 2" xfId="8677" xr:uid="{00000000-0005-0000-0000-000048370000}"/>
    <cellStyle name="Total 5 9 2 2" xfId="14149" xr:uid="{00000000-0005-0000-0000-000049370000}"/>
    <cellStyle name="Total 5 9 3" xfId="7884" xr:uid="{00000000-0005-0000-0000-00004A370000}"/>
    <cellStyle name="Total 5 9 3 2" xfId="14150" xr:uid="{00000000-0005-0000-0000-00004B370000}"/>
    <cellStyle name="Total 5 9 4" xfId="14148" xr:uid="{00000000-0005-0000-0000-00004C370000}"/>
    <cellStyle name="Total 50" xfId="6678" xr:uid="{00000000-0005-0000-0000-00004D370000}"/>
    <cellStyle name="Total 50 2" xfId="14151" xr:uid="{00000000-0005-0000-0000-00004E370000}"/>
    <cellStyle name="Total 51" xfId="6679" xr:uid="{00000000-0005-0000-0000-00004F370000}"/>
    <cellStyle name="Total 51 2" xfId="14152" xr:uid="{00000000-0005-0000-0000-000050370000}"/>
    <cellStyle name="Total 52" xfId="6680" xr:uid="{00000000-0005-0000-0000-000051370000}"/>
    <cellStyle name="Total 52 2" xfId="14153" xr:uid="{00000000-0005-0000-0000-000052370000}"/>
    <cellStyle name="Total 53" xfId="6681" xr:uid="{00000000-0005-0000-0000-000053370000}"/>
    <cellStyle name="Total 53 2" xfId="14154" xr:uid="{00000000-0005-0000-0000-000054370000}"/>
    <cellStyle name="Total 54" xfId="6682" xr:uid="{00000000-0005-0000-0000-000055370000}"/>
    <cellStyle name="Total 54 2" xfId="14155" xr:uid="{00000000-0005-0000-0000-000056370000}"/>
    <cellStyle name="Total 55" xfId="6683" xr:uid="{00000000-0005-0000-0000-000057370000}"/>
    <cellStyle name="Total 55 2" xfId="14156" xr:uid="{00000000-0005-0000-0000-000058370000}"/>
    <cellStyle name="Total 56" xfId="6684" xr:uid="{00000000-0005-0000-0000-000059370000}"/>
    <cellStyle name="Total 56 2" xfId="14157" xr:uid="{00000000-0005-0000-0000-00005A370000}"/>
    <cellStyle name="Total 57" xfId="6685" xr:uid="{00000000-0005-0000-0000-00005B370000}"/>
    <cellStyle name="Total 57 2" xfId="14158" xr:uid="{00000000-0005-0000-0000-00005C370000}"/>
    <cellStyle name="Total 58" xfId="6686" xr:uid="{00000000-0005-0000-0000-00005D370000}"/>
    <cellStyle name="Total 58 2" xfId="14159" xr:uid="{00000000-0005-0000-0000-00005E370000}"/>
    <cellStyle name="Total 59" xfId="6687" xr:uid="{00000000-0005-0000-0000-00005F370000}"/>
    <cellStyle name="Total 59 2" xfId="14160" xr:uid="{00000000-0005-0000-0000-000060370000}"/>
    <cellStyle name="Total 6" xfId="1141" xr:uid="{00000000-0005-0000-0000-000061370000}"/>
    <cellStyle name="Total 6 10" xfId="6689" xr:uid="{00000000-0005-0000-0000-000062370000}"/>
    <cellStyle name="Total 6 10 2" xfId="14162" xr:uid="{00000000-0005-0000-0000-000063370000}"/>
    <cellStyle name="Total 6 11" xfId="6688" xr:uid="{00000000-0005-0000-0000-000064370000}"/>
    <cellStyle name="Total 6 11 2" xfId="14163" xr:uid="{00000000-0005-0000-0000-000065370000}"/>
    <cellStyle name="Total 6 12" xfId="7885" xr:uid="{00000000-0005-0000-0000-000066370000}"/>
    <cellStyle name="Total 6 12 2" xfId="14164" xr:uid="{00000000-0005-0000-0000-000067370000}"/>
    <cellStyle name="Total 6 13" xfId="14161" xr:uid="{00000000-0005-0000-0000-000068370000}"/>
    <cellStyle name="Total 6 2" xfId="1142" xr:uid="{00000000-0005-0000-0000-000069370000}"/>
    <cellStyle name="Total 6 2 2" xfId="6690" xr:uid="{00000000-0005-0000-0000-00006A370000}"/>
    <cellStyle name="Total 6 2 2 2" xfId="14166" xr:uid="{00000000-0005-0000-0000-00006B370000}"/>
    <cellStyle name="Total 6 2 3" xfId="7886" xr:uid="{00000000-0005-0000-0000-00006C370000}"/>
    <cellStyle name="Total 6 2 3 2" xfId="14167" xr:uid="{00000000-0005-0000-0000-00006D370000}"/>
    <cellStyle name="Total 6 2 4" xfId="14165" xr:uid="{00000000-0005-0000-0000-00006E370000}"/>
    <cellStyle name="Total 6 3" xfId="1143" xr:uid="{00000000-0005-0000-0000-00006F370000}"/>
    <cellStyle name="Total 6 3 2" xfId="6691" xr:uid="{00000000-0005-0000-0000-000070370000}"/>
    <cellStyle name="Total 6 3 2 2" xfId="14169" xr:uid="{00000000-0005-0000-0000-000071370000}"/>
    <cellStyle name="Total 6 3 3" xfId="7887" xr:uid="{00000000-0005-0000-0000-000072370000}"/>
    <cellStyle name="Total 6 3 3 2" xfId="14170" xr:uid="{00000000-0005-0000-0000-000073370000}"/>
    <cellStyle name="Total 6 3 4" xfId="14168" xr:uid="{00000000-0005-0000-0000-000074370000}"/>
    <cellStyle name="Total 6 4" xfId="1144" xr:uid="{00000000-0005-0000-0000-000075370000}"/>
    <cellStyle name="Total 6 4 2" xfId="6692" xr:uid="{00000000-0005-0000-0000-000076370000}"/>
    <cellStyle name="Total 6 4 2 2" xfId="14172" xr:uid="{00000000-0005-0000-0000-000077370000}"/>
    <cellStyle name="Total 6 4 3" xfId="7888" xr:uid="{00000000-0005-0000-0000-000078370000}"/>
    <cellStyle name="Total 6 4 3 2" xfId="14173" xr:uid="{00000000-0005-0000-0000-000079370000}"/>
    <cellStyle name="Total 6 4 4" xfId="14171" xr:uid="{00000000-0005-0000-0000-00007A370000}"/>
    <cellStyle name="Total 6 5" xfId="1145" xr:uid="{00000000-0005-0000-0000-00007B370000}"/>
    <cellStyle name="Total 6 5 2" xfId="6693" xr:uid="{00000000-0005-0000-0000-00007C370000}"/>
    <cellStyle name="Total 6 5 2 2" xfId="14175" xr:uid="{00000000-0005-0000-0000-00007D370000}"/>
    <cellStyle name="Total 6 5 3" xfId="7889" xr:uid="{00000000-0005-0000-0000-00007E370000}"/>
    <cellStyle name="Total 6 5 3 2" xfId="14176" xr:uid="{00000000-0005-0000-0000-00007F370000}"/>
    <cellStyle name="Total 6 5 4" xfId="14174" xr:uid="{00000000-0005-0000-0000-000080370000}"/>
    <cellStyle name="Total 6 6" xfId="1146" xr:uid="{00000000-0005-0000-0000-000081370000}"/>
    <cellStyle name="Total 6 6 2" xfId="6694" xr:uid="{00000000-0005-0000-0000-000082370000}"/>
    <cellStyle name="Total 6 6 2 2" xfId="14178" xr:uid="{00000000-0005-0000-0000-000083370000}"/>
    <cellStyle name="Total 6 6 3" xfId="7890" xr:uid="{00000000-0005-0000-0000-000084370000}"/>
    <cellStyle name="Total 6 6 3 2" xfId="14179" xr:uid="{00000000-0005-0000-0000-000085370000}"/>
    <cellStyle name="Total 6 6 4" xfId="14177" xr:uid="{00000000-0005-0000-0000-000086370000}"/>
    <cellStyle name="Total 6 7" xfId="1147" xr:uid="{00000000-0005-0000-0000-000087370000}"/>
    <cellStyle name="Total 6 7 2" xfId="6695" xr:uid="{00000000-0005-0000-0000-000088370000}"/>
    <cellStyle name="Total 6 7 2 2" xfId="14181" xr:uid="{00000000-0005-0000-0000-000089370000}"/>
    <cellStyle name="Total 6 7 3" xfId="7891" xr:uid="{00000000-0005-0000-0000-00008A370000}"/>
    <cellStyle name="Total 6 7 3 2" xfId="14182" xr:uid="{00000000-0005-0000-0000-00008B370000}"/>
    <cellStyle name="Total 6 7 4" xfId="14180" xr:uid="{00000000-0005-0000-0000-00008C370000}"/>
    <cellStyle name="Total 6 8" xfId="6696" xr:uid="{00000000-0005-0000-0000-00008D370000}"/>
    <cellStyle name="Total 6 8 2" xfId="8678" xr:uid="{00000000-0005-0000-0000-00008E370000}"/>
    <cellStyle name="Total 6 8 2 2" xfId="14184" xr:uid="{00000000-0005-0000-0000-00008F370000}"/>
    <cellStyle name="Total 6 8 3" xfId="7892" xr:uid="{00000000-0005-0000-0000-000090370000}"/>
    <cellStyle name="Total 6 8 3 2" xfId="14185" xr:uid="{00000000-0005-0000-0000-000091370000}"/>
    <cellStyle name="Total 6 8 4" xfId="14183" xr:uid="{00000000-0005-0000-0000-000092370000}"/>
    <cellStyle name="Total 6 9" xfId="6697" xr:uid="{00000000-0005-0000-0000-000093370000}"/>
    <cellStyle name="Total 6 9 2" xfId="8679" xr:uid="{00000000-0005-0000-0000-000094370000}"/>
    <cellStyle name="Total 6 9 2 2" xfId="14187" xr:uid="{00000000-0005-0000-0000-000095370000}"/>
    <cellStyle name="Total 6 9 3" xfId="7893" xr:uid="{00000000-0005-0000-0000-000096370000}"/>
    <cellStyle name="Total 6 9 3 2" xfId="14188" xr:uid="{00000000-0005-0000-0000-000097370000}"/>
    <cellStyle name="Total 6 9 4" xfId="14186" xr:uid="{00000000-0005-0000-0000-000098370000}"/>
    <cellStyle name="Total 60" xfId="6698" xr:uid="{00000000-0005-0000-0000-000099370000}"/>
    <cellStyle name="Total 60 2" xfId="14189" xr:uid="{00000000-0005-0000-0000-00009A370000}"/>
    <cellStyle name="Total 61" xfId="6699" xr:uid="{00000000-0005-0000-0000-00009B370000}"/>
    <cellStyle name="Total 61 2" xfId="14190" xr:uid="{00000000-0005-0000-0000-00009C370000}"/>
    <cellStyle name="Total 62" xfId="6700" xr:uid="{00000000-0005-0000-0000-00009D370000}"/>
    <cellStyle name="Total 62 2" xfId="14191" xr:uid="{00000000-0005-0000-0000-00009E370000}"/>
    <cellStyle name="Total 63" xfId="6701" xr:uid="{00000000-0005-0000-0000-00009F370000}"/>
    <cellStyle name="Total 63 2" xfId="14192" xr:uid="{00000000-0005-0000-0000-0000A0370000}"/>
    <cellStyle name="Total 64" xfId="6702" xr:uid="{00000000-0005-0000-0000-0000A1370000}"/>
    <cellStyle name="Total 64 2" xfId="14193" xr:uid="{00000000-0005-0000-0000-0000A2370000}"/>
    <cellStyle name="Total 65" xfId="6703" xr:uid="{00000000-0005-0000-0000-0000A3370000}"/>
    <cellStyle name="Total 65 2" xfId="14194" xr:uid="{00000000-0005-0000-0000-0000A4370000}"/>
    <cellStyle name="Total 66" xfId="6704" xr:uid="{00000000-0005-0000-0000-0000A5370000}"/>
    <cellStyle name="Total 66 2" xfId="14195" xr:uid="{00000000-0005-0000-0000-0000A6370000}"/>
    <cellStyle name="Total 67" xfId="6705" xr:uid="{00000000-0005-0000-0000-0000A7370000}"/>
    <cellStyle name="Total 67 2" xfId="14196" xr:uid="{00000000-0005-0000-0000-0000A8370000}"/>
    <cellStyle name="Total 68" xfId="6706" xr:uid="{00000000-0005-0000-0000-0000A9370000}"/>
    <cellStyle name="Total 68 2" xfId="14197" xr:uid="{00000000-0005-0000-0000-0000AA370000}"/>
    <cellStyle name="Total 69" xfId="6707" xr:uid="{00000000-0005-0000-0000-0000AB370000}"/>
    <cellStyle name="Total 69 2" xfId="14198" xr:uid="{00000000-0005-0000-0000-0000AC370000}"/>
    <cellStyle name="Total 7" xfId="1148" xr:uid="{00000000-0005-0000-0000-0000AD370000}"/>
    <cellStyle name="Total 7 10" xfId="6709" xr:uid="{00000000-0005-0000-0000-0000AE370000}"/>
    <cellStyle name="Total 7 10 2" xfId="14200" xr:uid="{00000000-0005-0000-0000-0000AF370000}"/>
    <cellStyle name="Total 7 11" xfId="6708" xr:uid="{00000000-0005-0000-0000-0000B0370000}"/>
    <cellStyle name="Total 7 11 2" xfId="14201" xr:uid="{00000000-0005-0000-0000-0000B1370000}"/>
    <cellStyle name="Total 7 12" xfId="7894" xr:uid="{00000000-0005-0000-0000-0000B2370000}"/>
    <cellStyle name="Total 7 12 2" xfId="14202" xr:uid="{00000000-0005-0000-0000-0000B3370000}"/>
    <cellStyle name="Total 7 13" xfId="14199" xr:uid="{00000000-0005-0000-0000-0000B4370000}"/>
    <cellStyle name="Total 7 2" xfId="1149" xr:uid="{00000000-0005-0000-0000-0000B5370000}"/>
    <cellStyle name="Total 7 2 2" xfId="6710" xr:uid="{00000000-0005-0000-0000-0000B6370000}"/>
    <cellStyle name="Total 7 2 2 2" xfId="14204" xr:uid="{00000000-0005-0000-0000-0000B7370000}"/>
    <cellStyle name="Total 7 2 3" xfId="7895" xr:uid="{00000000-0005-0000-0000-0000B8370000}"/>
    <cellStyle name="Total 7 2 3 2" xfId="14205" xr:uid="{00000000-0005-0000-0000-0000B9370000}"/>
    <cellStyle name="Total 7 2 4" xfId="14203" xr:uid="{00000000-0005-0000-0000-0000BA370000}"/>
    <cellStyle name="Total 7 3" xfId="1150" xr:uid="{00000000-0005-0000-0000-0000BB370000}"/>
    <cellStyle name="Total 7 3 2" xfId="6711" xr:uid="{00000000-0005-0000-0000-0000BC370000}"/>
    <cellStyle name="Total 7 3 2 2" xfId="14207" xr:uid="{00000000-0005-0000-0000-0000BD370000}"/>
    <cellStyle name="Total 7 3 3" xfId="7896" xr:uid="{00000000-0005-0000-0000-0000BE370000}"/>
    <cellStyle name="Total 7 3 3 2" xfId="14208" xr:uid="{00000000-0005-0000-0000-0000BF370000}"/>
    <cellStyle name="Total 7 3 4" xfId="14206" xr:uid="{00000000-0005-0000-0000-0000C0370000}"/>
    <cellStyle name="Total 7 4" xfId="1151" xr:uid="{00000000-0005-0000-0000-0000C1370000}"/>
    <cellStyle name="Total 7 4 2" xfId="6712" xr:uid="{00000000-0005-0000-0000-0000C2370000}"/>
    <cellStyle name="Total 7 4 2 2" xfId="14210" xr:uid="{00000000-0005-0000-0000-0000C3370000}"/>
    <cellStyle name="Total 7 4 3" xfId="7897" xr:uid="{00000000-0005-0000-0000-0000C4370000}"/>
    <cellStyle name="Total 7 4 3 2" xfId="14211" xr:uid="{00000000-0005-0000-0000-0000C5370000}"/>
    <cellStyle name="Total 7 4 4" xfId="14209" xr:uid="{00000000-0005-0000-0000-0000C6370000}"/>
    <cellStyle name="Total 7 5" xfId="1152" xr:uid="{00000000-0005-0000-0000-0000C7370000}"/>
    <cellStyle name="Total 7 5 2" xfId="6713" xr:uid="{00000000-0005-0000-0000-0000C8370000}"/>
    <cellStyle name="Total 7 5 2 2" xfId="14213" xr:uid="{00000000-0005-0000-0000-0000C9370000}"/>
    <cellStyle name="Total 7 5 3" xfId="7898" xr:uid="{00000000-0005-0000-0000-0000CA370000}"/>
    <cellStyle name="Total 7 5 3 2" xfId="14214" xr:uid="{00000000-0005-0000-0000-0000CB370000}"/>
    <cellStyle name="Total 7 5 4" xfId="14212" xr:uid="{00000000-0005-0000-0000-0000CC370000}"/>
    <cellStyle name="Total 7 6" xfId="1153" xr:uid="{00000000-0005-0000-0000-0000CD370000}"/>
    <cellStyle name="Total 7 6 2" xfId="6714" xr:uid="{00000000-0005-0000-0000-0000CE370000}"/>
    <cellStyle name="Total 7 6 2 2" xfId="14216" xr:uid="{00000000-0005-0000-0000-0000CF370000}"/>
    <cellStyle name="Total 7 6 3" xfId="7899" xr:uid="{00000000-0005-0000-0000-0000D0370000}"/>
    <cellStyle name="Total 7 6 3 2" xfId="14217" xr:uid="{00000000-0005-0000-0000-0000D1370000}"/>
    <cellStyle name="Total 7 6 4" xfId="14215" xr:uid="{00000000-0005-0000-0000-0000D2370000}"/>
    <cellStyle name="Total 7 7" xfId="1154" xr:uid="{00000000-0005-0000-0000-0000D3370000}"/>
    <cellStyle name="Total 7 7 2" xfId="6715" xr:uid="{00000000-0005-0000-0000-0000D4370000}"/>
    <cellStyle name="Total 7 7 2 2" xfId="14219" xr:uid="{00000000-0005-0000-0000-0000D5370000}"/>
    <cellStyle name="Total 7 7 3" xfId="7900" xr:uid="{00000000-0005-0000-0000-0000D6370000}"/>
    <cellStyle name="Total 7 7 3 2" xfId="14220" xr:uid="{00000000-0005-0000-0000-0000D7370000}"/>
    <cellStyle name="Total 7 7 4" xfId="14218" xr:uid="{00000000-0005-0000-0000-0000D8370000}"/>
    <cellStyle name="Total 7 8" xfId="6716" xr:uid="{00000000-0005-0000-0000-0000D9370000}"/>
    <cellStyle name="Total 7 8 2" xfId="8680" xr:uid="{00000000-0005-0000-0000-0000DA370000}"/>
    <cellStyle name="Total 7 8 2 2" xfId="14222" xr:uid="{00000000-0005-0000-0000-0000DB370000}"/>
    <cellStyle name="Total 7 8 3" xfId="7901" xr:uid="{00000000-0005-0000-0000-0000DC370000}"/>
    <cellStyle name="Total 7 8 3 2" xfId="14223" xr:uid="{00000000-0005-0000-0000-0000DD370000}"/>
    <cellStyle name="Total 7 8 4" xfId="14221" xr:uid="{00000000-0005-0000-0000-0000DE370000}"/>
    <cellStyle name="Total 7 9" xfId="6717" xr:uid="{00000000-0005-0000-0000-0000DF370000}"/>
    <cellStyle name="Total 7 9 2" xfId="8681" xr:uid="{00000000-0005-0000-0000-0000E0370000}"/>
    <cellStyle name="Total 7 9 2 2" xfId="14225" xr:uid="{00000000-0005-0000-0000-0000E1370000}"/>
    <cellStyle name="Total 7 9 3" xfId="7902" xr:uid="{00000000-0005-0000-0000-0000E2370000}"/>
    <cellStyle name="Total 7 9 3 2" xfId="14226" xr:uid="{00000000-0005-0000-0000-0000E3370000}"/>
    <cellStyle name="Total 7 9 4" xfId="14224" xr:uid="{00000000-0005-0000-0000-0000E4370000}"/>
    <cellStyle name="Total 70" xfId="6718" xr:uid="{00000000-0005-0000-0000-0000E5370000}"/>
    <cellStyle name="Total 70 2" xfId="14227" xr:uid="{00000000-0005-0000-0000-0000E6370000}"/>
    <cellStyle name="Total 71" xfId="6719" xr:uid="{00000000-0005-0000-0000-0000E7370000}"/>
    <cellStyle name="Total 71 2" xfId="14228" xr:uid="{00000000-0005-0000-0000-0000E8370000}"/>
    <cellStyle name="Total 72" xfId="6720" xr:uid="{00000000-0005-0000-0000-0000E9370000}"/>
    <cellStyle name="Total 72 2" xfId="14229" xr:uid="{00000000-0005-0000-0000-0000EA370000}"/>
    <cellStyle name="Total 73" xfId="6721" xr:uid="{00000000-0005-0000-0000-0000EB370000}"/>
    <cellStyle name="Total 73 2" xfId="14230" xr:uid="{00000000-0005-0000-0000-0000EC370000}"/>
    <cellStyle name="Total 74" xfId="6722" xr:uid="{00000000-0005-0000-0000-0000ED370000}"/>
    <cellStyle name="Total 74 2" xfId="14231" xr:uid="{00000000-0005-0000-0000-0000EE370000}"/>
    <cellStyle name="Total 75" xfId="6723" xr:uid="{00000000-0005-0000-0000-0000EF370000}"/>
    <cellStyle name="Total 75 2" xfId="14232" xr:uid="{00000000-0005-0000-0000-0000F0370000}"/>
    <cellStyle name="Total 76" xfId="6724" xr:uid="{00000000-0005-0000-0000-0000F1370000}"/>
    <cellStyle name="Total 76 2" xfId="14233" xr:uid="{00000000-0005-0000-0000-0000F2370000}"/>
    <cellStyle name="Total 77" xfId="6725" xr:uid="{00000000-0005-0000-0000-0000F3370000}"/>
    <cellStyle name="Total 77 2" xfId="14234" xr:uid="{00000000-0005-0000-0000-0000F4370000}"/>
    <cellStyle name="Total 78" xfId="6726" xr:uid="{00000000-0005-0000-0000-0000F5370000}"/>
    <cellStyle name="Total 78 2" xfId="14235" xr:uid="{00000000-0005-0000-0000-0000F6370000}"/>
    <cellStyle name="Total 79" xfId="6727" xr:uid="{00000000-0005-0000-0000-0000F7370000}"/>
    <cellStyle name="Total 79 2" xfId="14236" xr:uid="{00000000-0005-0000-0000-0000F8370000}"/>
    <cellStyle name="Total 8" xfId="1155" xr:uid="{00000000-0005-0000-0000-0000F9370000}"/>
    <cellStyle name="Total 8 10" xfId="6729" xr:uid="{00000000-0005-0000-0000-0000FA370000}"/>
    <cellStyle name="Total 8 10 2" xfId="14238" xr:uid="{00000000-0005-0000-0000-0000FB370000}"/>
    <cellStyle name="Total 8 11" xfId="6728" xr:uid="{00000000-0005-0000-0000-0000FC370000}"/>
    <cellStyle name="Total 8 11 2" xfId="14239" xr:uid="{00000000-0005-0000-0000-0000FD370000}"/>
    <cellStyle name="Total 8 12" xfId="7903" xr:uid="{00000000-0005-0000-0000-0000FE370000}"/>
    <cellStyle name="Total 8 12 2" xfId="14240" xr:uid="{00000000-0005-0000-0000-0000FF370000}"/>
    <cellStyle name="Total 8 13" xfId="14237" xr:uid="{00000000-0005-0000-0000-000000380000}"/>
    <cellStyle name="Total 8 2" xfId="1156" xr:uid="{00000000-0005-0000-0000-000001380000}"/>
    <cellStyle name="Total 8 2 2" xfId="6730" xr:uid="{00000000-0005-0000-0000-000002380000}"/>
    <cellStyle name="Total 8 2 2 2" xfId="14242" xr:uid="{00000000-0005-0000-0000-000003380000}"/>
    <cellStyle name="Total 8 2 3" xfId="7904" xr:uid="{00000000-0005-0000-0000-000004380000}"/>
    <cellStyle name="Total 8 2 3 2" xfId="14243" xr:uid="{00000000-0005-0000-0000-000005380000}"/>
    <cellStyle name="Total 8 2 4" xfId="14241" xr:uid="{00000000-0005-0000-0000-000006380000}"/>
    <cellStyle name="Total 8 3" xfId="1157" xr:uid="{00000000-0005-0000-0000-000007380000}"/>
    <cellStyle name="Total 8 3 2" xfId="6731" xr:uid="{00000000-0005-0000-0000-000008380000}"/>
    <cellStyle name="Total 8 3 2 2" xfId="14245" xr:uid="{00000000-0005-0000-0000-000009380000}"/>
    <cellStyle name="Total 8 3 3" xfId="7905" xr:uid="{00000000-0005-0000-0000-00000A380000}"/>
    <cellStyle name="Total 8 3 3 2" xfId="14246" xr:uid="{00000000-0005-0000-0000-00000B380000}"/>
    <cellStyle name="Total 8 3 4" xfId="14244" xr:uid="{00000000-0005-0000-0000-00000C380000}"/>
    <cellStyle name="Total 8 4" xfId="1158" xr:uid="{00000000-0005-0000-0000-00000D380000}"/>
    <cellStyle name="Total 8 4 2" xfId="6732" xr:uid="{00000000-0005-0000-0000-00000E380000}"/>
    <cellStyle name="Total 8 4 2 2" xfId="14248" xr:uid="{00000000-0005-0000-0000-00000F380000}"/>
    <cellStyle name="Total 8 4 3" xfId="7906" xr:uid="{00000000-0005-0000-0000-000010380000}"/>
    <cellStyle name="Total 8 4 3 2" xfId="14249" xr:uid="{00000000-0005-0000-0000-000011380000}"/>
    <cellStyle name="Total 8 4 4" xfId="14247" xr:uid="{00000000-0005-0000-0000-000012380000}"/>
    <cellStyle name="Total 8 5" xfId="1159" xr:uid="{00000000-0005-0000-0000-000013380000}"/>
    <cellStyle name="Total 8 5 2" xfId="6733" xr:uid="{00000000-0005-0000-0000-000014380000}"/>
    <cellStyle name="Total 8 5 2 2" xfId="14251" xr:uid="{00000000-0005-0000-0000-000015380000}"/>
    <cellStyle name="Total 8 5 3" xfId="7907" xr:uid="{00000000-0005-0000-0000-000016380000}"/>
    <cellStyle name="Total 8 5 3 2" xfId="14252" xr:uid="{00000000-0005-0000-0000-000017380000}"/>
    <cellStyle name="Total 8 5 4" xfId="14250" xr:uid="{00000000-0005-0000-0000-000018380000}"/>
    <cellStyle name="Total 8 6" xfId="1160" xr:uid="{00000000-0005-0000-0000-000019380000}"/>
    <cellStyle name="Total 8 6 2" xfId="6734" xr:uid="{00000000-0005-0000-0000-00001A380000}"/>
    <cellStyle name="Total 8 6 2 2" xfId="14254" xr:uid="{00000000-0005-0000-0000-00001B380000}"/>
    <cellStyle name="Total 8 6 3" xfId="7908" xr:uid="{00000000-0005-0000-0000-00001C380000}"/>
    <cellStyle name="Total 8 6 3 2" xfId="14255" xr:uid="{00000000-0005-0000-0000-00001D380000}"/>
    <cellStyle name="Total 8 6 4" xfId="14253" xr:uid="{00000000-0005-0000-0000-00001E380000}"/>
    <cellStyle name="Total 8 7" xfId="1161" xr:uid="{00000000-0005-0000-0000-00001F380000}"/>
    <cellStyle name="Total 8 7 2" xfId="6735" xr:uid="{00000000-0005-0000-0000-000020380000}"/>
    <cellStyle name="Total 8 7 2 2" xfId="14257" xr:uid="{00000000-0005-0000-0000-000021380000}"/>
    <cellStyle name="Total 8 7 3" xfId="7909" xr:uid="{00000000-0005-0000-0000-000022380000}"/>
    <cellStyle name="Total 8 7 3 2" xfId="14258" xr:uid="{00000000-0005-0000-0000-000023380000}"/>
    <cellStyle name="Total 8 7 4" xfId="14256" xr:uid="{00000000-0005-0000-0000-000024380000}"/>
    <cellStyle name="Total 8 8" xfId="6736" xr:uid="{00000000-0005-0000-0000-000025380000}"/>
    <cellStyle name="Total 8 8 2" xfId="8682" xr:uid="{00000000-0005-0000-0000-000026380000}"/>
    <cellStyle name="Total 8 8 2 2" xfId="14260" xr:uid="{00000000-0005-0000-0000-000027380000}"/>
    <cellStyle name="Total 8 8 3" xfId="7910" xr:uid="{00000000-0005-0000-0000-000028380000}"/>
    <cellStyle name="Total 8 8 3 2" xfId="14261" xr:uid="{00000000-0005-0000-0000-000029380000}"/>
    <cellStyle name="Total 8 8 4" xfId="14259" xr:uid="{00000000-0005-0000-0000-00002A380000}"/>
    <cellStyle name="Total 8 9" xfId="6737" xr:uid="{00000000-0005-0000-0000-00002B380000}"/>
    <cellStyle name="Total 8 9 2" xfId="8683" xr:uid="{00000000-0005-0000-0000-00002C380000}"/>
    <cellStyle name="Total 8 9 2 2" xfId="14263" xr:uid="{00000000-0005-0000-0000-00002D380000}"/>
    <cellStyle name="Total 8 9 3" xfId="7911" xr:uid="{00000000-0005-0000-0000-00002E380000}"/>
    <cellStyle name="Total 8 9 3 2" xfId="14264" xr:uid="{00000000-0005-0000-0000-00002F380000}"/>
    <cellStyle name="Total 8 9 4" xfId="14262" xr:uid="{00000000-0005-0000-0000-000030380000}"/>
    <cellStyle name="Total 80" xfId="6738" xr:uid="{00000000-0005-0000-0000-000031380000}"/>
    <cellStyle name="Total 80 2" xfId="14265" xr:uid="{00000000-0005-0000-0000-000032380000}"/>
    <cellStyle name="Total 81" xfId="6739" xr:uid="{00000000-0005-0000-0000-000033380000}"/>
    <cellStyle name="Total 81 2" xfId="14266" xr:uid="{00000000-0005-0000-0000-000034380000}"/>
    <cellStyle name="Total 82" xfId="6740" xr:uid="{00000000-0005-0000-0000-000035380000}"/>
    <cellStyle name="Total 82 2" xfId="14267" xr:uid="{00000000-0005-0000-0000-000036380000}"/>
    <cellStyle name="Total 83" xfId="6741" xr:uid="{00000000-0005-0000-0000-000037380000}"/>
    <cellStyle name="Total 83 2" xfId="14268" xr:uid="{00000000-0005-0000-0000-000038380000}"/>
    <cellStyle name="Total 84" xfId="6742" xr:uid="{00000000-0005-0000-0000-000039380000}"/>
    <cellStyle name="Total 84 2" xfId="14269" xr:uid="{00000000-0005-0000-0000-00003A380000}"/>
    <cellStyle name="Total 85" xfId="6743" xr:uid="{00000000-0005-0000-0000-00003B380000}"/>
    <cellStyle name="Total 85 2" xfId="14270" xr:uid="{00000000-0005-0000-0000-00003C380000}"/>
    <cellStyle name="Total 86" xfId="6744" xr:uid="{00000000-0005-0000-0000-00003D380000}"/>
    <cellStyle name="Total 86 10" xfId="6745" xr:uid="{00000000-0005-0000-0000-00003E380000}"/>
    <cellStyle name="Total 86 10 2" xfId="14272" xr:uid="{00000000-0005-0000-0000-00003F380000}"/>
    <cellStyle name="Total 86 100" xfId="6746" xr:uid="{00000000-0005-0000-0000-000040380000}"/>
    <cellStyle name="Total 86 100 2" xfId="14273" xr:uid="{00000000-0005-0000-0000-000041380000}"/>
    <cellStyle name="Total 86 101" xfId="6747" xr:uid="{00000000-0005-0000-0000-000042380000}"/>
    <cellStyle name="Total 86 101 2" xfId="14274" xr:uid="{00000000-0005-0000-0000-000043380000}"/>
    <cellStyle name="Total 86 102" xfId="6748" xr:uid="{00000000-0005-0000-0000-000044380000}"/>
    <cellStyle name="Total 86 102 2" xfId="14275" xr:uid="{00000000-0005-0000-0000-000045380000}"/>
    <cellStyle name="Total 86 103" xfId="6749" xr:uid="{00000000-0005-0000-0000-000046380000}"/>
    <cellStyle name="Total 86 103 2" xfId="14276" xr:uid="{00000000-0005-0000-0000-000047380000}"/>
    <cellStyle name="Total 86 104" xfId="6750" xr:uid="{00000000-0005-0000-0000-000048380000}"/>
    <cellStyle name="Total 86 104 2" xfId="14277" xr:uid="{00000000-0005-0000-0000-000049380000}"/>
    <cellStyle name="Total 86 105" xfId="6751" xr:uid="{00000000-0005-0000-0000-00004A380000}"/>
    <cellStyle name="Total 86 105 2" xfId="14278" xr:uid="{00000000-0005-0000-0000-00004B380000}"/>
    <cellStyle name="Total 86 106" xfId="6752" xr:uid="{00000000-0005-0000-0000-00004C380000}"/>
    <cellStyle name="Total 86 106 2" xfId="14279" xr:uid="{00000000-0005-0000-0000-00004D380000}"/>
    <cellStyle name="Total 86 107" xfId="6753" xr:uid="{00000000-0005-0000-0000-00004E380000}"/>
    <cellStyle name="Total 86 107 2" xfId="14280" xr:uid="{00000000-0005-0000-0000-00004F380000}"/>
    <cellStyle name="Total 86 108" xfId="6754" xr:uid="{00000000-0005-0000-0000-000050380000}"/>
    <cellStyle name="Total 86 108 2" xfId="14281" xr:uid="{00000000-0005-0000-0000-000051380000}"/>
    <cellStyle name="Total 86 109" xfId="6755" xr:uid="{00000000-0005-0000-0000-000052380000}"/>
    <cellStyle name="Total 86 109 2" xfId="14282" xr:uid="{00000000-0005-0000-0000-000053380000}"/>
    <cellStyle name="Total 86 11" xfId="6756" xr:uid="{00000000-0005-0000-0000-000054380000}"/>
    <cellStyle name="Total 86 11 2" xfId="14283" xr:uid="{00000000-0005-0000-0000-000055380000}"/>
    <cellStyle name="Total 86 110" xfId="6757" xr:uid="{00000000-0005-0000-0000-000056380000}"/>
    <cellStyle name="Total 86 110 2" xfId="14284" xr:uid="{00000000-0005-0000-0000-000057380000}"/>
    <cellStyle name="Total 86 111" xfId="6758" xr:uid="{00000000-0005-0000-0000-000058380000}"/>
    <cellStyle name="Total 86 111 2" xfId="14285" xr:uid="{00000000-0005-0000-0000-000059380000}"/>
    <cellStyle name="Total 86 112" xfId="6759" xr:uid="{00000000-0005-0000-0000-00005A380000}"/>
    <cellStyle name="Total 86 112 2" xfId="14286" xr:uid="{00000000-0005-0000-0000-00005B380000}"/>
    <cellStyle name="Total 86 113" xfId="6760" xr:uid="{00000000-0005-0000-0000-00005C380000}"/>
    <cellStyle name="Total 86 113 2" xfId="14287" xr:uid="{00000000-0005-0000-0000-00005D380000}"/>
    <cellStyle name="Total 86 114" xfId="6761" xr:uid="{00000000-0005-0000-0000-00005E380000}"/>
    <cellStyle name="Total 86 114 2" xfId="14288" xr:uid="{00000000-0005-0000-0000-00005F380000}"/>
    <cellStyle name="Total 86 115" xfId="6762" xr:uid="{00000000-0005-0000-0000-000060380000}"/>
    <cellStyle name="Total 86 115 2" xfId="14289" xr:uid="{00000000-0005-0000-0000-000061380000}"/>
    <cellStyle name="Total 86 116" xfId="6763" xr:uid="{00000000-0005-0000-0000-000062380000}"/>
    <cellStyle name="Total 86 116 2" xfId="14290" xr:uid="{00000000-0005-0000-0000-000063380000}"/>
    <cellStyle name="Total 86 117" xfId="6764" xr:uid="{00000000-0005-0000-0000-000064380000}"/>
    <cellStyle name="Total 86 117 2" xfId="14291" xr:uid="{00000000-0005-0000-0000-000065380000}"/>
    <cellStyle name="Total 86 118" xfId="6765" xr:uid="{00000000-0005-0000-0000-000066380000}"/>
    <cellStyle name="Total 86 118 2" xfId="14292" xr:uid="{00000000-0005-0000-0000-000067380000}"/>
    <cellStyle name="Total 86 119" xfId="6766" xr:uid="{00000000-0005-0000-0000-000068380000}"/>
    <cellStyle name="Total 86 119 2" xfId="14293" xr:uid="{00000000-0005-0000-0000-000069380000}"/>
    <cellStyle name="Total 86 12" xfId="6767" xr:uid="{00000000-0005-0000-0000-00006A380000}"/>
    <cellStyle name="Total 86 12 2" xfId="14294" xr:uid="{00000000-0005-0000-0000-00006B380000}"/>
    <cellStyle name="Total 86 120" xfId="6768" xr:uid="{00000000-0005-0000-0000-00006C380000}"/>
    <cellStyle name="Total 86 120 2" xfId="14295" xr:uid="{00000000-0005-0000-0000-00006D380000}"/>
    <cellStyle name="Total 86 121" xfId="6769" xr:uid="{00000000-0005-0000-0000-00006E380000}"/>
    <cellStyle name="Total 86 121 2" xfId="14296" xr:uid="{00000000-0005-0000-0000-00006F380000}"/>
    <cellStyle name="Total 86 122" xfId="6770" xr:uid="{00000000-0005-0000-0000-000070380000}"/>
    <cellStyle name="Total 86 122 2" xfId="14297" xr:uid="{00000000-0005-0000-0000-000071380000}"/>
    <cellStyle name="Total 86 123" xfId="6771" xr:uid="{00000000-0005-0000-0000-000072380000}"/>
    <cellStyle name="Total 86 123 2" xfId="14298" xr:uid="{00000000-0005-0000-0000-000073380000}"/>
    <cellStyle name="Total 86 124" xfId="6772" xr:uid="{00000000-0005-0000-0000-000074380000}"/>
    <cellStyle name="Total 86 124 2" xfId="14299" xr:uid="{00000000-0005-0000-0000-000075380000}"/>
    <cellStyle name="Total 86 125" xfId="6773" xr:uid="{00000000-0005-0000-0000-000076380000}"/>
    <cellStyle name="Total 86 125 2" xfId="14300" xr:uid="{00000000-0005-0000-0000-000077380000}"/>
    <cellStyle name="Total 86 126" xfId="6774" xr:uid="{00000000-0005-0000-0000-000078380000}"/>
    <cellStyle name="Total 86 126 2" xfId="14301" xr:uid="{00000000-0005-0000-0000-000079380000}"/>
    <cellStyle name="Total 86 127" xfId="6775" xr:uid="{00000000-0005-0000-0000-00007A380000}"/>
    <cellStyle name="Total 86 127 2" xfId="14302" xr:uid="{00000000-0005-0000-0000-00007B380000}"/>
    <cellStyle name="Total 86 128" xfId="6776" xr:uid="{00000000-0005-0000-0000-00007C380000}"/>
    <cellStyle name="Total 86 128 2" xfId="14303" xr:uid="{00000000-0005-0000-0000-00007D380000}"/>
    <cellStyle name="Total 86 129" xfId="6777" xr:uid="{00000000-0005-0000-0000-00007E380000}"/>
    <cellStyle name="Total 86 129 2" xfId="14304" xr:uid="{00000000-0005-0000-0000-00007F380000}"/>
    <cellStyle name="Total 86 13" xfId="6778" xr:uid="{00000000-0005-0000-0000-000080380000}"/>
    <cellStyle name="Total 86 13 2" xfId="14305" xr:uid="{00000000-0005-0000-0000-000081380000}"/>
    <cellStyle name="Total 86 130" xfId="6779" xr:uid="{00000000-0005-0000-0000-000082380000}"/>
    <cellStyle name="Total 86 130 2" xfId="14306" xr:uid="{00000000-0005-0000-0000-000083380000}"/>
    <cellStyle name="Total 86 131" xfId="6780" xr:uid="{00000000-0005-0000-0000-000084380000}"/>
    <cellStyle name="Total 86 131 2" xfId="14307" xr:uid="{00000000-0005-0000-0000-000085380000}"/>
    <cellStyle name="Total 86 132" xfId="6781" xr:uid="{00000000-0005-0000-0000-000086380000}"/>
    <cellStyle name="Total 86 132 2" xfId="14308" xr:uid="{00000000-0005-0000-0000-000087380000}"/>
    <cellStyle name="Total 86 133" xfId="6782" xr:uid="{00000000-0005-0000-0000-000088380000}"/>
    <cellStyle name="Total 86 133 2" xfId="14309" xr:uid="{00000000-0005-0000-0000-000089380000}"/>
    <cellStyle name="Total 86 134" xfId="6783" xr:uid="{00000000-0005-0000-0000-00008A380000}"/>
    <cellStyle name="Total 86 134 2" xfId="14310" xr:uid="{00000000-0005-0000-0000-00008B380000}"/>
    <cellStyle name="Total 86 135" xfId="6784" xr:uid="{00000000-0005-0000-0000-00008C380000}"/>
    <cellStyle name="Total 86 135 2" xfId="14311" xr:uid="{00000000-0005-0000-0000-00008D380000}"/>
    <cellStyle name="Total 86 136" xfId="6785" xr:uid="{00000000-0005-0000-0000-00008E380000}"/>
    <cellStyle name="Total 86 136 2" xfId="14312" xr:uid="{00000000-0005-0000-0000-00008F380000}"/>
    <cellStyle name="Total 86 137" xfId="6786" xr:uid="{00000000-0005-0000-0000-000090380000}"/>
    <cellStyle name="Total 86 137 2" xfId="14313" xr:uid="{00000000-0005-0000-0000-000091380000}"/>
    <cellStyle name="Total 86 138" xfId="6787" xr:uid="{00000000-0005-0000-0000-000092380000}"/>
    <cellStyle name="Total 86 138 2" xfId="14314" xr:uid="{00000000-0005-0000-0000-000093380000}"/>
    <cellStyle name="Total 86 139" xfId="6788" xr:uid="{00000000-0005-0000-0000-000094380000}"/>
    <cellStyle name="Total 86 139 2" xfId="14315" xr:uid="{00000000-0005-0000-0000-000095380000}"/>
    <cellStyle name="Total 86 14" xfId="6789" xr:uid="{00000000-0005-0000-0000-000096380000}"/>
    <cellStyle name="Total 86 14 2" xfId="14316" xr:uid="{00000000-0005-0000-0000-000097380000}"/>
    <cellStyle name="Total 86 140" xfId="6790" xr:uid="{00000000-0005-0000-0000-000098380000}"/>
    <cellStyle name="Total 86 140 2" xfId="14317" xr:uid="{00000000-0005-0000-0000-000099380000}"/>
    <cellStyle name="Total 86 141" xfId="6791" xr:uid="{00000000-0005-0000-0000-00009A380000}"/>
    <cellStyle name="Total 86 141 2" xfId="14318" xr:uid="{00000000-0005-0000-0000-00009B380000}"/>
    <cellStyle name="Total 86 142" xfId="6792" xr:uid="{00000000-0005-0000-0000-00009C380000}"/>
    <cellStyle name="Total 86 142 2" xfId="14319" xr:uid="{00000000-0005-0000-0000-00009D380000}"/>
    <cellStyle name="Total 86 143" xfId="6793" xr:uid="{00000000-0005-0000-0000-00009E380000}"/>
    <cellStyle name="Total 86 143 2" xfId="14320" xr:uid="{00000000-0005-0000-0000-00009F380000}"/>
    <cellStyle name="Total 86 144" xfId="6794" xr:uid="{00000000-0005-0000-0000-0000A0380000}"/>
    <cellStyle name="Total 86 144 2" xfId="14321" xr:uid="{00000000-0005-0000-0000-0000A1380000}"/>
    <cellStyle name="Total 86 145" xfId="6795" xr:uid="{00000000-0005-0000-0000-0000A2380000}"/>
    <cellStyle name="Total 86 145 2" xfId="14322" xr:uid="{00000000-0005-0000-0000-0000A3380000}"/>
    <cellStyle name="Total 86 146" xfId="6796" xr:uid="{00000000-0005-0000-0000-0000A4380000}"/>
    <cellStyle name="Total 86 146 2" xfId="14323" xr:uid="{00000000-0005-0000-0000-0000A5380000}"/>
    <cellStyle name="Total 86 147" xfId="6797" xr:uid="{00000000-0005-0000-0000-0000A6380000}"/>
    <cellStyle name="Total 86 147 2" xfId="14324" xr:uid="{00000000-0005-0000-0000-0000A7380000}"/>
    <cellStyle name="Total 86 148" xfId="6798" xr:uid="{00000000-0005-0000-0000-0000A8380000}"/>
    <cellStyle name="Total 86 148 2" xfId="14325" xr:uid="{00000000-0005-0000-0000-0000A9380000}"/>
    <cellStyle name="Total 86 149" xfId="6799" xr:uid="{00000000-0005-0000-0000-0000AA380000}"/>
    <cellStyle name="Total 86 149 2" xfId="14326" xr:uid="{00000000-0005-0000-0000-0000AB380000}"/>
    <cellStyle name="Total 86 15" xfId="6800" xr:uid="{00000000-0005-0000-0000-0000AC380000}"/>
    <cellStyle name="Total 86 15 2" xfId="14327" xr:uid="{00000000-0005-0000-0000-0000AD380000}"/>
    <cellStyle name="Total 86 150" xfId="6801" xr:uid="{00000000-0005-0000-0000-0000AE380000}"/>
    <cellStyle name="Total 86 150 2" xfId="14328" xr:uid="{00000000-0005-0000-0000-0000AF380000}"/>
    <cellStyle name="Total 86 151" xfId="6802" xr:uid="{00000000-0005-0000-0000-0000B0380000}"/>
    <cellStyle name="Total 86 151 2" xfId="14329" xr:uid="{00000000-0005-0000-0000-0000B1380000}"/>
    <cellStyle name="Total 86 152" xfId="6803" xr:uid="{00000000-0005-0000-0000-0000B2380000}"/>
    <cellStyle name="Total 86 152 2" xfId="14330" xr:uid="{00000000-0005-0000-0000-0000B3380000}"/>
    <cellStyle name="Total 86 153" xfId="6804" xr:uid="{00000000-0005-0000-0000-0000B4380000}"/>
    <cellStyle name="Total 86 153 2" xfId="14331" xr:uid="{00000000-0005-0000-0000-0000B5380000}"/>
    <cellStyle name="Total 86 154" xfId="6805" xr:uid="{00000000-0005-0000-0000-0000B6380000}"/>
    <cellStyle name="Total 86 154 2" xfId="14332" xr:uid="{00000000-0005-0000-0000-0000B7380000}"/>
    <cellStyle name="Total 86 155" xfId="6806" xr:uid="{00000000-0005-0000-0000-0000B8380000}"/>
    <cellStyle name="Total 86 155 2" xfId="14333" xr:uid="{00000000-0005-0000-0000-0000B9380000}"/>
    <cellStyle name="Total 86 156" xfId="6807" xr:uid="{00000000-0005-0000-0000-0000BA380000}"/>
    <cellStyle name="Total 86 156 2" xfId="14334" xr:uid="{00000000-0005-0000-0000-0000BB380000}"/>
    <cellStyle name="Total 86 157" xfId="6808" xr:uid="{00000000-0005-0000-0000-0000BC380000}"/>
    <cellStyle name="Total 86 157 2" xfId="14335" xr:uid="{00000000-0005-0000-0000-0000BD380000}"/>
    <cellStyle name="Total 86 158" xfId="6809" xr:uid="{00000000-0005-0000-0000-0000BE380000}"/>
    <cellStyle name="Total 86 158 2" xfId="14336" xr:uid="{00000000-0005-0000-0000-0000BF380000}"/>
    <cellStyle name="Total 86 159" xfId="6810" xr:uid="{00000000-0005-0000-0000-0000C0380000}"/>
    <cellStyle name="Total 86 159 2" xfId="14337" xr:uid="{00000000-0005-0000-0000-0000C1380000}"/>
    <cellStyle name="Total 86 16" xfId="6811" xr:uid="{00000000-0005-0000-0000-0000C2380000}"/>
    <cellStyle name="Total 86 16 2" xfId="14338" xr:uid="{00000000-0005-0000-0000-0000C3380000}"/>
    <cellStyle name="Total 86 160" xfId="6812" xr:uid="{00000000-0005-0000-0000-0000C4380000}"/>
    <cellStyle name="Total 86 160 2" xfId="14339" xr:uid="{00000000-0005-0000-0000-0000C5380000}"/>
    <cellStyle name="Total 86 161" xfId="6813" xr:uid="{00000000-0005-0000-0000-0000C6380000}"/>
    <cellStyle name="Total 86 161 2" xfId="14340" xr:uid="{00000000-0005-0000-0000-0000C7380000}"/>
    <cellStyle name="Total 86 162" xfId="6814" xr:uid="{00000000-0005-0000-0000-0000C8380000}"/>
    <cellStyle name="Total 86 162 2" xfId="14341" xr:uid="{00000000-0005-0000-0000-0000C9380000}"/>
    <cellStyle name="Total 86 163" xfId="6815" xr:uid="{00000000-0005-0000-0000-0000CA380000}"/>
    <cellStyle name="Total 86 163 2" xfId="14342" xr:uid="{00000000-0005-0000-0000-0000CB380000}"/>
    <cellStyle name="Total 86 164" xfId="6816" xr:uid="{00000000-0005-0000-0000-0000CC380000}"/>
    <cellStyle name="Total 86 164 2" xfId="14343" xr:uid="{00000000-0005-0000-0000-0000CD380000}"/>
    <cellStyle name="Total 86 165" xfId="6817" xr:uid="{00000000-0005-0000-0000-0000CE380000}"/>
    <cellStyle name="Total 86 165 2" xfId="14344" xr:uid="{00000000-0005-0000-0000-0000CF380000}"/>
    <cellStyle name="Total 86 166" xfId="6818" xr:uid="{00000000-0005-0000-0000-0000D0380000}"/>
    <cellStyle name="Total 86 166 2" xfId="14345" xr:uid="{00000000-0005-0000-0000-0000D1380000}"/>
    <cellStyle name="Total 86 167" xfId="6819" xr:uid="{00000000-0005-0000-0000-0000D2380000}"/>
    <cellStyle name="Total 86 167 2" xfId="14346" xr:uid="{00000000-0005-0000-0000-0000D3380000}"/>
    <cellStyle name="Total 86 168" xfId="6820" xr:uid="{00000000-0005-0000-0000-0000D4380000}"/>
    <cellStyle name="Total 86 168 2" xfId="14347" xr:uid="{00000000-0005-0000-0000-0000D5380000}"/>
    <cellStyle name="Total 86 169" xfId="6821" xr:uid="{00000000-0005-0000-0000-0000D6380000}"/>
    <cellStyle name="Total 86 169 2" xfId="14348" xr:uid="{00000000-0005-0000-0000-0000D7380000}"/>
    <cellStyle name="Total 86 17" xfId="6822" xr:uid="{00000000-0005-0000-0000-0000D8380000}"/>
    <cellStyle name="Total 86 17 2" xfId="14349" xr:uid="{00000000-0005-0000-0000-0000D9380000}"/>
    <cellStyle name="Total 86 170" xfId="6823" xr:uid="{00000000-0005-0000-0000-0000DA380000}"/>
    <cellStyle name="Total 86 170 2" xfId="14350" xr:uid="{00000000-0005-0000-0000-0000DB380000}"/>
    <cellStyle name="Total 86 171" xfId="6824" xr:uid="{00000000-0005-0000-0000-0000DC380000}"/>
    <cellStyle name="Total 86 171 2" xfId="14351" xr:uid="{00000000-0005-0000-0000-0000DD380000}"/>
    <cellStyle name="Total 86 172" xfId="6825" xr:uid="{00000000-0005-0000-0000-0000DE380000}"/>
    <cellStyle name="Total 86 172 2" xfId="14352" xr:uid="{00000000-0005-0000-0000-0000DF380000}"/>
    <cellStyle name="Total 86 173" xfId="6826" xr:uid="{00000000-0005-0000-0000-0000E0380000}"/>
    <cellStyle name="Total 86 173 2" xfId="14353" xr:uid="{00000000-0005-0000-0000-0000E1380000}"/>
    <cellStyle name="Total 86 174" xfId="6827" xr:uid="{00000000-0005-0000-0000-0000E2380000}"/>
    <cellStyle name="Total 86 174 2" xfId="14354" xr:uid="{00000000-0005-0000-0000-0000E3380000}"/>
    <cellStyle name="Total 86 175" xfId="6828" xr:uid="{00000000-0005-0000-0000-0000E4380000}"/>
    <cellStyle name="Total 86 175 2" xfId="14355" xr:uid="{00000000-0005-0000-0000-0000E5380000}"/>
    <cellStyle name="Total 86 176" xfId="6829" xr:uid="{00000000-0005-0000-0000-0000E6380000}"/>
    <cellStyle name="Total 86 176 2" xfId="14356" xr:uid="{00000000-0005-0000-0000-0000E7380000}"/>
    <cellStyle name="Total 86 177" xfId="6830" xr:uid="{00000000-0005-0000-0000-0000E8380000}"/>
    <cellStyle name="Total 86 177 2" xfId="14357" xr:uid="{00000000-0005-0000-0000-0000E9380000}"/>
    <cellStyle name="Total 86 178" xfId="6831" xr:uid="{00000000-0005-0000-0000-0000EA380000}"/>
    <cellStyle name="Total 86 178 2" xfId="14358" xr:uid="{00000000-0005-0000-0000-0000EB380000}"/>
    <cellStyle name="Total 86 179" xfId="6832" xr:uid="{00000000-0005-0000-0000-0000EC380000}"/>
    <cellStyle name="Total 86 179 2" xfId="14359" xr:uid="{00000000-0005-0000-0000-0000ED380000}"/>
    <cellStyle name="Total 86 18" xfId="6833" xr:uid="{00000000-0005-0000-0000-0000EE380000}"/>
    <cellStyle name="Total 86 18 2" xfId="14360" xr:uid="{00000000-0005-0000-0000-0000EF380000}"/>
    <cellStyle name="Total 86 180" xfId="6834" xr:uid="{00000000-0005-0000-0000-0000F0380000}"/>
    <cellStyle name="Total 86 180 2" xfId="14361" xr:uid="{00000000-0005-0000-0000-0000F1380000}"/>
    <cellStyle name="Total 86 181" xfId="6835" xr:uid="{00000000-0005-0000-0000-0000F2380000}"/>
    <cellStyle name="Total 86 181 2" xfId="14362" xr:uid="{00000000-0005-0000-0000-0000F3380000}"/>
    <cellStyle name="Total 86 182" xfId="6836" xr:uid="{00000000-0005-0000-0000-0000F4380000}"/>
    <cellStyle name="Total 86 182 2" xfId="14363" xr:uid="{00000000-0005-0000-0000-0000F5380000}"/>
    <cellStyle name="Total 86 183" xfId="6837" xr:uid="{00000000-0005-0000-0000-0000F6380000}"/>
    <cellStyle name="Total 86 183 2" xfId="14364" xr:uid="{00000000-0005-0000-0000-0000F7380000}"/>
    <cellStyle name="Total 86 184" xfId="6838" xr:uid="{00000000-0005-0000-0000-0000F8380000}"/>
    <cellStyle name="Total 86 184 2" xfId="14365" xr:uid="{00000000-0005-0000-0000-0000F9380000}"/>
    <cellStyle name="Total 86 185" xfId="6839" xr:uid="{00000000-0005-0000-0000-0000FA380000}"/>
    <cellStyle name="Total 86 185 2" xfId="14366" xr:uid="{00000000-0005-0000-0000-0000FB380000}"/>
    <cellStyle name="Total 86 186" xfId="6840" xr:uid="{00000000-0005-0000-0000-0000FC380000}"/>
    <cellStyle name="Total 86 186 2" xfId="14367" xr:uid="{00000000-0005-0000-0000-0000FD380000}"/>
    <cellStyle name="Total 86 187" xfId="6841" xr:uid="{00000000-0005-0000-0000-0000FE380000}"/>
    <cellStyle name="Total 86 187 2" xfId="14368" xr:uid="{00000000-0005-0000-0000-0000FF380000}"/>
    <cellStyle name="Total 86 188" xfId="6842" xr:uid="{00000000-0005-0000-0000-000000390000}"/>
    <cellStyle name="Total 86 188 2" xfId="14369" xr:uid="{00000000-0005-0000-0000-000001390000}"/>
    <cellStyle name="Total 86 189" xfId="6843" xr:uid="{00000000-0005-0000-0000-000002390000}"/>
    <cellStyle name="Total 86 189 2" xfId="14370" xr:uid="{00000000-0005-0000-0000-000003390000}"/>
    <cellStyle name="Total 86 19" xfId="6844" xr:uid="{00000000-0005-0000-0000-000004390000}"/>
    <cellStyle name="Total 86 19 2" xfId="14371" xr:uid="{00000000-0005-0000-0000-000005390000}"/>
    <cellStyle name="Total 86 190" xfId="6845" xr:uid="{00000000-0005-0000-0000-000006390000}"/>
    <cellStyle name="Total 86 190 2" xfId="14372" xr:uid="{00000000-0005-0000-0000-000007390000}"/>
    <cellStyle name="Total 86 191" xfId="6846" xr:uid="{00000000-0005-0000-0000-000008390000}"/>
    <cellStyle name="Total 86 191 2" xfId="14373" xr:uid="{00000000-0005-0000-0000-000009390000}"/>
    <cellStyle name="Total 86 192" xfId="6847" xr:uid="{00000000-0005-0000-0000-00000A390000}"/>
    <cellStyle name="Total 86 192 2" xfId="14374" xr:uid="{00000000-0005-0000-0000-00000B390000}"/>
    <cellStyle name="Total 86 193" xfId="6848" xr:uid="{00000000-0005-0000-0000-00000C390000}"/>
    <cellStyle name="Total 86 193 2" xfId="14375" xr:uid="{00000000-0005-0000-0000-00000D390000}"/>
    <cellStyle name="Total 86 194" xfId="6849" xr:uid="{00000000-0005-0000-0000-00000E390000}"/>
    <cellStyle name="Total 86 194 2" xfId="14376" xr:uid="{00000000-0005-0000-0000-00000F390000}"/>
    <cellStyle name="Total 86 195" xfId="6850" xr:uid="{00000000-0005-0000-0000-000010390000}"/>
    <cellStyle name="Total 86 195 2" xfId="14377" xr:uid="{00000000-0005-0000-0000-000011390000}"/>
    <cellStyle name="Total 86 196" xfId="6851" xr:uid="{00000000-0005-0000-0000-000012390000}"/>
    <cellStyle name="Total 86 196 2" xfId="14378" xr:uid="{00000000-0005-0000-0000-000013390000}"/>
    <cellStyle name="Total 86 197" xfId="6852" xr:uid="{00000000-0005-0000-0000-000014390000}"/>
    <cellStyle name="Total 86 197 2" xfId="14379" xr:uid="{00000000-0005-0000-0000-000015390000}"/>
    <cellStyle name="Total 86 198" xfId="6853" xr:uid="{00000000-0005-0000-0000-000016390000}"/>
    <cellStyle name="Total 86 198 2" xfId="14380" xr:uid="{00000000-0005-0000-0000-000017390000}"/>
    <cellStyle name="Total 86 199" xfId="6854" xr:uid="{00000000-0005-0000-0000-000018390000}"/>
    <cellStyle name="Total 86 199 2" xfId="14381" xr:uid="{00000000-0005-0000-0000-000019390000}"/>
    <cellStyle name="Total 86 2" xfId="6855" xr:uid="{00000000-0005-0000-0000-00001A390000}"/>
    <cellStyle name="Total 86 2 2" xfId="14382" xr:uid="{00000000-0005-0000-0000-00001B390000}"/>
    <cellStyle name="Total 86 20" xfId="6856" xr:uid="{00000000-0005-0000-0000-00001C390000}"/>
    <cellStyle name="Total 86 20 2" xfId="14383" xr:uid="{00000000-0005-0000-0000-00001D390000}"/>
    <cellStyle name="Total 86 200" xfId="6857" xr:uid="{00000000-0005-0000-0000-00001E390000}"/>
    <cellStyle name="Total 86 200 2" xfId="14384" xr:uid="{00000000-0005-0000-0000-00001F390000}"/>
    <cellStyle name="Total 86 201" xfId="6858" xr:uid="{00000000-0005-0000-0000-000020390000}"/>
    <cellStyle name="Total 86 201 2" xfId="14385" xr:uid="{00000000-0005-0000-0000-000021390000}"/>
    <cellStyle name="Total 86 202" xfId="6859" xr:uid="{00000000-0005-0000-0000-000022390000}"/>
    <cellStyle name="Total 86 202 2" xfId="14386" xr:uid="{00000000-0005-0000-0000-000023390000}"/>
    <cellStyle name="Total 86 203" xfId="6860" xr:uid="{00000000-0005-0000-0000-000024390000}"/>
    <cellStyle name="Total 86 203 2" xfId="14387" xr:uid="{00000000-0005-0000-0000-000025390000}"/>
    <cellStyle name="Total 86 204" xfId="6861" xr:uid="{00000000-0005-0000-0000-000026390000}"/>
    <cellStyle name="Total 86 204 2" xfId="14388" xr:uid="{00000000-0005-0000-0000-000027390000}"/>
    <cellStyle name="Total 86 205" xfId="6862" xr:uid="{00000000-0005-0000-0000-000028390000}"/>
    <cellStyle name="Total 86 205 2" xfId="14389" xr:uid="{00000000-0005-0000-0000-000029390000}"/>
    <cellStyle name="Total 86 206" xfId="6863" xr:uid="{00000000-0005-0000-0000-00002A390000}"/>
    <cellStyle name="Total 86 206 2" xfId="14390" xr:uid="{00000000-0005-0000-0000-00002B390000}"/>
    <cellStyle name="Total 86 207" xfId="6864" xr:uid="{00000000-0005-0000-0000-00002C390000}"/>
    <cellStyle name="Total 86 207 2" xfId="14391" xr:uid="{00000000-0005-0000-0000-00002D390000}"/>
    <cellStyle name="Total 86 208" xfId="6865" xr:uid="{00000000-0005-0000-0000-00002E390000}"/>
    <cellStyle name="Total 86 208 2" xfId="14392" xr:uid="{00000000-0005-0000-0000-00002F390000}"/>
    <cellStyle name="Total 86 209" xfId="6866" xr:uid="{00000000-0005-0000-0000-000030390000}"/>
    <cellStyle name="Total 86 209 2" xfId="14393" xr:uid="{00000000-0005-0000-0000-000031390000}"/>
    <cellStyle name="Total 86 21" xfId="6867" xr:uid="{00000000-0005-0000-0000-000032390000}"/>
    <cellStyle name="Total 86 21 2" xfId="14394" xr:uid="{00000000-0005-0000-0000-000033390000}"/>
    <cellStyle name="Total 86 210" xfId="6868" xr:uid="{00000000-0005-0000-0000-000034390000}"/>
    <cellStyle name="Total 86 210 2" xfId="14395" xr:uid="{00000000-0005-0000-0000-000035390000}"/>
    <cellStyle name="Total 86 211" xfId="6869" xr:uid="{00000000-0005-0000-0000-000036390000}"/>
    <cellStyle name="Total 86 211 2" xfId="14396" xr:uid="{00000000-0005-0000-0000-000037390000}"/>
    <cellStyle name="Total 86 212" xfId="6870" xr:uid="{00000000-0005-0000-0000-000038390000}"/>
    <cellStyle name="Total 86 212 2" xfId="14397" xr:uid="{00000000-0005-0000-0000-000039390000}"/>
    <cellStyle name="Total 86 213" xfId="6871" xr:uid="{00000000-0005-0000-0000-00003A390000}"/>
    <cellStyle name="Total 86 213 2" xfId="14398" xr:uid="{00000000-0005-0000-0000-00003B390000}"/>
    <cellStyle name="Total 86 214" xfId="6872" xr:uid="{00000000-0005-0000-0000-00003C390000}"/>
    <cellStyle name="Total 86 214 2" xfId="14399" xr:uid="{00000000-0005-0000-0000-00003D390000}"/>
    <cellStyle name="Total 86 215" xfId="6873" xr:uid="{00000000-0005-0000-0000-00003E390000}"/>
    <cellStyle name="Total 86 215 2" xfId="14400" xr:uid="{00000000-0005-0000-0000-00003F390000}"/>
    <cellStyle name="Total 86 216" xfId="6874" xr:uid="{00000000-0005-0000-0000-000040390000}"/>
    <cellStyle name="Total 86 216 2" xfId="14401" xr:uid="{00000000-0005-0000-0000-000041390000}"/>
    <cellStyle name="Total 86 217" xfId="6875" xr:uid="{00000000-0005-0000-0000-000042390000}"/>
    <cellStyle name="Total 86 217 2" xfId="14402" xr:uid="{00000000-0005-0000-0000-000043390000}"/>
    <cellStyle name="Total 86 218" xfId="6876" xr:uid="{00000000-0005-0000-0000-000044390000}"/>
    <cellStyle name="Total 86 218 2" xfId="14403" xr:uid="{00000000-0005-0000-0000-000045390000}"/>
    <cellStyle name="Total 86 219" xfId="6877" xr:uid="{00000000-0005-0000-0000-000046390000}"/>
    <cellStyle name="Total 86 219 2" xfId="14404" xr:uid="{00000000-0005-0000-0000-000047390000}"/>
    <cellStyle name="Total 86 22" xfId="6878" xr:uid="{00000000-0005-0000-0000-000048390000}"/>
    <cellStyle name="Total 86 22 2" xfId="14405" xr:uid="{00000000-0005-0000-0000-000049390000}"/>
    <cellStyle name="Total 86 220" xfId="6879" xr:uid="{00000000-0005-0000-0000-00004A390000}"/>
    <cellStyle name="Total 86 220 2" xfId="14406" xr:uid="{00000000-0005-0000-0000-00004B390000}"/>
    <cellStyle name="Total 86 221" xfId="6880" xr:uid="{00000000-0005-0000-0000-00004C390000}"/>
    <cellStyle name="Total 86 221 2" xfId="14407" xr:uid="{00000000-0005-0000-0000-00004D390000}"/>
    <cellStyle name="Total 86 222" xfId="6881" xr:uid="{00000000-0005-0000-0000-00004E390000}"/>
    <cellStyle name="Total 86 222 2" xfId="14408" xr:uid="{00000000-0005-0000-0000-00004F390000}"/>
    <cellStyle name="Total 86 223" xfId="6882" xr:uid="{00000000-0005-0000-0000-000050390000}"/>
    <cellStyle name="Total 86 223 2" xfId="14409" xr:uid="{00000000-0005-0000-0000-000051390000}"/>
    <cellStyle name="Total 86 224" xfId="6883" xr:uid="{00000000-0005-0000-0000-000052390000}"/>
    <cellStyle name="Total 86 224 2" xfId="14410" xr:uid="{00000000-0005-0000-0000-000053390000}"/>
    <cellStyle name="Total 86 225" xfId="6884" xr:uid="{00000000-0005-0000-0000-000054390000}"/>
    <cellStyle name="Total 86 225 2" xfId="14411" xr:uid="{00000000-0005-0000-0000-000055390000}"/>
    <cellStyle name="Total 86 226" xfId="6885" xr:uid="{00000000-0005-0000-0000-000056390000}"/>
    <cellStyle name="Total 86 226 2" xfId="14412" xr:uid="{00000000-0005-0000-0000-000057390000}"/>
    <cellStyle name="Total 86 227" xfId="6886" xr:uid="{00000000-0005-0000-0000-000058390000}"/>
    <cellStyle name="Total 86 227 2" xfId="14413" xr:uid="{00000000-0005-0000-0000-000059390000}"/>
    <cellStyle name="Total 86 228" xfId="6887" xr:uid="{00000000-0005-0000-0000-00005A390000}"/>
    <cellStyle name="Total 86 228 2" xfId="14414" xr:uid="{00000000-0005-0000-0000-00005B390000}"/>
    <cellStyle name="Total 86 229" xfId="6888" xr:uid="{00000000-0005-0000-0000-00005C390000}"/>
    <cellStyle name="Total 86 229 2" xfId="14415" xr:uid="{00000000-0005-0000-0000-00005D390000}"/>
    <cellStyle name="Total 86 23" xfId="6889" xr:uid="{00000000-0005-0000-0000-00005E390000}"/>
    <cellStyle name="Total 86 23 2" xfId="14416" xr:uid="{00000000-0005-0000-0000-00005F390000}"/>
    <cellStyle name="Total 86 230" xfId="6890" xr:uid="{00000000-0005-0000-0000-000060390000}"/>
    <cellStyle name="Total 86 230 2" xfId="14417" xr:uid="{00000000-0005-0000-0000-000061390000}"/>
    <cellStyle name="Total 86 231" xfId="6891" xr:uid="{00000000-0005-0000-0000-000062390000}"/>
    <cellStyle name="Total 86 231 2" xfId="14418" xr:uid="{00000000-0005-0000-0000-000063390000}"/>
    <cellStyle name="Total 86 232" xfId="6892" xr:uid="{00000000-0005-0000-0000-000064390000}"/>
    <cellStyle name="Total 86 232 2" xfId="14419" xr:uid="{00000000-0005-0000-0000-000065390000}"/>
    <cellStyle name="Total 86 233" xfId="6893" xr:uid="{00000000-0005-0000-0000-000066390000}"/>
    <cellStyle name="Total 86 233 2" xfId="14420" xr:uid="{00000000-0005-0000-0000-000067390000}"/>
    <cellStyle name="Total 86 234" xfId="6894" xr:uid="{00000000-0005-0000-0000-000068390000}"/>
    <cellStyle name="Total 86 234 2" xfId="14421" xr:uid="{00000000-0005-0000-0000-000069390000}"/>
    <cellStyle name="Total 86 235" xfId="6895" xr:uid="{00000000-0005-0000-0000-00006A390000}"/>
    <cellStyle name="Total 86 235 2" xfId="14422" xr:uid="{00000000-0005-0000-0000-00006B390000}"/>
    <cellStyle name="Total 86 236" xfId="6896" xr:uid="{00000000-0005-0000-0000-00006C390000}"/>
    <cellStyle name="Total 86 236 2" xfId="14423" xr:uid="{00000000-0005-0000-0000-00006D390000}"/>
    <cellStyle name="Total 86 237" xfId="6897" xr:uid="{00000000-0005-0000-0000-00006E390000}"/>
    <cellStyle name="Total 86 237 2" xfId="14424" xr:uid="{00000000-0005-0000-0000-00006F390000}"/>
    <cellStyle name="Total 86 238" xfId="6898" xr:uid="{00000000-0005-0000-0000-000070390000}"/>
    <cellStyle name="Total 86 238 2" xfId="14425" xr:uid="{00000000-0005-0000-0000-000071390000}"/>
    <cellStyle name="Total 86 239" xfId="6899" xr:uid="{00000000-0005-0000-0000-000072390000}"/>
    <cellStyle name="Total 86 239 2" xfId="14426" xr:uid="{00000000-0005-0000-0000-000073390000}"/>
    <cellStyle name="Total 86 24" xfId="6900" xr:uid="{00000000-0005-0000-0000-000074390000}"/>
    <cellStyle name="Total 86 24 2" xfId="14427" xr:uid="{00000000-0005-0000-0000-000075390000}"/>
    <cellStyle name="Total 86 240" xfId="6901" xr:uid="{00000000-0005-0000-0000-000076390000}"/>
    <cellStyle name="Total 86 240 2" xfId="14428" xr:uid="{00000000-0005-0000-0000-000077390000}"/>
    <cellStyle name="Total 86 241" xfId="6902" xr:uid="{00000000-0005-0000-0000-000078390000}"/>
    <cellStyle name="Total 86 241 2" xfId="14429" xr:uid="{00000000-0005-0000-0000-000079390000}"/>
    <cellStyle name="Total 86 242" xfId="6903" xr:uid="{00000000-0005-0000-0000-00007A390000}"/>
    <cellStyle name="Total 86 242 2" xfId="14430" xr:uid="{00000000-0005-0000-0000-00007B390000}"/>
    <cellStyle name="Total 86 243" xfId="6904" xr:uid="{00000000-0005-0000-0000-00007C390000}"/>
    <cellStyle name="Total 86 243 2" xfId="14431" xr:uid="{00000000-0005-0000-0000-00007D390000}"/>
    <cellStyle name="Total 86 244" xfId="6905" xr:uid="{00000000-0005-0000-0000-00007E390000}"/>
    <cellStyle name="Total 86 244 2" xfId="14432" xr:uid="{00000000-0005-0000-0000-00007F390000}"/>
    <cellStyle name="Total 86 245" xfId="6906" xr:uid="{00000000-0005-0000-0000-000080390000}"/>
    <cellStyle name="Total 86 245 2" xfId="14433" xr:uid="{00000000-0005-0000-0000-000081390000}"/>
    <cellStyle name="Total 86 246" xfId="6907" xr:uid="{00000000-0005-0000-0000-000082390000}"/>
    <cellStyle name="Total 86 246 2" xfId="14434" xr:uid="{00000000-0005-0000-0000-000083390000}"/>
    <cellStyle name="Total 86 247" xfId="6908" xr:uid="{00000000-0005-0000-0000-000084390000}"/>
    <cellStyle name="Total 86 247 2" xfId="14435" xr:uid="{00000000-0005-0000-0000-000085390000}"/>
    <cellStyle name="Total 86 248" xfId="6909" xr:uid="{00000000-0005-0000-0000-000086390000}"/>
    <cellStyle name="Total 86 248 2" xfId="14436" xr:uid="{00000000-0005-0000-0000-000087390000}"/>
    <cellStyle name="Total 86 249" xfId="6910" xr:uid="{00000000-0005-0000-0000-000088390000}"/>
    <cellStyle name="Total 86 249 2" xfId="14437" xr:uid="{00000000-0005-0000-0000-000089390000}"/>
    <cellStyle name="Total 86 25" xfId="6911" xr:uid="{00000000-0005-0000-0000-00008A390000}"/>
    <cellStyle name="Total 86 25 2" xfId="14438" xr:uid="{00000000-0005-0000-0000-00008B390000}"/>
    <cellStyle name="Total 86 250" xfId="6912" xr:uid="{00000000-0005-0000-0000-00008C390000}"/>
    <cellStyle name="Total 86 250 2" xfId="14439" xr:uid="{00000000-0005-0000-0000-00008D390000}"/>
    <cellStyle name="Total 86 251" xfId="6913" xr:uid="{00000000-0005-0000-0000-00008E390000}"/>
    <cellStyle name="Total 86 251 2" xfId="14440" xr:uid="{00000000-0005-0000-0000-00008F390000}"/>
    <cellStyle name="Total 86 252" xfId="6914" xr:uid="{00000000-0005-0000-0000-000090390000}"/>
    <cellStyle name="Total 86 252 2" xfId="14441" xr:uid="{00000000-0005-0000-0000-000091390000}"/>
    <cellStyle name="Total 86 253" xfId="6915" xr:uid="{00000000-0005-0000-0000-000092390000}"/>
    <cellStyle name="Total 86 253 2" xfId="14442" xr:uid="{00000000-0005-0000-0000-000093390000}"/>
    <cellStyle name="Total 86 254" xfId="6916" xr:uid="{00000000-0005-0000-0000-000094390000}"/>
    <cellStyle name="Total 86 254 2" xfId="14443" xr:uid="{00000000-0005-0000-0000-000095390000}"/>
    <cellStyle name="Total 86 255" xfId="6917" xr:uid="{00000000-0005-0000-0000-000096390000}"/>
    <cellStyle name="Total 86 255 2" xfId="14444" xr:uid="{00000000-0005-0000-0000-000097390000}"/>
    <cellStyle name="Total 86 256" xfId="14271" xr:uid="{00000000-0005-0000-0000-000098390000}"/>
    <cellStyle name="Total 86 26" xfId="6918" xr:uid="{00000000-0005-0000-0000-000099390000}"/>
    <cellStyle name="Total 86 26 2" xfId="14445" xr:uid="{00000000-0005-0000-0000-00009A390000}"/>
    <cellStyle name="Total 86 27" xfId="6919" xr:uid="{00000000-0005-0000-0000-00009B390000}"/>
    <cellStyle name="Total 86 27 2" xfId="14446" xr:uid="{00000000-0005-0000-0000-00009C390000}"/>
    <cellStyle name="Total 86 28" xfId="6920" xr:uid="{00000000-0005-0000-0000-00009D390000}"/>
    <cellStyle name="Total 86 28 2" xfId="14447" xr:uid="{00000000-0005-0000-0000-00009E390000}"/>
    <cellStyle name="Total 86 29" xfId="6921" xr:uid="{00000000-0005-0000-0000-00009F390000}"/>
    <cellStyle name="Total 86 29 2" xfId="14448" xr:uid="{00000000-0005-0000-0000-0000A0390000}"/>
    <cellStyle name="Total 86 3" xfId="6922" xr:uid="{00000000-0005-0000-0000-0000A1390000}"/>
    <cellStyle name="Total 86 3 2" xfId="14449" xr:uid="{00000000-0005-0000-0000-0000A2390000}"/>
    <cellStyle name="Total 86 30" xfId="6923" xr:uid="{00000000-0005-0000-0000-0000A3390000}"/>
    <cellStyle name="Total 86 30 2" xfId="14450" xr:uid="{00000000-0005-0000-0000-0000A4390000}"/>
    <cellStyle name="Total 86 31" xfId="6924" xr:uid="{00000000-0005-0000-0000-0000A5390000}"/>
    <cellStyle name="Total 86 31 2" xfId="14451" xr:uid="{00000000-0005-0000-0000-0000A6390000}"/>
    <cellStyle name="Total 86 32" xfId="6925" xr:uid="{00000000-0005-0000-0000-0000A7390000}"/>
    <cellStyle name="Total 86 32 2" xfId="14452" xr:uid="{00000000-0005-0000-0000-0000A8390000}"/>
    <cellStyle name="Total 86 33" xfId="6926" xr:uid="{00000000-0005-0000-0000-0000A9390000}"/>
    <cellStyle name="Total 86 33 2" xfId="14453" xr:uid="{00000000-0005-0000-0000-0000AA390000}"/>
    <cellStyle name="Total 86 34" xfId="6927" xr:uid="{00000000-0005-0000-0000-0000AB390000}"/>
    <cellStyle name="Total 86 34 2" xfId="14454" xr:uid="{00000000-0005-0000-0000-0000AC390000}"/>
    <cellStyle name="Total 86 35" xfId="6928" xr:uid="{00000000-0005-0000-0000-0000AD390000}"/>
    <cellStyle name="Total 86 35 2" xfId="14455" xr:uid="{00000000-0005-0000-0000-0000AE390000}"/>
    <cellStyle name="Total 86 36" xfId="6929" xr:uid="{00000000-0005-0000-0000-0000AF390000}"/>
    <cellStyle name="Total 86 36 2" xfId="14456" xr:uid="{00000000-0005-0000-0000-0000B0390000}"/>
    <cellStyle name="Total 86 37" xfId="6930" xr:uid="{00000000-0005-0000-0000-0000B1390000}"/>
    <cellStyle name="Total 86 37 2" xfId="14457" xr:uid="{00000000-0005-0000-0000-0000B2390000}"/>
    <cellStyle name="Total 86 38" xfId="6931" xr:uid="{00000000-0005-0000-0000-0000B3390000}"/>
    <cellStyle name="Total 86 38 2" xfId="14458" xr:uid="{00000000-0005-0000-0000-0000B4390000}"/>
    <cellStyle name="Total 86 39" xfId="6932" xr:uid="{00000000-0005-0000-0000-0000B5390000}"/>
    <cellStyle name="Total 86 39 2" xfId="14459" xr:uid="{00000000-0005-0000-0000-0000B6390000}"/>
    <cellStyle name="Total 86 4" xfId="6933" xr:uid="{00000000-0005-0000-0000-0000B7390000}"/>
    <cellStyle name="Total 86 4 2" xfId="14460" xr:uid="{00000000-0005-0000-0000-0000B8390000}"/>
    <cellStyle name="Total 86 40" xfId="6934" xr:uid="{00000000-0005-0000-0000-0000B9390000}"/>
    <cellStyle name="Total 86 40 2" xfId="14461" xr:uid="{00000000-0005-0000-0000-0000BA390000}"/>
    <cellStyle name="Total 86 41" xfId="6935" xr:uid="{00000000-0005-0000-0000-0000BB390000}"/>
    <cellStyle name="Total 86 41 2" xfId="14462" xr:uid="{00000000-0005-0000-0000-0000BC390000}"/>
    <cellStyle name="Total 86 42" xfId="6936" xr:uid="{00000000-0005-0000-0000-0000BD390000}"/>
    <cellStyle name="Total 86 42 2" xfId="14463" xr:uid="{00000000-0005-0000-0000-0000BE390000}"/>
    <cellStyle name="Total 86 43" xfId="6937" xr:uid="{00000000-0005-0000-0000-0000BF390000}"/>
    <cellStyle name="Total 86 43 2" xfId="14464" xr:uid="{00000000-0005-0000-0000-0000C0390000}"/>
    <cellStyle name="Total 86 44" xfId="6938" xr:uid="{00000000-0005-0000-0000-0000C1390000}"/>
    <cellStyle name="Total 86 44 2" xfId="14465" xr:uid="{00000000-0005-0000-0000-0000C2390000}"/>
    <cellStyle name="Total 86 45" xfId="6939" xr:uid="{00000000-0005-0000-0000-0000C3390000}"/>
    <cellStyle name="Total 86 45 2" xfId="14466" xr:uid="{00000000-0005-0000-0000-0000C4390000}"/>
    <cellStyle name="Total 86 46" xfId="6940" xr:uid="{00000000-0005-0000-0000-0000C5390000}"/>
    <cellStyle name="Total 86 46 2" xfId="14467" xr:uid="{00000000-0005-0000-0000-0000C6390000}"/>
    <cellStyle name="Total 86 47" xfId="6941" xr:uid="{00000000-0005-0000-0000-0000C7390000}"/>
    <cellStyle name="Total 86 47 2" xfId="14468" xr:uid="{00000000-0005-0000-0000-0000C8390000}"/>
    <cellStyle name="Total 86 48" xfId="6942" xr:uid="{00000000-0005-0000-0000-0000C9390000}"/>
    <cellStyle name="Total 86 48 2" xfId="14469" xr:uid="{00000000-0005-0000-0000-0000CA390000}"/>
    <cellStyle name="Total 86 49" xfId="6943" xr:uid="{00000000-0005-0000-0000-0000CB390000}"/>
    <cellStyle name="Total 86 49 2" xfId="14470" xr:uid="{00000000-0005-0000-0000-0000CC390000}"/>
    <cellStyle name="Total 86 5" xfId="6944" xr:uid="{00000000-0005-0000-0000-0000CD390000}"/>
    <cellStyle name="Total 86 5 2" xfId="14471" xr:uid="{00000000-0005-0000-0000-0000CE390000}"/>
    <cellStyle name="Total 86 50" xfId="6945" xr:uid="{00000000-0005-0000-0000-0000CF390000}"/>
    <cellStyle name="Total 86 50 2" xfId="14472" xr:uid="{00000000-0005-0000-0000-0000D0390000}"/>
    <cellStyle name="Total 86 51" xfId="6946" xr:uid="{00000000-0005-0000-0000-0000D1390000}"/>
    <cellStyle name="Total 86 51 2" xfId="14473" xr:uid="{00000000-0005-0000-0000-0000D2390000}"/>
    <cellStyle name="Total 86 52" xfId="6947" xr:uid="{00000000-0005-0000-0000-0000D3390000}"/>
    <cellStyle name="Total 86 52 2" xfId="14474" xr:uid="{00000000-0005-0000-0000-0000D4390000}"/>
    <cellStyle name="Total 86 53" xfId="6948" xr:uid="{00000000-0005-0000-0000-0000D5390000}"/>
    <cellStyle name="Total 86 53 2" xfId="14475" xr:uid="{00000000-0005-0000-0000-0000D6390000}"/>
    <cellStyle name="Total 86 54" xfId="6949" xr:uid="{00000000-0005-0000-0000-0000D7390000}"/>
    <cellStyle name="Total 86 54 2" xfId="14476" xr:uid="{00000000-0005-0000-0000-0000D8390000}"/>
    <cellStyle name="Total 86 55" xfId="6950" xr:uid="{00000000-0005-0000-0000-0000D9390000}"/>
    <cellStyle name="Total 86 55 2" xfId="14477" xr:uid="{00000000-0005-0000-0000-0000DA390000}"/>
    <cellStyle name="Total 86 56" xfId="6951" xr:uid="{00000000-0005-0000-0000-0000DB390000}"/>
    <cellStyle name="Total 86 56 2" xfId="14478" xr:uid="{00000000-0005-0000-0000-0000DC390000}"/>
    <cellStyle name="Total 86 57" xfId="6952" xr:uid="{00000000-0005-0000-0000-0000DD390000}"/>
    <cellStyle name="Total 86 57 2" xfId="14479" xr:uid="{00000000-0005-0000-0000-0000DE390000}"/>
    <cellStyle name="Total 86 58" xfId="6953" xr:uid="{00000000-0005-0000-0000-0000DF390000}"/>
    <cellStyle name="Total 86 58 2" xfId="14480" xr:uid="{00000000-0005-0000-0000-0000E0390000}"/>
    <cellStyle name="Total 86 59" xfId="6954" xr:uid="{00000000-0005-0000-0000-0000E1390000}"/>
    <cellStyle name="Total 86 59 2" xfId="14481" xr:uid="{00000000-0005-0000-0000-0000E2390000}"/>
    <cellStyle name="Total 86 6" xfId="6955" xr:uid="{00000000-0005-0000-0000-0000E3390000}"/>
    <cellStyle name="Total 86 6 2" xfId="14482" xr:uid="{00000000-0005-0000-0000-0000E4390000}"/>
    <cellStyle name="Total 86 60" xfId="6956" xr:uid="{00000000-0005-0000-0000-0000E5390000}"/>
    <cellStyle name="Total 86 60 2" xfId="14483" xr:uid="{00000000-0005-0000-0000-0000E6390000}"/>
    <cellStyle name="Total 86 61" xfId="6957" xr:uid="{00000000-0005-0000-0000-0000E7390000}"/>
    <cellStyle name="Total 86 61 2" xfId="14484" xr:uid="{00000000-0005-0000-0000-0000E8390000}"/>
    <cellStyle name="Total 86 62" xfId="6958" xr:uid="{00000000-0005-0000-0000-0000E9390000}"/>
    <cellStyle name="Total 86 62 2" xfId="14485" xr:uid="{00000000-0005-0000-0000-0000EA390000}"/>
    <cellStyle name="Total 86 63" xfId="6959" xr:uid="{00000000-0005-0000-0000-0000EB390000}"/>
    <cellStyle name="Total 86 63 2" xfId="14486" xr:uid="{00000000-0005-0000-0000-0000EC390000}"/>
    <cellStyle name="Total 86 64" xfId="6960" xr:uid="{00000000-0005-0000-0000-0000ED390000}"/>
    <cellStyle name="Total 86 64 2" xfId="14487" xr:uid="{00000000-0005-0000-0000-0000EE390000}"/>
    <cellStyle name="Total 86 65" xfId="6961" xr:uid="{00000000-0005-0000-0000-0000EF390000}"/>
    <cellStyle name="Total 86 65 2" xfId="14488" xr:uid="{00000000-0005-0000-0000-0000F0390000}"/>
    <cellStyle name="Total 86 66" xfId="6962" xr:uid="{00000000-0005-0000-0000-0000F1390000}"/>
    <cellStyle name="Total 86 66 2" xfId="14489" xr:uid="{00000000-0005-0000-0000-0000F2390000}"/>
    <cellStyle name="Total 86 67" xfId="6963" xr:uid="{00000000-0005-0000-0000-0000F3390000}"/>
    <cellStyle name="Total 86 67 2" xfId="14490" xr:uid="{00000000-0005-0000-0000-0000F4390000}"/>
    <cellStyle name="Total 86 68" xfId="6964" xr:uid="{00000000-0005-0000-0000-0000F5390000}"/>
    <cellStyle name="Total 86 68 2" xfId="14491" xr:uid="{00000000-0005-0000-0000-0000F6390000}"/>
    <cellStyle name="Total 86 69" xfId="6965" xr:uid="{00000000-0005-0000-0000-0000F7390000}"/>
    <cellStyle name="Total 86 69 2" xfId="14492" xr:uid="{00000000-0005-0000-0000-0000F8390000}"/>
    <cellStyle name="Total 86 7" xfId="6966" xr:uid="{00000000-0005-0000-0000-0000F9390000}"/>
    <cellStyle name="Total 86 7 2" xfId="14493" xr:uid="{00000000-0005-0000-0000-0000FA390000}"/>
    <cellStyle name="Total 86 70" xfId="6967" xr:uid="{00000000-0005-0000-0000-0000FB390000}"/>
    <cellStyle name="Total 86 70 2" xfId="14494" xr:uid="{00000000-0005-0000-0000-0000FC390000}"/>
    <cellStyle name="Total 86 71" xfId="6968" xr:uid="{00000000-0005-0000-0000-0000FD390000}"/>
    <cellStyle name="Total 86 71 2" xfId="14495" xr:uid="{00000000-0005-0000-0000-0000FE390000}"/>
    <cellStyle name="Total 86 72" xfId="6969" xr:uid="{00000000-0005-0000-0000-0000FF390000}"/>
    <cellStyle name="Total 86 72 2" xfId="14496" xr:uid="{00000000-0005-0000-0000-0000003A0000}"/>
    <cellStyle name="Total 86 73" xfId="6970" xr:uid="{00000000-0005-0000-0000-0000013A0000}"/>
    <cellStyle name="Total 86 73 2" xfId="14497" xr:uid="{00000000-0005-0000-0000-0000023A0000}"/>
    <cellStyle name="Total 86 74" xfId="6971" xr:uid="{00000000-0005-0000-0000-0000033A0000}"/>
    <cellStyle name="Total 86 74 2" xfId="14498" xr:uid="{00000000-0005-0000-0000-0000043A0000}"/>
    <cellStyle name="Total 86 75" xfId="6972" xr:uid="{00000000-0005-0000-0000-0000053A0000}"/>
    <cellStyle name="Total 86 75 2" xfId="14499" xr:uid="{00000000-0005-0000-0000-0000063A0000}"/>
    <cellStyle name="Total 86 76" xfId="6973" xr:uid="{00000000-0005-0000-0000-0000073A0000}"/>
    <cellStyle name="Total 86 76 2" xfId="14500" xr:uid="{00000000-0005-0000-0000-0000083A0000}"/>
    <cellStyle name="Total 86 77" xfId="6974" xr:uid="{00000000-0005-0000-0000-0000093A0000}"/>
    <cellStyle name="Total 86 77 2" xfId="14501" xr:uid="{00000000-0005-0000-0000-00000A3A0000}"/>
    <cellStyle name="Total 86 78" xfId="6975" xr:uid="{00000000-0005-0000-0000-00000B3A0000}"/>
    <cellStyle name="Total 86 78 2" xfId="14502" xr:uid="{00000000-0005-0000-0000-00000C3A0000}"/>
    <cellStyle name="Total 86 79" xfId="6976" xr:uid="{00000000-0005-0000-0000-00000D3A0000}"/>
    <cellStyle name="Total 86 79 2" xfId="14503" xr:uid="{00000000-0005-0000-0000-00000E3A0000}"/>
    <cellStyle name="Total 86 8" xfId="6977" xr:uid="{00000000-0005-0000-0000-00000F3A0000}"/>
    <cellStyle name="Total 86 8 2" xfId="14504" xr:uid="{00000000-0005-0000-0000-0000103A0000}"/>
    <cellStyle name="Total 86 80" xfId="6978" xr:uid="{00000000-0005-0000-0000-0000113A0000}"/>
    <cellStyle name="Total 86 80 2" xfId="14505" xr:uid="{00000000-0005-0000-0000-0000123A0000}"/>
    <cellStyle name="Total 86 81" xfId="6979" xr:uid="{00000000-0005-0000-0000-0000133A0000}"/>
    <cellStyle name="Total 86 81 2" xfId="14506" xr:uid="{00000000-0005-0000-0000-0000143A0000}"/>
    <cellStyle name="Total 86 82" xfId="6980" xr:uid="{00000000-0005-0000-0000-0000153A0000}"/>
    <cellStyle name="Total 86 82 2" xfId="14507" xr:uid="{00000000-0005-0000-0000-0000163A0000}"/>
    <cellStyle name="Total 86 83" xfId="6981" xr:uid="{00000000-0005-0000-0000-0000173A0000}"/>
    <cellStyle name="Total 86 83 2" xfId="14508" xr:uid="{00000000-0005-0000-0000-0000183A0000}"/>
    <cellStyle name="Total 86 84" xfId="6982" xr:uid="{00000000-0005-0000-0000-0000193A0000}"/>
    <cellStyle name="Total 86 84 2" xfId="14509" xr:uid="{00000000-0005-0000-0000-00001A3A0000}"/>
    <cellStyle name="Total 86 85" xfId="6983" xr:uid="{00000000-0005-0000-0000-00001B3A0000}"/>
    <cellStyle name="Total 86 85 2" xfId="14510" xr:uid="{00000000-0005-0000-0000-00001C3A0000}"/>
    <cellStyle name="Total 86 86" xfId="6984" xr:uid="{00000000-0005-0000-0000-00001D3A0000}"/>
    <cellStyle name="Total 86 86 2" xfId="14511" xr:uid="{00000000-0005-0000-0000-00001E3A0000}"/>
    <cellStyle name="Total 86 87" xfId="6985" xr:uid="{00000000-0005-0000-0000-00001F3A0000}"/>
    <cellStyle name="Total 86 87 2" xfId="14512" xr:uid="{00000000-0005-0000-0000-0000203A0000}"/>
    <cellStyle name="Total 86 88" xfId="6986" xr:uid="{00000000-0005-0000-0000-0000213A0000}"/>
    <cellStyle name="Total 86 88 2" xfId="14513" xr:uid="{00000000-0005-0000-0000-0000223A0000}"/>
    <cellStyle name="Total 86 89" xfId="6987" xr:uid="{00000000-0005-0000-0000-0000233A0000}"/>
    <cellStyle name="Total 86 89 2" xfId="14514" xr:uid="{00000000-0005-0000-0000-0000243A0000}"/>
    <cellStyle name="Total 86 9" xfId="6988" xr:uid="{00000000-0005-0000-0000-0000253A0000}"/>
    <cellStyle name="Total 86 9 2" xfId="14515" xr:uid="{00000000-0005-0000-0000-0000263A0000}"/>
    <cellStyle name="Total 86 90" xfId="6989" xr:uid="{00000000-0005-0000-0000-0000273A0000}"/>
    <cellStyle name="Total 86 90 2" xfId="14516" xr:uid="{00000000-0005-0000-0000-0000283A0000}"/>
    <cellStyle name="Total 86 91" xfId="6990" xr:uid="{00000000-0005-0000-0000-0000293A0000}"/>
    <cellStyle name="Total 86 91 2" xfId="14517" xr:uid="{00000000-0005-0000-0000-00002A3A0000}"/>
    <cellStyle name="Total 86 92" xfId="6991" xr:uid="{00000000-0005-0000-0000-00002B3A0000}"/>
    <cellStyle name="Total 86 92 2" xfId="14518" xr:uid="{00000000-0005-0000-0000-00002C3A0000}"/>
    <cellStyle name="Total 86 93" xfId="6992" xr:uid="{00000000-0005-0000-0000-00002D3A0000}"/>
    <cellStyle name="Total 86 93 2" xfId="14519" xr:uid="{00000000-0005-0000-0000-00002E3A0000}"/>
    <cellStyle name="Total 86 94" xfId="6993" xr:uid="{00000000-0005-0000-0000-00002F3A0000}"/>
    <cellStyle name="Total 86 94 2" xfId="14520" xr:uid="{00000000-0005-0000-0000-0000303A0000}"/>
    <cellStyle name="Total 86 95" xfId="6994" xr:uid="{00000000-0005-0000-0000-0000313A0000}"/>
    <cellStyle name="Total 86 95 2" xfId="14521" xr:uid="{00000000-0005-0000-0000-0000323A0000}"/>
    <cellStyle name="Total 86 96" xfId="6995" xr:uid="{00000000-0005-0000-0000-0000333A0000}"/>
    <cellStyle name="Total 86 96 2" xfId="14522" xr:uid="{00000000-0005-0000-0000-0000343A0000}"/>
    <cellStyle name="Total 86 97" xfId="6996" xr:uid="{00000000-0005-0000-0000-0000353A0000}"/>
    <cellStyle name="Total 86 97 2" xfId="14523" xr:uid="{00000000-0005-0000-0000-0000363A0000}"/>
    <cellStyle name="Total 86 98" xfId="6997" xr:uid="{00000000-0005-0000-0000-0000373A0000}"/>
    <cellStyle name="Total 86 98 2" xfId="14524" xr:uid="{00000000-0005-0000-0000-0000383A0000}"/>
    <cellStyle name="Total 86 99" xfId="6998" xr:uid="{00000000-0005-0000-0000-0000393A0000}"/>
    <cellStyle name="Total 86 99 2" xfId="14525" xr:uid="{00000000-0005-0000-0000-00003A3A0000}"/>
    <cellStyle name="Total 87" xfId="6999" xr:uid="{00000000-0005-0000-0000-00003B3A0000}"/>
    <cellStyle name="Total 87 2" xfId="14526" xr:uid="{00000000-0005-0000-0000-00003C3A0000}"/>
    <cellStyle name="Total 88" xfId="7000" xr:uid="{00000000-0005-0000-0000-00003D3A0000}"/>
    <cellStyle name="Total 88 2" xfId="14527" xr:uid="{00000000-0005-0000-0000-00003E3A0000}"/>
    <cellStyle name="Total 89" xfId="7001" xr:uid="{00000000-0005-0000-0000-00003F3A0000}"/>
    <cellStyle name="Total 89 2" xfId="14528" xr:uid="{00000000-0005-0000-0000-0000403A0000}"/>
    <cellStyle name="Total 9" xfId="1162" xr:uid="{00000000-0005-0000-0000-0000413A0000}"/>
    <cellStyle name="Total 9 10" xfId="7003" xr:uid="{00000000-0005-0000-0000-0000423A0000}"/>
    <cellStyle name="Total 9 10 2" xfId="14530" xr:uid="{00000000-0005-0000-0000-0000433A0000}"/>
    <cellStyle name="Total 9 11" xfId="7002" xr:uid="{00000000-0005-0000-0000-0000443A0000}"/>
    <cellStyle name="Total 9 11 2" xfId="14531" xr:uid="{00000000-0005-0000-0000-0000453A0000}"/>
    <cellStyle name="Total 9 12" xfId="7912" xr:uid="{00000000-0005-0000-0000-0000463A0000}"/>
    <cellStyle name="Total 9 12 2" xfId="14532" xr:uid="{00000000-0005-0000-0000-0000473A0000}"/>
    <cellStyle name="Total 9 13" xfId="14529" xr:uid="{00000000-0005-0000-0000-0000483A0000}"/>
    <cellStyle name="Total 9 2" xfId="1163" xr:uid="{00000000-0005-0000-0000-0000493A0000}"/>
    <cellStyle name="Total 9 2 2" xfId="7004" xr:uid="{00000000-0005-0000-0000-00004A3A0000}"/>
    <cellStyle name="Total 9 2 2 2" xfId="14534" xr:uid="{00000000-0005-0000-0000-00004B3A0000}"/>
    <cellStyle name="Total 9 2 3" xfId="7913" xr:uid="{00000000-0005-0000-0000-00004C3A0000}"/>
    <cellStyle name="Total 9 2 3 2" xfId="14535" xr:uid="{00000000-0005-0000-0000-00004D3A0000}"/>
    <cellStyle name="Total 9 2 4" xfId="14533" xr:uid="{00000000-0005-0000-0000-00004E3A0000}"/>
    <cellStyle name="Total 9 3" xfId="1164" xr:uid="{00000000-0005-0000-0000-00004F3A0000}"/>
    <cellStyle name="Total 9 3 2" xfId="7005" xr:uid="{00000000-0005-0000-0000-0000503A0000}"/>
    <cellStyle name="Total 9 3 2 2" xfId="14537" xr:uid="{00000000-0005-0000-0000-0000513A0000}"/>
    <cellStyle name="Total 9 3 3" xfId="7914" xr:uid="{00000000-0005-0000-0000-0000523A0000}"/>
    <cellStyle name="Total 9 3 3 2" xfId="14538" xr:uid="{00000000-0005-0000-0000-0000533A0000}"/>
    <cellStyle name="Total 9 3 4" xfId="14536" xr:uid="{00000000-0005-0000-0000-0000543A0000}"/>
    <cellStyle name="Total 9 4" xfId="1165" xr:uid="{00000000-0005-0000-0000-0000553A0000}"/>
    <cellStyle name="Total 9 4 2" xfId="7006" xr:uid="{00000000-0005-0000-0000-0000563A0000}"/>
    <cellStyle name="Total 9 4 2 2" xfId="14540" xr:uid="{00000000-0005-0000-0000-0000573A0000}"/>
    <cellStyle name="Total 9 4 3" xfId="7915" xr:uid="{00000000-0005-0000-0000-0000583A0000}"/>
    <cellStyle name="Total 9 4 3 2" xfId="14541" xr:uid="{00000000-0005-0000-0000-0000593A0000}"/>
    <cellStyle name="Total 9 4 4" xfId="14539" xr:uid="{00000000-0005-0000-0000-00005A3A0000}"/>
    <cellStyle name="Total 9 5" xfId="1166" xr:uid="{00000000-0005-0000-0000-00005B3A0000}"/>
    <cellStyle name="Total 9 5 2" xfId="7007" xr:uid="{00000000-0005-0000-0000-00005C3A0000}"/>
    <cellStyle name="Total 9 5 2 2" xfId="14543" xr:uid="{00000000-0005-0000-0000-00005D3A0000}"/>
    <cellStyle name="Total 9 5 3" xfId="7916" xr:uid="{00000000-0005-0000-0000-00005E3A0000}"/>
    <cellStyle name="Total 9 5 3 2" xfId="14544" xr:uid="{00000000-0005-0000-0000-00005F3A0000}"/>
    <cellStyle name="Total 9 5 4" xfId="14542" xr:uid="{00000000-0005-0000-0000-0000603A0000}"/>
    <cellStyle name="Total 9 6" xfId="1167" xr:uid="{00000000-0005-0000-0000-0000613A0000}"/>
    <cellStyle name="Total 9 6 2" xfId="7008" xr:uid="{00000000-0005-0000-0000-0000623A0000}"/>
    <cellStyle name="Total 9 6 2 2" xfId="14546" xr:uid="{00000000-0005-0000-0000-0000633A0000}"/>
    <cellStyle name="Total 9 6 3" xfId="7917" xr:uid="{00000000-0005-0000-0000-0000643A0000}"/>
    <cellStyle name="Total 9 6 3 2" xfId="14547" xr:uid="{00000000-0005-0000-0000-0000653A0000}"/>
    <cellStyle name="Total 9 6 4" xfId="14545" xr:uid="{00000000-0005-0000-0000-0000663A0000}"/>
    <cellStyle name="Total 9 7" xfId="1168" xr:uid="{00000000-0005-0000-0000-0000673A0000}"/>
    <cellStyle name="Total 9 7 2" xfId="7009" xr:uid="{00000000-0005-0000-0000-0000683A0000}"/>
    <cellStyle name="Total 9 7 2 2" xfId="14549" xr:uid="{00000000-0005-0000-0000-0000693A0000}"/>
    <cellStyle name="Total 9 7 3" xfId="7918" xr:uid="{00000000-0005-0000-0000-00006A3A0000}"/>
    <cellStyle name="Total 9 7 3 2" xfId="14550" xr:uid="{00000000-0005-0000-0000-00006B3A0000}"/>
    <cellStyle name="Total 9 7 4" xfId="14548" xr:uid="{00000000-0005-0000-0000-00006C3A0000}"/>
    <cellStyle name="Total 9 8" xfId="7010" xr:uid="{00000000-0005-0000-0000-00006D3A0000}"/>
    <cellStyle name="Total 9 8 2" xfId="8684" xr:uid="{00000000-0005-0000-0000-00006E3A0000}"/>
    <cellStyle name="Total 9 8 2 2" xfId="14552" xr:uid="{00000000-0005-0000-0000-00006F3A0000}"/>
    <cellStyle name="Total 9 8 3" xfId="7919" xr:uid="{00000000-0005-0000-0000-0000703A0000}"/>
    <cellStyle name="Total 9 8 3 2" xfId="14553" xr:uid="{00000000-0005-0000-0000-0000713A0000}"/>
    <cellStyle name="Total 9 8 4" xfId="14551" xr:uid="{00000000-0005-0000-0000-0000723A0000}"/>
    <cellStyle name="Total 9 9" xfId="7011" xr:uid="{00000000-0005-0000-0000-0000733A0000}"/>
    <cellStyle name="Total 9 9 2" xfId="8685" xr:uid="{00000000-0005-0000-0000-0000743A0000}"/>
    <cellStyle name="Total 9 9 2 2" xfId="14555" xr:uid="{00000000-0005-0000-0000-0000753A0000}"/>
    <cellStyle name="Total 9 9 3" xfId="7920" xr:uid="{00000000-0005-0000-0000-0000763A0000}"/>
    <cellStyle name="Total 9 9 3 2" xfId="14556" xr:uid="{00000000-0005-0000-0000-0000773A0000}"/>
    <cellStyle name="Total 9 9 4" xfId="14554" xr:uid="{00000000-0005-0000-0000-0000783A0000}"/>
    <cellStyle name="Total 90" xfId="7012" xr:uid="{00000000-0005-0000-0000-0000793A0000}"/>
    <cellStyle name="Total 90 2" xfId="14557" xr:uid="{00000000-0005-0000-0000-00007A3A0000}"/>
    <cellStyle name="Total 91" xfId="7013" xr:uid="{00000000-0005-0000-0000-00007B3A0000}"/>
    <cellStyle name="Total 91 2" xfId="14558" xr:uid="{00000000-0005-0000-0000-00007C3A0000}"/>
    <cellStyle name="Total 92" xfId="7014" xr:uid="{00000000-0005-0000-0000-00007D3A0000}"/>
    <cellStyle name="Total 92 2" xfId="14559" xr:uid="{00000000-0005-0000-0000-00007E3A0000}"/>
    <cellStyle name="Total 93" xfId="7015" xr:uid="{00000000-0005-0000-0000-00007F3A0000}"/>
    <cellStyle name="Total 93 2" xfId="14560" xr:uid="{00000000-0005-0000-0000-0000803A0000}"/>
    <cellStyle name="Total 94" xfId="7016" xr:uid="{00000000-0005-0000-0000-0000813A0000}"/>
    <cellStyle name="Total 94 2" xfId="14561" xr:uid="{00000000-0005-0000-0000-0000823A0000}"/>
    <cellStyle name="Total 95" xfId="7017" xr:uid="{00000000-0005-0000-0000-0000833A0000}"/>
    <cellStyle name="Total 95 2" xfId="14562" xr:uid="{00000000-0005-0000-0000-0000843A0000}"/>
    <cellStyle name="Total 96" xfId="7018" xr:uid="{00000000-0005-0000-0000-0000853A0000}"/>
    <cellStyle name="Total 96 2" xfId="14563" xr:uid="{00000000-0005-0000-0000-0000863A0000}"/>
    <cellStyle name="Total 97" xfId="7019" xr:uid="{00000000-0005-0000-0000-0000873A0000}"/>
    <cellStyle name="Total 97 2" xfId="14564" xr:uid="{00000000-0005-0000-0000-0000883A0000}"/>
    <cellStyle name="Total 98" xfId="7020" xr:uid="{00000000-0005-0000-0000-0000893A0000}"/>
    <cellStyle name="Total 98 2" xfId="14565" xr:uid="{00000000-0005-0000-0000-00008A3A0000}"/>
    <cellStyle name="Total 99" xfId="7021" xr:uid="{00000000-0005-0000-0000-00008B3A0000}"/>
    <cellStyle name="Total 99 2" xfId="14566" xr:uid="{00000000-0005-0000-0000-00008C3A0000}"/>
    <cellStyle name="Warning Text" xfId="57" builtinId="11" customBuiltin="1"/>
    <cellStyle name="Warning Text 10" xfId="7022" xr:uid="{00000000-0005-0000-0000-00008E3A0000}"/>
    <cellStyle name="Warning Text 10 2" xfId="8686" xr:uid="{00000000-0005-0000-0000-00008F3A0000}"/>
    <cellStyle name="Warning Text 10 2 2" xfId="14569" xr:uid="{00000000-0005-0000-0000-0000903A0000}"/>
    <cellStyle name="Warning Text 10 3" xfId="7921" xr:uid="{00000000-0005-0000-0000-0000913A0000}"/>
    <cellStyle name="Warning Text 10 3 2" xfId="14570" xr:uid="{00000000-0005-0000-0000-0000923A0000}"/>
    <cellStyle name="Warning Text 10 4" xfId="14568" xr:uid="{00000000-0005-0000-0000-0000933A0000}"/>
    <cellStyle name="Warning Text 11" xfId="7023" xr:uid="{00000000-0005-0000-0000-0000943A0000}"/>
    <cellStyle name="Warning Text 11 2" xfId="8687" xr:uid="{00000000-0005-0000-0000-0000953A0000}"/>
    <cellStyle name="Warning Text 11 2 2" xfId="14572" xr:uid="{00000000-0005-0000-0000-0000963A0000}"/>
    <cellStyle name="Warning Text 11 3" xfId="7922" xr:uid="{00000000-0005-0000-0000-0000973A0000}"/>
    <cellStyle name="Warning Text 11 3 2" xfId="14573" xr:uid="{00000000-0005-0000-0000-0000983A0000}"/>
    <cellStyle name="Warning Text 11 4" xfId="14571" xr:uid="{00000000-0005-0000-0000-0000993A0000}"/>
    <cellStyle name="Warning Text 12" xfId="14567" xr:uid="{00000000-0005-0000-0000-00009A3A0000}"/>
    <cellStyle name="Warning Text 2" xfId="1169" xr:uid="{00000000-0005-0000-0000-00009B3A0000}"/>
    <cellStyle name="Warning Text 2 2" xfId="7025" xr:uid="{00000000-0005-0000-0000-00009C3A0000}"/>
    <cellStyle name="Warning Text 2 2 2" xfId="8688" xr:uid="{00000000-0005-0000-0000-00009D3A0000}"/>
    <cellStyle name="Warning Text 2 2 2 2" xfId="14576" xr:uid="{00000000-0005-0000-0000-00009E3A0000}"/>
    <cellStyle name="Warning Text 2 2 3" xfId="7923" xr:uid="{00000000-0005-0000-0000-00009F3A0000}"/>
    <cellStyle name="Warning Text 2 2 3 2" xfId="14577" xr:uid="{00000000-0005-0000-0000-0000A03A0000}"/>
    <cellStyle name="Warning Text 2 2 4" xfId="14575" xr:uid="{00000000-0005-0000-0000-0000A13A0000}"/>
    <cellStyle name="Warning Text 2 3" xfId="7026" xr:uid="{00000000-0005-0000-0000-0000A23A0000}"/>
    <cellStyle name="Warning Text 2 3 2" xfId="8689" xr:uid="{00000000-0005-0000-0000-0000A33A0000}"/>
    <cellStyle name="Warning Text 2 3 2 2" xfId="14579" xr:uid="{00000000-0005-0000-0000-0000A43A0000}"/>
    <cellStyle name="Warning Text 2 3 3" xfId="7924" xr:uid="{00000000-0005-0000-0000-0000A53A0000}"/>
    <cellStyle name="Warning Text 2 3 3 2" xfId="14580" xr:uid="{00000000-0005-0000-0000-0000A63A0000}"/>
    <cellStyle name="Warning Text 2 3 4" xfId="14578" xr:uid="{00000000-0005-0000-0000-0000A73A0000}"/>
    <cellStyle name="Warning Text 2 4" xfId="7027" xr:uid="{00000000-0005-0000-0000-0000A83A0000}"/>
    <cellStyle name="Warning Text 2 4 2" xfId="8690" xr:uid="{00000000-0005-0000-0000-0000A93A0000}"/>
    <cellStyle name="Warning Text 2 4 2 2" xfId="14582" xr:uid="{00000000-0005-0000-0000-0000AA3A0000}"/>
    <cellStyle name="Warning Text 2 4 3" xfId="7925" xr:uid="{00000000-0005-0000-0000-0000AB3A0000}"/>
    <cellStyle name="Warning Text 2 4 3 2" xfId="14583" xr:uid="{00000000-0005-0000-0000-0000AC3A0000}"/>
    <cellStyle name="Warning Text 2 4 4" xfId="14581" xr:uid="{00000000-0005-0000-0000-0000AD3A0000}"/>
    <cellStyle name="Warning Text 2 5" xfId="7028" xr:uid="{00000000-0005-0000-0000-0000AE3A0000}"/>
    <cellStyle name="Warning Text 2 5 2" xfId="14584" xr:uid="{00000000-0005-0000-0000-0000AF3A0000}"/>
    <cellStyle name="Warning Text 2 6" xfId="7024" xr:uid="{00000000-0005-0000-0000-0000B03A0000}"/>
    <cellStyle name="Warning Text 2 6 2" xfId="14585" xr:uid="{00000000-0005-0000-0000-0000B13A0000}"/>
    <cellStyle name="Warning Text 2 7" xfId="14574" xr:uid="{00000000-0005-0000-0000-0000B23A0000}"/>
    <cellStyle name="Warning Text 3" xfId="1170" xr:uid="{00000000-0005-0000-0000-0000B33A0000}"/>
    <cellStyle name="Warning Text 3 2" xfId="7030" xr:uid="{00000000-0005-0000-0000-0000B43A0000}"/>
    <cellStyle name="Warning Text 3 2 2" xfId="8691" xr:uid="{00000000-0005-0000-0000-0000B53A0000}"/>
    <cellStyle name="Warning Text 3 2 2 2" xfId="14588" xr:uid="{00000000-0005-0000-0000-0000B63A0000}"/>
    <cellStyle name="Warning Text 3 2 3" xfId="7926" xr:uid="{00000000-0005-0000-0000-0000B73A0000}"/>
    <cellStyle name="Warning Text 3 2 3 2" xfId="14589" xr:uid="{00000000-0005-0000-0000-0000B83A0000}"/>
    <cellStyle name="Warning Text 3 2 4" xfId="14587" xr:uid="{00000000-0005-0000-0000-0000B93A0000}"/>
    <cellStyle name="Warning Text 3 3" xfId="7031" xr:uid="{00000000-0005-0000-0000-0000BA3A0000}"/>
    <cellStyle name="Warning Text 3 3 2" xfId="8692" xr:uid="{00000000-0005-0000-0000-0000BB3A0000}"/>
    <cellStyle name="Warning Text 3 3 2 2" xfId="14591" xr:uid="{00000000-0005-0000-0000-0000BC3A0000}"/>
    <cellStyle name="Warning Text 3 3 3" xfId="7927" xr:uid="{00000000-0005-0000-0000-0000BD3A0000}"/>
    <cellStyle name="Warning Text 3 3 3 2" xfId="14592" xr:uid="{00000000-0005-0000-0000-0000BE3A0000}"/>
    <cellStyle name="Warning Text 3 3 4" xfId="14590" xr:uid="{00000000-0005-0000-0000-0000BF3A0000}"/>
    <cellStyle name="Warning Text 3 4" xfId="7032" xr:uid="{00000000-0005-0000-0000-0000C03A0000}"/>
    <cellStyle name="Warning Text 3 4 2" xfId="8693" xr:uid="{00000000-0005-0000-0000-0000C13A0000}"/>
    <cellStyle name="Warning Text 3 4 2 2" xfId="14594" xr:uid="{00000000-0005-0000-0000-0000C23A0000}"/>
    <cellStyle name="Warning Text 3 4 3" xfId="7928" xr:uid="{00000000-0005-0000-0000-0000C33A0000}"/>
    <cellStyle name="Warning Text 3 4 3 2" xfId="14595" xr:uid="{00000000-0005-0000-0000-0000C43A0000}"/>
    <cellStyle name="Warning Text 3 4 4" xfId="14593" xr:uid="{00000000-0005-0000-0000-0000C53A0000}"/>
    <cellStyle name="Warning Text 3 5" xfId="7033" xr:uid="{00000000-0005-0000-0000-0000C63A0000}"/>
    <cellStyle name="Warning Text 3 5 2" xfId="14596" xr:uid="{00000000-0005-0000-0000-0000C73A0000}"/>
    <cellStyle name="Warning Text 3 6" xfId="7029" xr:uid="{00000000-0005-0000-0000-0000C83A0000}"/>
    <cellStyle name="Warning Text 3 6 2" xfId="14597" xr:uid="{00000000-0005-0000-0000-0000C93A0000}"/>
    <cellStyle name="Warning Text 3 7" xfId="14586" xr:uid="{00000000-0005-0000-0000-0000CA3A0000}"/>
    <cellStyle name="Warning Text 4" xfId="1171" xr:uid="{00000000-0005-0000-0000-0000CB3A0000}"/>
    <cellStyle name="Warning Text 4 2" xfId="7035" xr:uid="{00000000-0005-0000-0000-0000CC3A0000}"/>
    <cellStyle name="Warning Text 4 2 2" xfId="8694" xr:uid="{00000000-0005-0000-0000-0000CD3A0000}"/>
    <cellStyle name="Warning Text 4 2 2 2" xfId="14600" xr:uid="{00000000-0005-0000-0000-0000CE3A0000}"/>
    <cellStyle name="Warning Text 4 2 3" xfId="7929" xr:uid="{00000000-0005-0000-0000-0000CF3A0000}"/>
    <cellStyle name="Warning Text 4 2 3 2" xfId="14601" xr:uid="{00000000-0005-0000-0000-0000D03A0000}"/>
    <cellStyle name="Warning Text 4 2 4" xfId="14599" xr:uid="{00000000-0005-0000-0000-0000D13A0000}"/>
    <cellStyle name="Warning Text 4 3" xfId="7036" xr:uid="{00000000-0005-0000-0000-0000D23A0000}"/>
    <cellStyle name="Warning Text 4 3 2" xfId="8695" xr:uid="{00000000-0005-0000-0000-0000D33A0000}"/>
    <cellStyle name="Warning Text 4 3 2 2" xfId="14603" xr:uid="{00000000-0005-0000-0000-0000D43A0000}"/>
    <cellStyle name="Warning Text 4 3 3" xfId="7930" xr:uid="{00000000-0005-0000-0000-0000D53A0000}"/>
    <cellStyle name="Warning Text 4 3 3 2" xfId="14604" xr:uid="{00000000-0005-0000-0000-0000D63A0000}"/>
    <cellStyle name="Warning Text 4 3 4" xfId="14602" xr:uid="{00000000-0005-0000-0000-0000D73A0000}"/>
    <cellStyle name="Warning Text 4 4" xfId="7037" xr:uid="{00000000-0005-0000-0000-0000D83A0000}"/>
    <cellStyle name="Warning Text 4 4 2" xfId="8696" xr:uid="{00000000-0005-0000-0000-0000D93A0000}"/>
    <cellStyle name="Warning Text 4 4 2 2" xfId="14606" xr:uid="{00000000-0005-0000-0000-0000DA3A0000}"/>
    <cellStyle name="Warning Text 4 4 3" xfId="7931" xr:uid="{00000000-0005-0000-0000-0000DB3A0000}"/>
    <cellStyle name="Warning Text 4 4 3 2" xfId="14607" xr:uid="{00000000-0005-0000-0000-0000DC3A0000}"/>
    <cellStyle name="Warning Text 4 4 4" xfId="14605" xr:uid="{00000000-0005-0000-0000-0000DD3A0000}"/>
    <cellStyle name="Warning Text 4 5" xfId="7038" xr:uid="{00000000-0005-0000-0000-0000DE3A0000}"/>
    <cellStyle name="Warning Text 4 5 2" xfId="14608" xr:uid="{00000000-0005-0000-0000-0000DF3A0000}"/>
    <cellStyle name="Warning Text 4 6" xfId="7034" xr:uid="{00000000-0005-0000-0000-0000E03A0000}"/>
    <cellStyle name="Warning Text 4 6 2" xfId="14609" xr:uid="{00000000-0005-0000-0000-0000E13A0000}"/>
    <cellStyle name="Warning Text 4 7" xfId="14598" xr:uid="{00000000-0005-0000-0000-0000E23A0000}"/>
    <cellStyle name="Warning Text 5" xfId="7039" xr:uid="{00000000-0005-0000-0000-0000E33A0000}"/>
    <cellStyle name="Warning Text 5 2" xfId="8697" xr:uid="{00000000-0005-0000-0000-0000E43A0000}"/>
    <cellStyle name="Warning Text 5 2 2" xfId="14611" xr:uid="{00000000-0005-0000-0000-0000E53A0000}"/>
    <cellStyle name="Warning Text 5 3" xfId="7932" xr:uid="{00000000-0005-0000-0000-0000E63A0000}"/>
    <cellStyle name="Warning Text 5 3 2" xfId="14612" xr:uid="{00000000-0005-0000-0000-0000E73A0000}"/>
    <cellStyle name="Warning Text 5 4" xfId="14610" xr:uid="{00000000-0005-0000-0000-0000E83A0000}"/>
    <cellStyle name="Warning Text 6" xfId="7040" xr:uid="{00000000-0005-0000-0000-0000E93A0000}"/>
    <cellStyle name="Warning Text 6 2" xfId="8698" xr:uid="{00000000-0005-0000-0000-0000EA3A0000}"/>
    <cellStyle name="Warning Text 6 2 2" xfId="14614" xr:uid="{00000000-0005-0000-0000-0000EB3A0000}"/>
    <cellStyle name="Warning Text 6 3" xfId="7933" xr:uid="{00000000-0005-0000-0000-0000EC3A0000}"/>
    <cellStyle name="Warning Text 6 3 2" xfId="14615" xr:uid="{00000000-0005-0000-0000-0000ED3A0000}"/>
    <cellStyle name="Warning Text 6 4" xfId="14613" xr:uid="{00000000-0005-0000-0000-0000EE3A0000}"/>
    <cellStyle name="Warning Text 7" xfId="7041" xr:uid="{00000000-0005-0000-0000-0000EF3A0000}"/>
    <cellStyle name="Warning Text 7 2" xfId="8699" xr:uid="{00000000-0005-0000-0000-0000F03A0000}"/>
    <cellStyle name="Warning Text 7 2 2" xfId="14617" xr:uid="{00000000-0005-0000-0000-0000F13A0000}"/>
    <cellStyle name="Warning Text 7 3" xfId="7934" xr:uid="{00000000-0005-0000-0000-0000F23A0000}"/>
    <cellStyle name="Warning Text 7 3 2" xfId="14618" xr:uid="{00000000-0005-0000-0000-0000F33A0000}"/>
    <cellStyle name="Warning Text 7 4" xfId="14616" xr:uid="{00000000-0005-0000-0000-0000F43A0000}"/>
    <cellStyle name="Warning Text 8" xfId="7042" xr:uid="{00000000-0005-0000-0000-0000F53A0000}"/>
    <cellStyle name="Warning Text 8 2" xfId="8700" xr:uid="{00000000-0005-0000-0000-0000F63A0000}"/>
    <cellStyle name="Warning Text 8 2 2" xfId="14620" xr:uid="{00000000-0005-0000-0000-0000F73A0000}"/>
    <cellStyle name="Warning Text 8 3" xfId="7935" xr:uid="{00000000-0005-0000-0000-0000F83A0000}"/>
    <cellStyle name="Warning Text 8 3 2" xfId="14621" xr:uid="{00000000-0005-0000-0000-0000F93A0000}"/>
    <cellStyle name="Warning Text 8 4" xfId="14619" xr:uid="{00000000-0005-0000-0000-0000FA3A0000}"/>
    <cellStyle name="Warning Text 9" xfId="7043" xr:uid="{00000000-0005-0000-0000-0000FB3A0000}"/>
    <cellStyle name="Warning Text 9 2" xfId="8701" xr:uid="{00000000-0005-0000-0000-0000FC3A0000}"/>
    <cellStyle name="Warning Text 9 2 2" xfId="14623" xr:uid="{00000000-0005-0000-0000-0000FD3A0000}"/>
    <cellStyle name="Warning Text 9 3" xfId="7936" xr:uid="{00000000-0005-0000-0000-0000FE3A0000}"/>
    <cellStyle name="Warning Text 9 3 2" xfId="14624" xr:uid="{00000000-0005-0000-0000-0000FF3A0000}"/>
    <cellStyle name="Warning Text 9 4" xfId="14622" xr:uid="{00000000-0005-0000-0000-0000003B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tcmbe\Documents\T1709%20D481%20Mooiplaas%20May%202023\T1709%20-%20Reconstruction%20of%20road%20D481%20Between%20Mooiplaas%20and%20Ekulindeni%207.2km\Contract%20Administration_New%20Contract\Rates%20Balancing%20Motivation\TM%20&amp;%20S%20Balanced%20BOQ%20_TC.xlsx?CA9E393A" TargetMode="External"/><Relationship Id="rId1" Type="http://schemas.openxmlformats.org/officeDocument/2006/relationships/externalLinkPath" Target="file:///\\CA9E393A\TM%20&amp;%20S%20Balanced%20BOQ%20_T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A Roadworks"/>
      <sheetName val="Schedule A Summary"/>
      <sheetName val="Schedule B Structures"/>
      <sheetName val="Schedule B Summary"/>
      <sheetName val=" Schedule C EMP"/>
      <sheetName val="Schedule D Remedial Works"/>
      <sheetName val="Schedule D Summary "/>
      <sheetName val="Total Tender Sum"/>
    </sheetNames>
    <sheetDataSet>
      <sheetData sheetId="0">
        <row r="81">
          <cell r="H81">
            <v>522992.14</v>
          </cell>
          <cell r="I81">
            <v>3137952.84</v>
          </cell>
        </row>
      </sheetData>
      <sheetData sheetId="1">
        <row r="10">
          <cell r="D10">
            <v>4238050.6399999997</v>
          </cell>
        </row>
        <row r="24">
          <cell r="D24">
            <v>517375</v>
          </cell>
        </row>
        <row r="30">
          <cell r="D30">
            <v>104900</v>
          </cell>
        </row>
        <row r="54">
          <cell r="D54">
            <v>727912</v>
          </cell>
        </row>
      </sheetData>
      <sheetData sheetId="2"/>
      <sheetData sheetId="3"/>
      <sheetData sheetId="4"/>
      <sheetData sheetId="5"/>
      <sheetData sheetId="6"/>
      <sheetData sheetId="7">
        <row r="4">
          <cell r="D4">
            <v>36964128.61333333</v>
          </cell>
        </row>
        <row r="6">
          <cell r="D6">
            <v>1330300.0375000001</v>
          </cell>
        </row>
        <row r="8">
          <cell r="D8">
            <v>1258160.8511999999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Y75"/>
  <sheetViews>
    <sheetView view="pageBreakPreview" zoomScaleNormal="75" zoomScaleSheetLayoutView="100" workbookViewId="0">
      <selection activeCell="E75" sqref="E75"/>
    </sheetView>
  </sheetViews>
  <sheetFormatPr defaultColWidth="10.28515625" defaultRowHeight="12" x14ac:dyDescent="0.2"/>
  <cols>
    <col min="1" max="1" width="3.28515625" style="200" customWidth="1"/>
    <col min="2" max="2" width="13.7109375" style="216" customWidth="1"/>
    <col min="3" max="3" width="77.140625" style="200" customWidth="1"/>
    <col min="4" max="6" width="14.140625" style="200" bestFit="1" customWidth="1"/>
    <col min="7" max="7" width="15.5703125" style="200" customWidth="1"/>
    <col min="8" max="8" width="17.140625" style="200" customWidth="1"/>
    <col min="9" max="9" width="13.7109375" style="200" customWidth="1"/>
    <col min="10" max="10" width="20.140625" style="200" customWidth="1"/>
    <col min="11" max="16384" width="10.28515625" style="200"/>
  </cols>
  <sheetData>
    <row r="1" spans="2:13" x14ac:dyDescent="0.2">
      <c r="B1" s="549" t="s">
        <v>778</v>
      </c>
      <c r="C1" s="549"/>
      <c r="D1" s="199"/>
      <c r="E1" s="199"/>
      <c r="F1" s="199"/>
    </row>
    <row r="2" spans="2:13" x14ac:dyDescent="0.2">
      <c r="B2" s="71" t="s">
        <v>609</v>
      </c>
      <c r="C2" s="199"/>
      <c r="D2" s="199"/>
      <c r="E2" s="199"/>
      <c r="F2" s="199"/>
    </row>
    <row r="3" spans="2:13" x14ac:dyDescent="0.2">
      <c r="B3" s="71"/>
      <c r="C3" s="199"/>
      <c r="D3" s="199"/>
      <c r="E3" s="199"/>
      <c r="F3" s="199"/>
    </row>
    <row r="4" spans="2:13" ht="21.6" customHeight="1" x14ac:dyDescent="0.2">
      <c r="B4" s="129" t="s">
        <v>32</v>
      </c>
      <c r="C4" s="129" t="s">
        <v>335</v>
      </c>
      <c r="D4" s="129" t="s">
        <v>846</v>
      </c>
      <c r="E4" s="129" t="s">
        <v>846</v>
      </c>
      <c r="F4" s="129" t="s">
        <v>846</v>
      </c>
    </row>
    <row r="5" spans="2:13" x14ac:dyDescent="0.2">
      <c r="B5" s="201"/>
      <c r="C5" s="202"/>
      <c r="D5" s="202"/>
      <c r="E5" s="202"/>
      <c r="F5" s="202"/>
    </row>
    <row r="6" spans="2:13" x14ac:dyDescent="0.2">
      <c r="B6" s="203"/>
      <c r="C6" s="204" t="s">
        <v>33</v>
      </c>
      <c r="D6" s="204"/>
      <c r="E6" s="204"/>
      <c r="F6" s="204"/>
    </row>
    <row r="7" spans="2:13" x14ac:dyDescent="0.2">
      <c r="B7" s="203"/>
      <c r="C7" s="205"/>
      <c r="D7" s="205"/>
      <c r="E7" s="205"/>
      <c r="F7" s="205"/>
    </row>
    <row r="8" spans="2:13" x14ac:dyDescent="0.2">
      <c r="B8" s="206">
        <v>1200</v>
      </c>
      <c r="C8" s="205" t="s">
        <v>773</v>
      </c>
      <c r="D8" s="207">
        <f>'Schedule A Roadworks'!I67</f>
        <v>709590</v>
      </c>
      <c r="E8" s="207">
        <f>'Schedule A Roadworks'!L67</f>
        <v>858090</v>
      </c>
      <c r="F8" s="207">
        <f>'Schedule A Roadworks'!O67</f>
        <v>735214.08999700006</v>
      </c>
      <c r="G8" s="208"/>
    </row>
    <row r="9" spans="2:13" x14ac:dyDescent="0.2">
      <c r="B9" s="203"/>
      <c r="C9" s="205"/>
      <c r="D9" s="207"/>
      <c r="E9" s="207"/>
      <c r="F9" s="207"/>
      <c r="G9" s="208"/>
    </row>
    <row r="10" spans="2:13" x14ac:dyDescent="0.2">
      <c r="B10" s="203">
        <v>1300</v>
      </c>
      <c r="C10" s="205" t="s">
        <v>695</v>
      </c>
      <c r="D10" s="207">
        <f>'Schedule A Roadworks'!I134</f>
        <v>990000</v>
      </c>
      <c r="E10" s="207">
        <f>'Schedule A Roadworks'!L134</f>
        <v>3775373.0900000003</v>
      </c>
      <c r="F10" s="513">
        <f>'Schedule A Roadworks'!O134</f>
        <v>3775379.21</v>
      </c>
      <c r="G10" s="208">
        <f>'[1]Schedule A Summary'!$D$10</f>
        <v>4238050.6399999997</v>
      </c>
      <c r="H10" s="514">
        <f>F10-G10</f>
        <v>-462671.4299999997</v>
      </c>
    </row>
    <row r="11" spans="2:13" x14ac:dyDescent="0.2">
      <c r="B11" s="203"/>
      <c r="C11" s="205"/>
      <c r="D11" s="207"/>
      <c r="E11" s="207"/>
      <c r="F11" s="207"/>
      <c r="G11" s="208"/>
    </row>
    <row r="12" spans="2:13" x14ac:dyDescent="0.2">
      <c r="B12" s="203">
        <v>1400</v>
      </c>
      <c r="C12" s="205" t="s">
        <v>34</v>
      </c>
      <c r="D12" s="207">
        <f>'Schedule A Roadworks'!I268</f>
        <v>1199500</v>
      </c>
      <c r="E12" s="513">
        <f>'Schedule A Roadworks'!L268</f>
        <v>827084.84</v>
      </c>
      <c r="F12" s="207">
        <f>'Schedule A Roadworks'!O268</f>
        <v>817000</v>
      </c>
      <c r="G12" s="208"/>
      <c r="I12" s="208">
        <v>815500</v>
      </c>
      <c r="J12" s="514">
        <f>E12-I12</f>
        <v>11584.839999999967</v>
      </c>
      <c r="K12" s="208"/>
      <c r="L12" s="208"/>
      <c r="M12" s="208"/>
    </row>
    <row r="13" spans="2:13" x14ac:dyDescent="0.2">
      <c r="B13" s="203"/>
      <c r="C13" s="205"/>
      <c r="D13" s="207"/>
      <c r="E13" s="207"/>
      <c r="F13" s="207"/>
      <c r="G13" s="208"/>
      <c r="J13" s="514"/>
    </row>
    <row r="14" spans="2:13" x14ac:dyDescent="0.2">
      <c r="B14" s="203">
        <v>1500</v>
      </c>
      <c r="C14" s="205" t="s">
        <v>35</v>
      </c>
      <c r="D14" s="207">
        <f>'Schedule A Roadworks'!I336</f>
        <v>944200</v>
      </c>
      <c r="E14" s="207">
        <f>'Schedule A Roadworks'!L336</f>
        <v>1493946</v>
      </c>
      <c r="F14" s="207">
        <f>'Schedule A Roadworks'!O336</f>
        <v>1338138</v>
      </c>
      <c r="G14" s="208"/>
      <c r="I14" s="208"/>
      <c r="J14" s="514"/>
      <c r="K14" s="208"/>
      <c r="L14" s="208"/>
      <c r="M14" s="208"/>
    </row>
    <row r="15" spans="2:13" x14ac:dyDescent="0.2">
      <c r="B15" s="203"/>
      <c r="C15" s="205"/>
      <c r="D15" s="207"/>
      <c r="E15" s="207"/>
      <c r="F15" s="207"/>
      <c r="G15" s="208"/>
      <c r="J15" s="514"/>
    </row>
    <row r="16" spans="2:13" x14ac:dyDescent="0.2">
      <c r="B16" s="203">
        <v>1700</v>
      </c>
      <c r="C16" s="205" t="s">
        <v>260</v>
      </c>
      <c r="D16" s="207">
        <f>'Schedule A Roadworks'!I403</f>
        <v>87400</v>
      </c>
      <c r="E16" s="207">
        <f>'Schedule A Roadworks'!L403</f>
        <v>98260</v>
      </c>
      <c r="F16" s="207">
        <f>'Schedule A Roadworks'!O403</f>
        <v>98260</v>
      </c>
      <c r="G16" s="208"/>
      <c r="J16" s="514"/>
    </row>
    <row r="17" spans="2:103" x14ac:dyDescent="0.2">
      <c r="B17" s="203"/>
      <c r="C17" s="205"/>
      <c r="D17" s="207"/>
      <c r="E17" s="207"/>
      <c r="F17" s="207"/>
      <c r="G17" s="208"/>
      <c r="J17" s="514"/>
    </row>
    <row r="18" spans="2:103" x14ac:dyDescent="0.2">
      <c r="B18" s="203">
        <v>1800</v>
      </c>
      <c r="C18" s="205" t="s">
        <v>36</v>
      </c>
      <c r="D18" s="207">
        <f>'Schedule A Roadworks'!I471</f>
        <v>1430000</v>
      </c>
      <c r="E18" s="207">
        <f>'Schedule A Roadworks'!L471</f>
        <v>1430000</v>
      </c>
      <c r="F18" s="207">
        <f>'Schedule A Roadworks'!O471</f>
        <v>1365000</v>
      </c>
      <c r="G18" s="208"/>
      <c r="J18" s="514"/>
    </row>
    <row r="19" spans="2:103" x14ac:dyDescent="0.2">
      <c r="B19" s="203"/>
      <c r="C19" s="205"/>
      <c r="D19" s="205"/>
      <c r="E19" s="207"/>
      <c r="F19" s="205"/>
      <c r="G19" s="208"/>
      <c r="J19" s="514"/>
    </row>
    <row r="20" spans="2:103" x14ac:dyDescent="0.2">
      <c r="B20" s="203"/>
      <c r="C20" s="204" t="s">
        <v>37</v>
      </c>
      <c r="D20" s="204"/>
      <c r="E20" s="207"/>
      <c r="F20" s="204"/>
      <c r="G20" s="208"/>
      <c r="J20" s="514"/>
    </row>
    <row r="21" spans="2:103" x14ac:dyDescent="0.2">
      <c r="B21" s="203"/>
      <c r="C21" s="205"/>
      <c r="D21" s="205"/>
      <c r="E21" s="207" t="str">
        <f>'Schedule A Roadworks'!L80</f>
        <v xml:space="preserve"> </v>
      </c>
      <c r="F21" s="205"/>
      <c r="G21" s="208"/>
      <c r="J21" s="514"/>
    </row>
    <row r="22" spans="2:103" x14ac:dyDescent="0.2">
      <c r="B22" s="203">
        <v>2100</v>
      </c>
      <c r="C22" s="205" t="s">
        <v>38</v>
      </c>
      <c r="D22" s="207">
        <f>'Schedule A Roadworks'!I539</f>
        <v>168925</v>
      </c>
      <c r="E22" s="207">
        <f>'Schedule A Roadworks'!L539</f>
        <v>728072.5</v>
      </c>
      <c r="F22" s="207">
        <f>'Schedule A Roadworks'!O539</f>
        <v>472497.5</v>
      </c>
      <c r="G22" s="208"/>
      <c r="J22" s="514"/>
    </row>
    <row r="23" spans="2:103" x14ac:dyDescent="0.2">
      <c r="B23" s="203"/>
      <c r="C23" s="205"/>
      <c r="D23" s="207"/>
      <c r="E23" s="207" t="str">
        <f>'Schedule A Roadworks'!L82</f>
        <v xml:space="preserve"> </v>
      </c>
      <c r="F23" s="207"/>
      <c r="G23" s="208"/>
      <c r="J23" s="514"/>
    </row>
    <row r="24" spans="2:103" x14ac:dyDescent="0.2">
      <c r="B24" s="203">
        <v>2200</v>
      </c>
      <c r="C24" s="205" t="s">
        <v>39</v>
      </c>
      <c r="D24" s="207">
        <f>'Schedule A Roadworks'!I679</f>
        <v>468700</v>
      </c>
      <c r="E24" s="207">
        <f>'Schedule A Roadworks'!L679</f>
        <v>517375</v>
      </c>
      <c r="F24" s="513">
        <f>'Schedule A Roadworks'!O679</f>
        <v>517375</v>
      </c>
      <c r="G24" s="517">
        <f>'[1]Schedule A Summary'!$D$24</f>
        <v>517375</v>
      </c>
      <c r="H24" s="514">
        <f>F24-G24</f>
        <v>0</v>
      </c>
      <c r="J24" s="514"/>
    </row>
    <row r="25" spans="2:103" x14ac:dyDescent="0.2">
      <c r="B25" s="203"/>
      <c r="C25" s="205"/>
      <c r="D25" s="207"/>
      <c r="E25" s="207" t="str">
        <f>'Schedule A Roadworks'!L84</f>
        <v xml:space="preserve"> </v>
      </c>
      <c r="F25" s="207"/>
      <c r="G25" s="208"/>
      <c r="J25" s="514"/>
    </row>
    <row r="26" spans="2:103" ht="24" x14ac:dyDescent="0.2">
      <c r="B26" s="203">
        <v>2300</v>
      </c>
      <c r="C26" s="205" t="s">
        <v>212</v>
      </c>
      <c r="D26" s="207">
        <f>'Schedule A Roadworks'!I816</f>
        <v>3827743</v>
      </c>
      <c r="E26" s="513">
        <f>'Schedule A Roadworks'!L816</f>
        <v>3876832.25</v>
      </c>
      <c r="F26" s="207">
        <f>'Schedule A Roadworks'!O816</f>
        <v>3389991</v>
      </c>
      <c r="G26" s="208"/>
      <c r="I26" s="200">
        <v>3891832.25</v>
      </c>
      <c r="J26" s="514">
        <f t="shared" ref="J26:J70" si="0">E26-I26</f>
        <v>-15000</v>
      </c>
    </row>
    <row r="27" spans="2:103" x14ac:dyDescent="0.2">
      <c r="B27" s="203"/>
      <c r="C27" s="205"/>
      <c r="D27" s="205"/>
      <c r="E27" s="207" t="str">
        <f>'Schedule A Roadworks'!L86</f>
        <v xml:space="preserve"> </v>
      </c>
      <c r="F27" s="205"/>
      <c r="G27" s="208"/>
      <c r="J27" s="514"/>
    </row>
    <row r="28" spans="2:103" x14ac:dyDescent="0.2">
      <c r="B28" s="203"/>
      <c r="C28" s="204" t="s">
        <v>40</v>
      </c>
      <c r="D28" s="204"/>
      <c r="E28" s="207"/>
      <c r="F28" s="204"/>
      <c r="G28" s="208"/>
      <c r="H28" s="208"/>
      <c r="I28" s="208"/>
      <c r="J28" s="514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8"/>
      <c r="AR28" s="208"/>
      <c r="AS28" s="208"/>
      <c r="AT28" s="208"/>
      <c r="AU28" s="208"/>
      <c r="AV28" s="208"/>
      <c r="AW28" s="208"/>
      <c r="AX28" s="208"/>
      <c r="AY28" s="208"/>
      <c r="AZ28" s="208"/>
      <c r="BA28" s="208"/>
      <c r="BB28" s="208"/>
      <c r="BC28" s="208"/>
      <c r="BD28" s="208"/>
      <c r="BE28" s="208"/>
      <c r="BF28" s="208"/>
      <c r="BG28" s="208"/>
      <c r="BH28" s="208"/>
      <c r="BI28" s="208"/>
      <c r="BJ28" s="208"/>
      <c r="BK28" s="208"/>
      <c r="BL28" s="208"/>
      <c r="BM28" s="208"/>
      <c r="BN28" s="208"/>
      <c r="BO28" s="208"/>
      <c r="BP28" s="208"/>
      <c r="BQ28" s="208"/>
      <c r="BR28" s="208"/>
      <c r="BS28" s="208"/>
      <c r="BT28" s="208"/>
      <c r="BU28" s="208"/>
      <c r="BV28" s="208"/>
      <c r="BW28" s="208"/>
      <c r="BX28" s="208"/>
      <c r="BY28" s="208"/>
      <c r="BZ28" s="208"/>
      <c r="CA28" s="208"/>
      <c r="CB28" s="208"/>
      <c r="CC28" s="208"/>
      <c r="CD28" s="208"/>
      <c r="CE28" s="208"/>
      <c r="CF28" s="208"/>
      <c r="CG28" s="208"/>
      <c r="CH28" s="208"/>
      <c r="CI28" s="208"/>
      <c r="CJ28" s="208"/>
      <c r="CK28" s="208"/>
      <c r="CL28" s="208"/>
      <c r="CM28" s="208"/>
      <c r="CN28" s="208"/>
      <c r="CO28" s="208"/>
      <c r="CP28" s="208"/>
      <c r="CQ28" s="208"/>
      <c r="CR28" s="208"/>
      <c r="CS28" s="208"/>
      <c r="CT28" s="208"/>
      <c r="CU28" s="208"/>
      <c r="CV28" s="208"/>
      <c r="CW28" s="208"/>
      <c r="CX28" s="208"/>
      <c r="CY28" s="208"/>
    </row>
    <row r="29" spans="2:103" x14ac:dyDescent="0.2">
      <c r="B29" s="203"/>
      <c r="C29" s="205"/>
      <c r="D29" s="205"/>
      <c r="E29" s="207" t="str">
        <f>'Schedule A Roadworks'!L88</f>
        <v xml:space="preserve"> </v>
      </c>
      <c r="F29" s="205"/>
      <c r="G29" s="208"/>
      <c r="J29" s="514"/>
    </row>
    <row r="30" spans="2:103" x14ac:dyDescent="0.2">
      <c r="B30" s="203">
        <v>3100</v>
      </c>
      <c r="C30" s="205" t="s">
        <v>23</v>
      </c>
      <c r="D30" s="207">
        <f>'Schedule A Roadworks'!I884</f>
        <v>92000</v>
      </c>
      <c r="E30" s="207">
        <f>'Schedule A Roadworks'!L884</f>
        <v>104900</v>
      </c>
      <c r="F30" s="513">
        <f>'Schedule A Roadworks'!O884</f>
        <v>104900</v>
      </c>
      <c r="G30" s="208">
        <f>'[1]Schedule A Summary'!$D$30</f>
        <v>104900</v>
      </c>
      <c r="H30" s="514">
        <f>F30-G30</f>
        <v>0</v>
      </c>
      <c r="J30" s="514"/>
    </row>
    <row r="31" spans="2:103" x14ac:dyDescent="0.2">
      <c r="B31" s="203"/>
      <c r="C31" s="205"/>
      <c r="D31" s="207"/>
      <c r="E31" s="207" t="str">
        <f>'Schedule A Roadworks'!L90</f>
        <v xml:space="preserve"> </v>
      </c>
      <c r="F31" s="207"/>
      <c r="G31" s="208"/>
      <c r="J31" s="514"/>
    </row>
    <row r="32" spans="2:103" x14ac:dyDescent="0.2">
      <c r="B32" s="203">
        <v>3300</v>
      </c>
      <c r="C32" s="205" t="s">
        <v>41</v>
      </c>
      <c r="D32" s="207">
        <f>'Schedule A Roadworks'!I951</f>
        <v>1181480</v>
      </c>
      <c r="E32" s="207">
        <f>'Schedule A Roadworks'!L951</f>
        <v>2528420</v>
      </c>
      <c r="F32" s="207">
        <f>'Schedule A Roadworks'!O951</f>
        <v>1807820</v>
      </c>
      <c r="G32" s="208"/>
      <c r="J32" s="514"/>
    </row>
    <row r="33" spans="2:10" x14ac:dyDescent="0.2">
      <c r="B33" s="203"/>
      <c r="C33" s="205"/>
      <c r="D33" s="205"/>
      <c r="E33" s="207" t="str">
        <f>'Schedule A Roadworks'!L92</f>
        <v xml:space="preserve"> </v>
      </c>
      <c r="F33" s="205"/>
      <c r="G33" s="208"/>
      <c r="J33" s="514"/>
    </row>
    <row r="34" spans="2:10" x14ac:dyDescent="0.2">
      <c r="B34" s="203">
        <v>3400</v>
      </c>
      <c r="C34" s="205" t="s">
        <v>42</v>
      </c>
      <c r="D34" s="207">
        <f>'Schedule A Roadworks'!I1019</f>
        <v>341460</v>
      </c>
      <c r="E34" s="207">
        <f>'Schedule A Roadworks'!L1019</f>
        <v>1080981.5</v>
      </c>
      <c r="F34" s="207">
        <f>'Schedule A Roadworks'!O1019</f>
        <v>914381.5</v>
      </c>
      <c r="G34" s="208"/>
      <c r="J34" s="514"/>
    </row>
    <row r="35" spans="2:10" x14ac:dyDescent="0.2">
      <c r="B35" s="203"/>
      <c r="C35" s="205"/>
      <c r="D35" s="205"/>
      <c r="E35" s="207" t="str">
        <f>'Schedule A Roadworks'!L94</f>
        <v xml:space="preserve"> </v>
      </c>
      <c r="F35" s="205"/>
      <c r="G35" s="208"/>
      <c r="J35" s="514"/>
    </row>
    <row r="36" spans="2:10" x14ac:dyDescent="0.2">
      <c r="B36" s="203">
        <v>3500</v>
      </c>
      <c r="C36" s="205" t="s">
        <v>256</v>
      </c>
      <c r="D36" s="207">
        <f>'Schedule A Roadworks'!I1087</f>
        <v>216580</v>
      </c>
      <c r="E36" s="207">
        <f>'Schedule A Roadworks'!L1087</f>
        <v>266560</v>
      </c>
      <c r="F36" s="207">
        <f>'Schedule A Roadworks'!O1087</f>
        <v>241570</v>
      </c>
      <c r="G36" s="208"/>
      <c r="J36" s="514"/>
    </row>
    <row r="37" spans="2:10" x14ac:dyDescent="0.2">
      <c r="B37" s="203"/>
      <c r="C37" s="205"/>
      <c r="D37" s="205"/>
      <c r="E37" s="207" t="str">
        <f>'Schedule A Roadworks'!L96</f>
        <v xml:space="preserve"> </v>
      </c>
      <c r="F37" s="205"/>
      <c r="G37" s="208"/>
      <c r="J37" s="514"/>
    </row>
    <row r="38" spans="2:10" x14ac:dyDescent="0.2">
      <c r="B38" s="203">
        <v>3600</v>
      </c>
      <c r="C38" s="205" t="s">
        <v>774</v>
      </c>
      <c r="D38" s="207">
        <f>'Schedule A Roadworks'!I1155</f>
        <v>2648145</v>
      </c>
      <c r="E38" s="207">
        <f>'Schedule A Roadworks'!L1155</f>
        <v>995340</v>
      </c>
      <c r="F38" s="207">
        <f>'Schedule A Roadworks'!O1155</f>
        <v>1444883.8800000001</v>
      </c>
      <c r="G38" s="208"/>
      <c r="J38" s="514"/>
    </row>
    <row r="39" spans="2:10" x14ac:dyDescent="0.2">
      <c r="B39" s="203"/>
      <c r="C39" s="205"/>
      <c r="D39" s="205"/>
      <c r="E39" s="207" t="str">
        <f>'Schedule A Roadworks'!L98</f>
        <v xml:space="preserve"> </v>
      </c>
      <c r="F39" s="205"/>
      <c r="G39" s="208"/>
      <c r="J39" s="514"/>
    </row>
    <row r="40" spans="2:10" x14ac:dyDescent="0.2">
      <c r="B40" s="203"/>
      <c r="C40" s="204" t="s">
        <v>58</v>
      </c>
      <c r="D40" s="204"/>
      <c r="E40" s="207" t="str">
        <f>'Schedule A Roadworks'!L99</f>
        <v xml:space="preserve"> </v>
      </c>
      <c r="F40" s="204"/>
      <c r="G40" s="208"/>
      <c r="J40" s="514"/>
    </row>
    <row r="41" spans="2:10" x14ac:dyDescent="0.2">
      <c r="B41" s="203"/>
      <c r="C41" s="205"/>
      <c r="D41" s="205"/>
      <c r="E41" s="207" t="str">
        <f>'Schedule A Roadworks'!L100</f>
        <v xml:space="preserve"> </v>
      </c>
      <c r="F41" s="205"/>
      <c r="G41" s="208"/>
      <c r="J41" s="514"/>
    </row>
    <row r="42" spans="2:10" x14ac:dyDescent="0.2">
      <c r="B42" s="203">
        <v>4100</v>
      </c>
      <c r="C42" s="205" t="s">
        <v>261</v>
      </c>
      <c r="D42" s="207">
        <f>'Schedule A Roadworks'!I1223</f>
        <v>361808</v>
      </c>
      <c r="E42" s="513">
        <f>'Schedule A Roadworks'!L1223</f>
        <v>702288.64</v>
      </c>
      <c r="F42" s="207">
        <f>'Schedule A Roadworks'!O1223</f>
        <v>683888.64000000001</v>
      </c>
      <c r="G42" s="208"/>
      <c r="I42" s="200">
        <v>702410.75</v>
      </c>
      <c r="J42" s="514">
        <f t="shared" si="0"/>
        <v>-122.10999999998603</v>
      </c>
    </row>
    <row r="43" spans="2:10" x14ac:dyDescent="0.2">
      <c r="B43" s="203"/>
      <c r="C43" s="205"/>
      <c r="D43" s="207"/>
      <c r="E43" s="207" t="str">
        <f>'Schedule A Roadworks'!L102</f>
        <v xml:space="preserve"> </v>
      </c>
      <c r="F43" s="207"/>
      <c r="G43" s="208"/>
      <c r="J43" s="514"/>
    </row>
    <row r="44" spans="2:10" x14ac:dyDescent="0.2">
      <c r="B44" s="203">
        <v>4200</v>
      </c>
      <c r="C44" s="205" t="s">
        <v>712</v>
      </c>
      <c r="D44" s="207">
        <f>'Schedule A Roadworks'!I1290</f>
        <v>12294600</v>
      </c>
      <c r="E44" s="513">
        <f>'Schedule A Roadworks'!L1290</f>
        <v>5426178</v>
      </c>
      <c r="F44" s="207">
        <f>'Schedule A Roadworks'!O1290</f>
        <v>9386178</v>
      </c>
      <c r="G44" s="208"/>
      <c r="I44" s="200">
        <v>5426138.4000000004</v>
      </c>
      <c r="J44" s="514"/>
    </row>
    <row r="45" spans="2:10" x14ac:dyDescent="0.2">
      <c r="B45" s="203"/>
      <c r="C45" s="205"/>
      <c r="D45" s="205"/>
      <c r="E45" s="207" t="str">
        <f>'Schedule A Roadworks'!L104</f>
        <v xml:space="preserve"> </v>
      </c>
      <c r="F45" s="205"/>
      <c r="G45" s="208"/>
      <c r="J45" s="514"/>
    </row>
    <row r="46" spans="2:10" x14ac:dyDescent="0.2">
      <c r="B46" s="203"/>
      <c r="C46" s="204" t="s">
        <v>59</v>
      </c>
      <c r="D46" s="204"/>
      <c r="E46" s="207" t="str">
        <f>'Schedule A Roadworks'!L105</f>
        <v xml:space="preserve"> </v>
      </c>
      <c r="F46" s="204"/>
      <c r="G46" s="208"/>
      <c r="J46" s="514"/>
    </row>
    <row r="47" spans="2:10" x14ac:dyDescent="0.2">
      <c r="B47" s="203"/>
      <c r="C47" s="205"/>
      <c r="D47" s="205"/>
      <c r="E47" s="207" t="str">
        <f>'Schedule A Roadworks'!L106</f>
        <v xml:space="preserve"> </v>
      </c>
      <c r="F47" s="205"/>
      <c r="G47" s="208"/>
      <c r="J47" s="514"/>
    </row>
    <row r="48" spans="2:10" x14ac:dyDescent="0.2">
      <c r="B48" s="203">
        <v>5100</v>
      </c>
      <c r="C48" s="205" t="s">
        <v>60</v>
      </c>
      <c r="D48" s="207">
        <f>'Schedule A Roadworks'!I1357</f>
        <v>385000</v>
      </c>
      <c r="E48" s="207">
        <f>'Schedule A Roadworks'!L1357</f>
        <v>660000</v>
      </c>
      <c r="F48" s="207">
        <f>'Schedule A Roadworks'!O1357</f>
        <v>335000</v>
      </c>
      <c r="G48" s="208"/>
      <c r="J48" s="514"/>
    </row>
    <row r="49" spans="2:10" x14ac:dyDescent="0.2">
      <c r="B49" s="203"/>
      <c r="C49" s="205"/>
      <c r="D49" s="207"/>
      <c r="E49" s="207" t="str">
        <f>'Schedule A Roadworks'!L108</f>
        <v xml:space="preserve"> </v>
      </c>
      <c r="F49" s="207"/>
      <c r="G49" s="208"/>
      <c r="J49" s="514"/>
    </row>
    <row r="50" spans="2:10" x14ac:dyDescent="0.2">
      <c r="B50" s="203">
        <v>5200</v>
      </c>
      <c r="C50" s="205" t="s">
        <v>61</v>
      </c>
      <c r="D50" s="207">
        <f>'Schedule A Roadworks'!I1424</f>
        <v>3810900</v>
      </c>
      <c r="E50" s="207">
        <f>'Schedule A Roadworks'!L1424</f>
        <v>3566100</v>
      </c>
      <c r="F50" s="207">
        <f>'Schedule A Roadworks'!O1424</f>
        <v>2410650</v>
      </c>
      <c r="G50" s="208"/>
      <c r="J50" s="514"/>
    </row>
    <row r="51" spans="2:10" x14ac:dyDescent="0.2">
      <c r="B51" s="203"/>
      <c r="C51" s="205"/>
      <c r="D51" s="207"/>
      <c r="E51" s="207" t="str">
        <f>'Schedule A Roadworks'!L110</f>
        <v xml:space="preserve"> </v>
      </c>
      <c r="F51" s="207"/>
      <c r="G51" s="208"/>
      <c r="J51" s="514"/>
    </row>
    <row r="52" spans="2:10" x14ac:dyDescent="0.2">
      <c r="B52" s="203">
        <v>5400</v>
      </c>
      <c r="C52" s="205" t="s">
        <v>62</v>
      </c>
      <c r="D52" s="207">
        <f>'Schedule A Roadworks'!I1491</f>
        <v>2978890</v>
      </c>
      <c r="E52" s="513">
        <f>'Schedule A Roadworks'!L1491</f>
        <v>2443620</v>
      </c>
      <c r="F52" s="207">
        <f>'Schedule A Roadworks'!O1491</f>
        <v>2346600</v>
      </c>
      <c r="G52" s="208"/>
      <c r="I52" s="200">
        <v>2443620</v>
      </c>
      <c r="J52" s="514">
        <f t="shared" si="0"/>
        <v>0</v>
      </c>
    </row>
    <row r="53" spans="2:10" x14ac:dyDescent="0.2">
      <c r="B53" s="203"/>
      <c r="C53" s="205"/>
      <c r="D53" s="207"/>
      <c r="E53" s="207" t="str">
        <f>'Schedule A Roadworks'!L112</f>
        <v xml:space="preserve"> </v>
      </c>
      <c r="F53" s="207"/>
      <c r="G53" s="208"/>
      <c r="J53" s="514"/>
    </row>
    <row r="54" spans="2:10" x14ac:dyDescent="0.2">
      <c r="B54" s="203">
        <v>5500</v>
      </c>
      <c r="C54" s="205" t="s">
        <v>63</v>
      </c>
      <c r="D54" s="207">
        <f>'Schedule A Roadworks'!I1559</f>
        <v>248078</v>
      </c>
      <c r="E54" s="207">
        <f>'Schedule A Roadworks'!L1559</f>
        <v>727912</v>
      </c>
      <c r="F54" s="513">
        <f>'Schedule A Roadworks'!O1559</f>
        <v>727912</v>
      </c>
      <c r="G54" s="208">
        <f>'[1]Schedule A Summary'!$D$54</f>
        <v>727912</v>
      </c>
      <c r="H54" s="514">
        <f>F54-G54</f>
        <v>0</v>
      </c>
      <c r="J54" s="514"/>
    </row>
    <row r="55" spans="2:10" x14ac:dyDescent="0.2">
      <c r="B55" s="203"/>
      <c r="C55" s="205"/>
      <c r="D55" s="207"/>
      <c r="E55" s="207" t="str">
        <f>'Schedule A Roadworks'!L114</f>
        <v xml:space="preserve"> </v>
      </c>
      <c r="F55" s="207"/>
      <c r="G55" s="208"/>
      <c r="J55" s="514"/>
    </row>
    <row r="56" spans="2:10" x14ac:dyDescent="0.2">
      <c r="B56" s="203">
        <v>5600</v>
      </c>
      <c r="C56" s="205" t="s">
        <v>64</v>
      </c>
      <c r="D56" s="207">
        <f>'Schedule A Roadworks'!I1626</f>
        <v>678500</v>
      </c>
      <c r="E56" s="207">
        <f>'Schedule A Roadworks'!L1626</f>
        <v>511672.5</v>
      </c>
      <c r="F56" s="207">
        <f>'Schedule A Roadworks'!O1626</f>
        <v>479422.5</v>
      </c>
      <c r="G56" s="208"/>
      <c r="J56" s="514"/>
    </row>
    <row r="57" spans="2:10" x14ac:dyDescent="0.2">
      <c r="B57" s="203"/>
      <c r="C57" s="205"/>
      <c r="D57" s="207"/>
      <c r="E57" s="207" t="str">
        <f>'Schedule A Roadworks'!L116</f>
        <v xml:space="preserve"> </v>
      </c>
      <c r="F57" s="207"/>
      <c r="G57" s="208"/>
      <c r="J57" s="514"/>
    </row>
    <row r="58" spans="2:10" x14ac:dyDescent="0.2">
      <c r="B58" s="203">
        <v>5700</v>
      </c>
      <c r="C58" s="205" t="s">
        <v>65</v>
      </c>
      <c r="D58" s="207">
        <f>'Schedule A Roadworks'!I1692</f>
        <v>470140</v>
      </c>
      <c r="E58" s="207">
        <f>'Schedule A Roadworks'!L1692</f>
        <v>798493</v>
      </c>
      <c r="F58" s="207">
        <f>'Schedule A Roadworks'!O1692</f>
        <v>755293</v>
      </c>
      <c r="G58" s="208"/>
      <c r="J58" s="514"/>
    </row>
    <row r="59" spans="2:10" x14ac:dyDescent="0.2">
      <c r="B59" s="203"/>
      <c r="C59" s="205"/>
      <c r="D59" s="207"/>
      <c r="E59" s="207" t="str">
        <f>'Schedule A Roadworks'!L118</f>
        <v xml:space="preserve"> </v>
      </c>
      <c r="F59" s="207"/>
      <c r="G59" s="208"/>
      <c r="J59" s="514"/>
    </row>
    <row r="60" spans="2:10" x14ac:dyDescent="0.2">
      <c r="B60" s="203">
        <v>5800</v>
      </c>
      <c r="C60" s="205" t="s">
        <v>408</v>
      </c>
      <c r="D60" s="207">
        <f>'Schedule A Roadworks'!I1759</f>
        <v>1376055</v>
      </c>
      <c r="E60" s="207">
        <f>'Schedule A Roadworks'!L1759</f>
        <v>2695387.5</v>
      </c>
      <c r="F60" s="207">
        <f>'Schedule A Roadworks'!O1759</f>
        <v>1996587.5</v>
      </c>
      <c r="G60" s="208"/>
      <c r="J60" s="514"/>
    </row>
    <row r="61" spans="2:10" x14ac:dyDescent="0.2">
      <c r="B61" s="203"/>
      <c r="C61" s="205"/>
      <c r="D61" s="207"/>
      <c r="E61" s="207" t="str">
        <f>'Schedule A Roadworks'!L120</f>
        <v xml:space="preserve"> </v>
      </c>
      <c r="F61" s="207"/>
      <c r="G61" s="208"/>
      <c r="J61" s="514"/>
    </row>
    <row r="62" spans="2:10" x14ac:dyDescent="0.2">
      <c r="B62" s="203">
        <v>5900</v>
      </c>
      <c r="C62" s="205" t="s">
        <v>66</v>
      </c>
      <c r="D62" s="207">
        <f>'Schedule A Roadworks'!I1827</f>
        <v>252000</v>
      </c>
      <c r="E62" s="207">
        <f>'Schedule A Roadworks'!L1827</f>
        <v>129600</v>
      </c>
      <c r="F62" s="207">
        <f>'Schedule A Roadworks'!O1827</f>
        <v>129600</v>
      </c>
      <c r="G62" s="208"/>
      <c r="J62" s="514"/>
    </row>
    <row r="63" spans="2:10" x14ac:dyDescent="0.2">
      <c r="B63" s="203"/>
      <c r="C63" s="205"/>
      <c r="D63" s="209"/>
      <c r="E63" s="207" t="str">
        <f>'Schedule A Roadworks'!L122</f>
        <v xml:space="preserve"> </v>
      </c>
      <c r="F63" s="209"/>
      <c r="G63" s="208"/>
      <c r="J63" s="514"/>
    </row>
    <row r="64" spans="2:10" x14ac:dyDescent="0.2">
      <c r="B64" s="203">
        <v>8100</v>
      </c>
      <c r="C64" s="205" t="s">
        <v>527</v>
      </c>
      <c r="D64" s="207">
        <f>'Schedule A Roadworks'!I1893</f>
        <v>100000</v>
      </c>
      <c r="E64" s="207">
        <f>'Schedule A Roadworks'!L1893</f>
        <v>100000</v>
      </c>
      <c r="F64" s="207">
        <f>'Schedule A Roadworks'!O1893</f>
        <v>100000</v>
      </c>
      <c r="G64" s="208"/>
      <c r="J64" s="514"/>
    </row>
    <row r="65" spans="2:10" x14ac:dyDescent="0.2">
      <c r="B65" s="203"/>
      <c r="C65" s="205"/>
      <c r="D65" s="207"/>
      <c r="E65" s="207"/>
      <c r="F65" s="207"/>
      <c r="G65" s="208"/>
      <c r="J65" s="514"/>
    </row>
    <row r="66" spans="2:10" x14ac:dyDescent="0.2">
      <c r="B66" s="203"/>
      <c r="C66" s="205"/>
      <c r="D66" s="207"/>
      <c r="E66" s="207"/>
      <c r="F66" s="207"/>
      <c r="G66" s="208"/>
      <c r="J66" s="514"/>
    </row>
    <row r="67" spans="2:10" x14ac:dyDescent="0.2">
      <c r="B67" s="203"/>
      <c r="C67" s="205"/>
      <c r="D67" s="207"/>
      <c r="E67" s="207"/>
      <c r="F67" s="207"/>
      <c r="G67" s="208"/>
      <c r="J67" s="514"/>
    </row>
    <row r="68" spans="2:10" x14ac:dyDescent="0.2">
      <c r="B68" s="203"/>
      <c r="C68" s="205"/>
      <c r="D68" s="207"/>
      <c r="E68" s="207"/>
      <c r="F68" s="207"/>
      <c r="G68" s="208"/>
      <c r="J68" s="514"/>
    </row>
    <row r="69" spans="2:10" x14ac:dyDescent="0.2">
      <c r="B69" s="210"/>
      <c r="C69" s="211"/>
      <c r="D69" s="211"/>
      <c r="E69" s="211"/>
      <c r="F69" s="211"/>
      <c r="G69" s="208"/>
      <c r="J69" s="514"/>
    </row>
    <row r="70" spans="2:10" x14ac:dyDescent="0.2">
      <c r="B70" s="131" t="s">
        <v>847</v>
      </c>
      <c r="C70" s="212"/>
      <c r="D70" s="132">
        <f>SUM(D8:D69)</f>
        <v>37261694</v>
      </c>
      <c r="E70" s="518">
        <f t="shared" ref="E70:F70" si="1">SUM(E8:E69)</f>
        <v>36342486.82</v>
      </c>
      <c r="F70" s="132">
        <f t="shared" si="1"/>
        <v>36373541.819996998</v>
      </c>
      <c r="G70" s="509">
        <f>E70-F70</f>
        <v>-31054.999996997416</v>
      </c>
      <c r="I70" s="200">
        <f>36345984.5</f>
        <v>36345984.5</v>
      </c>
      <c r="J70" s="514">
        <f t="shared" si="0"/>
        <v>-3497.679999999702</v>
      </c>
    </row>
    <row r="71" spans="2:10" x14ac:dyDescent="0.2">
      <c r="B71" s="214"/>
      <c r="C71" s="214"/>
      <c r="D71" s="214"/>
      <c r="E71" s="214"/>
      <c r="F71" s="214"/>
      <c r="G71" s="215"/>
    </row>
    <row r="73" spans="2:10" x14ac:dyDescent="0.2">
      <c r="E73" s="200">
        <v>36345984.5</v>
      </c>
    </row>
    <row r="75" spans="2:10" x14ac:dyDescent="0.2">
      <c r="E75" s="534">
        <f>E73-E70</f>
        <v>3497.679999999702</v>
      </c>
    </row>
  </sheetData>
  <mergeCells count="1">
    <mergeCell ref="B1:C1"/>
  </mergeCells>
  <phoneticPr fontId="0" type="noConversion"/>
  <pageMargins left="0.62992125984251968" right="0.47244094488188981" top="1.0236220472440944" bottom="0.78740157480314965" header="0.35433070866141736" footer="0.51181102362204722"/>
  <pageSetup paperSize="9" scale="68" firstPageNumber="0" fitToHeight="0" orientation="portrait" horizontalDpi="4294967294" r:id="rId1"/>
  <headerFooter alignWithMargins="0">
    <oddHeader>&amp;C&amp;"Arial,Bold"MPUMALANGA DEPARTMENT OF PUBLIC WORKS, ROADS &amp; TRANSPORT&amp;"Arial,Regular"Reconstruction of road D481 between Mooiplaas and Ekulindeni in Gert Sibande region of Mpumalanga Province (7.2 km)</oddHeader>
    <oddFooter>&amp;LPart C2: Pricing Data &amp;RC2.2 Bill of Quantities   C &amp;P+66/(&amp;P/37 of BoQ)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969"/>
  <sheetViews>
    <sheetView showGridLines="0" view="pageBreakPreview" topLeftCell="F1" zoomScale="92" zoomScaleNormal="85" zoomScaleSheetLayoutView="70" workbookViewId="0">
      <pane ySplit="5" topLeftCell="A67" activePane="bottomLeft" state="frozen"/>
      <selection pane="bottomLeft" activeCell="N80" sqref="N80"/>
    </sheetView>
  </sheetViews>
  <sheetFormatPr defaultColWidth="9.140625" defaultRowHeight="12.75" customHeight="1" x14ac:dyDescent="0.2"/>
  <cols>
    <col min="1" max="1" width="3.28515625" style="238" customWidth="1"/>
    <col min="2" max="2" width="9.28515625" style="240" customWidth="1"/>
    <col min="3" max="3" width="2.7109375" style="273" customWidth="1"/>
    <col min="4" max="4" width="3.7109375" style="241" customWidth="1"/>
    <col min="5" max="5" width="44.28515625" style="274" customWidth="1"/>
    <col min="6" max="6" width="9.5703125" style="242" customWidth="1"/>
    <col min="7" max="7" width="18.140625" style="242" customWidth="1"/>
    <col min="8" max="8" width="15.140625" style="277" customWidth="1"/>
    <col min="9" max="9" width="17.7109375" style="278" customWidth="1"/>
    <col min="10" max="10" width="18.140625" style="242" customWidth="1"/>
    <col min="11" max="11" width="15.140625" style="277" customWidth="1"/>
    <col min="12" max="12" width="17.7109375" style="278" customWidth="1"/>
    <col min="13" max="13" width="18.140625" style="242" customWidth="1"/>
    <col min="14" max="14" width="15.140625" style="277" customWidth="1"/>
    <col min="15" max="15" width="17.7109375" style="278" customWidth="1"/>
    <col min="16" max="16" width="21" style="278" customWidth="1"/>
    <col min="17" max="17" width="20.28515625" style="278" customWidth="1"/>
    <col min="18" max="18" width="19.42578125" style="34" customWidth="1"/>
    <col min="19" max="19" width="19.7109375" style="34" customWidth="1"/>
    <col min="20" max="20" width="13.28515625" style="34" customWidth="1"/>
    <col min="21" max="21" width="13.7109375" style="34" customWidth="1"/>
    <col min="22" max="22" width="12.28515625" style="34" customWidth="1"/>
    <col min="23" max="16384" width="9.140625" style="34"/>
  </cols>
  <sheetData>
    <row r="1" spans="2:18" ht="12.75" customHeight="1" x14ac:dyDescent="0.2">
      <c r="B1" s="239" t="s">
        <v>79</v>
      </c>
      <c r="C1" s="239"/>
      <c r="D1" s="276"/>
      <c r="E1" s="239"/>
    </row>
    <row r="2" spans="2:18" ht="12.75" customHeight="1" x14ac:dyDescent="0.2">
      <c r="B2" s="239" t="s">
        <v>267</v>
      </c>
      <c r="C2" s="240"/>
      <c r="E2" s="238"/>
      <c r="G2" s="537" t="s">
        <v>880</v>
      </c>
      <c r="H2" s="538"/>
      <c r="I2" s="539"/>
      <c r="J2" s="537" t="s">
        <v>881</v>
      </c>
      <c r="K2" s="538"/>
      <c r="L2" s="539"/>
      <c r="M2" s="537" t="s">
        <v>882</v>
      </c>
      <c r="N2" s="538"/>
      <c r="O2" s="539"/>
      <c r="P2" s="416" t="s">
        <v>884</v>
      </c>
      <c r="Q2" s="416" t="s">
        <v>884</v>
      </c>
    </row>
    <row r="3" spans="2:18" ht="12.75" customHeight="1" x14ac:dyDescent="0.2">
      <c r="B3" s="279"/>
      <c r="C3" s="280"/>
      <c r="D3" s="281"/>
      <c r="E3" s="280"/>
      <c r="F3" s="246"/>
      <c r="G3" s="253"/>
      <c r="H3" s="410"/>
      <c r="I3" s="411"/>
      <c r="J3" s="253"/>
      <c r="K3" s="410"/>
      <c r="L3" s="411"/>
      <c r="M3" s="253"/>
      <c r="N3" s="410"/>
      <c r="O3" s="411"/>
      <c r="P3" s="417" t="s">
        <v>883</v>
      </c>
      <c r="Q3" s="417" t="s">
        <v>70</v>
      </c>
    </row>
    <row r="4" spans="2:18" ht="12.75" customHeight="1" x14ac:dyDescent="0.2">
      <c r="B4" s="247" t="s">
        <v>263</v>
      </c>
      <c r="C4" s="248" t="s">
        <v>264</v>
      </c>
      <c r="D4" s="249" t="s">
        <v>264</v>
      </c>
      <c r="E4" s="250"/>
      <c r="F4" s="250" t="s">
        <v>265</v>
      </c>
      <c r="G4" s="356" t="s">
        <v>68</v>
      </c>
      <c r="H4" s="251" t="s">
        <v>849</v>
      </c>
      <c r="I4" s="252" t="s">
        <v>849</v>
      </c>
      <c r="J4" s="356" t="s">
        <v>68</v>
      </c>
      <c r="K4" s="454"/>
      <c r="L4" s="252" t="s">
        <v>849</v>
      </c>
      <c r="M4" s="356" t="s">
        <v>68</v>
      </c>
      <c r="N4" s="251" t="s">
        <v>849</v>
      </c>
      <c r="O4" s="252" t="s">
        <v>849</v>
      </c>
      <c r="P4" s="252" t="s">
        <v>849</v>
      </c>
      <c r="Q4" s="252" t="s">
        <v>849</v>
      </c>
    </row>
    <row r="5" spans="2:18" ht="12.75" customHeight="1" x14ac:dyDescent="0.2">
      <c r="B5" s="253" t="s">
        <v>266</v>
      </c>
      <c r="C5" s="254"/>
      <c r="D5" s="255"/>
      <c r="E5" s="256"/>
      <c r="F5" s="256"/>
      <c r="G5" s="357" t="s">
        <v>69</v>
      </c>
      <c r="H5" s="257" t="s">
        <v>262</v>
      </c>
      <c r="I5" s="258" t="s">
        <v>70</v>
      </c>
      <c r="J5" s="357" t="s">
        <v>69</v>
      </c>
      <c r="K5" s="455" t="s">
        <v>262</v>
      </c>
      <c r="L5" s="258" t="s">
        <v>70</v>
      </c>
      <c r="M5" s="357" t="s">
        <v>69</v>
      </c>
      <c r="N5" s="257" t="s">
        <v>262</v>
      </c>
      <c r="O5" s="258" t="s">
        <v>70</v>
      </c>
      <c r="P5" s="258" t="s">
        <v>70</v>
      </c>
      <c r="Q5" s="258" t="s">
        <v>70</v>
      </c>
    </row>
    <row r="6" spans="2:18" ht="12.75" customHeight="1" x14ac:dyDescent="0.2">
      <c r="B6" s="273"/>
      <c r="F6" s="265"/>
      <c r="G6" s="268"/>
      <c r="H6" s="317"/>
      <c r="I6" s="418"/>
      <c r="J6" s="268"/>
      <c r="K6" s="456"/>
      <c r="L6" s="418"/>
      <c r="M6" s="268"/>
      <c r="N6" s="317"/>
      <c r="O6" s="418"/>
      <c r="P6" s="418"/>
      <c r="Q6" s="463"/>
    </row>
    <row r="7" spans="2:18" ht="12.75" customHeight="1" x14ac:dyDescent="0.2">
      <c r="B7" s="261">
        <v>1200</v>
      </c>
      <c r="C7" s="262" t="s">
        <v>362</v>
      </c>
      <c r="D7" s="263"/>
      <c r="E7" s="264"/>
      <c r="F7" s="265"/>
      <c r="G7" s="268"/>
      <c r="H7" s="317"/>
      <c r="I7" s="418"/>
      <c r="J7" s="268"/>
      <c r="K7" s="456"/>
      <c r="L7" s="418"/>
      <c r="M7" s="268"/>
      <c r="N7" s="317"/>
      <c r="O7" s="418"/>
      <c r="P7" s="418"/>
      <c r="Q7" s="463"/>
    </row>
    <row r="8" spans="2:18" ht="12.75" customHeight="1" x14ac:dyDescent="0.2">
      <c r="B8" s="267"/>
      <c r="F8" s="265"/>
      <c r="G8" s="268"/>
      <c r="H8" s="317"/>
      <c r="I8" s="418" t="str">
        <f>IF(G8=0," ",G8*H8)</f>
        <v xml:space="preserve"> </v>
      </c>
      <c r="J8" s="268"/>
      <c r="K8" s="456"/>
      <c r="L8" s="418" t="str">
        <f t="shared" ref="L8" si="0">IF(J8=0," ",J8*K8)</f>
        <v xml:space="preserve"> </v>
      </c>
      <c r="M8" s="268"/>
      <c r="N8" s="317"/>
      <c r="O8" s="418" t="str">
        <f t="shared" ref="O8" si="1">IF(M8=0," ",M8*N8)</f>
        <v xml:space="preserve"> </v>
      </c>
      <c r="P8" s="418" t="str">
        <f t="shared" ref="P8" si="2">IF(N8=0," ",N8*O8)</f>
        <v xml:space="preserve"> </v>
      </c>
      <c r="Q8" s="463"/>
    </row>
    <row r="9" spans="2:18" ht="12.75" customHeight="1" x14ac:dyDescent="0.2">
      <c r="B9" s="267" t="s">
        <v>365</v>
      </c>
      <c r="C9" s="273" t="s">
        <v>368</v>
      </c>
      <c r="F9" s="265"/>
      <c r="G9" s="268"/>
      <c r="H9" s="317"/>
      <c r="I9" s="418"/>
      <c r="J9" s="268"/>
      <c r="K9" s="456"/>
      <c r="L9" s="418"/>
      <c r="M9" s="268"/>
      <c r="N9" s="317"/>
      <c r="O9" s="418"/>
      <c r="P9" s="418"/>
      <c r="Q9" s="463"/>
    </row>
    <row r="10" spans="2:18" ht="12.75" customHeight="1" x14ac:dyDescent="0.2">
      <c r="B10" s="267"/>
      <c r="C10" s="273" t="s">
        <v>278</v>
      </c>
      <c r="D10" s="241" t="s">
        <v>366</v>
      </c>
      <c r="F10" s="242" t="s">
        <v>269</v>
      </c>
      <c r="G10" s="419">
        <v>0</v>
      </c>
      <c r="H10" s="282">
        <v>100000</v>
      </c>
      <c r="I10" s="418">
        <f>G10*H10</f>
        <v>0</v>
      </c>
      <c r="J10" s="419">
        <v>0</v>
      </c>
      <c r="K10" s="501">
        <v>100000</v>
      </c>
      <c r="L10" s="460">
        <f>K10</f>
        <v>100000</v>
      </c>
      <c r="M10" s="502">
        <v>0</v>
      </c>
      <c r="N10" s="503">
        <v>100000</v>
      </c>
      <c r="O10" s="460">
        <f>M10*N10</f>
        <v>0</v>
      </c>
      <c r="P10" s="460">
        <f>K10-N10</f>
        <v>0</v>
      </c>
      <c r="Q10" s="462">
        <f>L10-O10</f>
        <v>100000</v>
      </c>
      <c r="R10" s="34" t="s">
        <v>893</v>
      </c>
    </row>
    <row r="11" spans="2:18" ht="12.75" customHeight="1" x14ac:dyDescent="0.2">
      <c r="B11" s="267"/>
      <c r="F11" s="265"/>
      <c r="G11" s="268"/>
      <c r="H11" s="317"/>
      <c r="I11" s="418"/>
      <c r="J11" s="268"/>
      <c r="K11" s="504"/>
      <c r="L11" s="460"/>
      <c r="M11" s="505"/>
      <c r="N11" s="506"/>
      <c r="O11" s="460"/>
      <c r="P11" s="460"/>
      <c r="Q11" s="462"/>
    </row>
    <row r="12" spans="2:18" ht="12.75" customHeight="1" x14ac:dyDescent="0.2">
      <c r="B12" s="267"/>
      <c r="C12" s="273" t="s">
        <v>279</v>
      </c>
      <c r="D12" s="241" t="s">
        <v>367</v>
      </c>
      <c r="F12" s="265" t="s">
        <v>270</v>
      </c>
      <c r="G12" s="419">
        <f>G10</f>
        <v>0</v>
      </c>
      <c r="H12" s="420">
        <v>0.1</v>
      </c>
      <c r="I12" s="418" t="str">
        <f>IF(G12=0," ",G12*H12)</f>
        <v xml:space="preserve"> </v>
      </c>
      <c r="J12" s="419">
        <f t="shared" ref="J12" si="3">J10</f>
        <v>0</v>
      </c>
      <c r="K12" s="507">
        <v>0.1</v>
      </c>
      <c r="L12" s="460">
        <f>L10*K12</f>
        <v>10000</v>
      </c>
      <c r="M12" s="502">
        <f t="shared" ref="M12" si="4">M10</f>
        <v>0</v>
      </c>
      <c r="N12" s="508">
        <v>0.1</v>
      </c>
      <c r="O12" s="460">
        <f>O10*N12</f>
        <v>0</v>
      </c>
      <c r="P12" s="460"/>
      <c r="Q12" s="462">
        <f t="shared" ref="Q12" si="5">L12-O12</f>
        <v>10000</v>
      </c>
      <c r="R12" s="34" t="s">
        <v>892</v>
      </c>
    </row>
    <row r="13" spans="2:18" ht="12.75" customHeight="1" x14ac:dyDescent="0.2">
      <c r="B13" s="267"/>
      <c r="F13" s="265"/>
      <c r="G13" s="268"/>
      <c r="H13" s="418"/>
      <c r="I13" s="418"/>
      <c r="J13" s="268"/>
      <c r="K13" s="456"/>
      <c r="L13" s="418"/>
      <c r="M13" s="268"/>
      <c r="N13" s="418"/>
      <c r="O13" s="418"/>
      <c r="P13" s="460"/>
      <c r="Q13" s="462"/>
    </row>
    <row r="14" spans="2:18" ht="12.75" customHeight="1" x14ac:dyDescent="0.2">
      <c r="B14" s="267" t="s">
        <v>84</v>
      </c>
      <c r="C14" s="273" t="s">
        <v>369</v>
      </c>
      <c r="F14" s="265"/>
      <c r="G14" s="268"/>
      <c r="H14" s="418"/>
      <c r="I14" s="418"/>
      <c r="J14" s="268"/>
      <c r="K14" s="456"/>
      <c r="L14" s="418"/>
      <c r="M14" s="268"/>
      <c r="N14" s="418"/>
      <c r="O14" s="418"/>
      <c r="P14" s="460"/>
      <c r="Q14" s="462"/>
    </row>
    <row r="15" spans="2:18" ht="12.75" customHeight="1" x14ac:dyDescent="0.2">
      <c r="B15" s="267"/>
      <c r="C15" s="273" t="s">
        <v>278</v>
      </c>
      <c r="D15" s="241" t="s">
        <v>370</v>
      </c>
      <c r="F15" s="265"/>
      <c r="G15" s="268"/>
      <c r="H15" s="418"/>
      <c r="I15" s="418"/>
      <c r="J15" s="268"/>
      <c r="K15" s="456"/>
      <c r="L15" s="418"/>
      <c r="M15" s="268"/>
      <c r="N15" s="418"/>
      <c r="O15" s="418"/>
      <c r="P15" s="460"/>
      <c r="Q15" s="462"/>
    </row>
    <row r="16" spans="2:18" ht="12.75" customHeight="1" x14ac:dyDescent="0.2">
      <c r="B16" s="267"/>
      <c r="D16" s="241" t="s">
        <v>371</v>
      </c>
      <c r="F16" s="265"/>
      <c r="G16" s="268"/>
      <c r="H16" s="418"/>
      <c r="I16" s="418"/>
      <c r="J16" s="268"/>
      <c r="K16" s="456"/>
      <c r="L16" s="418"/>
      <c r="M16" s="268"/>
      <c r="N16" s="418"/>
      <c r="O16" s="418"/>
      <c r="P16" s="460"/>
      <c r="Q16" s="462"/>
    </row>
    <row r="17" spans="2:17" ht="12.75" customHeight="1" x14ac:dyDescent="0.2">
      <c r="B17" s="267"/>
      <c r="D17" s="241" t="s">
        <v>372</v>
      </c>
      <c r="F17" s="265"/>
      <c r="G17" s="268"/>
      <c r="H17" s="418"/>
      <c r="I17" s="418"/>
      <c r="J17" s="268"/>
      <c r="K17" s="456"/>
      <c r="L17" s="418"/>
      <c r="M17" s="268"/>
      <c r="N17" s="418"/>
      <c r="O17" s="418"/>
      <c r="P17" s="460"/>
      <c r="Q17" s="462"/>
    </row>
    <row r="18" spans="2:17" ht="12.75" customHeight="1" x14ac:dyDescent="0.2">
      <c r="B18" s="267"/>
      <c r="D18" s="241" t="s">
        <v>277</v>
      </c>
      <c r="E18" s="274" t="s">
        <v>373</v>
      </c>
      <c r="F18" s="265" t="s">
        <v>829</v>
      </c>
      <c r="G18" s="275">
        <v>300</v>
      </c>
      <c r="H18" s="418">
        <v>95</v>
      </c>
      <c r="I18" s="418">
        <f>IF(G18=0," ",G18*H18)</f>
        <v>28500</v>
      </c>
      <c r="J18" s="275">
        <v>300</v>
      </c>
      <c r="K18" s="456">
        <v>95</v>
      </c>
      <c r="L18" s="418">
        <f>IF(J18=0," ",J18*K18)</f>
        <v>28500</v>
      </c>
      <c r="M18" s="275">
        <v>300</v>
      </c>
      <c r="N18" s="418">
        <v>95</v>
      </c>
      <c r="O18" s="418">
        <f t="shared" ref="O18" si="6">IF(M18=0," ",M18*N18)</f>
        <v>28500</v>
      </c>
      <c r="P18" s="418">
        <f>K18-N18</f>
        <v>0</v>
      </c>
      <c r="Q18" s="462">
        <f>L18-O18</f>
        <v>0</v>
      </c>
    </row>
    <row r="19" spans="2:17" ht="12.75" customHeight="1" x14ac:dyDescent="0.2">
      <c r="B19" s="267"/>
      <c r="C19" s="273" t="s">
        <v>279</v>
      </c>
      <c r="D19" s="241" t="s">
        <v>374</v>
      </c>
      <c r="F19" s="265"/>
      <c r="G19" s="268"/>
      <c r="H19" s="418"/>
      <c r="I19" s="418"/>
      <c r="J19" s="268"/>
      <c r="K19" s="456"/>
      <c r="L19" s="418"/>
      <c r="M19" s="268"/>
      <c r="N19" s="418"/>
      <c r="O19" s="418"/>
      <c r="P19" s="418"/>
      <c r="Q19" s="462"/>
    </row>
    <row r="20" spans="2:17" ht="12.75" customHeight="1" x14ac:dyDescent="0.2">
      <c r="B20" s="261"/>
      <c r="C20" s="262"/>
      <c r="D20" s="241" t="s">
        <v>375</v>
      </c>
      <c r="E20" s="264"/>
      <c r="G20" s="268"/>
      <c r="H20" s="418"/>
      <c r="I20" s="418"/>
      <c r="J20" s="268"/>
      <c r="K20" s="456"/>
      <c r="L20" s="418"/>
      <c r="M20" s="268"/>
      <c r="N20" s="418"/>
      <c r="O20" s="418"/>
      <c r="P20" s="418"/>
      <c r="Q20" s="462"/>
    </row>
    <row r="21" spans="2:17" ht="12.75" customHeight="1" x14ac:dyDescent="0.2">
      <c r="B21" s="267"/>
      <c r="D21" s="241" t="s">
        <v>376</v>
      </c>
      <c r="F21" s="265"/>
      <c r="G21" s="268"/>
      <c r="H21" s="418"/>
      <c r="I21" s="418"/>
      <c r="J21" s="268"/>
      <c r="K21" s="456"/>
      <c r="L21" s="418"/>
      <c r="M21" s="268"/>
      <c r="N21" s="418"/>
      <c r="O21" s="418"/>
      <c r="P21" s="418"/>
      <c r="Q21" s="462"/>
    </row>
    <row r="22" spans="2:17" ht="12.75" customHeight="1" x14ac:dyDescent="0.2">
      <c r="B22" s="267"/>
      <c r="D22" s="241" t="s">
        <v>377</v>
      </c>
      <c r="F22" s="265" t="s">
        <v>829</v>
      </c>
      <c r="G22" s="275">
        <v>45</v>
      </c>
      <c r="H22" s="418">
        <v>850</v>
      </c>
      <c r="I22" s="418">
        <f>IF(G22=0," ",G22*H22)</f>
        <v>38250</v>
      </c>
      <c r="J22" s="275">
        <v>45</v>
      </c>
      <c r="K22" s="456">
        <v>850</v>
      </c>
      <c r="L22" s="418">
        <f t="shared" ref="L22" si="7">IF(J22=0," ",J22*K22)</f>
        <v>38250</v>
      </c>
      <c r="M22" s="275">
        <v>45</v>
      </c>
      <c r="N22" s="418">
        <v>850</v>
      </c>
      <c r="O22" s="418">
        <f t="shared" ref="O22" si="8">IF(M22=0," ",M22*N22)</f>
        <v>38250</v>
      </c>
      <c r="P22" s="418">
        <f t="shared" ref="P22:P58" si="9">K22-N22</f>
        <v>0</v>
      </c>
      <c r="Q22" s="462">
        <f t="shared" ref="Q22:Q58" si="10">L22-O22</f>
        <v>0</v>
      </c>
    </row>
    <row r="23" spans="2:17" ht="12.75" customHeight="1" x14ac:dyDescent="0.2">
      <c r="B23" s="267"/>
      <c r="F23" s="265"/>
      <c r="G23" s="268"/>
      <c r="H23" s="317"/>
      <c r="I23" s="418"/>
      <c r="J23" s="268"/>
      <c r="K23" s="456"/>
      <c r="L23" s="418"/>
      <c r="M23" s="268"/>
      <c r="N23" s="317"/>
      <c r="O23" s="418"/>
      <c r="P23" s="418"/>
      <c r="Q23" s="462"/>
    </row>
    <row r="24" spans="2:17" ht="12.75" customHeight="1" x14ac:dyDescent="0.2">
      <c r="B24" s="267" t="s">
        <v>85</v>
      </c>
      <c r="C24" s="273" t="s">
        <v>378</v>
      </c>
      <c r="F24" s="265"/>
      <c r="G24" s="268"/>
      <c r="H24" s="317"/>
      <c r="I24" s="418"/>
      <c r="J24" s="268"/>
      <c r="K24" s="456"/>
      <c r="L24" s="418"/>
      <c r="M24" s="268"/>
      <c r="N24" s="317"/>
      <c r="O24" s="418"/>
      <c r="P24" s="418"/>
      <c r="Q24" s="462"/>
    </row>
    <row r="25" spans="2:17" ht="12.75" customHeight="1" x14ac:dyDescent="0.2">
      <c r="B25" s="261"/>
      <c r="C25" s="273" t="s">
        <v>278</v>
      </c>
      <c r="D25" s="241" t="s">
        <v>379</v>
      </c>
      <c r="G25" s="268"/>
      <c r="H25" s="317"/>
      <c r="I25" s="418" t="str">
        <f t="shared" ref="I25:I30" si="11">IF(G25=0," ",G25*H25)</f>
        <v xml:space="preserve"> </v>
      </c>
      <c r="J25" s="268"/>
      <c r="K25" s="456"/>
      <c r="L25" s="418" t="str">
        <f t="shared" ref="L25:L30" si="12">IF(J25=0," ",J25*K25)</f>
        <v xml:space="preserve"> </v>
      </c>
      <c r="M25" s="268"/>
      <c r="N25" s="317"/>
      <c r="O25" s="418" t="str">
        <f t="shared" ref="O25:O30" si="13">IF(M25=0," ",M25*N25)</f>
        <v xml:space="preserve"> </v>
      </c>
      <c r="P25" s="418"/>
      <c r="Q25" s="462"/>
    </row>
    <row r="26" spans="2:17" ht="12.75" customHeight="1" x14ac:dyDescent="0.2">
      <c r="B26" s="261"/>
      <c r="D26" s="241" t="s">
        <v>380</v>
      </c>
      <c r="G26" s="268"/>
      <c r="H26" s="317"/>
      <c r="I26" s="418" t="str">
        <f t="shared" si="11"/>
        <v xml:space="preserve"> </v>
      </c>
      <c r="J26" s="268"/>
      <c r="K26" s="456"/>
      <c r="L26" s="418" t="str">
        <f t="shared" si="12"/>
        <v xml:space="preserve"> </v>
      </c>
      <c r="M26" s="268"/>
      <c r="N26" s="317"/>
      <c r="O26" s="418" t="str">
        <f t="shared" si="13"/>
        <v xml:space="preserve"> </v>
      </c>
      <c r="P26" s="418"/>
      <c r="Q26" s="462"/>
    </row>
    <row r="27" spans="2:17" ht="12.75" customHeight="1" x14ac:dyDescent="0.2">
      <c r="B27" s="261"/>
      <c r="D27" s="241" t="s">
        <v>381</v>
      </c>
      <c r="F27" s="242" t="s">
        <v>269</v>
      </c>
      <c r="G27" s="419">
        <v>400000</v>
      </c>
      <c r="H27" s="282">
        <v>1</v>
      </c>
      <c r="I27" s="418">
        <f>IF(G27=0," ",G27*H27)</f>
        <v>400000</v>
      </c>
      <c r="J27" s="419">
        <v>400000</v>
      </c>
      <c r="K27" s="456">
        <v>1</v>
      </c>
      <c r="L27" s="418">
        <f t="shared" si="12"/>
        <v>400000</v>
      </c>
      <c r="M27" s="419">
        <v>400000</v>
      </c>
      <c r="N27" s="282">
        <v>1</v>
      </c>
      <c r="O27" s="418">
        <f t="shared" si="13"/>
        <v>400000</v>
      </c>
      <c r="P27" s="418">
        <f t="shared" si="9"/>
        <v>0</v>
      </c>
      <c r="Q27" s="462">
        <f t="shared" si="10"/>
        <v>0</v>
      </c>
    </row>
    <row r="28" spans="2:17" ht="12.75" customHeight="1" x14ac:dyDescent="0.2">
      <c r="B28" s="261"/>
      <c r="C28" s="262"/>
      <c r="D28" s="263"/>
      <c r="E28" s="264"/>
      <c r="G28" s="268"/>
      <c r="H28" s="317"/>
      <c r="I28" s="418" t="str">
        <f t="shared" si="11"/>
        <v xml:space="preserve"> </v>
      </c>
      <c r="J28" s="268"/>
      <c r="K28" s="456"/>
      <c r="L28" s="418" t="str">
        <f t="shared" si="12"/>
        <v xml:space="preserve"> </v>
      </c>
      <c r="M28" s="268"/>
      <c r="N28" s="317"/>
      <c r="O28" s="418" t="str">
        <f t="shared" si="13"/>
        <v xml:space="preserve"> </v>
      </c>
      <c r="P28" s="418"/>
      <c r="Q28" s="462"/>
    </row>
    <row r="29" spans="2:17" ht="12.75" customHeight="1" x14ac:dyDescent="0.2">
      <c r="B29" s="261"/>
      <c r="C29" s="273" t="s">
        <v>279</v>
      </c>
      <c r="D29" s="241" t="s">
        <v>112</v>
      </c>
      <c r="F29" s="265" t="s">
        <v>270</v>
      </c>
      <c r="G29" s="419">
        <f>G27</f>
        <v>400000</v>
      </c>
      <c r="H29" s="420">
        <v>0.1</v>
      </c>
      <c r="I29" s="418">
        <f>IF(G29=0," ",G29*H29)</f>
        <v>40000</v>
      </c>
      <c r="J29" s="419">
        <f t="shared" ref="J29" si="14">J27</f>
        <v>400000</v>
      </c>
      <c r="K29" s="420">
        <v>0.1</v>
      </c>
      <c r="L29" s="418">
        <f t="shared" si="12"/>
        <v>40000</v>
      </c>
      <c r="M29" s="419">
        <f t="shared" ref="M29" si="15">M27</f>
        <v>400000</v>
      </c>
      <c r="N29" s="420">
        <v>0.1</v>
      </c>
      <c r="O29" s="418">
        <f t="shared" si="13"/>
        <v>40000</v>
      </c>
      <c r="P29" s="418">
        <f t="shared" si="9"/>
        <v>0</v>
      </c>
      <c r="Q29" s="462">
        <f t="shared" si="10"/>
        <v>0</v>
      </c>
    </row>
    <row r="30" spans="2:17" ht="12.75" customHeight="1" x14ac:dyDescent="0.2">
      <c r="B30" s="261"/>
      <c r="C30" s="262"/>
      <c r="D30" s="263"/>
      <c r="E30" s="264"/>
      <c r="G30" s="268"/>
      <c r="H30" s="317"/>
      <c r="I30" s="418" t="str">
        <f t="shared" si="11"/>
        <v xml:space="preserve"> </v>
      </c>
      <c r="J30" s="268"/>
      <c r="K30" s="456"/>
      <c r="L30" s="418" t="str">
        <f t="shared" si="12"/>
        <v xml:space="preserve"> </v>
      </c>
      <c r="M30" s="268"/>
      <c r="N30" s="317"/>
      <c r="O30" s="418" t="str">
        <f t="shared" si="13"/>
        <v xml:space="preserve"> </v>
      </c>
      <c r="P30" s="418"/>
      <c r="Q30" s="462"/>
    </row>
    <row r="31" spans="2:17" ht="12.75" customHeight="1" x14ac:dyDescent="0.2">
      <c r="B31" s="267" t="s">
        <v>361</v>
      </c>
      <c r="C31" s="273" t="s">
        <v>382</v>
      </c>
      <c r="D31" s="263"/>
      <c r="E31" s="264"/>
      <c r="G31" s="268"/>
      <c r="H31" s="317"/>
      <c r="I31" s="418"/>
      <c r="J31" s="268"/>
      <c r="K31" s="456"/>
      <c r="L31" s="418"/>
      <c r="M31" s="268"/>
      <c r="N31" s="317"/>
      <c r="O31" s="418"/>
      <c r="P31" s="418"/>
      <c r="Q31" s="462"/>
    </row>
    <row r="32" spans="2:17" ht="12.75" customHeight="1" x14ac:dyDescent="0.2">
      <c r="B32" s="267"/>
      <c r="C32" s="273" t="s">
        <v>278</v>
      </c>
      <c r="D32" s="241" t="s">
        <v>113</v>
      </c>
      <c r="F32" s="265" t="s">
        <v>82</v>
      </c>
      <c r="G32" s="419">
        <f>(10000*2*6)</f>
        <v>120000</v>
      </c>
      <c r="H32" s="282">
        <v>1</v>
      </c>
      <c r="I32" s="418">
        <f>IF(G32=0," ",G32*H32)</f>
        <v>120000</v>
      </c>
      <c r="J32" s="419">
        <f t="shared" ref="J32" si="16">(10000*2*6)</f>
        <v>120000</v>
      </c>
      <c r="K32" s="456">
        <v>1</v>
      </c>
      <c r="L32" s="418">
        <f t="shared" ref="L32" si="17">IF(J32=0," ",J32*K32)</f>
        <v>120000</v>
      </c>
      <c r="M32" s="419">
        <f t="shared" ref="M32" si="18">(10000*2*6)</f>
        <v>120000</v>
      </c>
      <c r="N32" s="282">
        <v>1</v>
      </c>
      <c r="O32" s="418">
        <f t="shared" ref="O32" si="19">IF(M32=0," ",M32*N32)</f>
        <v>120000</v>
      </c>
      <c r="P32" s="418">
        <f t="shared" si="9"/>
        <v>0</v>
      </c>
      <c r="Q32" s="462">
        <f t="shared" si="10"/>
        <v>0</v>
      </c>
    </row>
    <row r="33" spans="2:18" ht="12.75" customHeight="1" x14ac:dyDescent="0.2">
      <c r="B33" s="267"/>
      <c r="F33" s="265"/>
      <c r="G33" s="268"/>
      <c r="H33" s="317"/>
      <c r="I33" s="418"/>
      <c r="J33" s="268"/>
      <c r="K33" s="456"/>
      <c r="L33" s="418"/>
      <c r="M33" s="268"/>
      <c r="N33" s="317"/>
      <c r="O33" s="418"/>
      <c r="P33" s="418"/>
      <c r="Q33" s="462"/>
    </row>
    <row r="34" spans="2:18" ht="12.75" customHeight="1" x14ac:dyDescent="0.2">
      <c r="B34" s="283"/>
      <c r="C34" s="273" t="s">
        <v>279</v>
      </c>
      <c r="D34" s="241" t="s">
        <v>667</v>
      </c>
      <c r="F34" s="284" t="s">
        <v>270</v>
      </c>
      <c r="G34" s="419">
        <f>G32</f>
        <v>120000</v>
      </c>
      <c r="H34" s="420">
        <v>0.1</v>
      </c>
      <c r="I34" s="418">
        <f>IF(G34=0," ",G34*H34)</f>
        <v>12000</v>
      </c>
      <c r="J34" s="419">
        <f t="shared" ref="J34" si="20">J32</f>
        <v>120000</v>
      </c>
      <c r="K34" s="461">
        <v>0.1</v>
      </c>
      <c r="L34" s="418">
        <f t="shared" ref="L34:L51" si="21">IF(J34=0," ",J34*K34)</f>
        <v>12000</v>
      </c>
      <c r="M34" s="419">
        <f t="shared" ref="M34" si="22">M32</f>
        <v>120000</v>
      </c>
      <c r="N34" s="420">
        <v>0.1</v>
      </c>
      <c r="O34" s="418">
        <f t="shared" ref="O34:O51" si="23">IF(M34=0," ",M34*N34)</f>
        <v>12000</v>
      </c>
      <c r="P34" s="418">
        <f t="shared" si="9"/>
        <v>0</v>
      </c>
      <c r="Q34" s="462">
        <f t="shared" si="10"/>
        <v>0</v>
      </c>
    </row>
    <row r="35" spans="2:18" ht="12.75" customHeight="1" x14ac:dyDescent="0.2">
      <c r="B35" s="283"/>
      <c r="D35" s="241" t="s">
        <v>513</v>
      </c>
      <c r="F35" s="284"/>
      <c r="G35" s="358"/>
      <c r="H35" s="317"/>
      <c r="I35" s="418" t="str">
        <f t="shared" ref="I35:I59" si="24">IF(G35=0," ",G35*H35)</f>
        <v xml:space="preserve"> </v>
      </c>
      <c r="J35" s="358"/>
      <c r="K35" s="456"/>
      <c r="L35" s="418" t="str">
        <f t="shared" si="21"/>
        <v xml:space="preserve"> </v>
      </c>
      <c r="M35" s="358"/>
      <c r="N35" s="317"/>
      <c r="O35" s="418" t="str">
        <f t="shared" si="23"/>
        <v xml:space="preserve"> </v>
      </c>
      <c r="P35" s="418"/>
      <c r="Q35" s="462"/>
    </row>
    <row r="36" spans="2:18" ht="12.75" customHeight="1" x14ac:dyDescent="0.2">
      <c r="B36" s="267"/>
      <c r="F36" s="265"/>
      <c r="G36" s="268"/>
      <c r="H36" s="317"/>
      <c r="I36" s="418" t="str">
        <f t="shared" si="24"/>
        <v xml:space="preserve"> </v>
      </c>
      <c r="J36" s="268"/>
      <c r="K36" s="456"/>
      <c r="L36" s="418" t="str">
        <f t="shared" si="21"/>
        <v xml:space="preserve"> </v>
      </c>
      <c r="M36" s="268"/>
      <c r="N36" s="317"/>
      <c r="O36" s="418" t="str">
        <f t="shared" si="23"/>
        <v xml:space="preserve"> </v>
      </c>
      <c r="P36" s="418"/>
      <c r="Q36" s="462"/>
    </row>
    <row r="37" spans="2:18" ht="12.75" customHeight="1" x14ac:dyDescent="0.2">
      <c r="B37" s="267" t="s">
        <v>383</v>
      </c>
      <c r="C37" s="273" t="s">
        <v>83</v>
      </c>
      <c r="F37" s="265"/>
      <c r="G37" s="268"/>
      <c r="H37" s="317"/>
      <c r="I37" s="418" t="str">
        <f t="shared" si="24"/>
        <v xml:space="preserve"> </v>
      </c>
      <c r="J37" s="268"/>
      <c r="K37" s="456"/>
      <c r="L37" s="418" t="str">
        <f t="shared" si="21"/>
        <v xml:space="preserve"> </v>
      </c>
      <c r="M37" s="268"/>
      <c r="N37" s="317"/>
      <c r="O37" s="418" t="str">
        <f t="shared" si="23"/>
        <v xml:space="preserve"> </v>
      </c>
      <c r="P37" s="418"/>
      <c r="Q37" s="462"/>
    </row>
    <row r="38" spans="2:18" ht="12.75" customHeight="1" x14ac:dyDescent="0.2">
      <c r="B38" s="267"/>
      <c r="C38" s="273" t="s">
        <v>278</v>
      </c>
      <c r="D38" s="241" t="s">
        <v>114</v>
      </c>
      <c r="F38" s="242" t="s">
        <v>269</v>
      </c>
      <c r="G38" s="419">
        <f>(8*6*300)</f>
        <v>14400</v>
      </c>
      <c r="H38" s="282">
        <v>1</v>
      </c>
      <c r="I38" s="418">
        <f t="shared" si="24"/>
        <v>14400</v>
      </c>
      <c r="J38" s="419">
        <f t="shared" ref="J38" si="25">(8*6*300)</f>
        <v>14400</v>
      </c>
      <c r="K38" s="456">
        <v>1</v>
      </c>
      <c r="L38" s="418">
        <f t="shared" si="21"/>
        <v>14400</v>
      </c>
      <c r="M38" s="419">
        <f t="shared" ref="M38" si="26">(8*6*300)</f>
        <v>14400</v>
      </c>
      <c r="N38" s="282">
        <v>1</v>
      </c>
      <c r="O38" s="418">
        <f t="shared" si="23"/>
        <v>14400</v>
      </c>
      <c r="P38" s="418">
        <f t="shared" si="9"/>
        <v>0</v>
      </c>
      <c r="Q38" s="462">
        <f t="shared" si="10"/>
        <v>0</v>
      </c>
    </row>
    <row r="39" spans="2:18" ht="12.75" customHeight="1" x14ac:dyDescent="0.2">
      <c r="B39" s="267"/>
      <c r="F39" s="265"/>
      <c r="G39" s="268"/>
      <c r="H39" s="317"/>
      <c r="I39" s="418" t="str">
        <f t="shared" si="24"/>
        <v xml:space="preserve"> </v>
      </c>
      <c r="J39" s="268"/>
      <c r="K39" s="456"/>
      <c r="L39" s="418" t="str">
        <f t="shared" si="21"/>
        <v xml:space="preserve"> </v>
      </c>
      <c r="M39" s="268"/>
      <c r="N39" s="317"/>
      <c r="O39" s="418" t="str">
        <f t="shared" si="23"/>
        <v xml:space="preserve"> </v>
      </c>
      <c r="P39" s="418"/>
      <c r="Q39" s="462"/>
    </row>
    <row r="40" spans="2:18" ht="12.75" customHeight="1" x14ac:dyDescent="0.2">
      <c r="B40" s="267"/>
      <c r="C40" s="273" t="s">
        <v>279</v>
      </c>
      <c r="D40" s="241" t="s">
        <v>115</v>
      </c>
      <c r="F40" s="265" t="s">
        <v>270</v>
      </c>
      <c r="G40" s="419">
        <f>G38</f>
        <v>14400</v>
      </c>
      <c r="H40" s="420">
        <v>0.1</v>
      </c>
      <c r="I40" s="418">
        <f t="shared" si="24"/>
        <v>1440</v>
      </c>
      <c r="J40" s="419">
        <f t="shared" ref="J40" si="27">J38</f>
        <v>14400</v>
      </c>
      <c r="K40" s="461">
        <v>0.1</v>
      </c>
      <c r="L40" s="418">
        <f t="shared" si="21"/>
        <v>1440</v>
      </c>
      <c r="M40" s="419">
        <f t="shared" ref="M40" si="28">M38</f>
        <v>14400</v>
      </c>
      <c r="N40" s="420">
        <v>0.1</v>
      </c>
      <c r="O40" s="418">
        <f t="shared" si="23"/>
        <v>1440</v>
      </c>
      <c r="P40" s="418">
        <f t="shared" si="9"/>
        <v>0</v>
      </c>
      <c r="Q40" s="462">
        <f t="shared" si="10"/>
        <v>0</v>
      </c>
    </row>
    <row r="41" spans="2:18" ht="12.75" customHeight="1" x14ac:dyDescent="0.2">
      <c r="B41" s="261"/>
      <c r="C41" s="262"/>
      <c r="D41" s="263"/>
      <c r="E41" s="264"/>
      <c r="G41" s="268"/>
      <c r="H41" s="317"/>
      <c r="I41" s="418" t="str">
        <f t="shared" si="24"/>
        <v xml:space="preserve"> </v>
      </c>
      <c r="J41" s="268"/>
      <c r="K41" s="456"/>
      <c r="L41" s="418" t="str">
        <f t="shared" si="21"/>
        <v xml:space="preserve"> </v>
      </c>
      <c r="M41" s="268"/>
      <c r="N41" s="317"/>
      <c r="O41" s="418" t="str">
        <f t="shared" si="23"/>
        <v xml:space="preserve"> </v>
      </c>
      <c r="P41" s="418"/>
      <c r="Q41" s="462"/>
    </row>
    <row r="42" spans="2:18" ht="12.75" customHeight="1" x14ac:dyDescent="0.2">
      <c r="B42" s="267" t="s">
        <v>384</v>
      </c>
      <c r="C42" s="273" t="s">
        <v>533</v>
      </c>
      <c r="F42" s="265"/>
      <c r="G42" s="268"/>
      <c r="H42" s="317"/>
      <c r="I42" s="418" t="str">
        <f t="shared" si="24"/>
        <v xml:space="preserve"> </v>
      </c>
      <c r="J42" s="268"/>
      <c r="K42" s="456"/>
      <c r="L42" s="418" t="str">
        <f t="shared" si="21"/>
        <v xml:space="preserve"> </v>
      </c>
      <c r="M42" s="268"/>
      <c r="N42" s="317"/>
      <c r="O42" s="418" t="str">
        <f t="shared" si="23"/>
        <v xml:space="preserve"> </v>
      </c>
      <c r="P42" s="418"/>
      <c r="Q42" s="462"/>
    </row>
    <row r="43" spans="2:18" ht="12.75" customHeight="1" x14ac:dyDescent="0.2">
      <c r="B43" s="267"/>
      <c r="C43" s="273" t="s">
        <v>278</v>
      </c>
      <c r="D43" s="241" t="s">
        <v>534</v>
      </c>
      <c r="F43" s="242" t="s">
        <v>269</v>
      </c>
      <c r="G43" s="65">
        <v>50000</v>
      </c>
      <c r="H43" s="282">
        <v>1</v>
      </c>
      <c r="I43" s="418">
        <f t="shared" si="24"/>
        <v>50000</v>
      </c>
      <c r="J43" s="65">
        <v>50000</v>
      </c>
      <c r="K43" s="456">
        <v>1</v>
      </c>
      <c r="L43" s="418">
        <f t="shared" si="21"/>
        <v>50000</v>
      </c>
      <c r="M43" s="65">
        <v>50000</v>
      </c>
      <c r="N43" s="282">
        <v>1</v>
      </c>
      <c r="O43" s="418">
        <f t="shared" si="23"/>
        <v>50000</v>
      </c>
      <c r="P43" s="418">
        <f t="shared" si="9"/>
        <v>0</v>
      </c>
      <c r="Q43" s="462">
        <f t="shared" si="10"/>
        <v>0</v>
      </c>
    </row>
    <row r="44" spans="2:18" ht="12.75" customHeight="1" x14ac:dyDescent="0.2">
      <c r="B44" s="267"/>
      <c r="F44" s="265"/>
      <c r="G44" s="268"/>
      <c r="H44" s="317"/>
      <c r="I44" s="418" t="str">
        <f t="shared" si="24"/>
        <v xml:space="preserve"> </v>
      </c>
      <c r="J44" s="268"/>
      <c r="K44" s="456"/>
      <c r="L44" s="418" t="str">
        <f t="shared" si="21"/>
        <v xml:space="preserve"> </v>
      </c>
      <c r="M44" s="268"/>
      <c r="N44" s="317"/>
      <c r="O44" s="418" t="str">
        <f t="shared" si="23"/>
        <v xml:space="preserve"> </v>
      </c>
      <c r="P44" s="418"/>
      <c r="Q44" s="462"/>
    </row>
    <row r="45" spans="2:18" ht="12.75" customHeight="1" x14ac:dyDescent="0.2">
      <c r="B45" s="267"/>
      <c r="C45" s="273" t="s">
        <v>279</v>
      </c>
      <c r="D45" s="241" t="s">
        <v>535</v>
      </c>
      <c r="F45" s="265" t="s">
        <v>270</v>
      </c>
      <c r="G45" s="419">
        <f>G43</f>
        <v>50000</v>
      </c>
      <c r="H45" s="420">
        <v>0.1</v>
      </c>
      <c r="I45" s="418">
        <f t="shared" si="24"/>
        <v>5000</v>
      </c>
      <c r="J45" s="419">
        <f t="shared" ref="J45" si="29">J43</f>
        <v>50000</v>
      </c>
      <c r="K45" s="461">
        <v>0.1</v>
      </c>
      <c r="L45" s="418">
        <f t="shared" si="21"/>
        <v>5000</v>
      </c>
      <c r="M45" s="419">
        <f t="shared" ref="M45" si="30">M43</f>
        <v>50000</v>
      </c>
      <c r="N45" s="420">
        <v>0.1</v>
      </c>
      <c r="O45" s="418">
        <f t="shared" si="23"/>
        <v>5000</v>
      </c>
      <c r="P45" s="418">
        <f t="shared" si="9"/>
        <v>0</v>
      </c>
      <c r="Q45" s="462">
        <f>L45-O45</f>
        <v>0</v>
      </c>
    </row>
    <row r="46" spans="2:18" ht="12.75" customHeight="1" x14ac:dyDescent="0.2">
      <c r="B46" s="267"/>
      <c r="C46" s="269"/>
      <c r="D46" s="238"/>
      <c r="F46" s="265"/>
      <c r="G46" s="268"/>
      <c r="H46" s="317"/>
      <c r="I46" s="418" t="str">
        <f t="shared" si="24"/>
        <v xml:space="preserve"> </v>
      </c>
      <c r="J46" s="268"/>
      <c r="K46" s="456"/>
      <c r="L46" s="418" t="str">
        <f t="shared" si="21"/>
        <v xml:space="preserve"> </v>
      </c>
      <c r="M46" s="268"/>
      <c r="N46" s="317"/>
      <c r="O46" s="418" t="str">
        <f t="shared" si="23"/>
        <v xml:space="preserve"> </v>
      </c>
      <c r="P46" s="418"/>
      <c r="Q46" s="462"/>
    </row>
    <row r="47" spans="2:18" ht="12.75" customHeight="1" x14ac:dyDescent="0.2">
      <c r="B47" s="268" t="s">
        <v>663</v>
      </c>
      <c r="C47" s="273" t="s">
        <v>664</v>
      </c>
      <c r="D47" s="285"/>
      <c r="E47" s="286"/>
      <c r="F47" s="268"/>
      <c r="G47" s="268"/>
      <c r="H47" s="317"/>
      <c r="I47" s="418" t="str">
        <f t="shared" si="24"/>
        <v xml:space="preserve"> </v>
      </c>
      <c r="J47" s="268"/>
      <c r="K47" s="456"/>
      <c r="L47" s="418" t="str">
        <f t="shared" si="21"/>
        <v xml:space="preserve"> </v>
      </c>
      <c r="M47" s="268"/>
      <c r="N47" s="317"/>
      <c r="O47" s="418" t="str">
        <f t="shared" si="23"/>
        <v xml:space="preserve"> </v>
      </c>
      <c r="P47" s="418"/>
      <c r="Q47" s="462"/>
    </row>
    <row r="48" spans="2:18" ht="12.75" customHeight="1" x14ac:dyDescent="0.2">
      <c r="B48" s="268"/>
      <c r="C48" s="273" t="s">
        <v>278</v>
      </c>
      <c r="D48" s="285" t="s">
        <v>665</v>
      </c>
      <c r="E48" s="286"/>
      <c r="F48" s="268" t="s">
        <v>550</v>
      </c>
      <c r="G48" s="419">
        <v>0</v>
      </c>
      <c r="H48" s="282">
        <v>35000</v>
      </c>
      <c r="I48" s="418" t="str">
        <f t="shared" si="24"/>
        <v xml:space="preserve"> </v>
      </c>
      <c r="J48" s="419">
        <v>0</v>
      </c>
      <c r="K48" s="456">
        <v>35000</v>
      </c>
      <c r="L48" s="418">
        <f>K48</f>
        <v>35000</v>
      </c>
      <c r="M48" s="419">
        <v>0</v>
      </c>
      <c r="N48" s="282">
        <v>35000</v>
      </c>
      <c r="O48" s="418">
        <f>N48-11705.37273</f>
        <v>23294.627270000001</v>
      </c>
      <c r="P48" s="418">
        <f t="shared" si="9"/>
        <v>0</v>
      </c>
      <c r="Q48" s="462">
        <f>L48-O48</f>
        <v>11705.372729999999</v>
      </c>
      <c r="R48" s="34" t="s">
        <v>892</v>
      </c>
    </row>
    <row r="49" spans="2:18" ht="12.75" customHeight="1" x14ac:dyDescent="0.2">
      <c r="B49" s="268"/>
      <c r="C49" s="269"/>
      <c r="D49" s="238"/>
      <c r="F49" s="268"/>
      <c r="G49" s="268"/>
      <c r="H49" s="317"/>
      <c r="I49" s="418" t="str">
        <f>IF(G49=0," ",G49*H49)</f>
        <v xml:space="preserve"> </v>
      </c>
      <c r="J49" s="268"/>
      <c r="K49" s="456"/>
      <c r="L49" s="418" t="str">
        <f t="shared" si="21"/>
        <v xml:space="preserve"> </v>
      </c>
      <c r="M49" s="268"/>
      <c r="N49" s="317"/>
      <c r="O49" s="418" t="str">
        <f t="shared" si="23"/>
        <v xml:space="preserve"> </v>
      </c>
      <c r="P49" s="418"/>
      <c r="Q49" s="462"/>
    </row>
    <row r="50" spans="2:18" ht="12.75" customHeight="1" x14ac:dyDescent="0.2">
      <c r="B50" s="268"/>
      <c r="C50" s="273" t="s">
        <v>279</v>
      </c>
      <c r="D50" s="241" t="s">
        <v>666</v>
      </c>
      <c r="F50" s="268" t="s">
        <v>270</v>
      </c>
      <c r="G50" s="268">
        <f>G48</f>
        <v>0</v>
      </c>
      <c r="H50" s="420">
        <v>0.1</v>
      </c>
      <c r="I50" s="418" t="str">
        <f t="shared" si="24"/>
        <v xml:space="preserve"> </v>
      </c>
      <c r="J50" s="268">
        <f t="shared" ref="J50" si="31">J48</f>
        <v>0</v>
      </c>
      <c r="K50" s="461">
        <v>0.1</v>
      </c>
      <c r="L50" s="418">
        <f>L48*K50</f>
        <v>3500</v>
      </c>
      <c r="M50" s="268">
        <f t="shared" ref="M50" si="32">M48</f>
        <v>0</v>
      </c>
      <c r="N50" s="420">
        <v>0.1</v>
      </c>
      <c r="O50" s="418">
        <f>O48*N50</f>
        <v>2329.4627270000001</v>
      </c>
      <c r="P50" s="418">
        <f t="shared" si="9"/>
        <v>0</v>
      </c>
      <c r="Q50" s="462">
        <f t="shared" si="10"/>
        <v>1170.5372729999999</v>
      </c>
      <c r="R50" s="34" t="s">
        <v>892</v>
      </c>
    </row>
    <row r="51" spans="2:18" ht="12.75" customHeight="1" x14ac:dyDescent="0.2">
      <c r="B51" s="267"/>
      <c r="F51" s="265"/>
      <c r="G51" s="268"/>
      <c r="H51" s="317"/>
      <c r="I51" s="418" t="str">
        <f t="shared" si="24"/>
        <v xml:space="preserve"> </v>
      </c>
      <c r="J51" s="268"/>
      <c r="K51" s="456"/>
      <c r="L51" s="418" t="str">
        <f t="shared" si="21"/>
        <v xml:space="preserve"> </v>
      </c>
      <c r="M51" s="268"/>
      <c r="N51" s="317"/>
      <c r="O51" s="418" t="str">
        <f t="shared" si="23"/>
        <v xml:space="preserve"> </v>
      </c>
      <c r="P51" s="418"/>
      <c r="Q51" s="462"/>
    </row>
    <row r="52" spans="2:18" ht="12.75" customHeight="1" x14ac:dyDescent="0.2">
      <c r="B52" s="267" t="s">
        <v>530</v>
      </c>
      <c r="C52" s="273" t="s">
        <v>43</v>
      </c>
      <c r="D52" s="285"/>
      <c r="E52" s="286"/>
      <c r="F52" s="265" t="s">
        <v>44</v>
      </c>
      <c r="G52" s="65" t="s">
        <v>596</v>
      </c>
      <c r="H52" s="421">
        <v>21500</v>
      </c>
      <c r="I52" s="418"/>
      <c r="J52" s="65" t="s">
        <v>596</v>
      </c>
      <c r="K52" s="456">
        <v>21500</v>
      </c>
      <c r="L52" s="418"/>
      <c r="M52" s="65" t="s">
        <v>596</v>
      </c>
      <c r="N52" s="421">
        <v>21500</v>
      </c>
      <c r="O52" s="418"/>
      <c r="P52" s="418">
        <f t="shared" si="9"/>
        <v>0</v>
      </c>
      <c r="Q52" s="462">
        <f t="shared" si="10"/>
        <v>0</v>
      </c>
    </row>
    <row r="53" spans="2:18" ht="12.75" customHeight="1" x14ac:dyDescent="0.2">
      <c r="B53" s="267"/>
      <c r="C53" s="273" t="s">
        <v>725</v>
      </c>
      <c r="D53" s="285"/>
      <c r="E53" s="286"/>
      <c r="F53" s="265"/>
      <c r="G53" s="275"/>
      <c r="H53" s="317"/>
      <c r="I53" s="418" t="str">
        <f t="shared" si="24"/>
        <v xml:space="preserve"> </v>
      </c>
      <c r="J53" s="275"/>
      <c r="K53" s="456"/>
      <c r="L53" s="418" t="str">
        <f t="shared" ref="L53:L55" si="33">IF(J53=0," ",J53*K53)</f>
        <v xml:space="preserve"> </v>
      </c>
      <c r="M53" s="275"/>
      <c r="N53" s="317"/>
      <c r="O53" s="418" t="str">
        <f t="shared" ref="O53:O55" si="34">IF(M53=0," ",M53*N53)</f>
        <v xml:space="preserve"> </v>
      </c>
      <c r="P53" s="418"/>
      <c r="Q53" s="462"/>
    </row>
    <row r="54" spans="2:18" ht="12.75" customHeight="1" x14ac:dyDescent="0.2">
      <c r="B54" s="267"/>
      <c r="F54" s="265"/>
      <c r="G54" s="268"/>
      <c r="H54" s="317"/>
      <c r="I54" s="418" t="str">
        <f t="shared" si="24"/>
        <v xml:space="preserve"> </v>
      </c>
      <c r="J54" s="268"/>
      <c r="K54" s="456"/>
      <c r="L54" s="418" t="str">
        <f t="shared" si="33"/>
        <v xml:space="preserve"> </v>
      </c>
      <c r="M54" s="268"/>
      <c r="N54" s="317"/>
      <c r="O54" s="418" t="str">
        <f t="shared" si="34"/>
        <v xml:space="preserve"> </v>
      </c>
      <c r="P54" s="418"/>
      <c r="Q54" s="462"/>
    </row>
    <row r="55" spans="2:18" ht="12.75" customHeight="1" x14ac:dyDescent="0.2">
      <c r="B55" s="267" t="s">
        <v>726</v>
      </c>
      <c r="C55" s="273" t="s">
        <v>727</v>
      </c>
      <c r="F55" s="265"/>
      <c r="G55" s="268"/>
      <c r="H55" s="317"/>
      <c r="I55" s="418" t="str">
        <f t="shared" si="24"/>
        <v xml:space="preserve"> </v>
      </c>
      <c r="J55" s="268"/>
      <c r="K55" s="456"/>
      <c r="L55" s="418" t="str">
        <f t="shared" si="33"/>
        <v xml:space="preserve"> </v>
      </c>
      <c r="M55" s="268"/>
      <c r="N55" s="317"/>
      <c r="O55" s="418" t="str">
        <f t="shared" si="34"/>
        <v xml:space="preserve"> </v>
      </c>
      <c r="P55" s="418"/>
      <c r="Q55" s="462"/>
    </row>
    <row r="56" spans="2:18" ht="12.75" customHeight="1" x14ac:dyDescent="0.2">
      <c r="B56" s="267"/>
      <c r="C56" s="273" t="s">
        <v>278</v>
      </c>
      <c r="D56" s="241" t="s">
        <v>728</v>
      </c>
      <c r="F56" s="265" t="s">
        <v>82</v>
      </c>
      <c r="G56" s="65" t="s">
        <v>596</v>
      </c>
      <c r="H56" s="282">
        <v>10000</v>
      </c>
      <c r="I56" s="418"/>
      <c r="J56" s="65" t="s">
        <v>596</v>
      </c>
      <c r="K56" s="456">
        <v>10000</v>
      </c>
      <c r="L56" s="418"/>
      <c r="M56" s="65" t="s">
        <v>596</v>
      </c>
      <c r="N56" s="282">
        <v>10000</v>
      </c>
      <c r="O56" s="418"/>
      <c r="P56" s="418">
        <f t="shared" si="9"/>
        <v>0</v>
      </c>
      <c r="Q56" s="462">
        <f t="shared" si="10"/>
        <v>0</v>
      </c>
    </row>
    <row r="57" spans="2:18" ht="12.75" customHeight="1" x14ac:dyDescent="0.2">
      <c r="B57" s="267"/>
      <c r="F57" s="265"/>
      <c r="G57" s="268"/>
      <c r="H57" s="317"/>
      <c r="I57" s="418" t="str">
        <f t="shared" si="24"/>
        <v xml:space="preserve"> </v>
      </c>
      <c r="J57" s="268"/>
      <c r="K57" s="456"/>
      <c r="L57" s="418" t="str">
        <f t="shared" ref="L57" si="35">IF(J57=0," ",J57*K57)</f>
        <v xml:space="preserve"> </v>
      </c>
      <c r="M57" s="268"/>
      <c r="N57" s="317"/>
      <c r="O57" s="418" t="str">
        <f t="shared" ref="O57" si="36">IF(M57=0," ",M57*N57)</f>
        <v xml:space="preserve"> </v>
      </c>
      <c r="P57" s="418"/>
      <c r="Q57" s="462"/>
    </row>
    <row r="58" spans="2:18" ht="12.75" customHeight="1" x14ac:dyDescent="0.2">
      <c r="B58" s="267"/>
      <c r="C58" s="273" t="s">
        <v>279</v>
      </c>
      <c r="D58" s="241" t="s">
        <v>535</v>
      </c>
      <c r="F58" s="265" t="s">
        <v>270</v>
      </c>
      <c r="G58" s="419" t="str">
        <f>G56</f>
        <v>Rate Only</v>
      </c>
      <c r="H58" s="420">
        <v>0.1</v>
      </c>
      <c r="I58" s="418"/>
      <c r="J58" s="419" t="str">
        <f t="shared" ref="J58" si="37">J56</f>
        <v>Rate Only</v>
      </c>
      <c r="K58" s="461">
        <v>0.1</v>
      </c>
      <c r="L58" s="418"/>
      <c r="M58" s="419" t="str">
        <f t="shared" ref="M58" si="38">M56</f>
        <v>Rate Only</v>
      </c>
      <c r="N58" s="420">
        <v>0.1</v>
      </c>
      <c r="O58" s="418"/>
      <c r="P58" s="418">
        <f t="shared" si="9"/>
        <v>0</v>
      </c>
      <c r="Q58" s="462">
        <f t="shared" si="10"/>
        <v>0</v>
      </c>
    </row>
    <row r="59" spans="2:18" ht="12.75" customHeight="1" x14ac:dyDescent="0.2">
      <c r="B59" s="267"/>
      <c r="C59" s="269"/>
      <c r="D59" s="238"/>
      <c r="F59" s="265"/>
      <c r="G59" s="268"/>
      <c r="H59" s="317"/>
      <c r="I59" s="418" t="str">
        <f t="shared" si="24"/>
        <v xml:space="preserve"> </v>
      </c>
      <c r="J59" s="268"/>
      <c r="K59" s="456"/>
      <c r="L59" s="418" t="str">
        <f t="shared" ref="L59" si="39">IF(J59=0," ",J59*K59)</f>
        <v xml:space="preserve"> </v>
      </c>
      <c r="M59" s="268"/>
      <c r="N59" s="317"/>
      <c r="O59" s="418" t="str">
        <f t="shared" ref="O59" si="40">IF(M59=0," ",M59*N59)</f>
        <v xml:space="preserve"> </v>
      </c>
      <c r="P59" s="418"/>
      <c r="Q59" s="462"/>
    </row>
    <row r="60" spans="2:18" ht="12.75" customHeight="1" x14ac:dyDescent="0.2">
      <c r="B60" s="267"/>
      <c r="C60" s="269"/>
      <c r="D60" s="238"/>
      <c r="F60" s="265"/>
      <c r="G60" s="268"/>
      <c r="H60" s="317"/>
      <c r="I60" s="318"/>
      <c r="J60" s="268"/>
      <c r="K60" s="456"/>
      <c r="L60" s="318"/>
      <c r="M60" s="268"/>
      <c r="N60" s="317"/>
      <c r="O60" s="318"/>
      <c r="P60" s="418"/>
      <c r="Q60" s="462"/>
    </row>
    <row r="61" spans="2:18" ht="12.75" customHeight="1" x14ac:dyDescent="0.2">
      <c r="B61" s="267"/>
      <c r="C61" s="269"/>
      <c r="D61" s="238"/>
      <c r="F61" s="265"/>
      <c r="G61" s="268"/>
      <c r="H61" s="317"/>
      <c r="I61" s="318"/>
      <c r="J61" s="268"/>
      <c r="K61" s="456"/>
      <c r="L61" s="318"/>
      <c r="M61" s="268"/>
      <c r="N61" s="317"/>
      <c r="O61" s="318"/>
      <c r="P61" s="318"/>
      <c r="Q61" s="464"/>
    </row>
    <row r="62" spans="2:18" ht="12.75" customHeight="1" x14ac:dyDescent="0.2">
      <c r="B62" s="267"/>
      <c r="C62" s="269"/>
      <c r="D62" s="238"/>
      <c r="F62" s="265"/>
      <c r="G62" s="268"/>
      <c r="H62" s="317"/>
      <c r="I62" s="318"/>
      <c r="J62" s="268"/>
      <c r="K62" s="456"/>
      <c r="L62" s="318"/>
      <c r="M62" s="268"/>
      <c r="N62" s="317"/>
      <c r="O62" s="318"/>
      <c r="P62" s="318"/>
      <c r="Q62" s="464"/>
    </row>
    <row r="63" spans="2:18" ht="12.75" customHeight="1" x14ac:dyDescent="0.2">
      <c r="B63" s="267"/>
      <c r="C63" s="269"/>
      <c r="D63" s="238"/>
      <c r="F63" s="265"/>
      <c r="G63" s="268"/>
      <c r="H63" s="317"/>
      <c r="I63" s="318"/>
      <c r="J63" s="268"/>
      <c r="K63" s="456"/>
      <c r="L63" s="318"/>
      <c r="M63" s="268"/>
      <c r="N63" s="317"/>
      <c r="O63" s="318"/>
      <c r="P63" s="318"/>
      <c r="Q63" s="464"/>
    </row>
    <row r="64" spans="2:18" ht="12.75" customHeight="1" x14ac:dyDescent="0.2">
      <c r="B64" s="267"/>
      <c r="C64" s="269"/>
      <c r="D64" s="238"/>
      <c r="F64" s="265"/>
      <c r="G64" s="268"/>
      <c r="H64" s="317"/>
      <c r="I64" s="318"/>
      <c r="J64" s="268"/>
      <c r="K64" s="456"/>
      <c r="L64" s="318"/>
      <c r="M64" s="268"/>
      <c r="N64" s="317"/>
      <c r="O64" s="318"/>
      <c r="P64" s="318"/>
      <c r="Q64" s="464"/>
    </row>
    <row r="65" spans="2:17" ht="12.75" customHeight="1" x14ac:dyDescent="0.2">
      <c r="B65" s="267"/>
      <c r="F65" s="265"/>
      <c r="G65" s="268"/>
      <c r="H65" s="317"/>
      <c r="I65" s="318" t="str">
        <f>IF(G67=0," ",G67*H65)</f>
        <v xml:space="preserve"> </v>
      </c>
      <c r="J65" s="268"/>
      <c r="K65" s="456"/>
      <c r="L65" s="318" t="str">
        <f t="shared" ref="L65" si="41">IF(J67=0," ",J67*K65)</f>
        <v xml:space="preserve"> </v>
      </c>
      <c r="M65" s="268"/>
      <c r="N65" s="317"/>
      <c r="O65" s="318" t="str">
        <f t="shared" ref="O65" si="42">IF(M67=0," ",M67*N65)</f>
        <v xml:space="preserve"> </v>
      </c>
      <c r="P65" s="318" t="str">
        <f t="shared" ref="P65" si="43">IF(N67=0," ",N67*O65)</f>
        <v xml:space="preserve"> </v>
      </c>
      <c r="Q65" s="464"/>
    </row>
    <row r="66" spans="2:17" ht="12.75" customHeight="1" x14ac:dyDescent="0.2">
      <c r="B66" s="261"/>
      <c r="C66" s="262"/>
      <c r="D66" s="263"/>
      <c r="E66" s="264"/>
      <c r="G66" s="268"/>
      <c r="H66" s="317"/>
      <c r="I66" s="318" t="str">
        <f>IF(G136=0," ",G136*H66)</f>
        <v xml:space="preserve"> </v>
      </c>
      <c r="J66" s="268"/>
      <c r="K66" s="456"/>
      <c r="L66" s="318" t="str">
        <f t="shared" ref="L66" si="44">IF(J136=0," ",J136*K66)</f>
        <v xml:space="preserve"> </v>
      </c>
      <c r="M66" s="268"/>
      <c r="N66" s="317"/>
      <c r="O66" s="318" t="str">
        <f t="shared" ref="O66" si="45">IF(M136=0," ",M136*N66)</f>
        <v xml:space="preserve"> </v>
      </c>
      <c r="P66" s="318" t="str">
        <f t="shared" ref="P66" si="46">IF(N136=0," ",N136*O66)</f>
        <v xml:space="preserve"> </v>
      </c>
      <c r="Q66" s="464" t="str">
        <f t="shared" ref="Q66" si="47">IF(O136=0," ",O136*P66)</f>
        <v xml:space="preserve"> </v>
      </c>
    </row>
    <row r="67" spans="2:17" ht="12.75" customHeight="1" x14ac:dyDescent="0.2">
      <c r="B67" s="287">
        <v>1200</v>
      </c>
      <c r="C67" s="288" t="s">
        <v>268</v>
      </c>
      <c r="D67" s="289"/>
      <c r="E67" s="290"/>
      <c r="F67" s="291"/>
      <c r="G67" s="291"/>
      <c r="H67" s="422"/>
      <c r="I67" s="423">
        <f>SUM(I10:I66)</f>
        <v>709590</v>
      </c>
      <c r="J67" s="412"/>
      <c r="K67" s="457"/>
      <c r="L67" s="423">
        <f>SUM(L10:L66)</f>
        <v>858090</v>
      </c>
      <c r="M67" s="291"/>
      <c r="N67" s="422"/>
      <c r="O67" s="423">
        <f>SUM(O10:O66)</f>
        <v>735214.08999700006</v>
      </c>
      <c r="P67" s="423"/>
      <c r="Q67" s="465">
        <f t="shared" ref="Q67" si="48">SUM(Q10:Q66)</f>
        <v>122875.910003</v>
      </c>
    </row>
    <row r="68" spans="2:17" ht="12.75" customHeight="1" x14ac:dyDescent="0.2">
      <c r="B68" s="239" t="s">
        <v>79</v>
      </c>
      <c r="C68" s="239"/>
      <c r="D68" s="276"/>
      <c r="E68" s="239"/>
      <c r="K68" s="456"/>
    </row>
    <row r="69" spans="2:17" ht="12.75" customHeight="1" x14ac:dyDescent="0.2">
      <c r="B69" s="239" t="s">
        <v>267</v>
      </c>
      <c r="C69" s="240"/>
      <c r="E69" s="238"/>
      <c r="K69" s="456"/>
    </row>
    <row r="70" spans="2:17" ht="12.75" customHeight="1" x14ac:dyDescent="0.2">
      <c r="B70" s="279"/>
      <c r="C70" s="280"/>
      <c r="D70" s="281"/>
      <c r="E70" s="280"/>
      <c r="F70" s="246"/>
      <c r="K70" s="456"/>
    </row>
    <row r="71" spans="2:17" ht="12.75" customHeight="1" x14ac:dyDescent="0.2">
      <c r="B71" s="247" t="s">
        <v>263</v>
      </c>
      <c r="C71" s="248" t="s">
        <v>264</v>
      </c>
      <c r="D71" s="249" t="s">
        <v>264</v>
      </c>
      <c r="E71" s="250"/>
      <c r="F71" s="250" t="s">
        <v>265</v>
      </c>
      <c r="G71" s="356" t="s">
        <v>68</v>
      </c>
      <c r="H71" s="251" t="s">
        <v>849</v>
      </c>
      <c r="I71" s="252" t="s">
        <v>849</v>
      </c>
      <c r="J71" s="356" t="s">
        <v>68</v>
      </c>
      <c r="K71" s="547" t="s">
        <v>262</v>
      </c>
      <c r="L71" s="252" t="s">
        <v>849</v>
      </c>
      <c r="M71" s="356" t="s">
        <v>68</v>
      </c>
      <c r="N71" s="251" t="s">
        <v>849</v>
      </c>
      <c r="O71" s="252" t="s">
        <v>849</v>
      </c>
      <c r="P71" s="252" t="s">
        <v>849</v>
      </c>
      <c r="Q71" s="252" t="s">
        <v>849</v>
      </c>
    </row>
    <row r="72" spans="2:17" ht="12.75" customHeight="1" x14ac:dyDescent="0.2">
      <c r="B72" s="253" t="s">
        <v>266</v>
      </c>
      <c r="C72" s="254"/>
      <c r="D72" s="255"/>
      <c r="E72" s="256"/>
      <c r="F72" s="256"/>
      <c r="G72" s="357" t="s">
        <v>69</v>
      </c>
      <c r="H72" s="257" t="s">
        <v>262</v>
      </c>
      <c r="I72" s="258" t="s">
        <v>70</v>
      </c>
      <c r="J72" s="357" t="s">
        <v>69</v>
      </c>
      <c r="K72" s="548"/>
      <c r="L72" s="258" t="s">
        <v>70</v>
      </c>
      <c r="M72" s="357" t="s">
        <v>69</v>
      </c>
      <c r="N72" s="257" t="s">
        <v>262</v>
      </c>
      <c r="O72" s="258" t="s">
        <v>70</v>
      </c>
      <c r="P72" s="258" t="s">
        <v>70</v>
      </c>
      <c r="Q72" s="258" t="s">
        <v>70</v>
      </c>
    </row>
    <row r="73" spans="2:17" ht="12.75" customHeight="1" x14ac:dyDescent="0.2">
      <c r="B73" s="273"/>
      <c r="F73" s="265"/>
      <c r="G73" s="268"/>
      <c r="H73" s="317"/>
      <c r="I73" s="318"/>
      <c r="J73" s="268"/>
      <c r="K73" s="456"/>
      <c r="L73" s="318"/>
      <c r="M73" s="268"/>
      <c r="N73" s="317"/>
      <c r="O73" s="318"/>
      <c r="P73" s="318"/>
      <c r="Q73" s="318"/>
    </row>
    <row r="74" spans="2:17" ht="12.75" customHeight="1" x14ac:dyDescent="0.2">
      <c r="B74" s="261">
        <v>1300</v>
      </c>
      <c r="C74" s="262" t="s">
        <v>119</v>
      </c>
      <c r="D74" s="263"/>
      <c r="E74" s="264"/>
      <c r="F74" s="265"/>
      <c r="G74" s="268"/>
      <c r="H74" s="424"/>
      <c r="I74" s="425"/>
      <c r="J74" s="268"/>
      <c r="K74" s="456"/>
      <c r="L74" s="425"/>
      <c r="M74" s="268"/>
      <c r="N74" s="424"/>
      <c r="O74" s="425"/>
      <c r="P74" s="425"/>
      <c r="Q74" s="425"/>
    </row>
    <row r="75" spans="2:17" ht="12.75" customHeight="1" x14ac:dyDescent="0.2">
      <c r="B75" s="261"/>
      <c r="C75" s="262" t="s">
        <v>120</v>
      </c>
      <c r="D75" s="263"/>
      <c r="E75" s="264"/>
      <c r="F75" s="265"/>
      <c r="G75" s="268"/>
      <c r="H75" s="424"/>
      <c r="I75" s="425"/>
      <c r="J75" s="268"/>
      <c r="K75" s="456"/>
      <c r="L75" s="425"/>
      <c r="M75" s="268"/>
      <c r="N75" s="424"/>
      <c r="O75" s="425"/>
      <c r="P75" s="425"/>
      <c r="Q75" s="425"/>
    </row>
    <row r="76" spans="2:17" ht="12.75" customHeight="1" x14ac:dyDescent="0.2">
      <c r="B76" s="267"/>
      <c r="F76" s="265"/>
      <c r="G76" s="268"/>
      <c r="H76" s="317"/>
      <c r="I76" s="318"/>
      <c r="J76" s="268"/>
      <c r="K76" s="456"/>
      <c r="L76" s="318"/>
      <c r="M76" s="268"/>
      <c r="N76" s="317"/>
      <c r="O76" s="318"/>
      <c r="P76" s="318"/>
      <c r="Q76" s="318"/>
    </row>
    <row r="77" spans="2:17" ht="12.75" customHeight="1" x14ac:dyDescent="0.2">
      <c r="B77" s="267">
        <v>13.01</v>
      </c>
      <c r="C77" s="273" t="s">
        <v>271</v>
      </c>
      <c r="D77" s="285"/>
      <c r="E77" s="286"/>
      <c r="F77" s="265"/>
      <c r="G77" s="268"/>
      <c r="H77" s="317"/>
      <c r="I77" s="318"/>
      <c r="J77" s="268"/>
      <c r="K77" s="456"/>
      <c r="L77" s="318"/>
      <c r="M77" s="268"/>
      <c r="N77" s="317"/>
      <c r="O77" s="318"/>
      <c r="P77" s="318"/>
      <c r="Q77" s="318"/>
    </row>
    <row r="78" spans="2:17" ht="12.75" customHeight="1" x14ac:dyDescent="0.2">
      <c r="B78" s="267"/>
      <c r="D78" s="285"/>
      <c r="E78" s="286"/>
      <c r="F78" s="265"/>
      <c r="G78" s="268"/>
      <c r="H78" s="317"/>
      <c r="I78" s="318"/>
      <c r="J78" s="268"/>
      <c r="K78" s="456"/>
      <c r="L78" s="318"/>
      <c r="M78" s="268"/>
      <c r="N78" s="317"/>
      <c r="O78" s="318"/>
      <c r="P78" s="318"/>
      <c r="Q78" s="318"/>
    </row>
    <row r="79" spans="2:17" ht="12.75" customHeight="1" x14ac:dyDescent="0.2">
      <c r="B79" s="267"/>
      <c r="C79" s="273" t="s">
        <v>278</v>
      </c>
      <c r="D79" s="285" t="s">
        <v>117</v>
      </c>
      <c r="E79" s="286"/>
      <c r="F79" s="265" t="s">
        <v>844</v>
      </c>
      <c r="G79" s="275">
        <v>1</v>
      </c>
      <c r="H79" s="418">
        <v>150000</v>
      </c>
      <c r="I79" s="418">
        <f t="shared" ref="I79:I87" si="49">IF(G79=0," ",G79*H79)</f>
        <v>150000</v>
      </c>
      <c r="J79" s="275">
        <v>1</v>
      </c>
      <c r="K79" s="466">
        <v>890097.83</v>
      </c>
      <c r="L79" s="418">
        <f t="shared" ref="L79:L131" si="50">IF(J79=0," ",J79*K79)</f>
        <v>890097.83</v>
      </c>
      <c r="M79" s="275">
        <v>1</v>
      </c>
      <c r="N79" s="418">
        <v>890103.95</v>
      </c>
      <c r="O79" s="418">
        <f t="shared" ref="O79:O131" si="51">IF(M79=0," ",M79*N79)</f>
        <v>890103.95</v>
      </c>
      <c r="P79" s="418">
        <f>K79-N79</f>
        <v>-6.1199999999953434</v>
      </c>
      <c r="Q79" s="418">
        <f>L79-O79</f>
        <v>-6.1199999999953434</v>
      </c>
    </row>
    <row r="80" spans="2:17" ht="12.75" customHeight="1" x14ac:dyDescent="0.2">
      <c r="B80" s="267"/>
      <c r="D80" s="285"/>
      <c r="E80" s="286"/>
      <c r="F80" s="265"/>
      <c r="G80" s="275"/>
      <c r="H80" s="418" t="str">
        <f t="shared" ref="H80:I131" si="52">IF(F80=0," ",F80*G80)</f>
        <v xml:space="preserve"> </v>
      </c>
      <c r="I80" s="418" t="str">
        <f t="shared" si="49"/>
        <v xml:space="preserve"> </v>
      </c>
      <c r="J80" s="275"/>
      <c r="K80" s="466" t="s">
        <v>849</v>
      </c>
      <c r="L80" s="418" t="str">
        <f t="shared" si="50"/>
        <v xml:space="preserve"> </v>
      </c>
      <c r="M80" s="275"/>
      <c r="N80" s="418"/>
      <c r="O80" s="418"/>
      <c r="P80" s="418"/>
      <c r="Q80" s="418"/>
    </row>
    <row r="81" spans="2:23" ht="12.75" customHeight="1" x14ac:dyDescent="0.2">
      <c r="B81" s="267"/>
      <c r="C81" s="273" t="s">
        <v>276</v>
      </c>
      <c r="D81" s="241" t="s">
        <v>118</v>
      </c>
      <c r="F81" s="265" t="s">
        <v>272</v>
      </c>
      <c r="G81" s="268">
        <v>6</v>
      </c>
      <c r="H81" s="418">
        <v>100000</v>
      </c>
      <c r="I81" s="418">
        <f t="shared" si="49"/>
        <v>600000</v>
      </c>
      <c r="J81" s="268">
        <v>6</v>
      </c>
      <c r="K81" s="466">
        <v>445879.21</v>
      </c>
      <c r="L81" s="418">
        <f t="shared" si="50"/>
        <v>2675275.2600000002</v>
      </c>
      <c r="M81" s="268">
        <v>6</v>
      </c>
      <c r="N81" s="418">
        <v>445879.21</v>
      </c>
      <c r="O81" s="418">
        <f t="shared" si="51"/>
        <v>2675275.2600000002</v>
      </c>
      <c r="P81" s="418">
        <f t="shared" ref="P81:P83" si="53">K81-N81</f>
        <v>0</v>
      </c>
      <c r="Q81" s="418">
        <f t="shared" ref="Q81:Q87" si="54">L81-O81</f>
        <v>0</v>
      </c>
      <c r="R81" s="34">
        <f>'[1]Schedule A Roadworks'!$I$81</f>
        <v>3137952.84</v>
      </c>
      <c r="S81" s="365">
        <f>O81-R81</f>
        <v>-462677.57999999961</v>
      </c>
      <c r="T81" s="515">
        <f>N81</f>
        <v>445879.21</v>
      </c>
      <c r="U81" s="34">
        <f>'[1]Schedule A Roadworks'!$H$81</f>
        <v>522992.14</v>
      </c>
      <c r="V81" s="516">
        <f>T81-U81</f>
        <v>-77112.929999999993</v>
      </c>
      <c r="W81" s="34" t="s">
        <v>889</v>
      </c>
    </row>
    <row r="82" spans="2:23" ht="12.75" customHeight="1" x14ac:dyDescent="0.2">
      <c r="B82" s="261"/>
      <c r="C82" s="262"/>
      <c r="D82" s="263"/>
      <c r="E82" s="264"/>
      <c r="G82" s="268"/>
      <c r="H82" s="418" t="str">
        <f t="shared" si="52"/>
        <v xml:space="preserve"> </v>
      </c>
      <c r="I82" s="418" t="str">
        <f t="shared" si="49"/>
        <v xml:space="preserve"> </v>
      </c>
      <c r="J82" s="268"/>
      <c r="K82" s="466" t="s">
        <v>849</v>
      </c>
      <c r="L82" s="418" t="str">
        <f t="shared" si="50"/>
        <v xml:space="preserve"> </v>
      </c>
      <c r="M82" s="268"/>
      <c r="N82" s="418"/>
      <c r="O82" s="418"/>
      <c r="P82" s="418"/>
      <c r="Q82" s="418"/>
    </row>
    <row r="83" spans="2:23" ht="12.75" customHeight="1" x14ac:dyDescent="0.2">
      <c r="B83" s="292" t="s">
        <v>531</v>
      </c>
      <c r="C83" s="293" t="s">
        <v>281</v>
      </c>
      <c r="D83" s="294" t="s">
        <v>87</v>
      </c>
      <c r="E83" s="295"/>
      <c r="F83" s="296" t="s">
        <v>272</v>
      </c>
      <c r="G83" s="268">
        <v>6</v>
      </c>
      <c r="H83" s="418">
        <v>20000</v>
      </c>
      <c r="I83" s="418">
        <f t="shared" si="49"/>
        <v>120000</v>
      </c>
      <c r="J83" s="268">
        <v>6</v>
      </c>
      <c r="K83" s="466">
        <v>20000</v>
      </c>
      <c r="L83" s="418">
        <f t="shared" si="50"/>
        <v>120000</v>
      </c>
      <c r="M83" s="268">
        <v>6</v>
      </c>
      <c r="N83" s="418">
        <v>20000</v>
      </c>
      <c r="O83" s="418">
        <f t="shared" si="51"/>
        <v>120000</v>
      </c>
      <c r="P83" s="418">
        <f t="shared" si="53"/>
        <v>0</v>
      </c>
      <c r="Q83" s="418">
        <f t="shared" si="54"/>
        <v>0</v>
      </c>
    </row>
    <row r="84" spans="2:23" ht="12.75" customHeight="1" x14ac:dyDescent="0.2">
      <c r="B84" s="292"/>
      <c r="C84" s="293"/>
      <c r="D84" s="294" t="s">
        <v>88</v>
      </c>
      <c r="E84" s="295"/>
      <c r="F84" s="296"/>
      <c r="G84" s="275"/>
      <c r="H84" s="418" t="str">
        <f t="shared" si="52"/>
        <v xml:space="preserve"> </v>
      </c>
      <c r="I84" s="418" t="str">
        <f t="shared" si="49"/>
        <v xml:space="preserve"> </v>
      </c>
      <c r="J84" s="275"/>
      <c r="K84" s="466" t="s">
        <v>849</v>
      </c>
      <c r="L84" s="418" t="str">
        <f t="shared" si="50"/>
        <v xml:space="preserve"> </v>
      </c>
      <c r="M84" s="275"/>
      <c r="N84" s="418"/>
      <c r="O84" s="418" t="str">
        <f t="shared" si="51"/>
        <v xml:space="preserve"> </v>
      </c>
      <c r="P84" s="418"/>
      <c r="Q84" s="418"/>
    </row>
    <row r="85" spans="2:23" ht="12.75" customHeight="1" x14ac:dyDescent="0.2">
      <c r="B85" s="292"/>
      <c r="C85" s="293"/>
      <c r="D85" s="294" t="s">
        <v>86</v>
      </c>
      <c r="E85" s="295"/>
      <c r="F85" s="296"/>
      <c r="G85" s="268"/>
      <c r="H85" s="418" t="str">
        <f t="shared" si="52"/>
        <v xml:space="preserve"> </v>
      </c>
      <c r="I85" s="418" t="str">
        <f t="shared" si="49"/>
        <v xml:space="preserve"> </v>
      </c>
      <c r="J85" s="268"/>
      <c r="K85" s="466" t="s">
        <v>849</v>
      </c>
      <c r="L85" s="418" t="str">
        <f t="shared" si="50"/>
        <v xml:space="preserve"> </v>
      </c>
      <c r="M85" s="268"/>
      <c r="N85" s="418"/>
      <c r="O85" s="418" t="str">
        <f t="shared" si="51"/>
        <v xml:space="preserve"> </v>
      </c>
      <c r="P85" s="418"/>
      <c r="Q85" s="418"/>
    </row>
    <row r="86" spans="2:23" ht="12.75" customHeight="1" x14ac:dyDescent="0.2">
      <c r="B86" s="292"/>
      <c r="C86" s="293"/>
      <c r="D86" s="294"/>
      <c r="E86" s="295"/>
      <c r="F86" s="296"/>
      <c r="G86" s="268"/>
      <c r="H86" s="418" t="str">
        <f t="shared" si="52"/>
        <v xml:space="preserve"> </v>
      </c>
      <c r="I86" s="418" t="str">
        <f t="shared" si="49"/>
        <v xml:space="preserve"> </v>
      </c>
      <c r="J86" s="268"/>
      <c r="K86" s="466" t="s">
        <v>849</v>
      </c>
      <c r="L86" s="418" t="str">
        <f t="shared" si="50"/>
        <v xml:space="preserve"> </v>
      </c>
      <c r="M86" s="268"/>
      <c r="N86" s="418"/>
      <c r="O86" s="418" t="str">
        <f t="shared" si="51"/>
        <v xml:space="preserve"> </v>
      </c>
      <c r="P86" s="418"/>
      <c r="Q86" s="418"/>
    </row>
    <row r="87" spans="2:23" ht="12.75" customHeight="1" x14ac:dyDescent="0.2">
      <c r="B87" s="292" t="s">
        <v>531</v>
      </c>
      <c r="C87" s="293" t="s">
        <v>282</v>
      </c>
      <c r="D87" s="294" t="s">
        <v>87</v>
      </c>
      <c r="E87" s="295"/>
      <c r="F87" s="296" t="s">
        <v>272</v>
      </c>
      <c r="G87" s="275">
        <v>6</v>
      </c>
      <c r="H87" s="418">
        <v>20000</v>
      </c>
      <c r="I87" s="418">
        <f t="shared" si="49"/>
        <v>120000</v>
      </c>
      <c r="J87" s="275">
        <v>6</v>
      </c>
      <c r="K87" s="466">
        <v>15000</v>
      </c>
      <c r="L87" s="418">
        <f t="shared" si="50"/>
        <v>90000</v>
      </c>
      <c r="M87" s="275">
        <v>6</v>
      </c>
      <c r="N87" s="418">
        <v>15000</v>
      </c>
      <c r="O87" s="418">
        <f t="shared" si="51"/>
        <v>90000</v>
      </c>
      <c r="P87" s="418">
        <f>K87-N87</f>
        <v>0</v>
      </c>
      <c r="Q87" s="418">
        <f t="shared" si="54"/>
        <v>0</v>
      </c>
    </row>
    <row r="88" spans="2:23" ht="12.75" customHeight="1" x14ac:dyDescent="0.2">
      <c r="B88" s="292"/>
      <c r="C88" s="293"/>
      <c r="D88" s="294" t="s">
        <v>532</v>
      </c>
      <c r="E88" s="295"/>
      <c r="F88" s="296"/>
      <c r="G88" s="275"/>
      <c r="H88" s="317"/>
      <c r="I88" s="418" t="str">
        <f t="shared" si="52"/>
        <v xml:space="preserve"> </v>
      </c>
      <c r="J88" s="275"/>
      <c r="K88" s="456"/>
      <c r="L88" s="418" t="str">
        <f t="shared" si="50"/>
        <v xml:space="preserve"> </v>
      </c>
      <c r="M88" s="275"/>
      <c r="N88" s="317"/>
      <c r="O88" s="418" t="str">
        <f t="shared" si="51"/>
        <v xml:space="preserve"> </v>
      </c>
      <c r="P88" s="418"/>
      <c r="Q88" s="418"/>
    </row>
    <row r="89" spans="2:23" ht="12.75" customHeight="1" x14ac:dyDescent="0.2">
      <c r="B89" s="292"/>
      <c r="C89" s="293"/>
      <c r="D89" s="294"/>
      <c r="E89" s="295"/>
      <c r="F89" s="296"/>
      <c r="G89" s="268"/>
      <c r="H89" s="421"/>
      <c r="I89" s="418" t="str">
        <f t="shared" si="52"/>
        <v xml:space="preserve"> </v>
      </c>
      <c r="J89" s="268"/>
      <c r="K89" s="456"/>
      <c r="L89" s="418" t="str">
        <f t="shared" si="50"/>
        <v xml:space="preserve"> </v>
      </c>
      <c r="M89" s="268"/>
      <c r="N89" s="421"/>
      <c r="O89" s="418" t="str">
        <f t="shared" si="51"/>
        <v xml:space="preserve"> </v>
      </c>
      <c r="P89" s="418"/>
      <c r="Q89" s="418"/>
    </row>
    <row r="90" spans="2:23" ht="12.75" customHeight="1" x14ac:dyDescent="0.2">
      <c r="B90" s="261"/>
      <c r="C90" s="262"/>
      <c r="D90" s="263"/>
      <c r="E90" s="264"/>
      <c r="G90" s="268"/>
      <c r="H90" s="317"/>
      <c r="I90" s="418" t="str">
        <f t="shared" si="52"/>
        <v xml:space="preserve"> </v>
      </c>
      <c r="J90" s="268"/>
      <c r="K90" s="456"/>
      <c r="L90" s="418" t="str">
        <f t="shared" si="50"/>
        <v xml:space="preserve"> </v>
      </c>
      <c r="M90" s="268"/>
      <c r="N90" s="317"/>
      <c r="O90" s="418" t="str">
        <f t="shared" si="51"/>
        <v xml:space="preserve"> </v>
      </c>
      <c r="P90" s="418" t="str">
        <f t="shared" ref="P90:P131" si="55">IF(N90=0," ",N90*O90)</f>
        <v xml:space="preserve"> </v>
      </c>
      <c r="Q90" s="418"/>
    </row>
    <row r="91" spans="2:23" ht="12.75" customHeight="1" x14ac:dyDescent="0.2">
      <c r="B91" s="261"/>
      <c r="C91" s="262"/>
      <c r="D91" s="263"/>
      <c r="E91" s="264"/>
      <c r="G91" s="268"/>
      <c r="H91" s="317"/>
      <c r="I91" s="418" t="str">
        <f t="shared" si="52"/>
        <v xml:space="preserve"> </v>
      </c>
      <c r="J91" s="268"/>
      <c r="K91" s="456"/>
      <c r="L91" s="418" t="str">
        <f t="shared" si="50"/>
        <v xml:space="preserve"> </v>
      </c>
      <c r="M91" s="268"/>
      <c r="N91" s="317"/>
      <c r="O91" s="418" t="str">
        <f t="shared" si="51"/>
        <v xml:space="preserve"> </v>
      </c>
      <c r="P91" s="418" t="str">
        <f t="shared" si="55"/>
        <v xml:space="preserve"> </v>
      </c>
      <c r="Q91" s="418"/>
    </row>
    <row r="92" spans="2:23" ht="12.75" customHeight="1" x14ac:dyDescent="0.2">
      <c r="B92" s="261"/>
      <c r="C92" s="262"/>
      <c r="D92" s="263"/>
      <c r="E92" s="264"/>
      <c r="G92" s="268"/>
      <c r="H92" s="317"/>
      <c r="I92" s="418" t="str">
        <f t="shared" si="52"/>
        <v xml:space="preserve"> </v>
      </c>
      <c r="J92" s="268"/>
      <c r="K92" s="456"/>
      <c r="L92" s="418" t="str">
        <f t="shared" si="50"/>
        <v xml:space="preserve"> </v>
      </c>
      <c r="M92" s="268"/>
      <c r="N92" s="317"/>
      <c r="O92" s="418" t="str">
        <f t="shared" si="51"/>
        <v xml:space="preserve"> </v>
      </c>
      <c r="P92" s="418" t="str">
        <f t="shared" si="55"/>
        <v xml:space="preserve"> </v>
      </c>
      <c r="Q92" s="418"/>
    </row>
    <row r="93" spans="2:23" ht="12.75" customHeight="1" x14ac:dyDescent="0.2">
      <c r="B93" s="261"/>
      <c r="C93" s="262"/>
      <c r="D93" s="263"/>
      <c r="E93" s="264"/>
      <c r="G93" s="268"/>
      <c r="H93" s="317"/>
      <c r="I93" s="418" t="str">
        <f t="shared" si="52"/>
        <v xml:space="preserve"> </v>
      </c>
      <c r="J93" s="268"/>
      <c r="K93" s="456"/>
      <c r="L93" s="418" t="str">
        <f t="shared" si="50"/>
        <v xml:space="preserve"> </v>
      </c>
      <c r="M93" s="268"/>
      <c r="N93" s="317"/>
      <c r="O93" s="418" t="str">
        <f t="shared" si="51"/>
        <v xml:space="preserve"> </v>
      </c>
      <c r="P93" s="418" t="str">
        <f t="shared" si="55"/>
        <v xml:space="preserve"> </v>
      </c>
      <c r="Q93" s="418"/>
    </row>
    <row r="94" spans="2:23" ht="12.75" customHeight="1" x14ac:dyDescent="0.2">
      <c r="B94" s="261"/>
      <c r="C94" s="262"/>
      <c r="D94" s="263"/>
      <c r="E94" s="264"/>
      <c r="G94" s="268"/>
      <c r="H94" s="317"/>
      <c r="I94" s="418" t="str">
        <f t="shared" si="52"/>
        <v xml:space="preserve"> </v>
      </c>
      <c r="J94" s="268"/>
      <c r="K94" s="456"/>
      <c r="L94" s="418" t="str">
        <f t="shared" si="50"/>
        <v xml:space="preserve"> </v>
      </c>
      <c r="M94" s="268"/>
      <c r="N94" s="317"/>
      <c r="O94" s="418" t="str">
        <f t="shared" si="51"/>
        <v xml:space="preserve"> </v>
      </c>
      <c r="P94" s="418" t="str">
        <f t="shared" si="55"/>
        <v xml:space="preserve"> </v>
      </c>
      <c r="Q94" s="418"/>
    </row>
    <row r="95" spans="2:23" ht="12.75" customHeight="1" x14ac:dyDescent="0.2">
      <c r="B95" s="261"/>
      <c r="C95" s="262"/>
      <c r="D95" s="263"/>
      <c r="E95" s="264"/>
      <c r="G95" s="268"/>
      <c r="H95" s="317"/>
      <c r="I95" s="418" t="str">
        <f t="shared" si="52"/>
        <v xml:space="preserve"> </v>
      </c>
      <c r="J95" s="268"/>
      <c r="K95" s="456"/>
      <c r="L95" s="418" t="str">
        <f t="shared" si="50"/>
        <v xml:space="preserve"> </v>
      </c>
      <c r="M95" s="268"/>
      <c r="N95" s="317"/>
      <c r="O95" s="418" t="str">
        <f t="shared" si="51"/>
        <v xml:space="preserve"> </v>
      </c>
      <c r="P95" s="418" t="str">
        <f t="shared" si="55"/>
        <v xml:space="preserve"> </v>
      </c>
      <c r="Q95" s="418"/>
    </row>
    <row r="96" spans="2:23" ht="12.75" customHeight="1" x14ac:dyDescent="0.2">
      <c r="B96" s="261"/>
      <c r="C96" s="262"/>
      <c r="D96" s="263"/>
      <c r="E96" s="264"/>
      <c r="G96" s="268"/>
      <c r="H96" s="317"/>
      <c r="I96" s="418" t="str">
        <f t="shared" si="52"/>
        <v xml:space="preserve"> </v>
      </c>
      <c r="J96" s="268"/>
      <c r="K96" s="456"/>
      <c r="L96" s="418" t="str">
        <f t="shared" si="50"/>
        <v xml:space="preserve"> </v>
      </c>
      <c r="M96" s="268"/>
      <c r="N96" s="317"/>
      <c r="O96" s="418" t="str">
        <f t="shared" si="51"/>
        <v xml:space="preserve"> </v>
      </c>
      <c r="P96" s="418" t="str">
        <f t="shared" si="55"/>
        <v xml:space="preserve"> </v>
      </c>
      <c r="Q96" s="418"/>
    </row>
    <row r="97" spans="2:17" ht="12.75" customHeight="1" x14ac:dyDescent="0.2">
      <c r="B97" s="261"/>
      <c r="C97" s="262"/>
      <c r="D97" s="263"/>
      <c r="E97" s="264"/>
      <c r="G97" s="268"/>
      <c r="H97" s="317"/>
      <c r="I97" s="418" t="str">
        <f t="shared" si="52"/>
        <v xml:space="preserve"> </v>
      </c>
      <c r="J97" s="268"/>
      <c r="K97" s="456"/>
      <c r="L97" s="418" t="str">
        <f t="shared" si="50"/>
        <v xml:space="preserve"> </v>
      </c>
      <c r="M97" s="268"/>
      <c r="N97" s="317"/>
      <c r="O97" s="418" t="str">
        <f t="shared" si="51"/>
        <v xml:space="preserve"> </v>
      </c>
      <c r="P97" s="418" t="str">
        <f t="shared" si="55"/>
        <v xml:space="preserve"> </v>
      </c>
      <c r="Q97" s="418"/>
    </row>
    <row r="98" spans="2:17" ht="12.75" customHeight="1" x14ac:dyDescent="0.2">
      <c r="B98" s="261"/>
      <c r="C98" s="262"/>
      <c r="D98" s="263"/>
      <c r="E98" s="264"/>
      <c r="G98" s="268"/>
      <c r="H98" s="317"/>
      <c r="I98" s="418" t="str">
        <f t="shared" si="52"/>
        <v xml:space="preserve"> </v>
      </c>
      <c r="J98" s="268"/>
      <c r="K98" s="456"/>
      <c r="L98" s="418" t="str">
        <f t="shared" si="50"/>
        <v xml:space="preserve"> </v>
      </c>
      <c r="M98" s="268"/>
      <c r="N98" s="317"/>
      <c r="O98" s="418" t="str">
        <f t="shared" si="51"/>
        <v xml:space="preserve"> </v>
      </c>
      <c r="P98" s="418" t="str">
        <f t="shared" si="55"/>
        <v xml:space="preserve"> </v>
      </c>
      <c r="Q98" s="418"/>
    </row>
    <row r="99" spans="2:17" ht="12.75" customHeight="1" x14ac:dyDescent="0.2">
      <c r="B99" s="261"/>
      <c r="C99" s="262"/>
      <c r="D99" s="263"/>
      <c r="E99" s="264"/>
      <c r="G99" s="268"/>
      <c r="H99" s="317"/>
      <c r="I99" s="418" t="str">
        <f t="shared" si="52"/>
        <v xml:space="preserve"> </v>
      </c>
      <c r="J99" s="268"/>
      <c r="K99" s="456"/>
      <c r="L99" s="418" t="str">
        <f t="shared" si="50"/>
        <v xml:space="preserve"> </v>
      </c>
      <c r="M99" s="268"/>
      <c r="N99" s="317"/>
      <c r="O99" s="418" t="str">
        <f t="shared" si="51"/>
        <v xml:space="preserve"> </v>
      </c>
      <c r="P99" s="418" t="str">
        <f t="shared" si="55"/>
        <v xml:space="preserve"> </v>
      </c>
      <c r="Q99" s="418"/>
    </row>
    <row r="100" spans="2:17" ht="12.75" customHeight="1" x14ac:dyDescent="0.2">
      <c r="B100" s="261"/>
      <c r="C100" s="262"/>
      <c r="D100" s="263"/>
      <c r="E100" s="264"/>
      <c r="G100" s="268"/>
      <c r="H100" s="317"/>
      <c r="I100" s="418" t="str">
        <f t="shared" si="52"/>
        <v xml:space="preserve"> </v>
      </c>
      <c r="J100" s="268"/>
      <c r="K100" s="456"/>
      <c r="L100" s="418" t="str">
        <f t="shared" si="50"/>
        <v xml:space="preserve"> </v>
      </c>
      <c r="M100" s="268"/>
      <c r="N100" s="317"/>
      <c r="O100" s="418" t="str">
        <f t="shared" si="51"/>
        <v xml:space="preserve"> </v>
      </c>
      <c r="P100" s="418" t="str">
        <f t="shared" si="55"/>
        <v xml:space="preserve"> </v>
      </c>
      <c r="Q100" s="418"/>
    </row>
    <row r="101" spans="2:17" ht="12.75" customHeight="1" x14ac:dyDescent="0.2">
      <c r="B101" s="261"/>
      <c r="C101" s="262"/>
      <c r="D101" s="263"/>
      <c r="E101" s="264"/>
      <c r="G101" s="268"/>
      <c r="H101" s="317"/>
      <c r="I101" s="418" t="str">
        <f t="shared" si="52"/>
        <v xml:space="preserve"> </v>
      </c>
      <c r="J101" s="268"/>
      <c r="K101" s="456"/>
      <c r="L101" s="418" t="str">
        <f t="shared" si="50"/>
        <v xml:space="preserve"> </v>
      </c>
      <c r="M101" s="268"/>
      <c r="N101" s="317"/>
      <c r="O101" s="418" t="str">
        <f t="shared" si="51"/>
        <v xml:space="preserve"> </v>
      </c>
      <c r="P101" s="418" t="str">
        <f t="shared" si="55"/>
        <v xml:space="preserve"> </v>
      </c>
      <c r="Q101" s="418"/>
    </row>
    <row r="102" spans="2:17" ht="12.75" customHeight="1" x14ac:dyDescent="0.2">
      <c r="B102" s="261"/>
      <c r="C102" s="262"/>
      <c r="D102" s="263"/>
      <c r="E102" s="264"/>
      <c r="G102" s="268"/>
      <c r="H102" s="317"/>
      <c r="I102" s="418" t="str">
        <f t="shared" si="52"/>
        <v xml:space="preserve"> </v>
      </c>
      <c r="J102" s="268"/>
      <c r="K102" s="456"/>
      <c r="L102" s="418" t="str">
        <f t="shared" si="50"/>
        <v xml:space="preserve"> </v>
      </c>
      <c r="M102" s="268"/>
      <c r="N102" s="317"/>
      <c r="O102" s="418" t="str">
        <f t="shared" si="51"/>
        <v xml:space="preserve"> </v>
      </c>
      <c r="P102" s="418" t="str">
        <f t="shared" si="55"/>
        <v xml:space="preserve"> </v>
      </c>
      <c r="Q102" s="418"/>
    </row>
    <row r="103" spans="2:17" ht="12.75" customHeight="1" x14ac:dyDescent="0.2">
      <c r="B103" s="261"/>
      <c r="C103" s="262"/>
      <c r="D103" s="263"/>
      <c r="E103" s="264"/>
      <c r="G103" s="268"/>
      <c r="H103" s="317"/>
      <c r="I103" s="418" t="str">
        <f t="shared" si="52"/>
        <v xml:space="preserve"> </v>
      </c>
      <c r="J103" s="268"/>
      <c r="K103" s="456"/>
      <c r="L103" s="418" t="str">
        <f t="shared" si="50"/>
        <v xml:space="preserve"> </v>
      </c>
      <c r="M103" s="268"/>
      <c r="N103" s="317"/>
      <c r="O103" s="418" t="str">
        <f t="shared" si="51"/>
        <v xml:space="preserve"> </v>
      </c>
      <c r="P103" s="418" t="str">
        <f t="shared" si="55"/>
        <v xml:space="preserve"> </v>
      </c>
      <c r="Q103" s="418"/>
    </row>
    <row r="104" spans="2:17" ht="12.75" customHeight="1" x14ac:dyDescent="0.2">
      <c r="B104" s="261"/>
      <c r="C104" s="262"/>
      <c r="D104" s="263"/>
      <c r="E104" s="264"/>
      <c r="G104" s="268"/>
      <c r="H104" s="317"/>
      <c r="I104" s="418" t="str">
        <f t="shared" si="52"/>
        <v xml:space="preserve"> </v>
      </c>
      <c r="J104" s="268"/>
      <c r="K104" s="456"/>
      <c r="L104" s="418" t="str">
        <f t="shared" si="50"/>
        <v xml:space="preserve"> </v>
      </c>
      <c r="M104" s="268"/>
      <c r="N104" s="317"/>
      <c r="O104" s="418" t="str">
        <f t="shared" si="51"/>
        <v xml:space="preserve"> </v>
      </c>
      <c r="P104" s="418" t="str">
        <f t="shared" si="55"/>
        <v xml:space="preserve"> </v>
      </c>
      <c r="Q104" s="418"/>
    </row>
    <row r="105" spans="2:17" ht="12.75" customHeight="1" x14ac:dyDescent="0.2">
      <c r="B105" s="261"/>
      <c r="C105" s="262"/>
      <c r="D105" s="263"/>
      <c r="E105" s="264"/>
      <c r="G105" s="268"/>
      <c r="H105" s="317"/>
      <c r="I105" s="418" t="str">
        <f t="shared" si="52"/>
        <v xml:space="preserve"> </v>
      </c>
      <c r="J105" s="268"/>
      <c r="K105" s="456"/>
      <c r="L105" s="418" t="str">
        <f t="shared" si="50"/>
        <v xml:space="preserve"> </v>
      </c>
      <c r="M105" s="268"/>
      <c r="N105" s="317"/>
      <c r="O105" s="418" t="str">
        <f t="shared" si="51"/>
        <v xml:space="preserve"> </v>
      </c>
      <c r="P105" s="418" t="str">
        <f t="shared" si="55"/>
        <v xml:space="preserve"> </v>
      </c>
      <c r="Q105" s="418"/>
    </row>
    <row r="106" spans="2:17" ht="12.75" customHeight="1" x14ac:dyDescent="0.2">
      <c r="B106" s="261"/>
      <c r="C106" s="262"/>
      <c r="D106" s="263"/>
      <c r="E106" s="264"/>
      <c r="G106" s="268"/>
      <c r="H106" s="317"/>
      <c r="I106" s="418" t="str">
        <f t="shared" si="52"/>
        <v xml:space="preserve"> </v>
      </c>
      <c r="J106" s="268"/>
      <c r="K106" s="456"/>
      <c r="L106" s="418" t="str">
        <f t="shared" si="50"/>
        <v xml:space="preserve"> </v>
      </c>
      <c r="M106" s="268"/>
      <c r="N106" s="317"/>
      <c r="O106" s="418" t="str">
        <f t="shared" si="51"/>
        <v xml:space="preserve"> </v>
      </c>
      <c r="P106" s="418" t="str">
        <f t="shared" si="55"/>
        <v xml:space="preserve"> </v>
      </c>
      <c r="Q106" s="418"/>
    </row>
    <row r="107" spans="2:17" ht="12.75" customHeight="1" x14ac:dyDescent="0.2">
      <c r="B107" s="261"/>
      <c r="C107" s="262"/>
      <c r="D107" s="263"/>
      <c r="E107" s="264"/>
      <c r="G107" s="268"/>
      <c r="H107" s="317"/>
      <c r="I107" s="418" t="str">
        <f t="shared" si="52"/>
        <v xml:space="preserve"> </v>
      </c>
      <c r="J107" s="268"/>
      <c r="K107" s="456"/>
      <c r="L107" s="418" t="str">
        <f t="shared" si="50"/>
        <v xml:space="preserve"> </v>
      </c>
      <c r="M107" s="268"/>
      <c r="N107" s="317"/>
      <c r="O107" s="418" t="str">
        <f t="shared" si="51"/>
        <v xml:space="preserve"> </v>
      </c>
      <c r="P107" s="418" t="str">
        <f t="shared" si="55"/>
        <v xml:space="preserve"> </v>
      </c>
      <c r="Q107" s="418"/>
    </row>
    <row r="108" spans="2:17" ht="12.75" customHeight="1" x14ac:dyDescent="0.2">
      <c r="B108" s="261"/>
      <c r="C108" s="262"/>
      <c r="D108" s="263"/>
      <c r="E108" s="264"/>
      <c r="G108" s="268"/>
      <c r="H108" s="317"/>
      <c r="I108" s="418" t="str">
        <f t="shared" si="52"/>
        <v xml:space="preserve"> </v>
      </c>
      <c r="J108" s="268"/>
      <c r="K108" s="456"/>
      <c r="L108" s="418" t="str">
        <f t="shared" si="50"/>
        <v xml:space="preserve"> </v>
      </c>
      <c r="M108" s="268"/>
      <c r="N108" s="317"/>
      <c r="O108" s="418" t="str">
        <f t="shared" si="51"/>
        <v xml:space="preserve"> </v>
      </c>
      <c r="P108" s="418" t="str">
        <f t="shared" si="55"/>
        <v xml:space="preserve"> </v>
      </c>
      <c r="Q108" s="418"/>
    </row>
    <row r="109" spans="2:17" ht="12.75" customHeight="1" x14ac:dyDescent="0.2">
      <c r="B109" s="261"/>
      <c r="C109" s="262"/>
      <c r="D109" s="263"/>
      <c r="E109" s="264"/>
      <c r="G109" s="268"/>
      <c r="H109" s="317"/>
      <c r="I109" s="418" t="str">
        <f t="shared" si="52"/>
        <v xml:space="preserve"> </v>
      </c>
      <c r="J109" s="268"/>
      <c r="K109" s="456"/>
      <c r="L109" s="418" t="str">
        <f t="shared" si="50"/>
        <v xml:space="preserve"> </v>
      </c>
      <c r="M109" s="268"/>
      <c r="N109" s="317"/>
      <c r="O109" s="418" t="str">
        <f t="shared" si="51"/>
        <v xml:space="preserve"> </v>
      </c>
      <c r="P109" s="418" t="str">
        <f t="shared" si="55"/>
        <v xml:space="preserve"> </v>
      </c>
      <c r="Q109" s="418"/>
    </row>
    <row r="110" spans="2:17" ht="12.75" customHeight="1" x14ac:dyDescent="0.2">
      <c r="B110" s="261"/>
      <c r="C110" s="262"/>
      <c r="D110" s="263"/>
      <c r="E110" s="264"/>
      <c r="G110" s="268"/>
      <c r="H110" s="317"/>
      <c r="I110" s="418" t="str">
        <f t="shared" si="52"/>
        <v xml:space="preserve"> </v>
      </c>
      <c r="J110" s="268"/>
      <c r="K110" s="456"/>
      <c r="L110" s="418" t="str">
        <f t="shared" si="50"/>
        <v xml:space="preserve"> </v>
      </c>
      <c r="M110" s="268"/>
      <c r="N110" s="317"/>
      <c r="O110" s="418" t="str">
        <f t="shared" si="51"/>
        <v xml:space="preserve"> </v>
      </c>
      <c r="P110" s="418" t="str">
        <f t="shared" si="55"/>
        <v xml:space="preserve"> </v>
      </c>
      <c r="Q110" s="418"/>
    </row>
    <row r="111" spans="2:17" ht="12.75" customHeight="1" x14ac:dyDescent="0.2">
      <c r="B111" s="261"/>
      <c r="C111" s="262"/>
      <c r="D111" s="263"/>
      <c r="E111" s="264"/>
      <c r="G111" s="268"/>
      <c r="H111" s="317"/>
      <c r="I111" s="418" t="str">
        <f t="shared" si="52"/>
        <v xml:space="preserve"> </v>
      </c>
      <c r="J111" s="268"/>
      <c r="K111" s="456"/>
      <c r="L111" s="418" t="str">
        <f t="shared" si="50"/>
        <v xml:space="preserve"> </v>
      </c>
      <c r="M111" s="268"/>
      <c r="N111" s="317"/>
      <c r="O111" s="418" t="str">
        <f t="shared" si="51"/>
        <v xml:space="preserve"> </v>
      </c>
      <c r="P111" s="418" t="str">
        <f t="shared" si="55"/>
        <v xml:space="preserve"> </v>
      </c>
      <c r="Q111" s="418"/>
    </row>
    <row r="112" spans="2:17" ht="12.75" customHeight="1" x14ac:dyDescent="0.2">
      <c r="B112" s="261"/>
      <c r="C112" s="262"/>
      <c r="D112" s="263"/>
      <c r="E112" s="264"/>
      <c r="G112" s="268"/>
      <c r="H112" s="317"/>
      <c r="I112" s="418" t="str">
        <f t="shared" si="52"/>
        <v xml:space="preserve"> </v>
      </c>
      <c r="J112" s="268"/>
      <c r="K112" s="456"/>
      <c r="L112" s="418" t="str">
        <f t="shared" si="50"/>
        <v xml:space="preserve"> </v>
      </c>
      <c r="M112" s="268"/>
      <c r="N112" s="317"/>
      <c r="O112" s="418" t="str">
        <f t="shared" si="51"/>
        <v xml:space="preserve"> </v>
      </c>
      <c r="P112" s="418" t="str">
        <f t="shared" si="55"/>
        <v xml:space="preserve"> </v>
      </c>
      <c r="Q112" s="418"/>
    </row>
    <row r="113" spans="2:17" ht="12.75" customHeight="1" x14ac:dyDescent="0.2">
      <c r="B113" s="261"/>
      <c r="C113" s="262"/>
      <c r="D113" s="263"/>
      <c r="E113" s="264"/>
      <c r="G113" s="268"/>
      <c r="H113" s="317"/>
      <c r="I113" s="418" t="str">
        <f t="shared" si="52"/>
        <v xml:space="preserve"> </v>
      </c>
      <c r="J113" s="268"/>
      <c r="K113" s="456"/>
      <c r="L113" s="418" t="str">
        <f t="shared" si="50"/>
        <v xml:space="preserve"> </v>
      </c>
      <c r="M113" s="268"/>
      <c r="N113" s="317"/>
      <c r="O113" s="418" t="str">
        <f t="shared" si="51"/>
        <v xml:space="preserve"> </v>
      </c>
      <c r="P113" s="418" t="str">
        <f t="shared" si="55"/>
        <v xml:space="preserve"> </v>
      </c>
      <c r="Q113" s="418"/>
    </row>
    <row r="114" spans="2:17" ht="12.75" customHeight="1" x14ac:dyDescent="0.2">
      <c r="B114" s="261"/>
      <c r="C114" s="262"/>
      <c r="D114" s="263"/>
      <c r="E114" s="264"/>
      <c r="G114" s="268"/>
      <c r="H114" s="317"/>
      <c r="I114" s="418" t="str">
        <f t="shared" si="52"/>
        <v xml:space="preserve"> </v>
      </c>
      <c r="J114" s="268"/>
      <c r="K114" s="456"/>
      <c r="L114" s="418" t="str">
        <f t="shared" si="50"/>
        <v xml:space="preserve"> </v>
      </c>
      <c r="M114" s="268"/>
      <c r="N114" s="317"/>
      <c r="O114" s="418" t="str">
        <f t="shared" si="51"/>
        <v xml:space="preserve"> </v>
      </c>
      <c r="P114" s="418" t="str">
        <f t="shared" si="55"/>
        <v xml:space="preserve"> </v>
      </c>
      <c r="Q114" s="418"/>
    </row>
    <row r="115" spans="2:17" ht="12.75" customHeight="1" x14ac:dyDescent="0.2">
      <c r="B115" s="261"/>
      <c r="C115" s="262"/>
      <c r="D115" s="263"/>
      <c r="E115" s="264"/>
      <c r="G115" s="268"/>
      <c r="H115" s="317"/>
      <c r="I115" s="418" t="str">
        <f t="shared" si="52"/>
        <v xml:space="preserve"> </v>
      </c>
      <c r="J115" s="268"/>
      <c r="K115" s="456"/>
      <c r="L115" s="418" t="str">
        <f t="shared" si="50"/>
        <v xml:space="preserve"> </v>
      </c>
      <c r="M115" s="268"/>
      <c r="N115" s="317"/>
      <c r="O115" s="418" t="str">
        <f t="shared" si="51"/>
        <v xml:space="preserve"> </v>
      </c>
      <c r="P115" s="418" t="str">
        <f t="shared" si="55"/>
        <v xml:space="preserve"> </v>
      </c>
      <c r="Q115" s="418"/>
    </row>
    <row r="116" spans="2:17" ht="12.75" customHeight="1" x14ac:dyDescent="0.2">
      <c r="B116" s="261"/>
      <c r="C116" s="262"/>
      <c r="D116" s="263"/>
      <c r="E116" s="264"/>
      <c r="G116" s="268"/>
      <c r="H116" s="317"/>
      <c r="I116" s="418" t="str">
        <f t="shared" si="52"/>
        <v xml:space="preserve"> </v>
      </c>
      <c r="J116" s="268"/>
      <c r="K116" s="456"/>
      <c r="L116" s="418" t="str">
        <f t="shared" si="50"/>
        <v xml:space="preserve"> </v>
      </c>
      <c r="M116" s="268"/>
      <c r="N116" s="317"/>
      <c r="O116" s="418" t="str">
        <f t="shared" si="51"/>
        <v xml:space="preserve"> </v>
      </c>
      <c r="P116" s="418" t="str">
        <f t="shared" si="55"/>
        <v xml:space="preserve"> </v>
      </c>
      <c r="Q116" s="418"/>
    </row>
    <row r="117" spans="2:17" ht="12.75" customHeight="1" x14ac:dyDescent="0.2">
      <c r="B117" s="261"/>
      <c r="C117" s="262"/>
      <c r="D117" s="263"/>
      <c r="E117" s="264"/>
      <c r="G117" s="268"/>
      <c r="H117" s="317"/>
      <c r="I117" s="418" t="str">
        <f t="shared" si="52"/>
        <v xml:space="preserve"> </v>
      </c>
      <c r="J117" s="268"/>
      <c r="K117" s="456"/>
      <c r="L117" s="418" t="str">
        <f t="shared" si="50"/>
        <v xml:space="preserve"> </v>
      </c>
      <c r="M117" s="268"/>
      <c r="N117" s="317"/>
      <c r="O117" s="418" t="str">
        <f t="shared" si="51"/>
        <v xml:space="preserve"> </v>
      </c>
      <c r="P117" s="418" t="str">
        <f t="shared" si="55"/>
        <v xml:space="preserve"> </v>
      </c>
      <c r="Q117" s="418"/>
    </row>
    <row r="118" spans="2:17" ht="12.75" customHeight="1" x14ac:dyDescent="0.2">
      <c r="B118" s="261"/>
      <c r="C118" s="262"/>
      <c r="D118" s="263"/>
      <c r="E118" s="264"/>
      <c r="G118" s="268"/>
      <c r="H118" s="317"/>
      <c r="I118" s="418" t="str">
        <f t="shared" si="52"/>
        <v xml:space="preserve"> </v>
      </c>
      <c r="J118" s="268"/>
      <c r="K118" s="456"/>
      <c r="L118" s="418" t="str">
        <f t="shared" si="50"/>
        <v xml:space="preserve"> </v>
      </c>
      <c r="M118" s="268"/>
      <c r="N118" s="317"/>
      <c r="O118" s="418" t="str">
        <f t="shared" si="51"/>
        <v xml:space="preserve"> </v>
      </c>
      <c r="P118" s="418" t="str">
        <f t="shared" si="55"/>
        <v xml:space="preserve"> </v>
      </c>
      <c r="Q118" s="418"/>
    </row>
    <row r="119" spans="2:17" ht="12.75" customHeight="1" x14ac:dyDescent="0.2">
      <c r="B119" s="261"/>
      <c r="C119" s="262"/>
      <c r="D119" s="263"/>
      <c r="E119" s="264"/>
      <c r="G119" s="268"/>
      <c r="H119" s="317"/>
      <c r="I119" s="418" t="str">
        <f t="shared" si="52"/>
        <v xml:space="preserve"> </v>
      </c>
      <c r="J119" s="268"/>
      <c r="K119" s="456"/>
      <c r="L119" s="418" t="str">
        <f t="shared" si="50"/>
        <v xml:space="preserve"> </v>
      </c>
      <c r="M119" s="268"/>
      <c r="N119" s="317"/>
      <c r="O119" s="418" t="str">
        <f t="shared" si="51"/>
        <v xml:space="preserve"> </v>
      </c>
      <c r="P119" s="418" t="str">
        <f t="shared" si="55"/>
        <v xml:space="preserve"> </v>
      </c>
      <c r="Q119" s="418"/>
    </row>
    <row r="120" spans="2:17" ht="12.75" customHeight="1" x14ac:dyDescent="0.2">
      <c r="B120" s="261"/>
      <c r="C120" s="262"/>
      <c r="D120" s="263"/>
      <c r="E120" s="264"/>
      <c r="G120" s="268"/>
      <c r="H120" s="317"/>
      <c r="I120" s="418" t="str">
        <f t="shared" si="52"/>
        <v xml:space="preserve"> </v>
      </c>
      <c r="J120" s="268"/>
      <c r="K120" s="456"/>
      <c r="L120" s="418" t="str">
        <f t="shared" si="50"/>
        <v xml:space="preserve"> </v>
      </c>
      <c r="M120" s="268"/>
      <c r="N120" s="317"/>
      <c r="O120" s="418" t="str">
        <f t="shared" si="51"/>
        <v xml:space="preserve"> </v>
      </c>
      <c r="P120" s="418" t="str">
        <f t="shared" si="55"/>
        <v xml:space="preserve"> </v>
      </c>
      <c r="Q120" s="418"/>
    </row>
    <row r="121" spans="2:17" ht="12.75" customHeight="1" x14ac:dyDescent="0.2">
      <c r="B121" s="261"/>
      <c r="C121" s="262"/>
      <c r="D121" s="263"/>
      <c r="E121" s="264"/>
      <c r="G121" s="268"/>
      <c r="H121" s="317"/>
      <c r="I121" s="418" t="str">
        <f t="shared" si="52"/>
        <v xml:space="preserve"> </v>
      </c>
      <c r="J121" s="268"/>
      <c r="K121" s="456"/>
      <c r="L121" s="418" t="str">
        <f t="shared" si="50"/>
        <v xml:space="preserve"> </v>
      </c>
      <c r="M121" s="268"/>
      <c r="N121" s="317"/>
      <c r="O121" s="418" t="str">
        <f t="shared" si="51"/>
        <v xml:space="preserve"> </v>
      </c>
      <c r="P121" s="418" t="str">
        <f t="shared" si="55"/>
        <v xml:space="preserve"> </v>
      </c>
      <c r="Q121" s="418"/>
    </row>
    <row r="122" spans="2:17" ht="12.75" customHeight="1" x14ac:dyDescent="0.2">
      <c r="B122" s="261"/>
      <c r="C122" s="262"/>
      <c r="D122" s="263"/>
      <c r="E122" s="264"/>
      <c r="G122" s="268"/>
      <c r="H122" s="317"/>
      <c r="I122" s="418" t="str">
        <f t="shared" si="52"/>
        <v xml:space="preserve"> </v>
      </c>
      <c r="J122" s="268"/>
      <c r="K122" s="456"/>
      <c r="L122" s="418" t="str">
        <f t="shared" si="50"/>
        <v xml:space="preserve"> </v>
      </c>
      <c r="M122" s="268"/>
      <c r="N122" s="317"/>
      <c r="O122" s="418" t="str">
        <f t="shared" si="51"/>
        <v xml:space="preserve"> </v>
      </c>
      <c r="P122" s="418" t="str">
        <f t="shared" si="55"/>
        <v xml:space="preserve"> </v>
      </c>
      <c r="Q122" s="418"/>
    </row>
    <row r="123" spans="2:17" ht="12.75" customHeight="1" x14ac:dyDescent="0.2">
      <c r="B123" s="261"/>
      <c r="C123" s="262"/>
      <c r="D123" s="263"/>
      <c r="E123" s="264"/>
      <c r="G123" s="268"/>
      <c r="H123" s="317"/>
      <c r="I123" s="418" t="str">
        <f t="shared" si="52"/>
        <v xml:space="preserve"> </v>
      </c>
      <c r="J123" s="268"/>
      <c r="K123" s="456"/>
      <c r="L123" s="418" t="str">
        <f t="shared" si="50"/>
        <v xml:space="preserve"> </v>
      </c>
      <c r="M123" s="268"/>
      <c r="N123" s="317"/>
      <c r="O123" s="418" t="str">
        <f t="shared" si="51"/>
        <v xml:space="preserve"> </v>
      </c>
      <c r="P123" s="418" t="str">
        <f t="shared" si="55"/>
        <v xml:space="preserve"> </v>
      </c>
      <c r="Q123" s="418"/>
    </row>
    <row r="124" spans="2:17" ht="12.75" customHeight="1" x14ac:dyDescent="0.2">
      <c r="B124" s="261"/>
      <c r="C124" s="262"/>
      <c r="D124" s="263"/>
      <c r="E124" s="264"/>
      <c r="G124" s="268"/>
      <c r="H124" s="317"/>
      <c r="I124" s="418" t="str">
        <f t="shared" si="52"/>
        <v xml:space="preserve"> </v>
      </c>
      <c r="J124" s="268"/>
      <c r="K124" s="456"/>
      <c r="L124" s="418" t="str">
        <f t="shared" si="50"/>
        <v xml:space="preserve"> </v>
      </c>
      <c r="M124" s="268"/>
      <c r="N124" s="317"/>
      <c r="O124" s="418" t="str">
        <f t="shared" si="51"/>
        <v xml:space="preserve"> </v>
      </c>
      <c r="P124" s="418" t="str">
        <f t="shared" si="55"/>
        <v xml:space="preserve"> </v>
      </c>
      <c r="Q124" s="418"/>
    </row>
    <row r="125" spans="2:17" ht="12.75" customHeight="1" x14ac:dyDescent="0.2">
      <c r="B125" s="261"/>
      <c r="C125" s="262"/>
      <c r="D125" s="263"/>
      <c r="E125" s="264"/>
      <c r="G125" s="268"/>
      <c r="H125" s="317"/>
      <c r="I125" s="418" t="str">
        <f t="shared" si="52"/>
        <v xml:space="preserve"> </v>
      </c>
      <c r="J125" s="268"/>
      <c r="K125" s="456"/>
      <c r="L125" s="418" t="str">
        <f t="shared" si="50"/>
        <v xml:space="preserve"> </v>
      </c>
      <c r="M125" s="268"/>
      <c r="N125" s="317"/>
      <c r="O125" s="418" t="str">
        <f t="shared" si="51"/>
        <v xml:space="preserve"> </v>
      </c>
      <c r="P125" s="418" t="str">
        <f t="shared" si="55"/>
        <v xml:space="preserve"> </v>
      </c>
      <c r="Q125" s="418"/>
    </row>
    <row r="126" spans="2:17" ht="12.75" customHeight="1" x14ac:dyDescent="0.2">
      <c r="B126" s="261"/>
      <c r="C126" s="262"/>
      <c r="D126" s="263"/>
      <c r="E126" s="264"/>
      <c r="G126" s="268"/>
      <c r="H126" s="317"/>
      <c r="I126" s="418" t="str">
        <f t="shared" si="52"/>
        <v xml:space="preserve"> </v>
      </c>
      <c r="J126" s="268"/>
      <c r="K126" s="456"/>
      <c r="L126" s="418" t="str">
        <f t="shared" si="50"/>
        <v xml:space="preserve"> </v>
      </c>
      <c r="M126" s="268"/>
      <c r="N126" s="317"/>
      <c r="O126" s="418" t="str">
        <f t="shared" si="51"/>
        <v xml:space="preserve"> </v>
      </c>
      <c r="P126" s="418" t="str">
        <f t="shared" si="55"/>
        <v xml:space="preserve"> </v>
      </c>
      <c r="Q126" s="418"/>
    </row>
    <row r="127" spans="2:17" ht="12.75" customHeight="1" x14ac:dyDescent="0.2">
      <c r="B127" s="261"/>
      <c r="C127" s="262"/>
      <c r="D127" s="263"/>
      <c r="E127" s="264"/>
      <c r="G127" s="268"/>
      <c r="H127" s="317"/>
      <c r="I127" s="418" t="str">
        <f t="shared" si="52"/>
        <v xml:space="preserve"> </v>
      </c>
      <c r="J127" s="268"/>
      <c r="K127" s="456"/>
      <c r="L127" s="418" t="str">
        <f t="shared" si="50"/>
        <v xml:space="preserve"> </v>
      </c>
      <c r="M127" s="268"/>
      <c r="N127" s="317"/>
      <c r="O127" s="418" t="str">
        <f t="shared" si="51"/>
        <v xml:space="preserve"> </v>
      </c>
      <c r="P127" s="418" t="str">
        <f t="shared" si="55"/>
        <v xml:space="preserve"> </v>
      </c>
      <c r="Q127" s="418"/>
    </row>
    <row r="128" spans="2:17" ht="12.75" customHeight="1" x14ac:dyDescent="0.2">
      <c r="B128" s="261"/>
      <c r="C128" s="262"/>
      <c r="D128" s="263"/>
      <c r="E128" s="264"/>
      <c r="G128" s="268"/>
      <c r="H128" s="317"/>
      <c r="I128" s="418" t="str">
        <f t="shared" si="52"/>
        <v xml:space="preserve"> </v>
      </c>
      <c r="J128" s="268"/>
      <c r="K128" s="456"/>
      <c r="L128" s="418" t="str">
        <f t="shared" si="50"/>
        <v xml:space="preserve"> </v>
      </c>
      <c r="M128" s="268"/>
      <c r="N128" s="317"/>
      <c r="O128" s="418" t="str">
        <f t="shared" si="51"/>
        <v xml:space="preserve"> </v>
      </c>
      <c r="P128" s="418" t="str">
        <f t="shared" si="55"/>
        <v xml:space="preserve"> </v>
      </c>
      <c r="Q128" s="418"/>
    </row>
    <row r="129" spans="2:17" ht="12.75" customHeight="1" x14ac:dyDescent="0.2">
      <c r="B129" s="261"/>
      <c r="C129" s="262"/>
      <c r="D129" s="263"/>
      <c r="E129" s="264"/>
      <c r="G129" s="268"/>
      <c r="H129" s="317"/>
      <c r="I129" s="418" t="str">
        <f t="shared" si="52"/>
        <v xml:space="preserve"> </v>
      </c>
      <c r="J129" s="268"/>
      <c r="K129" s="456"/>
      <c r="L129" s="418" t="str">
        <f t="shared" si="50"/>
        <v xml:space="preserve"> </v>
      </c>
      <c r="M129" s="268"/>
      <c r="N129" s="317"/>
      <c r="O129" s="418" t="str">
        <f t="shared" si="51"/>
        <v xml:space="preserve"> </v>
      </c>
      <c r="P129" s="418" t="str">
        <f t="shared" si="55"/>
        <v xml:space="preserve"> </v>
      </c>
      <c r="Q129" s="418"/>
    </row>
    <row r="130" spans="2:17" ht="12.75" customHeight="1" x14ac:dyDescent="0.2">
      <c r="B130" s="261"/>
      <c r="C130" s="262"/>
      <c r="D130" s="263"/>
      <c r="E130" s="264"/>
      <c r="G130" s="268"/>
      <c r="H130" s="317"/>
      <c r="I130" s="418" t="str">
        <f t="shared" si="52"/>
        <v xml:space="preserve"> </v>
      </c>
      <c r="J130" s="268"/>
      <c r="K130" s="456"/>
      <c r="L130" s="418" t="str">
        <f t="shared" si="50"/>
        <v xml:space="preserve"> </v>
      </c>
      <c r="M130" s="268"/>
      <c r="N130" s="317"/>
      <c r="O130" s="418" t="str">
        <f t="shared" si="51"/>
        <v xml:space="preserve"> </v>
      </c>
      <c r="P130" s="418" t="str">
        <f t="shared" si="55"/>
        <v xml:space="preserve"> </v>
      </c>
      <c r="Q130" s="418"/>
    </row>
    <row r="131" spans="2:17" ht="12.75" customHeight="1" x14ac:dyDescent="0.2">
      <c r="B131" s="261"/>
      <c r="C131" s="262"/>
      <c r="D131" s="263"/>
      <c r="E131" s="264"/>
      <c r="G131" s="268"/>
      <c r="H131" s="317"/>
      <c r="I131" s="418" t="str">
        <f t="shared" si="52"/>
        <v xml:space="preserve"> </v>
      </c>
      <c r="J131" s="268"/>
      <c r="K131" s="456"/>
      <c r="L131" s="418" t="str">
        <f t="shared" si="50"/>
        <v xml:space="preserve"> </v>
      </c>
      <c r="M131" s="268"/>
      <c r="N131" s="317"/>
      <c r="O131" s="418" t="str">
        <f t="shared" si="51"/>
        <v xml:space="preserve"> </v>
      </c>
      <c r="P131" s="418" t="str">
        <f t="shared" si="55"/>
        <v xml:space="preserve"> </v>
      </c>
      <c r="Q131" s="418"/>
    </row>
    <row r="132" spans="2:17" ht="12.75" customHeight="1" x14ac:dyDescent="0.2">
      <c r="B132" s="261"/>
      <c r="C132" s="262"/>
      <c r="D132" s="263"/>
      <c r="E132" s="264"/>
      <c r="G132" s="268"/>
      <c r="H132" s="317"/>
      <c r="I132" s="318" t="str">
        <f>IF(G134=0," ",G134*H132)</f>
        <v xml:space="preserve"> </v>
      </c>
      <c r="J132" s="268"/>
      <c r="K132" s="456"/>
      <c r="L132" s="318" t="str">
        <f t="shared" ref="L132" si="56">IF(J134=0," ",J134*K132)</f>
        <v xml:space="preserve"> </v>
      </c>
      <c r="M132" s="268"/>
      <c r="N132" s="317"/>
      <c r="O132" s="318" t="str">
        <f t="shared" ref="O132" si="57">IF(M134=0," ",M134*N132)</f>
        <v xml:space="preserve"> </v>
      </c>
      <c r="P132" s="318" t="str">
        <f t="shared" ref="P132" si="58">IF(N134=0," ",N134*O132)</f>
        <v xml:space="preserve"> </v>
      </c>
      <c r="Q132" s="318"/>
    </row>
    <row r="133" spans="2:17" ht="12.75" customHeight="1" x14ac:dyDescent="0.2">
      <c r="B133" s="261"/>
      <c r="C133" s="262"/>
      <c r="D133" s="263"/>
      <c r="E133" s="264"/>
      <c r="G133" s="268"/>
      <c r="H133" s="317"/>
      <c r="I133" s="318" t="str">
        <f>IF(G203=0," ",G203*H133)</f>
        <v xml:space="preserve"> </v>
      </c>
      <c r="J133" s="268"/>
      <c r="K133" s="456"/>
      <c r="L133" s="318" t="str">
        <f t="shared" ref="L133" si="59">IF(J203=0," ",J203*K133)</f>
        <v xml:space="preserve"> </v>
      </c>
      <c r="M133" s="268"/>
      <c r="N133" s="317"/>
      <c r="O133" s="318" t="str">
        <f t="shared" ref="O133" si="60">IF(M203=0," ",M203*N133)</f>
        <v xml:space="preserve"> </v>
      </c>
      <c r="P133" s="318" t="str">
        <f t="shared" ref="P133" si="61">IF(N203=0," ",N203*O133)</f>
        <v xml:space="preserve"> </v>
      </c>
      <c r="Q133" s="318" t="str">
        <f t="shared" ref="Q133" si="62">IF(O203=0," ",O203*P133)</f>
        <v xml:space="preserve"> </v>
      </c>
    </row>
    <row r="134" spans="2:17" ht="12.75" customHeight="1" x14ac:dyDescent="0.2">
      <c r="B134" s="287">
        <v>1300</v>
      </c>
      <c r="C134" s="288" t="s">
        <v>268</v>
      </c>
      <c r="D134" s="289"/>
      <c r="E134" s="290"/>
      <c r="F134" s="291"/>
      <c r="G134" s="291"/>
      <c r="H134" s="422"/>
      <c r="I134" s="423">
        <f>SUM(I77:I133)</f>
        <v>990000</v>
      </c>
      <c r="J134" s="412"/>
      <c r="K134" s="457"/>
      <c r="L134" s="423">
        <f t="shared" ref="L134" si="63">SUM(L77:L133)</f>
        <v>3775373.0900000003</v>
      </c>
      <c r="M134" s="291"/>
      <c r="N134" s="422"/>
      <c r="O134" s="423">
        <f>SUM(O77:O133)</f>
        <v>3775379.21</v>
      </c>
      <c r="P134" s="423"/>
      <c r="Q134" s="423">
        <f t="shared" ref="Q134" si="64">SUM(Q77:Q133)</f>
        <v>-6.1199999999953434</v>
      </c>
    </row>
    <row r="135" spans="2:17" ht="12.75" customHeight="1" x14ac:dyDescent="0.2">
      <c r="B135" s="239" t="s">
        <v>79</v>
      </c>
      <c r="C135" s="239"/>
      <c r="D135" s="263"/>
      <c r="E135" s="297"/>
      <c r="H135" s="426"/>
      <c r="I135" s="427"/>
      <c r="K135" s="456"/>
      <c r="L135" s="427"/>
      <c r="N135" s="426"/>
      <c r="O135" s="427"/>
      <c r="P135" s="427"/>
      <c r="Q135" s="427"/>
    </row>
    <row r="136" spans="2:17" ht="12.75" customHeight="1" x14ac:dyDescent="0.2">
      <c r="B136" s="239" t="s">
        <v>267</v>
      </c>
      <c r="C136" s="240"/>
      <c r="E136" s="238"/>
      <c r="H136" s="426"/>
      <c r="I136" s="427"/>
      <c r="K136" s="456"/>
      <c r="L136" s="427"/>
      <c r="N136" s="426"/>
      <c r="O136" s="427"/>
      <c r="P136" s="427"/>
      <c r="Q136" s="427"/>
    </row>
    <row r="137" spans="2:17" ht="12.75" customHeight="1" x14ac:dyDescent="0.2">
      <c r="B137" s="243"/>
      <c r="C137" s="243"/>
      <c r="D137" s="244"/>
      <c r="E137" s="245"/>
      <c r="F137" s="246"/>
      <c r="H137" s="428"/>
      <c r="I137" s="429"/>
      <c r="K137" s="456"/>
      <c r="L137" s="429"/>
      <c r="N137" s="428"/>
      <c r="O137" s="429"/>
      <c r="P137" s="429"/>
      <c r="Q137" s="429"/>
    </row>
    <row r="138" spans="2:17" ht="12.75" customHeight="1" x14ac:dyDescent="0.2">
      <c r="B138" s="247" t="s">
        <v>263</v>
      </c>
      <c r="C138" s="248" t="s">
        <v>264</v>
      </c>
      <c r="D138" s="249"/>
      <c r="E138" s="250"/>
      <c r="F138" s="250" t="s">
        <v>265</v>
      </c>
      <c r="G138" s="356" t="s">
        <v>68</v>
      </c>
      <c r="H138" s="251" t="s">
        <v>849</v>
      </c>
      <c r="I138" s="252" t="s">
        <v>849</v>
      </c>
      <c r="J138" s="356" t="s">
        <v>68</v>
      </c>
      <c r="K138" s="457" t="s">
        <v>849</v>
      </c>
      <c r="L138" s="252" t="s">
        <v>849</v>
      </c>
      <c r="M138" s="356" t="s">
        <v>68</v>
      </c>
      <c r="N138" s="251" t="s">
        <v>849</v>
      </c>
      <c r="O138" s="252" t="s">
        <v>849</v>
      </c>
      <c r="P138" s="252" t="s">
        <v>849</v>
      </c>
      <c r="Q138" s="252" t="s">
        <v>849</v>
      </c>
    </row>
    <row r="139" spans="2:17" ht="12.75" customHeight="1" x14ac:dyDescent="0.2">
      <c r="B139" s="253" t="s">
        <v>266</v>
      </c>
      <c r="C139" s="254"/>
      <c r="D139" s="255"/>
      <c r="E139" s="256"/>
      <c r="F139" s="256"/>
      <c r="G139" s="357" t="s">
        <v>69</v>
      </c>
      <c r="H139" s="257" t="s">
        <v>262</v>
      </c>
      <c r="I139" s="258" t="s">
        <v>70</v>
      </c>
      <c r="J139" s="357" t="s">
        <v>69</v>
      </c>
      <c r="K139" s="457" t="s">
        <v>262</v>
      </c>
      <c r="L139" s="258" t="s">
        <v>70</v>
      </c>
      <c r="M139" s="357" t="s">
        <v>69</v>
      </c>
      <c r="N139" s="257" t="s">
        <v>262</v>
      </c>
      <c r="O139" s="258" t="s">
        <v>70</v>
      </c>
      <c r="P139" s="258" t="s">
        <v>70</v>
      </c>
      <c r="Q139" s="258" t="s">
        <v>70</v>
      </c>
    </row>
    <row r="140" spans="2:17" ht="12.75" customHeight="1" x14ac:dyDescent="0.2">
      <c r="B140" s="273"/>
      <c r="F140" s="265"/>
      <c r="G140" s="268"/>
      <c r="H140" s="317"/>
      <c r="I140" s="318" t="str">
        <f>IF(G142=0," ",G142*H140)</f>
        <v xml:space="preserve"> </v>
      </c>
      <c r="J140" s="268"/>
      <c r="K140" s="456"/>
      <c r="L140" s="318" t="str">
        <f t="shared" ref="L140:L142" si="65">IF(J142=0," ",J142*K140)</f>
        <v xml:space="preserve"> </v>
      </c>
      <c r="M140" s="268"/>
      <c r="N140" s="317"/>
      <c r="O140" s="318" t="str">
        <f t="shared" ref="O140:O142" si="66">IF(M142=0," ",M142*N140)</f>
        <v xml:space="preserve"> </v>
      </c>
      <c r="P140" s="318" t="str">
        <f t="shared" ref="P140:P142" si="67">IF(N142=0," ",N142*O140)</f>
        <v xml:space="preserve"> </v>
      </c>
      <c r="Q140" s="318"/>
    </row>
    <row r="141" spans="2:17" ht="12.75" customHeight="1" x14ac:dyDescent="0.2">
      <c r="B141" s="261">
        <v>1400</v>
      </c>
      <c r="C141" s="262" t="s">
        <v>273</v>
      </c>
      <c r="D141" s="263"/>
      <c r="E141" s="264"/>
      <c r="F141" s="265"/>
      <c r="G141" s="268"/>
      <c r="H141" s="317"/>
      <c r="I141" s="418" t="str">
        <f>IF(G143=0," ",G143*H141)</f>
        <v xml:space="preserve"> </v>
      </c>
      <c r="J141" s="268"/>
      <c r="K141" s="456"/>
      <c r="L141" s="418" t="str">
        <f t="shared" si="65"/>
        <v xml:space="preserve"> </v>
      </c>
      <c r="M141" s="268"/>
      <c r="N141" s="317"/>
      <c r="O141" s="418" t="str">
        <f t="shared" si="66"/>
        <v xml:space="preserve"> </v>
      </c>
      <c r="P141" s="418" t="str">
        <f t="shared" si="67"/>
        <v xml:space="preserve"> </v>
      </c>
      <c r="Q141" s="418"/>
    </row>
    <row r="142" spans="2:17" ht="12.75" customHeight="1" x14ac:dyDescent="0.2">
      <c r="B142" s="267"/>
      <c r="C142" s="262" t="s">
        <v>274</v>
      </c>
      <c r="D142" s="263"/>
      <c r="E142" s="264"/>
      <c r="F142" s="265"/>
      <c r="G142" s="268"/>
      <c r="H142" s="317"/>
      <c r="I142" s="318" t="str">
        <f>IF(G144=0," ",G144*H142)</f>
        <v xml:space="preserve"> </v>
      </c>
      <c r="J142" s="268"/>
      <c r="K142" s="456"/>
      <c r="L142" s="318" t="str">
        <f t="shared" si="65"/>
        <v xml:space="preserve"> </v>
      </c>
      <c r="M142" s="268"/>
      <c r="N142" s="317"/>
      <c r="O142" s="318" t="str">
        <f t="shared" si="66"/>
        <v xml:space="preserve"> </v>
      </c>
      <c r="P142" s="318" t="str">
        <f t="shared" si="67"/>
        <v xml:space="preserve"> </v>
      </c>
      <c r="Q142" s="318"/>
    </row>
    <row r="143" spans="2:17" ht="12.75" customHeight="1" x14ac:dyDescent="0.2">
      <c r="B143" s="267"/>
      <c r="D143" s="285"/>
      <c r="E143" s="286"/>
      <c r="F143" s="265"/>
      <c r="G143" s="275"/>
      <c r="H143" s="317"/>
      <c r="I143" s="318"/>
      <c r="J143" s="275"/>
      <c r="K143" s="456"/>
      <c r="L143" s="318"/>
      <c r="M143" s="275"/>
      <c r="N143" s="317"/>
      <c r="O143" s="318"/>
      <c r="P143" s="318"/>
      <c r="Q143" s="318"/>
    </row>
    <row r="144" spans="2:17" ht="12.75" customHeight="1" x14ac:dyDescent="0.2">
      <c r="B144" s="298" t="s">
        <v>536</v>
      </c>
      <c r="C144" s="299" t="s">
        <v>537</v>
      </c>
      <c r="D144" s="299"/>
      <c r="E144" s="299"/>
      <c r="F144" s="300"/>
      <c r="G144" s="300"/>
      <c r="H144" s="430"/>
      <c r="I144" s="431" t="s">
        <v>538</v>
      </c>
      <c r="J144" s="300"/>
      <c r="K144" s="456"/>
      <c r="L144" s="431" t="s">
        <v>538</v>
      </c>
      <c r="M144" s="300"/>
      <c r="N144" s="430"/>
      <c r="O144" s="431" t="s">
        <v>538</v>
      </c>
      <c r="P144" s="431" t="s">
        <v>538</v>
      </c>
      <c r="Q144" s="431" t="s">
        <v>538</v>
      </c>
    </row>
    <row r="145" spans="1:18" ht="12.75" customHeight="1" x14ac:dyDescent="0.2">
      <c r="B145" s="298"/>
      <c r="C145" s="299"/>
      <c r="D145" s="299"/>
      <c r="E145" s="299"/>
      <c r="F145" s="300"/>
      <c r="G145" s="300"/>
      <c r="H145" s="430"/>
      <c r="I145" s="431" t="s">
        <v>538</v>
      </c>
      <c r="J145" s="300"/>
      <c r="K145" s="456"/>
      <c r="L145" s="431" t="s">
        <v>538</v>
      </c>
      <c r="M145" s="300"/>
      <c r="N145" s="430"/>
      <c r="O145" s="431" t="s">
        <v>538</v>
      </c>
      <c r="P145" s="431" t="s">
        <v>538</v>
      </c>
      <c r="Q145" s="431" t="s">
        <v>538</v>
      </c>
    </row>
    <row r="146" spans="1:18" ht="12.75" customHeight="1" x14ac:dyDescent="0.2">
      <c r="B146" s="298"/>
      <c r="C146" s="299" t="s">
        <v>278</v>
      </c>
      <c r="D146" s="299" t="s">
        <v>539</v>
      </c>
      <c r="E146" s="299"/>
      <c r="F146" s="300"/>
      <c r="G146" s="359"/>
      <c r="H146" s="430"/>
      <c r="I146" s="431" t="s">
        <v>538</v>
      </c>
      <c r="J146" s="359"/>
      <c r="K146" s="456"/>
      <c r="L146" s="431" t="s">
        <v>538</v>
      </c>
      <c r="M146" s="359"/>
      <c r="N146" s="430"/>
      <c r="O146" s="431" t="s">
        <v>538</v>
      </c>
      <c r="P146" s="431" t="s">
        <v>538</v>
      </c>
      <c r="Q146" s="431" t="s">
        <v>538</v>
      </c>
    </row>
    <row r="147" spans="1:18" ht="12.75" customHeight="1" x14ac:dyDescent="0.2">
      <c r="B147" s="298"/>
      <c r="C147" s="299"/>
      <c r="D147" s="299" t="s">
        <v>540</v>
      </c>
      <c r="E147" s="299"/>
      <c r="F147" s="300"/>
      <c r="G147" s="300"/>
      <c r="H147" s="430"/>
      <c r="I147" s="431" t="s">
        <v>538</v>
      </c>
      <c r="J147" s="300"/>
      <c r="K147" s="456"/>
      <c r="L147" s="431" t="s">
        <v>538</v>
      </c>
      <c r="M147" s="300"/>
      <c r="N147" s="430"/>
      <c r="O147" s="431" t="s">
        <v>538</v>
      </c>
      <c r="P147" s="431" t="s">
        <v>538</v>
      </c>
      <c r="Q147" s="431" t="s">
        <v>538</v>
      </c>
    </row>
    <row r="148" spans="1:18" ht="12.75" customHeight="1" x14ac:dyDescent="0.2">
      <c r="B148" s="302"/>
      <c r="C148" s="303"/>
      <c r="D148" s="366" t="s">
        <v>837</v>
      </c>
      <c r="E148" s="304"/>
      <c r="F148" s="300"/>
      <c r="G148" s="359"/>
      <c r="H148" s="430"/>
      <c r="I148" s="431" t="s">
        <v>538</v>
      </c>
      <c r="J148" s="359"/>
      <c r="K148" s="456"/>
      <c r="L148" s="431" t="s">
        <v>538</v>
      </c>
      <c r="M148" s="359"/>
      <c r="N148" s="430"/>
      <c r="O148" s="431" t="s">
        <v>538</v>
      </c>
      <c r="P148" s="431" t="s">
        <v>538</v>
      </c>
      <c r="Q148" s="431" t="s">
        <v>538</v>
      </c>
    </row>
    <row r="149" spans="1:18" ht="12.75" customHeight="1" x14ac:dyDescent="0.2">
      <c r="A149" s="519"/>
      <c r="B149" s="535"/>
      <c r="C149" s="536"/>
      <c r="D149" s="521" t="s">
        <v>541</v>
      </c>
      <c r="E149" s="521"/>
      <c r="F149" s="525" t="s">
        <v>844</v>
      </c>
      <c r="G149" s="520">
        <v>1</v>
      </c>
      <c r="H149" s="460">
        <v>150000</v>
      </c>
      <c r="I149" s="460">
        <f t="shared" ref="I149:I200" si="68">IF(G149=0," ",G149*H149)</f>
        <v>150000</v>
      </c>
      <c r="J149" s="520">
        <v>1</v>
      </c>
      <c r="K149" s="504">
        <v>25000</v>
      </c>
      <c r="L149" s="460">
        <f>IF(J149=0," ",J149*K149)+10084.84</f>
        <v>35084.839999999997</v>
      </c>
      <c r="M149" s="520">
        <v>1</v>
      </c>
      <c r="N149" s="460">
        <v>25000</v>
      </c>
      <c r="O149" s="460">
        <f t="shared" ref="O149:O171" si="69">IF(M149=0," ",M149*N149)</f>
        <v>25000</v>
      </c>
      <c r="P149" s="460">
        <f>K149-N149</f>
        <v>0</v>
      </c>
      <c r="Q149" s="460">
        <f>L149-O149</f>
        <v>10084.839999999997</v>
      </c>
      <c r="R149" s="34" t="s">
        <v>891</v>
      </c>
    </row>
    <row r="150" spans="1:18" ht="12.75" customHeight="1" x14ac:dyDescent="0.2">
      <c r="B150" s="298"/>
      <c r="C150" s="299"/>
      <c r="D150" s="299"/>
      <c r="E150" s="299"/>
      <c r="F150" s="300"/>
      <c r="G150" s="359"/>
      <c r="H150" s="418" t="str">
        <f t="shared" ref="H150:H186" si="70">IF(F150=0," ",F150*G150)</f>
        <v xml:space="preserve"> </v>
      </c>
      <c r="I150" s="418" t="str">
        <f t="shared" si="68"/>
        <v xml:space="preserve"> </v>
      </c>
      <c r="J150" s="359"/>
      <c r="K150" s="456" t="s">
        <v>849</v>
      </c>
      <c r="L150" s="418" t="str">
        <f t="shared" ref="L150:L171" si="71">IF(J150=0," ",J150*K150)</f>
        <v xml:space="preserve"> </v>
      </c>
      <c r="M150" s="359"/>
      <c r="N150" s="418"/>
      <c r="O150" s="418" t="str">
        <f t="shared" si="69"/>
        <v xml:space="preserve"> </v>
      </c>
      <c r="P150" s="418" t="str">
        <f t="shared" ref="P150:P152" si="72">IF(N150=0," ",N150*O150)</f>
        <v xml:space="preserve"> </v>
      </c>
      <c r="Q150" s="418"/>
    </row>
    <row r="151" spans="1:18" ht="12.75" customHeight="1" x14ac:dyDescent="0.2">
      <c r="B151" s="298"/>
      <c r="C151" s="299" t="s">
        <v>279</v>
      </c>
      <c r="D151" s="542" t="s">
        <v>830</v>
      </c>
      <c r="E151" s="542"/>
      <c r="F151" s="300"/>
      <c r="G151" s="298"/>
      <c r="H151" s="418" t="str">
        <f t="shared" si="70"/>
        <v xml:space="preserve"> </v>
      </c>
      <c r="I151" s="418" t="str">
        <f t="shared" si="68"/>
        <v xml:space="preserve"> </v>
      </c>
      <c r="J151" s="298"/>
      <c r="K151" s="456" t="s">
        <v>849</v>
      </c>
      <c r="L151" s="418" t="str">
        <f t="shared" si="71"/>
        <v xml:space="preserve"> </v>
      </c>
      <c r="M151" s="298"/>
      <c r="N151" s="418"/>
      <c r="O151" s="418" t="str">
        <f t="shared" si="69"/>
        <v xml:space="preserve"> </v>
      </c>
      <c r="P151" s="418" t="str">
        <f t="shared" si="72"/>
        <v xml:space="preserve"> </v>
      </c>
      <c r="Q151" s="418"/>
    </row>
    <row r="152" spans="1:18" ht="12.75" customHeight="1" x14ac:dyDescent="0.2">
      <c r="B152" s="298"/>
      <c r="C152" s="299"/>
      <c r="D152" s="366" t="s">
        <v>542</v>
      </c>
      <c r="E152" s="366"/>
      <c r="F152" s="300"/>
      <c r="G152" s="360"/>
      <c r="H152" s="418" t="str">
        <f t="shared" si="70"/>
        <v xml:space="preserve"> </v>
      </c>
      <c r="I152" s="418" t="str">
        <f t="shared" si="68"/>
        <v xml:space="preserve"> </v>
      </c>
      <c r="J152" s="360"/>
      <c r="K152" s="456" t="s">
        <v>849</v>
      </c>
      <c r="L152" s="418" t="str">
        <f t="shared" si="71"/>
        <v xml:space="preserve"> </v>
      </c>
      <c r="M152" s="360"/>
      <c r="N152" s="418"/>
      <c r="O152" s="418" t="str">
        <f t="shared" si="69"/>
        <v xml:space="preserve"> </v>
      </c>
      <c r="P152" s="418" t="str">
        <f t="shared" si="72"/>
        <v xml:space="preserve"> </v>
      </c>
      <c r="Q152" s="418"/>
    </row>
    <row r="153" spans="1:18" ht="12.75" customHeight="1" x14ac:dyDescent="0.2">
      <c r="B153" s="298"/>
      <c r="C153" s="299"/>
      <c r="D153" s="366" t="s">
        <v>543</v>
      </c>
      <c r="E153" s="366"/>
      <c r="F153" s="300" t="s">
        <v>844</v>
      </c>
      <c r="G153" s="298">
        <v>1</v>
      </c>
      <c r="H153" s="418">
        <v>150000</v>
      </c>
      <c r="I153" s="418">
        <f t="shared" si="68"/>
        <v>150000</v>
      </c>
      <c r="J153" s="298">
        <v>1</v>
      </c>
      <c r="K153" s="456">
        <v>50000</v>
      </c>
      <c r="L153" s="418">
        <f t="shared" si="71"/>
        <v>50000</v>
      </c>
      <c r="M153" s="298">
        <v>1</v>
      </c>
      <c r="N153" s="418">
        <v>50000</v>
      </c>
      <c r="O153" s="418">
        <f t="shared" si="69"/>
        <v>50000</v>
      </c>
      <c r="P153" s="418">
        <f>K153-N153</f>
        <v>0</v>
      </c>
      <c r="Q153" s="418">
        <f t="shared" ref="Q153:Q196" si="73">L153-O153</f>
        <v>0</v>
      </c>
    </row>
    <row r="154" spans="1:18" ht="12.75" customHeight="1" x14ac:dyDescent="0.2">
      <c r="B154" s="298"/>
      <c r="C154" s="299"/>
      <c r="D154" s="366"/>
      <c r="E154" s="366"/>
      <c r="F154" s="300"/>
      <c r="G154" s="359"/>
      <c r="H154" s="418" t="str">
        <f t="shared" si="70"/>
        <v xml:space="preserve"> </v>
      </c>
      <c r="I154" s="418" t="str">
        <f t="shared" si="68"/>
        <v xml:space="preserve"> </v>
      </c>
      <c r="J154" s="359"/>
      <c r="K154" s="456" t="s">
        <v>849</v>
      </c>
      <c r="L154" s="418" t="str">
        <f t="shared" si="71"/>
        <v xml:space="preserve"> </v>
      </c>
      <c r="M154" s="359"/>
      <c r="N154" s="418"/>
      <c r="O154" s="418" t="str">
        <f t="shared" si="69"/>
        <v xml:space="preserve"> </v>
      </c>
      <c r="P154" s="418"/>
      <c r="Q154" s="418"/>
    </row>
    <row r="155" spans="1:18" ht="12.75" customHeight="1" x14ac:dyDescent="0.2">
      <c r="B155" s="298" t="s">
        <v>24</v>
      </c>
      <c r="C155" s="299" t="s">
        <v>276</v>
      </c>
      <c r="D155" s="366" t="s">
        <v>544</v>
      </c>
      <c r="E155" s="366"/>
      <c r="F155" s="300" t="s">
        <v>275</v>
      </c>
      <c r="G155" s="359">
        <v>50</v>
      </c>
      <c r="H155" s="418">
        <v>200</v>
      </c>
      <c r="I155" s="418">
        <f t="shared" si="68"/>
        <v>10000</v>
      </c>
      <c r="J155" s="359">
        <v>50</v>
      </c>
      <c r="K155" s="456">
        <v>300</v>
      </c>
      <c r="L155" s="418">
        <f t="shared" si="71"/>
        <v>15000</v>
      </c>
      <c r="M155" s="359">
        <v>50</v>
      </c>
      <c r="N155" s="418">
        <v>300</v>
      </c>
      <c r="O155" s="418">
        <f t="shared" si="69"/>
        <v>15000</v>
      </c>
      <c r="P155" s="418">
        <f>K155-N155</f>
        <v>0</v>
      </c>
      <c r="Q155" s="418">
        <f t="shared" si="73"/>
        <v>0</v>
      </c>
    </row>
    <row r="156" spans="1:18" ht="12.75" customHeight="1" x14ac:dyDescent="0.2">
      <c r="B156" s="298"/>
      <c r="C156" s="299"/>
      <c r="D156" s="366"/>
      <c r="E156" s="366"/>
      <c r="F156" s="300"/>
      <c r="G156" s="359"/>
      <c r="H156" s="418" t="str">
        <f t="shared" si="70"/>
        <v xml:space="preserve"> </v>
      </c>
      <c r="I156" s="418" t="str">
        <f t="shared" si="68"/>
        <v xml:space="preserve"> </v>
      </c>
      <c r="J156" s="359"/>
      <c r="K156" s="456"/>
      <c r="L156" s="418" t="str">
        <f t="shared" si="71"/>
        <v xml:space="preserve"> </v>
      </c>
      <c r="M156" s="359"/>
      <c r="N156" s="418"/>
      <c r="O156" s="418" t="str">
        <f t="shared" si="69"/>
        <v xml:space="preserve"> </v>
      </c>
      <c r="P156" s="418"/>
      <c r="Q156" s="418"/>
    </row>
    <row r="157" spans="1:18" ht="12.75" customHeight="1" x14ac:dyDescent="0.2">
      <c r="B157" s="298"/>
      <c r="C157" s="299" t="s">
        <v>281</v>
      </c>
      <c r="D157" s="366" t="s">
        <v>545</v>
      </c>
      <c r="E157" s="366"/>
      <c r="F157" s="300" t="s">
        <v>275</v>
      </c>
      <c r="G157" s="359">
        <v>30</v>
      </c>
      <c r="H157" s="418">
        <v>200</v>
      </c>
      <c r="I157" s="418">
        <f t="shared" si="68"/>
        <v>6000</v>
      </c>
      <c r="J157" s="359">
        <v>30</v>
      </c>
      <c r="K157" s="456">
        <v>400</v>
      </c>
      <c r="L157" s="418">
        <f t="shared" si="71"/>
        <v>12000</v>
      </c>
      <c r="M157" s="359">
        <v>30</v>
      </c>
      <c r="N157" s="418">
        <v>400</v>
      </c>
      <c r="O157" s="418">
        <f t="shared" si="69"/>
        <v>12000</v>
      </c>
      <c r="P157" s="418">
        <f t="shared" ref="P157:P196" si="74">K157-N157</f>
        <v>0</v>
      </c>
      <c r="Q157" s="418">
        <f t="shared" si="73"/>
        <v>0</v>
      </c>
    </row>
    <row r="158" spans="1:18" ht="12.75" customHeight="1" x14ac:dyDescent="0.2">
      <c r="B158" s="298"/>
      <c r="C158" s="307"/>
      <c r="D158" s="307"/>
      <c r="E158" s="299"/>
      <c r="F158" s="300"/>
      <c r="G158" s="298"/>
      <c r="H158" s="418" t="str">
        <f t="shared" si="70"/>
        <v xml:space="preserve"> </v>
      </c>
      <c r="I158" s="418" t="str">
        <f t="shared" si="68"/>
        <v xml:space="preserve"> </v>
      </c>
      <c r="J158" s="298"/>
      <c r="K158" s="456" t="s">
        <v>849</v>
      </c>
      <c r="L158" s="418" t="str">
        <f t="shared" si="71"/>
        <v xml:space="preserve"> </v>
      </c>
      <c r="M158" s="298"/>
      <c r="N158" s="418"/>
      <c r="O158" s="418" t="str">
        <f t="shared" si="69"/>
        <v xml:space="preserve"> </v>
      </c>
      <c r="P158" s="418"/>
      <c r="Q158" s="418"/>
    </row>
    <row r="159" spans="1:18" ht="12.75" customHeight="1" x14ac:dyDescent="0.2">
      <c r="B159" s="298"/>
      <c r="C159" s="299" t="s">
        <v>282</v>
      </c>
      <c r="D159" s="366" t="s">
        <v>546</v>
      </c>
      <c r="E159" s="366"/>
      <c r="F159" s="300" t="s">
        <v>844</v>
      </c>
      <c r="G159" s="298">
        <v>1</v>
      </c>
      <c r="H159" s="418">
        <v>35000</v>
      </c>
      <c r="I159" s="418">
        <f t="shared" si="68"/>
        <v>35000</v>
      </c>
      <c r="J159" s="298">
        <v>1</v>
      </c>
      <c r="K159" s="456">
        <v>15000</v>
      </c>
      <c r="L159" s="418">
        <f t="shared" si="71"/>
        <v>15000</v>
      </c>
      <c r="M159" s="298">
        <v>1</v>
      </c>
      <c r="N159" s="418">
        <v>15000</v>
      </c>
      <c r="O159" s="418">
        <f t="shared" si="69"/>
        <v>15000</v>
      </c>
      <c r="P159" s="418">
        <f t="shared" si="74"/>
        <v>0</v>
      </c>
      <c r="Q159" s="418">
        <f t="shared" si="73"/>
        <v>0</v>
      </c>
    </row>
    <row r="160" spans="1:18" ht="12.75" customHeight="1" x14ac:dyDescent="0.2">
      <c r="B160" s="298"/>
      <c r="C160" s="299"/>
      <c r="D160" s="366"/>
      <c r="E160" s="366"/>
      <c r="F160" s="300"/>
      <c r="G160" s="359"/>
      <c r="H160" s="430"/>
      <c r="I160" s="418" t="str">
        <f t="shared" si="68"/>
        <v xml:space="preserve"> </v>
      </c>
      <c r="J160" s="359"/>
      <c r="K160" s="456"/>
      <c r="L160" s="418" t="str">
        <f t="shared" si="71"/>
        <v xml:space="preserve"> </v>
      </c>
      <c r="M160" s="359"/>
      <c r="N160" s="430"/>
      <c r="O160" s="418" t="str">
        <f t="shared" si="69"/>
        <v xml:space="preserve"> </v>
      </c>
      <c r="P160" s="418"/>
      <c r="Q160" s="418"/>
    </row>
    <row r="161" spans="2:17" ht="12.75" customHeight="1" x14ac:dyDescent="0.2">
      <c r="B161" s="298" t="s">
        <v>80</v>
      </c>
      <c r="C161" s="299" t="s">
        <v>547</v>
      </c>
      <c r="D161" s="366"/>
      <c r="E161" s="366"/>
      <c r="F161" s="300"/>
      <c r="G161" s="359"/>
      <c r="H161" s="430"/>
      <c r="I161" s="418" t="str">
        <f t="shared" si="68"/>
        <v xml:space="preserve"> </v>
      </c>
      <c r="J161" s="359"/>
      <c r="K161" s="456"/>
      <c r="L161" s="418" t="str">
        <f t="shared" si="71"/>
        <v xml:space="preserve"> </v>
      </c>
      <c r="M161" s="359"/>
      <c r="N161" s="430"/>
      <c r="O161" s="418" t="str">
        <f t="shared" si="69"/>
        <v xml:space="preserve"> </v>
      </c>
      <c r="P161" s="418"/>
      <c r="Q161" s="418"/>
    </row>
    <row r="162" spans="2:17" ht="12.75" customHeight="1" x14ac:dyDescent="0.2">
      <c r="B162" s="298"/>
      <c r="C162" s="299"/>
      <c r="D162" s="366"/>
      <c r="E162" s="366"/>
      <c r="F162" s="300"/>
      <c r="G162" s="359"/>
      <c r="H162" s="430"/>
      <c r="I162" s="418" t="str">
        <f t="shared" si="68"/>
        <v xml:space="preserve"> </v>
      </c>
      <c r="J162" s="359"/>
      <c r="K162" s="456"/>
      <c r="L162" s="418" t="str">
        <f t="shared" si="71"/>
        <v xml:space="preserve"> </v>
      </c>
      <c r="M162" s="359"/>
      <c r="N162" s="430"/>
      <c r="O162" s="418" t="str">
        <f t="shared" si="69"/>
        <v xml:space="preserve"> </v>
      </c>
      <c r="P162" s="418"/>
      <c r="Q162" s="418"/>
    </row>
    <row r="163" spans="2:17" ht="12.75" customHeight="1" x14ac:dyDescent="0.2">
      <c r="B163" s="298"/>
      <c r="C163" s="299" t="s">
        <v>279</v>
      </c>
      <c r="D163" s="366" t="s">
        <v>548</v>
      </c>
      <c r="E163" s="366"/>
      <c r="F163" s="300"/>
      <c r="G163" s="359"/>
      <c r="H163" s="430"/>
      <c r="I163" s="418" t="str">
        <f t="shared" si="68"/>
        <v xml:space="preserve"> </v>
      </c>
      <c r="J163" s="359"/>
      <c r="K163" s="456"/>
      <c r="L163" s="418" t="str">
        <f t="shared" si="71"/>
        <v xml:space="preserve"> </v>
      </c>
      <c r="M163" s="359"/>
      <c r="N163" s="430"/>
      <c r="O163" s="418" t="str">
        <f t="shared" si="69"/>
        <v xml:space="preserve"> </v>
      </c>
      <c r="P163" s="418"/>
      <c r="Q163" s="418"/>
    </row>
    <row r="164" spans="2:17" ht="12.75" customHeight="1" x14ac:dyDescent="0.2">
      <c r="B164" s="298"/>
      <c r="C164" s="299"/>
      <c r="D164" s="366"/>
      <c r="E164" s="366"/>
      <c r="F164" s="298"/>
      <c r="G164" s="359"/>
      <c r="H164" s="430"/>
      <c r="I164" s="418" t="str">
        <f t="shared" si="68"/>
        <v xml:space="preserve"> </v>
      </c>
      <c r="J164" s="359"/>
      <c r="K164" s="456"/>
      <c r="L164" s="418" t="str">
        <f t="shared" si="71"/>
        <v xml:space="preserve"> </v>
      </c>
      <c r="M164" s="359"/>
      <c r="N164" s="430"/>
      <c r="O164" s="418" t="str">
        <f t="shared" si="69"/>
        <v xml:space="preserve"> </v>
      </c>
      <c r="P164" s="418"/>
      <c r="Q164" s="418"/>
    </row>
    <row r="165" spans="2:17" ht="12.75" customHeight="1" x14ac:dyDescent="0.2">
      <c r="B165" s="298"/>
      <c r="C165" s="299"/>
      <c r="D165" s="366" t="s">
        <v>131</v>
      </c>
      <c r="E165" s="366" t="s">
        <v>549</v>
      </c>
      <c r="F165" s="298" t="s">
        <v>550</v>
      </c>
      <c r="G165" s="359">
        <v>1</v>
      </c>
      <c r="H165" s="418">
        <f>(6000*6) +(6000*6)</f>
        <v>72000</v>
      </c>
      <c r="I165" s="418">
        <f t="shared" si="68"/>
        <v>72000</v>
      </c>
      <c r="J165" s="359">
        <v>1</v>
      </c>
      <c r="K165" s="456">
        <v>72000</v>
      </c>
      <c r="L165" s="418">
        <f t="shared" si="71"/>
        <v>72000</v>
      </c>
      <c r="M165" s="359">
        <v>1</v>
      </c>
      <c r="N165" s="418">
        <f t="shared" ref="N165" si="75">(6000*6) +(6000*6)</f>
        <v>72000</v>
      </c>
      <c r="O165" s="418">
        <f t="shared" si="69"/>
        <v>72000</v>
      </c>
      <c r="P165" s="418">
        <f t="shared" si="74"/>
        <v>0</v>
      </c>
      <c r="Q165" s="418">
        <f t="shared" si="73"/>
        <v>0</v>
      </c>
    </row>
    <row r="166" spans="2:17" ht="12.75" customHeight="1" x14ac:dyDescent="0.2">
      <c r="B166" s="298"/>
      <c r="C166" s="299"/>
      <c r="D166" s="366"/>
      <c r="E166" s="366" t="s">
        <v>551</v>
      </c>
      <c r="F166" s="298"/>
      <c r="G166" s="359"/>
      <c r="H166" s="430"/>
      <c r="I166" s="418" t="str">
        <f t="shared" si="68"/>
        <v xml:space="preserve"> </v>
      </c>
      <c r="J166" s="359"/>
      <c r="K166" s="456"/>
      <c r="L166" s="418" t="str">
        <f t="shared" si="71"/>
        <v xml:space="preserve"> </v>
      </c>
      <c r="M166" s="359"/>
      <c r="N166" s="430"/>
      <c r="O166" s="418" t="str">
        <f t="shared" si="69"/>
        <v xml:space="preserve"> </v>
      </c>
      <c r="P166" s="418"/>
      <c r="Q166" s="418"/>
    </row>
    <row r="167" spans="2:17" ht="12.75" customHeight="1" x14ac:dyDescent="0.2">
      <c r="B167" s="298"/>
      <c r="C167" s="299"/>
      <c r="D167" s="366"/>
      <c r="E167" s="366" t="s">
        <v>552</v>
      </c>
      <c r="F167" s="301"/>
      <c r="G167" s="360"/>
      <c r="H167" s="430"/>
      <c r="I167" s="418" t="str">
        <f t="shared" si="68"/>
        <v xml:space="preserve"> </v>
      </c>
      <c r="J167" s="360"/>
      <c r="K167" s="456"/>
      <c r="L167" s="418" t="str">
        <f t="shared" si="71"/>
        <v xml:space="preserve"> </v>
      </c>
      <c r="M167" s="360"/>
      <c r="N167" s="430"/>
      <c r="O167" s="418" t="str">
        <f t="shared" si="69"/>
        <v xml:space="preserve"> </v>
      </c>
      <c r="P167" s="418"/>
      <c r="Q167" s="418"/>
    </row>
    <row r="168" spans="2:17" ht="12.75" customHeight="1" x14ac:dyDescent="0.2">
      <c r="B168" s="298"/>
      <c r="C168" s="299"/>
      <c r="D168" s="366"/>
      <c r="E168" s="366"/>
      <c r="F168" s="298"/>
      <c r="G168" s="359"/>
      <c r="H168" s="430"/>
      <c r="I168" s="418" t="str">
        <f t="shared" si="68"/>
        <v xml:space="preserve"> </v>
      </c>
      <c r="J168" s="359"/>
      <c r="K168" s="456"/>
      <c r="L168" s="418" t="str">
        <f t="shared" si="71"/>
        <v xml:space="preserve"> </v>
      </c>
      <c r="M168" s="359"/>
      <c r="N168" s="430"/>
      <c r="O168" s="418" t="str">
        <f t="shared" si="69"/>
        <v xml:space="preserve"> </v>
      </c>
      <c r="P168" s="418"/>
      <c r="Q168" s="418"/>
    </row>
    <row r="169" spans="2:17" ht="12.75" customHeight="1" x14ac:dyDescent="0.2">
      <c r="B169" s="298"/>
      <c r="C169" s="299"/>
      <c r="D169" s="366" t="s">
        <v>127</v>
      </c>
      <c r="E169" s="366" t="s">
        <v>553</v>
      </c>
      <c r="F169" s="298" t="s">
        <v>550</v>
      </c>
      <c r="G169" s="359">
        <v>1</v>
      </c>
      <c r="H169" s="418">
        <f>30000</f>
        <v>30000</v>
      </c>
      <c r="I169" s="418">
        <f t="shared" si="68"/>
        <v>30000</v>
      </c>
      <c r="J169" s="359">
        <v>1</v>
      </c>
      <c r="K169" s="456">
        <v>30000</v>
      </c>
      <c r="L169" s="418">
        <f t="shared" si="71"/>
        <v>30000</v>
      </c>
      <c r="M169" s="359">
        <v>1</v>
      </c>
      <c r="N169" s="418">
        <f>30000</f>
        <v>30000</v>
      </c>
      <c r="O169" s="418">
        <f t="shared" si="69"/>
        <v>30000</v>
      </c>
      <c r="P169" s="418">
        <f t="shared" si="74"/>
        <v>0</v>
      </c>
      <c r="Q169" s="418">
        <f t="shared" si="73"/>
        <v>0</v>
      </c>
    </row>
    <row r="170" spans="2:17" ht="12.75" customHeight="1" x14ac:dyDescent="0.2">
      <c r="B170" s="298"/>
      <c r="C170" s="299"/>
      <c r="D170" s="366"/>
      <c r="E170" s="366" t="s">
        <v>554</v>
      </c>
      <c r="F170" s="298"/>
      <c r="G170" s="359"/>
      <c r="H170" s="430"/>
      <c r="I170" s="418" t="str">
        <f t="shared" si="68"/>
        <v xml:space="preserve"> </v>
      </c>
      <c r="J170" s="359"/>
      <c r="K170" s="456"/>
      <c r="L170" s="418" t="str">
        <f t="shared" si="71"/>
        <v xml:space="preserve"> </v>
      </c>
      <c r="M170" s="359"/>
      <c r="N170" s="430"/>
      <c r="O170" s="418" t="str">
        <f t="shared" si="69"/>
        <v xml:space="preserve"> </v>
      </c>
      <c r="P170" s="418"/>
      <c r="Q170" s="418"/>
    </row>
    <row r="171" spans="2:17" ht="12.75" customHeight="1" x14ac:dyDescent="0.2">
      <c r="B171" s="298"/>
      <c r="C171" s="299"/>
      <c r="D171" s="366"/>
      <c r="E171" s="366"/>
      <c r="F171" s="298"/>
      <c r="G171" s="359"/>
      <c r="H171" s="430"/>
      <c r="I171" s="418" t="str">
        <f t="shared" si="68"/>
        <v xml:space="preserve"> </v>
      </c>
      <c r="J171" s="359"/>
      <c r="K171" s="456"/>
      <c r="L171" s="418" t="str">
        <f t="shared" si="71"/>
        <v xml:space="preserve"> </v>
      </c>
      <c r="M171" s="359"/>
      <c r="N171" s="430"/>
      <c r="O171" s="418" t="str">
        <f t="shared" si="69"/>
        <v xml:space="preserve"> </v>
      </c>
      <c r="P171" s="418"/>
      <c r="Q171" s="418"/>
    </row>
    <row r="172" spans="2:17" ht="12.75" customHeight="1" x14ac:dyDescent="0.2">
      <c r="B172" s="298"/>
      <c r="C172" s="299"/>
      <c r="D172" s="366" t="s">
        <v>128</v>
      </c>
      <c r="E172" s="366" t="s">
        <v>555</v>
      </c>
      <c r="F172" s="298" t="s">
        <v>550</v>
      </c>
      <c r="G172" s="65" t="s">
        <v>596</v>
      </c>
      <c r="H172" s="418">
        <v>0</v>
      </c>
      <c r="I172" s="418"/>
      <c r="J172" s="65" t="s">
        <v>596</v>
      </c>
      <c r="K172" s="456">
        <v>50000</v>
      </c>
      <c r="L172" s="418"/>
      <c r="M172" s="65" t="s">
        <v>596</v>
      </c>
      <c r="N172" s="418">
        <v>50000</v>
      </c>
      <c r="O172" s="418"/>
      <c r="P172" s="418">
        <f t="shared" si="74"/>
        <v>0</v>
      </c>
      <c r="Q172" s="418">
        <f t="shared" si="73"/>
        <v>0</v>
      </c>
    </row>
    <row r="173" spans="2:17" ht="12.75" customHeight="1" x14ac:dyDescent="0.2">
      <c r="B173" s="298"/>
      <c r="C173" s="299"/>
      <c r="D173" s="366"/>
      <c r="E173" s="366" t="s">
        <v>556</v>
      </c>
      <c r="F173" s="298"/>
      <c r="G173" s="359"/>
      <c r="H173" s="430"/>
      <c r="I173" s="418" t="str">
        <f t="shared" si="68"/>
        <v xml:space="preserve"> </v>
      </c>
      <c r="J173" s="359"/>
      <c r="K173" s="456"/>
      <c r="L173" s="418" t="str">
        <f t="shared" ref="L173:L200" si="76">IF(J173=0," ",J173*K173)</f>
        <v xml:space="preserve"> </v>
      </c>
      <c r="M173" s="359"/>
      <c r="N173" s="430"/>
      <c r="O173" s="418" t="str">
        <f t="shared" ref="O173:O200" si="77">IF(M173=0," ",M173*N173)</f>
        <v xml:space="preserve"> </v>
      </c>
      <c r="P173" s="418"/>
      <c r="Q173" s="418"/>
    </row>
    <row r="174" spans="2:17" ht="12.75" customHeight="1" x14ac:dyDescent="0.2">
      <c r="B174" s="298"/>
      <c r="C174" s="299"/>
      <c r="D174" s="366"/>
      <c r="E174" s="366"/>
      <c r="F174" s="298"/>
      <c r="G174" s="359"/>
      <c r="H174" s="430"/>
      <c r="I174" s="418" t="str">
        <f t="shared" si="68"/>
        <v xml:space="preserve"> </v>
      </c>
      <c r="J174" s="359"/>
      <c r="K174" s="456"/>
      <c r="L174" s="418" t="str">
        <f t="shared" si="76"/>
        <v xml:space="preserve"> </v>
      </c>
      <c r="M174" s="359"/>
      <c r="N174" s="430"/>
      <c r="O174" s="418" t="str">
        <f t="shared" si="77"/>
        <v xml:space="preserve"> </v>
      </c>
      <c r="P174" s="418"/>
      <c r="Q174" s="418"/>
    </row>
    <row r="175" spans="2:17" ht="12.75" customHeight="1" x14ac:dyDescent="0.2">
      <c r="B175" s="298"/>
      <c r="C175" s="299"/>
      <c r="D175" s="366" t="s">
        <v>520</v>
      </c>
      <c r="E175" s="366" t="s">
        <v>557</v>
      </c>
      <c r="F175" s="298" t="s">
        <v>550</v>
      </c>
      <c r="G175" s="359">
        <v>1</v>
      </c>
      <c r="H175" s="418">
        <f>20000</f>
        <v>20000</v>
      </c>
      <c r="I175" s="418">
        <f t="shared" si="68"/>
        <v>20000</v>
      </c>
      <c r="J175" s="359">
        <v>1</v>
      </c>
      <c r="K175" s="456">
        <v>20000</v>
      </c>
      <c r="L175" s="418">
        <f t="shared" si="76"/>
        <v>20000</v>
      </c>
      <c r="M175" s="359">
        <v>1</v>
      </c>
      <c r="N175" s="418">
        <f>20000</f>
        <v>20000</v>
      </c>
      <c r="O175" s="418">
        <f t="shared" si="77"/>
        <v>20000</v>
      </c>
      <c r="P175" s="418">
        <f t="shared" si="74"/>
        <v>0</v>
      </c>
      <c r="Q175" s="418">
        <f t="shared" si="73"/>
        <v>0</v>
      </c>
    </row>
    <row r="176" spans="2:17" ht="12.75" customHeight="1" x14ac:dyDescent="0.2">
      <c r="B176" s="298"/>
      <c r="C176" s="299"/>
      <c r="D176" s="366"/>
      <c r="E176" s="366" t="s">
        <v>556</v>
      </c>
      <c r="F176" s="298"/>
      <c r="G176" s="359"/>
      <c r="H176" s="430"/>
      <c r="I176" s="418" t="str">
        <f t="shared" si="68"/>
        <v xml:space="preserve"> </v>
      </c>
      <c r="J176" s="359"/>
      <c r="K176" s="456"/>
      <c r="L176" s="418" t="str">
        <f t="shared" si="76"/>
        <v xml:space="preserve"> </v>
      </c>
      <c r="M176" s="359"/>
      <c r="N176" s="430"/>
      <c r="O176" s="418" t="str">
        <f t="shared" si="77"/>
        <v xml:space="preserve"> </v>
      </c>
      <c r="P176" s="418"/>
      <c r="Q176" s="418"/>
    </row>
    <row r="177" spans="1:17" ht="12.75" customHeight="1" x14ac:dyDescent="0.2">
      <c r="B177" s="298"/>
      <c r="C177" s="299"/>
      <c r="D177" s="366"/>
      <c r="E177" s="366"/>
      <c r="F177" s="298"/>
      <c r="G177" s="359"/>
      <c r="H177" s="430"/>
      <c r="I177" s="418" t="str">
        <f t="shared" si="68"/>
        <v xml:space="preserve"> </v>
      </c>
      <c r="J177" s="359"/>
      <c r="K177" s="456"/>
      <c r="L177" s="418" t="str">
        <f t="shared" si="76"/>
        <v xml:space="preserve"> </v>
      </c>
      <c r="M177" s="359"/>
      <c r="N177" s="430"/>
      <c r="O177" s="418" t="str">
        <f t="shared" si="77"/>
        <v xml:space="preserve"> </v>
      </c>
      <c r="P177" s="418"/>
      <c r="Q177" s="418"/>
    </row>
    <row r="178" spans="1:17" s="524" customFormat="1" ht="12.75" customHeight="1" x14ac:dyDescent="0.2">
      <c r="A178" s="519"/>
      <c r="B178" s="520"/>
      <c r="C178" s="521"/>
      <c r="D178" s="522" t="s">
        <v>129</v>
      </c>
      <c r="E178" s="522" t="s">
        <v>558</v>
      </c>
      <c r="F178" s="520" t="s">
        <v>550</v>
      </c>
      <c r="G178" s="523">
        <v>1</v>
      </c>
      <c r="H178" s="460">
        <v>0</v>
      </c>
      <c r="I178" s="460">
        <f t="shared" si="68"/>
        <v>0</v>
      </c>
      <c r="J178" s="523">
        <v>1</v>
      </c>
      <c r="K178" s="504">
        <v>15000</v>
      </c>
      <c r="L178" s="460">
        <f t="shared" si="76"/>
        <v>15000</v>
      </c>
      <c r="M178" s="523">
        <v>1</v>
      </c>
      <c r="N178" s="460">
        <v>15000</v>
      </c>
      <c r="O178" s="460">
        <f t="shared" si="77"/>
        <v>15000</v>
      </c>
      <c r="P178" s="460">
        <f t="shared" si="74"/>
        <v>0</v>
      </c>
      <c r="Q178" s="460">
        <f t="shared" si="73"/>
        <v>0</v>
      </c>
    </row>
    <row r="179" spans="1:17" ht="12.75" customHeight="1" x14ac:dyDescent="0.2">
      <c r="B179" s="298"/>
      <c r="C179" s="299"/>
      <c r="D179" s="366"/>
      <c r="E179" s="366"/>
      <c r="F179" s="298"/>
      <c r="G179" s="359"/>
      <c r="H179" s="430"/>
      <c r="I179" s="418" t="str">
        <f t="shared" si="68"/>
        <v xml:space="preserve"> </v>
      </c>
      <c r="J179" s="359"/>
      <c r="K179" s="456"/>
      <c r="L179" s="418" t="str">
        <f t="shared" si="76"/>
        <v xml:space="preserve"> </v>
      </c>
      <c r="M179" s="359"/>
      <c r="N179" s="430"/>
      <c r="O179" s="418" t="str">
        <f t="shared" si="77"/>
        <v xml:space="preserve"> </v>
      </c>
      <c r="P179" s="418"/>
      <c r="Q179" s="418"/>
    </row>
    <row r="180" spans="1:17" ht="12.75" customHeight="1" x14ac:dyDescent="0.2">
      <c r="B180" s="298"/>
      <c r="C180" s="299"/>
      <c r="D180" s="366" t="s">
        <v>132</v>
      </c>
      <c r="E180" s="366" t="s">
        <v>559</v>
      </c>
      <c r="F180" s="298"/>
      <c r="G180" s="359"/>
      <c r="H180" s="430"/>
      <c r="I180" s="418" t="str">
        <f t="shared" si="68"/>
        <v xml:space="preserve"> </v>
      </c>
      <c r="J180" s="359"/>
      <c r="K180" s="456"/>
      <c r="L180" s="418" t="str">
        <f t="shared" si="76"/>
        <v xml:space="preserve"> </v>
      </c>
      <c r="M180" s="359"/>
      <c r="N180" s="430"/>
      <c r="O180" s="418" t="str">
        <f t="shared" si="77"/>
        <v xml:space="preserve"> </v>
      </c>
      <c r="P180" s="418"/>
      <c r="Q180" s="418"/>
    </row>
    <row r="181" spans="1:17" s="524" customFormat="1" ht="12.75" customHeight="1" x14ac:dyDescent="0.2">
      <c r="A181" s="519"/>
      <c r="B181" s="525"/>
      <c r="C181" s="521"/>
      <c r="D181" s="522"/>
      <c r="E181" s="521" t="s">
        <v>560</v>
      </c>
      <c r="F181" s="520" t="s">
        <v>270</v>
      </c>
      <c r="G181" s="502">
        <f>SUM(H165:H179)</f>
        <v>122000</v>
      </c>
      <c r="H181" s="508">
        <v>0.1</v>
      </c>
      <c r="I181" s="460">
        <f t="shared" si="68"/>
        <v>12200</v>
      </c>
      <c r="J181" s="460">
        <f>SUM(L165:L179)</f>
        <v>137000</v>
      </c>
      <c r="K181" s="526">
        <v>0.1</v>
      </c>
      <c r="L181" s="460">
        <f t="shared" si="76"/>
        <v>13700</v>
      </c>
      <c r="M181" s="460">
        <f>SUM(O165:O179)</f>
        <v>137000</v>
      </c>
      <c r="N181" s="508">
        <v>0.1</v>
      </c>
      <c r="O181" s="460">
        <f t="shared" si="77"/>
        <v>13700</v>
      </c>
      <c r="P181" s="460">
        <f t="shared" si="74"/>
        <v>0</v>
      </c>
      <c r="Q181" s="460">
        <f t="shared" si="73"/>
        <v>0</v>
      </c>
    </row>
    <row r="182" spans="1:17" ht="12.75" customHeight="1" x14ac:dyDescent="0.2">
      <c r="B182" s="300"/>
      <c r="C182" s="299"/>
      <c r="D182" s="299"/>
      <c r="E182" s="308"/>
      <c r="F182" s="298"/>
      <c r="G182" s="298"/>
      <c r="H182" s="418" t="str">
        <f t="shared" si="70"/>
        <v xml:space="preserve"> </v>
      </c>
      <c r="I182" s="418" t="str">
        <f t="shared" si="68"/>
        <v xml:space="preserve"> </v>
      </c>
      <c r="J182" s="298"/>
      <c r="K182" s="456" t="s">
        <v>849</v>
      </c>
      <c r="L182" s="418" t="str">
        <f t="shared" si="76"/>
        <v xml:space="preserve"> </v>
      </c>
      <c r="M182" s="298"/>
      <c r="N182" s="418"/>
      <c r="O182" s="418"/>
      <c r="P182" s="418"/>
      <c r="Q182" s="418"/>
    </row>
    <row r="183" spans="1:17" ht="12.75" customHeight="1" x14ac:dyDescent="0.2">
      <c r="B183" s="298">
        <v>14.05</v>
      </c>
      <c r="C183" s="299" t="s">
        <v>561</v>
      </c>
      <c r="D183" s="366"/>
      <c r="E183" s="366"/>
      <c r="F183" s="298"/>
      <c r="G183" s="359"/>
      <c r="H183" s="418" t="str">
        <f t="shared" si="70"/>
        <v xml:space="preserve"> </v>
      </c>
      <c r="I183" s="418" t="str">
        <f t="shared" si="68"/>
        <v xml:space="preserve"> </v>
      </c>
      <c r="J183" s="359"/>
      <c r="K183" s="456" t="s">
        <v>849</v>
      </c>
      <c r="L183" s="418" t="str">
        <f t="shared" si="76"/>
        <v xml:space="preserve"> </v>
      </c>
      <c r="M183" s="359"/>
      <c r="N183" s="418"/>
      <c r="O183" s="418"/>
      <c r="P183" s="418"/>
      <c r="Q183" s="418"/>
    </row>
    <row r="184" spans="1:17" ht="12.75" customHeight="1" x14ac:dyDescent="0.2">
      <c r="B184" s="298"/>
      <c r="C184" s="299"/>
      <c r="D184" s="366"/>
      <c r="E184" s="366"/>
      <c r="F184" s="298"/>
      <c r="G184" s="359"/>
      <c r="H184" s="418" t="str">
        <f t="shared" si="70"/>
        <v xml:space="preserve"> </v>
      </c>
      <c r="I184" s="418" t="str">
        <f t="shared" si="68"/>
        <v xml:space="preserve"> </v>
      </c>
      <c r="J184" s="359"/>
      <c r="K184" s="456" t="s">
        <v>849</v>
      </c>
      <c r="L184" s="418" t="str">
        <f t="shared" si="76"/>
        <v xml:space="preserve"> </v>
      </c>
      <c r="M184" s="359"/>
      <c r="N184" s="418"/>
      <c r="O184" s="418"/>
      <c r="P184" s="418"/>
      <c r="Q184" s="418"/>
    </row>
    <row r="185" spans="1:17" ht="12.75" customHeight="1" x14ac:dyDescent="0.2">
      <c r="B185" s="302"/>
      <c r="C185" s="303" t="s">
        <v>278</v>
      </c>
      <c r="D185" s="367" t="s">
        <v>562</v>
      </c>
      <c r="E185" s="366"/>
      <c r="F185" s="298"/>
      <c r="G185" s="298"/>
      <c r="H185" s="418" t="str">
        <f t="shared" si="70"/>
        <v xml:space="preserve"> </v>
      </c>
      <c r="I185" s="418" t="str">
        <f t="shared" si="68"/>
        <v xml:space="preserve"> </v>
      </c>
      <c r="J185" s="298"/>
      <c r="K185" s="456" t="s">
        <v>849</v>
      </c>
      <c r="L185" s="418" t="str">
        <f t="shared" si="76"/>
        <v xml:space="preserve"> </v>
      </c>
      <c r="M185" s="298"/>
      <c r="N185" s="418"/>
      <c r="O185" s="418"/>
      <c r="P185" s="418"/>
      <c r="Q185" s="418"/>
    </row>
    <row r="186" spans="1:17" ht="12.75" customHeight="1" x14ac:dyDescent="0.2">
      <c r="B186" s="298"/>
      <c r="C186" s="299"/>
      <c r="D186" s="543" t="s">
        <v>563</v>
      </c>
      <c r="E186" s="544"/>
      <c r="F186" s="298"/>
      <c r="G186" s="298"/>
      <c r="H186" s="418" t="str">
        <f t="shared" si="70"/>
        <v xml:space="preserve"> </v>
      </c>
      <c r="I186" s="418" t="str">
        <f t="shared" si="68"/>
        <v xml:space="preserve"> </v>
      </c>
      <c r="J186" s="298"/>
      <c r="K186" s="456" t="s">
        <v>849</v>
      </c>
      <c r="L186" s="418" t="str">
        <f t="shared" si="76"/>
        <v xml:space="preserve"> </v>
      </c>
      <c r="M186" s="298"/>
      <c r="N186" s="418"/>
      <c r="O186" s="418"/>
      <c r="P186" s="418"/>
      <c r="Q186" s="418"/>
    </row>
    <row r="187" spans="1:17" ht="12.75" customHeight="1" x14ac:dyDescent="0.2">
      <c r="B187" s="298"/>
      <c r="C187" s="299"/>
      <c r="D187" s="299" t="s">
        <v>564</v>
      </c>
      <c r="E187" s="299"/>
      <c r="F187" s="298" t="s">
        <v>565</v>
      </c>
      <c r="G187" s="359">
        <f>(6*5)</f>
        <v>30</v>
      </c>
      <c r="H187" s="418">
        <v>2000</v>
      </c>
      <c r="I187" s="418">
        <f t="shared" si="68"/>
        <v>60000</v>
      </c>
      <c r="J187" s="359">
        <f t="shared" ref="J187" si="78">(6*5)</f>
        <v>30</v>
      </c>
      <c r="K187" s="456">
        <v>600</v>
      </c>
      <c r="L187" s="418">
        <f t="shared" si="76"/>
        <v>18000</v>
      </c>
      <c r="M187" s="359">
        <f t="shared" ref="M187" si="79">(6*5)</f>
        <v>30</v>
      </c>
      <c r="N187" s="418">
        <v>600</v>
      </c>
      <c r="O187" s="418">
        <f t="shared" si="77"/>
        <v>18000</v>
      </c>
      <c r="P187" s="418">
        <f t="shared" si="74"/>
        <v>0</v>
      </c>
      <c r="Q187" s="418">
        <f t="shared" si="73"/>
        <v>0</v>
      </c>
    </row>
    <row r="188" spans="1:17" ht="12.75" customHeight="1" x14ac:dyDescent="0.2">
      <c r="B188" s="298"/>
      <c r="C188" s="299"/>
      <c r="D188" s="299"/>
      <c r="E188" s="299"/>
      <c r="F188" s="298"/>
      <c r="G188" s="298"/>
      <c r="H188" s="430"/>
      <c r="I188" s="418" t="str">
        <f t="shared" si="68"/>
        <v xml:space="preserve"> </v>
      </c>
      <c r="J188" s="298"/>
      <c r="K188" s="456"/>
      <c r="L188" s="418" t="str">
        <f t="shared" si="76"/>
        <v xml:space="preserve"> </v>
      </c>
      <c r="M188" s="298"/>
      <c r="N188" s="430"/>
      <c r="O188" s="418" t="str">
        <f t="shared" si="77"/>
        <v xml:space="preserve"> </v>
      </c>
      <c r="P188" s="418"/>
      <c r="Q188" s="418"/>
    </row>
    <row r="189" spans="1:17" ht="12.75" customHeight="1" x14ac:dyDescent="0.2">
      <c r="B189" s="300" t="s">
        <v>566</v>
      </c>
      <c r="C189" s="545" t="s">
        <v>567</v>
      </c>
      <c r="D189" s="542"/>
      <c r="E189" s="546"/>
      <c r="F189" s="309"/>
      <c r="G189" s="309"/>
      <c r="H189" s="430"/>
      <c r="I189" s="418" t="str">
        <f t="shared" si="68"/>
        <v xml:space="preserve"> </v>
      </c>
      <c r="J189" s="309"/>
      <c r="K189" s="456"/>
      <c r="L189" s="418" t="str">
        <f t="shared" si="76"/>
        <v xml:space="preserve"> </v>
      </c>
      <c r="M189" s="309"/>
      <c r="N189" s="430"/>
      <c r="O189" s="418" t="str">
        <f t="shared" si="77"/>
        <v xml:space="preserve"> </v>
      </c>
      <c r="P189" s="418"/>
      <c r="Q189" s="418"/>
    </row>
    <row r="190" spans="1:17" ht="12.75" customHeight="1" x14ac:dyDescent="0.2">
      <c r="B190" s="305"/>
      <c r="C190" s="303"/>
      <c r="D190" s="299"/>
      <c r="E190" s="299"/>
      <c r="F190" s="298"/>
      <c r="G190" s="298"/>
      <c r="H190" s="430"/>
      <c r="I190" s="418" t="str">
        <f t="shared" si="68"/>
        <v xml:space="preserve"> </v>
      </c>
      <c r="J190" s="298"/>
      <c r="K190" s="456"/>
      <c r="L190" s="418" t="str">
        <f t="shared" si="76"/>
        <v xml:space="preserve"> </v>
      </c>
      <c r="M190" s="298"/>
      <c r="N190" s="430"/>
      <c r="O190" s="418" t="str">
        <f t="shared" si="77"/>
        <v xml:space="preserve"> </v>
      </c>
      <c r="P190" s="418"/>
      <c r="Q190" s="418"/>
    </row>
    <row r="191" spans="1:17" ht="12.75" customHeight="1" x14ac:dyDescent="0.2">
      <c r="B191" s="305"/>
      <c r="C191" s="303" t="s">
        <v>278</v>
      </c>
      <c r="D191" s="542" t="s">
        <v>568</v>
      </c>
      <c r="E191" s="546"/>
      <c r="F191" s="298"/>
      <c r="G191" s="298"/>
      <c r="H191" s="430"/>
      <c r="I191" s="418" t="str">
        <f t="shared" si="68"/>
        <v xml:space="preserve"> </v>
      </c>
      <c r="J191" s="298"/>
      <c r="K191" s="456"/>
      <c r="L191" s="418" t="str">
        <f t="shared" si="76"/>
        <v xml:space="preserve"> </v>
      </c>
      <c r="M191" s="298"/>
      <c r="N191" s="430"/>
      <c r="O191" s="418" t="str">
        <f t="shared" si="77"/>
        <v xml:space="preserve"> </v>
      </c>
      <c r="P191" s="418"/>
      <c r="Q191" s="418"/>
    </row>
    <row r="192" spans="1:17" ht="12.75" customHeight="1" x14ac:dyDescent="0.2">
      <c r="B192" s="305"/>
      <c r="C192" s="305"/>
      <c r="D192" s="543" t="s">
        <v>569</v>
      </c>
      <c r="E192" s="544"/>
      <c r="F192" s="298"/>
      <c r="G192" s="298"/>
      <c r="H192" s="432"/>
      <c r="I192" s="418" t="str">
        <f t="shared" si="68"/>
        <v xml:space="preserve"> </v>
      </c>
      <c r="J192" s="298"/>
      <c r="K192" s="456"/>
      <c r="L192" s="418" t="str">
        <f t="shared" si="76"/>
        <v xml:space="preserve"> </v>
      </c>
      <c r="M192" s="298"/>
      <c r="N192" s="432"/>
      <c r="O192" s="418" t="str">
        <f t="shared" si="77"/>
        <v xml:space="preserve"> </v>
      </c>
      <c r="P192" s="418"/>
      <c r="Q192" s="418"/>
    </row>
    <row r="193" spans="2:20" ht="12.75" customHeight="1" x14ac:dyDescent="0.2">
      <c r="B193" s="298"/>
      <c r="C193" s="299"/>
      <c r="D193" s="543" t="s">
        <v>570</v>
      </c>
      <c r="E193" s="544"/>
      <c r="F193" s="298" t="s">
        <v>269</v>
      </c>
      <c r="G193" s="298">
        <v>1</v>
      </c>
      <c r="H193" s="418">
        <f>(6*5500*6)+(6*5500*5)</f>
        <v>363000</v>
      </c>
      <c r="I193" s="418">
        <f t="shared" si="68"/>
        <v>363000</v>
      </c>
      <c r="J193" s="298">
        <v>1</v>
      </c>
      <c r="K193" s="456">
        <v>363000</v>
      </c>
      <c r="L193" s="418">
        <f t="shared" si="76"/>
        <v>363000</v>
      </c>
      <c r="M193" s="298">
        <v>1</v>
      </c>
      <c r="N193" s="418">
        <f t="shared" ref="N193" si="80">(6*5500*6)+(6*5500*5)</f>
        <v>363000</v>
      </c>
      <c r="O193" s="418">
        <f t="shared" si="77"/>
        <v>363000</v>
      </c>
      <c r="P193" s="418">
        <f t="shared" si="74"/>
        <v>0</v>
      </c>
      <c r="Q193" s="418">
        <f t="shared" si="73"/>
        <v>0</v>
      </c>
    </row>
    <row r="194" spans="2:20" ht="12.75" customHeight="1" x14ac:dyDescent="0.2">
      <c r="B194" s="298"/>
      <c r="C194" s="299"/>
      <c r="D194" s="299"/>
      <c r="E194" s="299"/>
      <c r="F194" s="298"/>
      <c r="G194" s="359"/>
      <c r="H194" s="433"/>
      <c r="I194" s="418" t="str">
        <f t="shared" si="68"/>
        <v xml:space="preserve"> </v>
      </c>
      <c r="J194" s="359"/>
      <c r="K194" s="456"/>
      <c r="L194" s="418" t="str">
        <f t="shared" si="76"/>
        <v xml:space="preserve"> </v>
      </c>
      <c r="M194" s="359"/>
      <c r="N194" s="433"/>
      <c r="O194" s="418" t="str">
        <f t="shared" si="77"/>
        <v xml:space="preserve"> </v>
      </c>
      <c r="P194" s="418"/>
      <c r="Q194" s="418"/>
    </row>
    <row r="195" spans="2:20" ht="12.75" customHeight="1" x14ac:dyDescent="0.2">
      <c r="B195" s="298"/>
      <c r="C195" s="299" t="s">
        <v>279</v>
      </c>
      <c r="D195" s="542" t="s">
        <v>559</v>
      </c>
      <c r="E195" s="546"/>
      <c r="F195" s="298"/>
      <c r="G195" s="298"/>
      <c r="H195" s="430"/>
      <c r="I195" s="418" t="str">
        <f t="shared" si="68"/>
        <v xml:space="preserve"> </v>
      </c>
      <c r="J195" s="298"/>
      <c r="K195" s="456"/>
      <c r="L195" s="418" t="str">
        <f t="shared" si="76"/>
        <v xml:space="preserve"> </v>
      </c>
      <c r="M195" s="298"/>
      <c r="N195" s="430"/>
      <c r="O195" s="418" t="str">
        <f t="shared" si="77"/>
        <v xml:space="preserve"> </v>
      </c>
      <c r="P195" s="418"/>
      <c r="Q195" s="418"/>
    </row>
    <row r="196" spans="2:20" ht="12.75" customHeight="1" x14ac:dyDescent="0.2">
      <c r="B196" s="298"/>
      <c r="C196" s="299"/>
      <c r="D196" s="542" t="s">
        <v>571</v>
      </c>
      <c r="E196" s="546"/>
      <c r="F196" s="301" t="s">
        <v>270</v>
      </c>
      <c r="G196" s="419">
        <f>H193</f>
        <v>363000</v>
      </c>
      <c r="H196" s="420">
        <v>0.1</v>
      </c>
      <c r="I196" s="418">
        <f t="shared" si="68"/>
        <v>36300</v>
      </c>
      <c r="J196" s="419">
        <f t="shared" ref="J196" si="81">K193</f>
        <v>363000</v>
      </c>
      <c r="K196" s="484">
        <v>0.1</v>
      </c>
      <c r="L196" s="418">
        <f t="shared" si="76"/>
        <v>36300</v>
      </c>
      <c r="M196" s="419">
        <f t="shared" ref="M196" si="82">N193</f>
        <v>363000</v>
      </c>
      <c r="N196" s="420">
        <v>0.1</v>
      </c>
      <c r="O196" s="418">
        <f t="shared" si="77"/>
        <v>36300</v>
      </c>
      <c r="P196" s="418">
        <f t="shared" si="74"/>
        <v>0</v>
      </c>
      <c r="Q196" s="418">
        <f t="shared" si="73"/>
        <v>0</v>
      </c>
    </row>
    <row r="197" spans="2:20" ht="12.75" customHeight="1" x14ac:dyDescent="0.2">
      <c r="B197" s="305"/>
      <c r="C197" s="303"/>
      <c r="D197" s="366"/>
      <c r="E197" s="304"/>
      <c r="F197" s="310"/>
      <c r="G197" s="298"/>
      <c r="H197" s="430"/>
      <c r="I197" s="418" t="str">
        <f t="shared" si="68"/>
        <v xml:space="preserve"> </v>
      </c>
      <c r="J197" s="298"/>
      <c r="K197" s="456"/>
      <c r="L197" s="418" t="str">
        <f t="shared" si="76"/>
        <v xml:space="preserve"> </v>
      </c>
      <c r="M197" s="298"/>
      <c r="N197" s="430"/>
      <c r="O197" s="418" t="str">
        <f t="shared" si="77"/>
        <v xml:space="preserve"> </v>
      </c>
      <c r="P197" s="418"/>
      <c r="Q197" s="418"/>
    </row>
    <row r="198" spans="2:20" ht="12.75" customHeight="1" x14ac:dyDescent="0.2">
      <c r="B198" s="305"/>
      <c r="C198" s="303"/>
      <c r="D198" s="366"/>
      <c r="E198" s="304"/>
      <c r="F198" s="310"/>
      <c r="G198" s="298"/>
      <c r="H198" s="430"/>
      <c r="I198" s="418" t="str">
        <f t="shared" si="68"/>
        <v xml:space="preserve"> </v>
      </c>
      <c r="J198" s="298"/>
      <c r="K198" s="456"/>
      <c r="L198" s="418" t="str">
        <f t="shared" si="76"/>
        <v xml:space="preserve"> </v>
      </c>
      <c r="M198" s="298"/>
      <c r="N198" s="430"/>
      <c r="O198" s="418" t="str">
        <f t="shared" si="77"/>
        <v xml:space="preserve"> </v>
      </c>
      <c r="P198" s="418"/>
      <c r="Q198" s="418"/>
    </row>
    <row r="199" spans="2:20" ht="12.75" customHeight="1" x14ac:dyDescent="0.2">
      <c r="B199" s="273"/>
      <c r="F199" s="265"/>
      <c r="G199" s="268"/>
      <c r="H199" s="317"/>
      <c r="I199" s="418" t="str">
        <f t="shared" si="68"/>
        <v xml:space="preserve"> </v>
      </c>
      <c r="J199" s="268"/>
      <c r="K199" s="456"/>
      <c r="L199" s="418" t="str">
        <f t="shared" si="76"/>
        <v xml:space="preserve"> </v>
      </c>
      <c r="M199" s="268"/>
      <c r="N199" s="317"/>
      <c r="O199" s="418" t="str">
        <f t="shared" si="77"/>
        <v xml:space="preserve"> </v>
      </c>
      <c r="P199" s="418"/>
      <c r="Q199" s="418"/>
    </row>
    <row r="200" spans="2:20" ht="12.75" customHeight="1" x14ac:dyDescent="0.2">
      <c r="B200" s="267"/>
      <c r="F200" s="265"/>
      <c r="G200" s="268"/>
      <c r="H200" s="317"/>
      <c r="I200" s="418" t="str">
        <f t="shared" si="68"/>
        <v xml:space="preserve"> </v>
      </c>
      <c r="J200" s="268"/>
      <c r="K200" s="456"/>
      <c r="L200" s="418" t="str">
        <f t="shared" si="76"/>
        <v xml:space="preserve"> </v>
      </c>
      <c r="M200" s="268"/>
      <c r="N200" s="317"/>
      <c r="O200" s="418" t="str">
        <f t="shared" si="77"/>
        <v xml:space="preserve"> </v>
      </c>
      <c r="P200" s="418" t="str">
        <f t="shared" ref="P200" si="83">IF(N200=0," ",N200*O200)</f>
        <v xml:space="preserve"> </v>
      </c>
      <c r="Q200" s="418"/>
    </row>
    <row r="201" spans="2:20" ht="12.75" customHeight="1" x14ac:dyDescent="0.2">
      <c r="B201" s="287">
        <v>1400</v>
      </c>
      <c r="C201" s="288" t="s">
        <v>283</v>
      </c>
      <c r="D201" s="289"/>
      <c r="E201" s="290"/>
      <c r="F201" s="291"/>
      <c r="G201" s="291"/>
      <c r="H201" s="422"/>
      <c r="I201" s="423">
        <f>SUM(I144:I200)</f>
        <v>944500</v>
      </c>
      <c r="J201" s="412"/>
      <c r="K201" s="457"/>
      <c r="L201" s="423">
        <f t="shared" ref="L201" si="84">SUM(L144:L200)</f>
        <v>695084.84</v>
      </c>
      <c r="M201" s="291"/>
      <c r="N201" s="422"/>
      <c r="O201" s="423">
        <f>SUM(O144:O200)</f>
        <v>685000</v>
      </c>
      <c r="P201" s="423"/>
      <c r="Q201" s="423">
        <f t="shared" ref="Q201" si="85">SUM(Q144:Q200)</f>
        <v>10084.839999999997</v>
      </c>
      <c r="S201" s="34">
        <v>683500</v>
      </c>
      <c r="T201" s="365">
        <f>O201-S201</f>
        <v>1500</v>
      </c>
    </row>
    <row r="202" spans="2:20" ht="12.75" customHeight="1" x14ac:dyDescent="0.2">
      <c r="B202" s="239" t="s">
        <v>79</v>
      </c>
      <c r="C202" s="239"/>
      <c r="D202" s="263"/>
      <c r="E202" s="297"/>
      <c r="H202" s="426"/>
      <c r="I202" s="427"/>
      <c r="K202" s="456"/>
      <c r="L202" s="427"/>
      <c r="N202" s="426"/>
      <c r="O202" s="427"/>
      <c r="P202" s="427"/>
      <c r="Q202" s="427"/>
    </row>
    <row r="203" spans="2:20" ht="12.75" customHeight="1" x14ac:dyDescent="0.2">
      <c r="B203" s="239" t="s">
        <v>267</v>
      </c>
      <c r="C203" s="240"/>
      <c r="E203" s="238"/>
      <c r="H203" s="426"/>
      <c r="I203" s="427"/>
      <c r="K203" s="456"/>
      <c r="L203" s="427"/>
      <c r="N203" s="426"/>
      <c r="O203" s="427"/>
      <c r="P203" s="427"/>
      <c r="Q203" s="427"/>
    </row>
    <row r="204" spans="2:20" ht="12.75" customHeight="1" x14ac:dyDescent="0.2">
      <c r="B204" s="243"/>
      <c r="C204" s="243"/>
      <c r="D204" s="244"/>
      <c r="E204" s="245"/>
      <c r="F204" s="246"/>
      <c r="G204" s="246"/>
      <c r="H204" s="428"/>
      <c r="I204" s="429"/>
      <c r="J204" s="246"/>
      <c r="K204" s="456"/>
      <c r="L204" s="429"/>
      <c r="M204" s="246"/>
      <c r="N204" s="428"/>
      <c r="O204" s="429"/>
      <c r="P204" s="429"/>
      <c r="Q204" s="429"/>
    </row>
    <row r="205" spans="2:20" ht="12.75" customHeight="1" x14ac:dyDescent="0.2">
      <c r="B205" s="247" t="s">
        <v>263</v>
      </c>
      <c r="C205" s="248" t="s">
        <v>264</v>
      </c>
      <c r="D205" s="249"/>
      <c r="E205" s="250"/>
      <c r="F205" s="250" t="s">
        <v>265</v>
      </c>
      <c r="G205" s="356" t="s">
        <v>68</v>
      </c>
      <c r="H205" s="251" t="s">
        <v>849</v>
      </c>
      <c r="I205" s="252" t="s">
        <v>849</v>
      </c>
      <c r="J205" s="247" t="s">
        <v>68</v>
      </c>
      <c r="K205" s="457" t="s">
        <v>849</v>
      </c>
      <c r="L205" s="252" t="s">
        <v>849</v>
      </c>
      <c r="M205" s="356" t="s">
        <v>68</v>
      </c>
      <c r="N205" s="251" t="s">
        <v>849</v>
      </c>
      <c r="O205" s="252" t="s">
        <v>849</v>
      </c>
      <c r="P205" s="252" t="s">
        <v>849</v>
      </c>
      <c r="Q205" s="252" t="s">
        <v>849</v>
      </c>
    </row>
    <row r="206" spans="2:20" ht="12.75" customHeight="1" x14ac:dyDescent="0.2">
      <c r="B206" s="253" t="s">
        <v>266</v>
      </c>
      <c r="C206" s="254"/>
      <c r="D206" s="255"/>
      <c r="E206" s="256"/>
      <c r="F206" s="256"/>
      <c r="G206" s="357" t="s">
        <v>69</v>
      </c>
      <c r="H206" s="257" t="s">
        <v>262</v>
      </c>
      <c r="I206" s="258" t="s">
        <v>70</v>
      </c>
      <c r="J206" s="253" t="s">
        <v>69</v>
      </c>
      <c r="K206" s="457" t="s">
        <v>262</v>
      </c>
      <c r="L206" s="258" t="s">
        <v>70</v>
      </c>
      <c r="M206" s="357" t="s">
        <v>69</v>
      </c>
      <c r="N206" s="257" t="s">
        <v>262</v>
      </c>
      <c r="O206" s="258" t="s">
        <v>70</v>
      </c>
      <c r="P206" s="258" t="s">
        <v>70</v>
      </c>
      <c r="Q206" s="258" t="s">
        <v>70</v>
      </c>
    </row>
    <row r="207" spans="2:20" ht="12.75" customHeight="1" x14ac:dyDescent="0.2">
      <c r="B207" s="287">
        <v>1400</v>
      </c>
      <c r="C207" s="288" t="s">
        <v>71</v>
      </c>
      <c r="D207" s="289"/>
      <c r="E207" s="290"/>
      <c r="F207" s="291"/>
      <c r="G207" s="291"/>
      <c r="H207" s="434"/>
      <c r="I207" s="435">
        <f>+I201</f>
        <v>944500</v>
      </c>
      <c r="J207" s="291"/>
      <c r="K207" s="457"/>
      <c r="L207" s="435">
        <f t="shared" ref="L207" si="86">+L201</f>
        <v>695084.84</v>
      </c>
      <c r="M207" s="291"/>
      <c r="N207" s="434"/>
      <c r="O207" s="435">
        <f t="shared" ref="O207:Q207" si="87">+O201</f>
        <v>685000</v>
      </c>
      <c r="P207" s="435">
        <f t="shared" si="87"/>
        <v>0</v>
      </c>
      <c r="Q207" s="435">
        <f t="shared" si="87"/>
        <v>10084.839999999997</v>
      </c>
    </row>
    <row r="208" spans="2:20" ht="12.75" customHeight="1" x14ac:dyDescent="0.2">
      <c r="B208" s="311"/>
      <c r="C208" s="312"/>
      <c r="D208" s="313"/>
      <c r="E208" s="314"/>
      <c r="F208" s="250"/>
      <c r="G208" s="356"/>
      <c r="H208" s="251"/>
      <c r="I208" s="318"/>
      <c r="J208" s="356"/>
      <c r="K208" s="456"/>
      <c r="L208" s="318"/>
      <c r="M208" s="356"/>
      <c r="N208" s="251"/>
      <c r="O208" s="318"/>
      <c r="P208" s="318"/>
      <c r="Q208" s="318"/>
    </row>
    <row r="209" spans="2:17" ht="12.75" customHeight="1" x14ac:dyDescent="0.2">
      <c r="B209" s="298">
        <v>14.08</v>
      </c>
      <c r="C209" s="545" t="s">
        <v>572</v>
      </c>
      <c r="D209" s="542"/>
      <c r="E209" s="546"/>
      <c r="F209" s="298"/>
      <c r="G209" s="298"/>
      <c r="H209" s="436"/>
      <c r="I209" s="318" t="str">
        <f t="shared" ref="H209:I230" si="88">IF(G209=0," ",G209*H209)</f>
        <v xml:space="preserve"> </v>
      </c>
      <c r="J209" s="298"/>
      <c r="K209" s="456"/>
      <c r="L209" s="318" t="str">
        <f t="shared" ref="L209:L260" si="89">IF(J209=0," ",J209*K209)</f>
        <v xml:space="preserve"> </v>
      </c>
      <c r="M209" s="298"/>
      <c r="N209" s="436"/>
      <c r="O209" s="318" t="str">
        <f t="shared" ref="O209:O260" si="90">IF(M209=0," ",M209*N209)</f>
        <v xml:space="preserve"> </v>
      </c>
      <c r="P209" s="318" t="str">
        <f t="shared" ref="P209:P260" si="91">IF(N209=0," ",N209*O209)</f>
        <v xml:space="preserve"> </v>
      </c>
      <c r="Q209" s="318"/>
    </row>
    <row r="210" spans="2:17" ht="12.75" customHeight="1" x14ac:dyDescent="0.2">
      <c r="B210" s="298"/>
      <c r="C210" s="299"/>
      <c r="D210" s="299"/>
      <c r="E210" s="299"/>
      <c r="F210" s="298"/>
      <c r="G210" s="359"/>
      <c r="H210" s="436"/>
      <c r="I210" s="318" t="str">
        <f t="shared" si="88"/>
        <v xml:space="preserve"> </v>
      </c>
      <c r="J210" s="359"/>
      <c r="K210" s="456"/>
      <c r="L210" s="318" t="str">
        <f t="shared" si="89"/>
        <v xml:space="preserve"> </v>
      </c>
      <c r="M210" s="359"/>
      <c r="N210" s="436"/>
      <c r="O210" s="318" t="str">
        <f t="shared" si="90"/>
        <v xml:space="preserve"> </v>
      </c>
      <c r="P210" s="318" t="str">
        <f t="shared" si="91"/>
        <v xml:space="preserve"> </v>
      </c>
      <c r="Q210" s="318"/>
    </row>
    <row r="211" spans="2:17" ht="12.75" customHeight="1" x14ac:dyDescent="0.2">
      <c r="B211" s="298"/>
      <c r="C211" s="545" t="s">
        <v>573</v>
      </c>
      <c r="D211" s="542"/>
      <c r="E211" s="546"/>
      <c r="F211" s="298"/>
      <c r="G211" s="359"/>
      <c r="H211" s="436"/>
      <c r="I211" s="418" t="str">
        <f t="shared" si="88"/>
        <v xml:space="preserve"> </v>
      </c>
      <c r="J211" s="359"/>
      <c r="K211" s="456"/>
      <c r="L211" s="418" t="str">
        <f t="shared" si="89"/>
        <v xml:space="preserve"> </v>
      </c>
      <c r="M211" s="359"/>
      <c r="N211" s="436"/>
      <c r="O211" s="418" t="str">
        <f t="shared" si="90"/>
        <v xml:space="preserve"> </v>
      </c>
      <c r="P211" s="418" t="str">
        <f t="shared" si="91"/>
        <v xml:space="preserve"> </v>
      </c>
      <c r="Q211" s="418"/>
    </row>
    <row r="212" spans="2:17" ht="12.75" customHeight="1" x14ac:dyDescent="0.2">
      <c r="B212" s="298"/>
      <c r="C212" s="545" t="s">
        <v>574</v>
      </c>
      <c r="D212" s="542"/>
      <c r="E212" s="546"/>
      <c r="F212" s="298"/>
      <c r="G212" s="359"/>
      <c r="H212" s="436"/>
      <c r="I212" s="418" t="str">
        <f t="shared" si="88"/>
        <v xml:space="preserve"> </v>
      </c>
      <c r="J212" s="359"/>
      <c r="K212" s="456"/>
      <c r="L212" s="418" t="str">
        <f t="shared" si="89"/>
        <v xml:space="preserve"> </v>
      </c>
      <c r="M212" s="359"/>
      <c r="N212" s="436"/>
      <c r="O212" s="418" t="str">
        <f t="shared" si="90"/>
        <v xml:space="preserve"> </v>
      </c>
      <c r="P212" s="418" t="str">
        <f t="shared" si="91"/>
        <v xml:space="preserve"> </v>
      </c>
      <c r="Q212" s="418"/>
    </row>
    <row r="213" spans="2:17" ht="12.75" customHeight="1" x14ac:dyDescent="0.2">
      <c r="B213" s="298"/>
      <c r="C213" s="545" t="s">
        <v>575</v>
      </c>
      <c r="D213" s="542"/>
      <c r="E213" s="546"/>
      <c r="F213" s="298"/>
      <c r="G213" s="359"/>
      <c r="H213" s="436"/>
      <c r="I213" s="418" t="str">
        <f t="shared" si="88"/>
        <v xml:space="preserve"> </v>
      </c>
      <c r="J213" s="359"/>
      <c r="K213" s="456"/>
      <c r="L213" s="418" t="str">
        <f t="shared" si="89"/>
        <v xml:space="preserve"> </v>
      </c>
      <c r="M213" s="359"/>
      <c r="N213" s="436"/>
      <c r="O213" s="418" t="str">
        <f t="shared" si="90"/>
        <v xml:space="preserve"> </v>
      </c>
      <c r="P213" s="418" t="str">
        <f t="shared" si="91"/>
        <v xml:space="preserve"> </v>
      </c>
      <c r="Q213" s="418"/>
    </row>
    <row r="214" spans="2:17" ht="12.75" customHeight="1" x14ac:dyDescent="0.2">
      <c r="B214" s="298"/>
      <c r="C214" s="545" t="s">
        <v>576</v>
      </c>
      <c r="D214" s="542"/>
      <c r="E214" s="546"/>
      <c r="F214" s="306"/>
      <c r="G214" s="360"/>
      <c r="H214" s="436"/>
      <c r="I214" s="418" t="str">
        <f t="shared" si="88"/>
        <v xml:space="preserve"> </v>
      </c>
      <c r="J214" s="360"/>
      <c r="K214" s="456"/>
      <c r="L214" s="418" t="str">
        <f t="shared" si="89"/>
        <v xml:space="preserve"> </v>
      </c>
      <c r="M214" s="360"/>
      <c r="N214" s="436"/>
      <c r="O214" s="418" t="str">
        <f t="shared" si="90"/>
        <v xml:space="preserve"> </v>
      </c>
      <c r="P214" s="418" t="str">
        <f t="shared" si="91"/>
        <v xml:space="preserve"> </v>
      </c>
      <c r="Q214" s="418"/>
    </row>
    <row r="215" spans="2:17" ht="12.75" customHeight="1" x14ac:dyDescent="0.2">
      <c r="B215" s="298"/>
      <c r="C215" s="545" t="s">
        <v>577</v>
      </c>
      <c r="D215" s="542"/>
      <c r="E215" s="546"/>
      <c r="F215" s="298"/>
      <c r="G215" s="359"/>
      <c r="H215" s="436"/>
      <c r="I215" s="418" t="str">
        <f t="shared" si="88"/>
        <v xml:space="preserve"> </v>
      </c>
      <c r="J215" s="359"/>
      <c r="K215" s="456"/>
      <c r="L215" s="418" t="str">
        <f t="shared" si="89"/>
        <v xml:space="preserve"> </v>
      </c>
      <c r="M215" s="359"/>
      <c r="N215" s="436"/>
      <c r="O215" s="418" t="str">
        <f t="shared" si="90"/>
        <v xml:space="preserve"> </v>
      </c>
      <c r="P215" s="418" t="str">
        <f t="shared" si="91"/>
        <v xml:space="preserve"> </v>
      </c>
      <c r="Q215" s="418"/>
    </row>
    <row r="216" spans="2:17" ht="12.75" customHeight="1" x14ac:dyDescent="0.2">
      <c r="B216" s="298"/>
      <c r="C216" s="299"/>
      <c r="D216" s="299"/>
      <c r="E216" s="299"/>
      <c r="F216" s="298"/>
      <c r="G216" s="359"/>
      <c r="H216" s="436"/>
      <c r="I216" s="418" t="str">
        <f t="shared" si="88"/>
        <v xml:space="preserve"> </v>
      </c>
      <c r="J216" s="359"/>
      <c r="K216" s="456"/>
      <c r="L216" s="418" t="str">
        <f t="shared" si="89"/>
        <v xml:space="preserve"> </v>
      </c>
      <c r="M216" s="359"/>
      <c r="N216" s="436"/>
      <c r="O216" s="418" t="str">
        <f t="shared" si="90"/>
        <v xml:space="preserve"> </v>
      </c>
      <c r="P216" s="418" t="str">
        <f t="shared" si="91"/>
        <v xml:space="preserve"> </v>
      </c>
      <c r="Q216" s="418"/>
    </row>
    <row r="217" spans="2:17" ht="12.75" customHeight="1" x14ac:dyDescent="0.2">
      <c r="B217" s="298"/>
      <c r="C217" s="299" t="s">
        <v>278</v>
      </c>
      <c r="D217" s="542" t="s">
        <v>514</v>
      </c>
      <c r="E217" s="546"/>
      <c r="F217" s="298"/>
      <c r="G217" s="359"/>
      <c r="H217" s="436"/>
      <c r="I217" s="418" t="str">
        <f t="shared" si="88"/>
        <v xml:space="preserve"> </v>
      </c>
      <c r="J217" s="359"/>
      <c r="K217" s="456"/>
      <c r="L217" s="418" t="str">
        <f t="shared" si="89"/>
        <v xml:space="preserve"> </v>
      </c>
      <c r="M217" s="359"/>
      <c r="N217" s="436"/>
      <c r="O217" s="418" t="str">
        <f t="shared" si="90"/>
        <v xml:space="preserve"> </v>
      </c>
      <c r="P217" s="418" t="str">
        <f t="shared" si="91"/>
        <v xml:space="preserve"> </v>
      </c>
      <c r="Q217" s="418"/>
    </row>
    <row r="218" spans="2:17" ht="12.75" customHeight="1" x14ac:dyDescent="0.2">
      <c r="B218" s="298"/>
      <c r="C218" s="299"/>
      <c r="D218" s="366" t="s">
        <v>277</v>
      </c>
      <c r="E218" s="366" t="s">
        <v>133</v>
      </c>
      <c r="F218" s="298" t="s">
        <v>844</v>
      </c>
      <c r="G218" s="359">
        <v>1</v>
      </c>
      <c r="H218" s="418">
        <v>20000</v>
      </c>
      <c r="I218" s="418">
        <f t="shared" si="88"/>
        <v>20000</v>
      </c>
      <c r="J218" s="359">
        <v>1</v>
      </c>
      <c r="K218" s="456">
        <v>20000</v>
      </c>
      <c r="L218" s="418">
        <f t="shared" si="89"/>
        <v>20000</v>
      </c>
      <c r="M218" s="359">
        <v>1</v>
      </c>
      <c r="N218" s="418">
        <v>20000</v>
      </c>
      <c r="O218" s="418">
        <f t="shared" si="90"/>
        <v>20000</v>
      </c>
      <c r="P218" s="418">
        <f>K218-N218</f>
        <v>0</v>
      </c>
      <c r="Q218" s="418">
        <f>L218-O218</f>
        <v>0</v>
      </c>
    </row>
    <row r="219" spans="2:17" ht="12.75" customHeight="1" x14ac:dyDescent="0.2">
      <c r="B219" s="298"/>
      <c r="C219" s="299"/>
      <c r="D219" s="366"/>
      <c r="E219" s="366"/>
      <c r="F219" s="298"/>
      <c r="G219" s="359"/>
      <c r="H219" s="418" t="str">
        <f t="shared" si="88"/>
        <v xml:space="preserve"> </v>
      </c>
      <c r="I219" s="418" t="str">
        <f t="shared" si="88"/>
        <v xml:space="preserve"> </v>
      </c>
      <c r="J219" s="359"/>
      <c r="K219" s="456" t="s">
        <v>849</v>
      </c>
      <c r="L219" s="418" t="str">
        <f t="shared" si="89"/>
        <v xml:space="preserve"> </v>
      </c>
      <c r="M219" s="359"/>
      <c r="N219" s="418"/>
      <c r="O219" s="418" t="str">
        <f t="shared" si="90"/>
        <v xml:space="preserve"> </v>
      </c>
      <c r="P219" s="418"/>
      <c r="Q219" s="418"/>
    </row>
    <row r="220" spans="2:17" ht="12.75" customHeight="1" x14ac:dyDescent="0.2">
      <c r="B220" s="298"/>
      <c r="C220" s="299"/>
      <c r="D220" s="366" t="s">
        <v>124</v>
      </c>
      <c r="E220" s="366" t="s">
        <v>134</v>
      </c>
      <c r="F220" s="298" t="s">
        <v>284</v>
      </c>
      <c r="G220" s="359">
        <v>6</v>
      </c>
      <c r="H220" s="418">
        <v>15000</v>
      </c>
      <c r="I220" s="418">
        <f t="shared" si="88"/>
        <v>90000</v>
      </c>
      <c r="J220" s="359">
        <v>6</v>
      </c>
      <c r="K220" s="456">
        <v>3500</v>
      </c>
      <c r="L220" s="418">
        <f t="shared" si="89"/>
        <v>21000</v>
      </c>
      <c r="M220" s="359">
        <v>6</v>
      </c>
      <c r="N220" s="418">
        <v>3500</v>
      </c>
      <c r="O220" s="418">
        <f t="shared" si="90"/>
        <v>21000</v>
      </c>
      <c r="P220" s="418">
        <f t="shared" ref="P220:P227" si="92">K220-N220</f>
        <v>0</v>
      </c>
      <c r="Q220" s="418">
        <f t="shared" ref="Q220:Q227" si="93">L220-O220</f>
        <v>0</v>
      </c>
    </row>
    <row r="221" spans="2:17" ht="12.75" customHeight="1" x14ac:dyDescent="0.2">
      <c r="B221" s="298"/>
      <c r="C221" s="299"/>
      <c r="D221" s="366"/>
      <c r="E221" s="366"/>
      <c r="F221" s="298"/>
      <c r="G221" s="359"/>
      <c r="H221" s="418" t="str">
        <f t="shared" si="88"/>
        <v xml:space="preserve"> </v>
      </c>
      <c r="I221" s="418" t="str">
        <f t="shared" si="88"/>
        <v xml:space="preserve"> </v>
      </c>
      <c r="J221" s="359"/>
      <c r="K221" s="456" t="s">
        <v>849</v>
      </c>
      <c r="L221" s="418" t="str">
        <f t="shared" si="89"/>
        <v xml:space="preserve"> </v>
      </c>
      <c r="M221" s="359"/>
      <c r="N221" s="418"/>
      <c r="O221" s="418" t="str">
        <f t="shared" si="90"/>
        <v xml:space="preserve"> </v>
      </c>
      <c r="P221" s="418"/>
      <c r="Q221" s="418"/>
    </row>
    <row r="222" spans="2:17" ht="12.75" customHeight="1" x14ac:dyDescent="0.2">
      <c r="B222" s="298"/>
      <c r="C222" s="299" t="s">
        <v>281</v>
      </c>
      <c r="D222" s="542" t="s">
        <v>578</v>
      </c>
      <c r="E222" s="546"/>
      <c r="F222" s="298"/>
      <c r="G222" s="359"/>
      <c r="H222" s="418" t="str">
        <f t="shared" si="88"/>
        <v xml:space="preserve"> </v>
      </c>
      <c r="I222" s="418" t="str">
        <f t="shared" si="88"/>
        <v xml:space="preserve"> </v>
      </c>
      <c r="J222" s="359"/>
      <c r="K222" s="456" t="s">
        <v>849</v>
      </c>
      <c r="L222" s="418" t="str">
        <f t="shared" si="89"/>
        <v xml:space="preserve"> </v>
      </c>
      <c r="M222" s="359"/>
      <c r="N222" s="418"/>
      <c r="O222" s="418" t="str">
        <f t="shared" si="90"/>
        <v xml:space="preserve"> </v>
      </c>
      <c r="P222" s="418"/>
      <c r="Q222" s="418"/>
    </row>
    <row r="223" spans="2:17" ht="12.75" customHeight="1" x14ac:dyDescent="0.2">
      <c r="B223" s="298"/>
      <c r="C223" s="299"/>
      <c r="D223" s="366" t="s">
        <v>277</v>
      </c>
      <c r="E223" s="366" t="s">
        <v>133</v>
      </c>
      <c r="F223" s="298" t="s">
        <v>844</v>
      </c>
      <c r="G223" s="359">
        <v>1</v>
      </c>
      <c r="H223" s="418">
        <v>15000</v>
      </c>
      <c r="I223" s="418">
        <f t="shared" si="88"/>
        <v>15000</v>
      </c>
      <c r="J223" s="359">
        <v>1</v>
      </c>
      <c r="K223" s="456">
        <v>10000</v>
      </c>
      <c r="L223" s="418">
        <f t="shared" si="89"/>
        <v>10000</v>
      </c>
      <c r="M223" s="359">
        <v>1</v>
      </c>
      <c r="N223" s="418">
        <v>10000</v>
      </c>
      <c r="O223" s="418">
        <f t="shared" si="90"/>
        <v>10000</v>
      </c>
      <c r="P223" s="418">
        <f t="shared" si="92"/>
        <v>0</v>
      </c>
      <c r="Q223" s="418">
        <f t="shared" si="93"/>
        <v>0</v>
      </c>
    </row>
    <row r="224" spans="2:17" ht="12.75" customHeight="1" x14ac:dyDescent="0.2">
      <c r="B224" s="298"/>
      <c r="C224" s="299"/>
      <c r="D224" s="366"/>
      <c r="E224" s="366"/>
      <c r="F224" s="298"/>
      <c r="G224" s="359"/>
      <c r="H224" s="418" t="str">
        <f t="shared" si="88"/>
        <v xml:space="preserve"> </v>
      </c>
      <c r="I224" s="418" t="str">
        <f t="shared" si="88"/>
        <v xml:space="preserve"> </v>
      </c>
      <c r="J224" s="359"/>
      <c r="K224" s="456" t="s">
        <v>849</v>
      </c>
      <c r="L224" s="418" t="str">
        <f t="shared" si="89"/>
        <v xml:space="preserve"> </v>
      </c>
      <c r="M224" s="359"/>
      <c r="N224" s="418"/>
      <c r="O224" s="418" t="str">
        <f t="shared" si="90"/>
        <v xml:space="preserve"> </v>
      </c>
      <c r="P224" s="418"/>
      <c r="Q224" s="418"/>
    </row>
    <row r="225" spans="2:17" ht="12.75" customHeight="1" x14ac:dyDescent="0.2">
      <c r="B225" s="298"/>
      <c r="C225" s="299"/>
      <c r="D225" s="366" t="s">
        <v>124</v>
      </c>
      <c r="E225" s="366" t="s">
        <v>134</v>
      </c>
      <c r="F225" s="298" t="s">
        <v>284</v>
      </c>
      <c r="G225" s="359">
        <v>6</v>
      </c>
      <c r="H225" s="418">
        <v>15000</v>
      </c>
      <c r="I225" s="418">
        <f t="shared" si="88"/>
        <v>90000</v>
      </c>
      <c r="J225" s="359">
        <v>6</v>
      </c>
      <c r="K225" s="456">
        <v>3500</v>
      </c>
      <c r="L225" s="418">
        <f t="shared" si="89"/>
        <v>21000</v>
      </c>
      <c r="M225" s="359">
        <v>6</v>
      </c>
      <c r="N225" s="418">
        <v>3500</v>
      </c>
      <c r="O225" s="418">
        <f t="shared" si="90"/>
        <v>21000</v>
      </c>
      <c r="P225" s="418">
        <f t="shared" si="92"/>
        <v>0</v>
      </c>
      <c r="Q225" s="418">
        <f t="shared" si="93"/>
        <v>0</v>
      </c>
    </row>
    <row r="226" spans="2:17" ht="12.75" customHeight="1" x14ac:dyDescent="0.2">
      <c r="B226" s="298"/>
      <c r="C226" s="299"/>
      <c r="D226" s="366"/>
      <c r="E226" s="366"/>
      <c r="F226" s="298"/>
      <c r="G226" s="359"/>
      <c r="H226" s="418" t="str">
        <f t="shared" si="88"/>
        <v xml:space="preserve"> </v>
      </c>
      <c r="I226" s="418" t="str">
        <f t="shared" si="88"/>
        <v xml:space="preserve"> </v>
      </c>
      <c r="J226" s="359"/>
      <c r="K226" s="456" t="s">
        <v>849</v>
      </c>
      <c r="L226" s="418" t="str">
        <f t="shared" si="89"/>
        <v xml:space="preserve"> </v>
      </c>
      <c r="M226" s="359"/>
      <c r="N226" s="418"/>
      <c r="O226" s="418" t="str">
        <f t="shared" si="90"/>
        <v xml:space="preserve"> </v>
      </c>
      <c r="P226" s="418"/>
      <c r="Q226" s="418"/>
    </row>
    <row r="227" spans="2:17" ht="12.75" customHeight="1" x14ac:dyDescent="0.2">
      <c r="B227" s="298" t="s">
        <v>409</v>
      </c>
      <c r="C227" s="299" t="s">
        <v>579</v>
      </c>
      <c r="D227" s="366"/>
      <c r="E227" s="366"/>
      <c r="F227" s="298" t="s">
        <v>310</v>
      </c>
      <c r="G227" s="359">
        <v>200</v>
      </c>
      <c r="H227" s="418">
        <v>200</v>
      </c>
      <c r="I227" s="418">
        <f t="shared" si="88"/>
        <v>40000</v>
      </c>
      <c r="J227" s="359">
        <v>200</v>
      </c>
      <c r="K227" s="456">
        <v>300</v>
      </c>
      <c r="L227" s="418">
        <f t="shared" si="89"/>
        <v>60000</v>
      </c>
      <c r="M227" s="359">
        <v>200</v>
      </c>
      <c r="N227" s="418">
        <v>300</v>
      </c>
      <c r="O227" s="418">
        <f t="shared" si="90"/>
        <v>60000</v>
      </c>
      <c r="P227" s="418">
        <f t="shared" si="92"/>
        <v>0</v>
      </c>
      <c r="Q227" s="418">
        <f t="shared" si="93"/>
        <v>0</v>
      </c>
    </row>
    <row r="228" spans="2:17" ht="12.75" customHeight="1" x14ac:dyDescent="0.2">
      <c r="B228" s="302"/>
      <c r="C228" s="315"/>
      <c r="D228" s="316"/>
      <c r="E228" s="308"/>
      <c r="F228" s="298"/>
      <c r="G228" s="298"/>
      <c r="H228" s="436"/>
      <c r="I228" s="418" t="str">
        <f t="shared" si="88"/>
        <v xml:space="preserve"> </v>
      </c>
      <c r="J228" s="298"/>
      <c r="K228" s="456"/>
      <c r="L228" s="418" t="str">
        <f t="shared" si="89"/>
        <v xml:space="preserve"> </v>
      </c>
      <c r="M228" s="298"/>
      <c r="N228" s="436"/>
      <c r="O228" s="418" t="str">
        <f t="shared" si="90"/>
        <v xml:space="preserve"> </v>
      </c>
      <c r="P228" s="418" t="str">
        <f t="shared" si="91"/>
        <v xml:space="preserve"> </v>
      </c>
      <c r="Q228" s="418"/>
    </row>
    <row r="229" spans="2:17" ht="12.75" customHeight="1" x14ac:dyDescent="0.2">
      <c r="B229" s="302"/>
      <c r="C229" s="315"/>
      <c r="D229" s="316"/>
      <c r="E229" s="308"/>
      <c r="F229" s="298"/>
      <c r="G229" s="298"/>
      <c r="H229" s="436"/>
      <c r="I229" s="418" t="str">
        <f t="shared" si="88"/>
        <v xml:space="preserve"> </v>
      </c>
      <c r="J229" s="298"/>
      <c r="K229" s="456"/>
      <c r="L229" s="418" t="str">
        <f t="shared" si="89"/>
        <v xml:space="preserve"> </v>
      </c>
      <c r="M229" s="298"/>
      <c r="N229" s="436"/>
      <c r="O229" s="418" t="str">
        <f t="shared" si="90"/>
        <v xml:space="preserve"> </v>
      </c>
      <c r="P229" s="418" t="str">
        <f t="shared" si="91"/>
        <v xml:space="preserve"> </v>
      </c>
      <c r="Q229" s="418"/>
    </row>
    <row r="230" spans="2:17" ht="12.75" customHeight="1" x14ac:dyDescent="0.2">
      <c r="B230" s="267"/>
      <c r="F230" s="298"/>
      <c r="G230" s="268"/>
      <c r="H230" s="317"/>
      <c r="I230" s="418" t="str">
        <f t="shared" si="88"/>
        <v xml:space="preserve"> </v>
      </c>
      <c r="J230" s="268"/>
      <c r="K230" s="456"/>
      <c r="L230" s="418" t="str">
        <f t="shared" si="89"/>
        <v xml:space="preserve"> </v>
      </c>
      <c r="M230" s="268"/>
      <c r="N230" s="317"/>
      <c r="O230" s="418" t="str">
        <f t="shared" si="90"/>
        <v xml:space="preserve"> </v>
      </c>
      <c r="P230" s="418" t="str">
        <f t="shared" si="91"/>
        <v xml:space="preserve"> </v>
      </c>
      <c r="Q230" s="418"/>
    </row>
    <row r="231" spans="2:17" ht="12.75" customHeight="1" x14ac:dyDescent="0.2">
      <c r="B231" s="267"/>
      <c r="F231" s="298"/>
      <c r="G231" s="268"/>
      <c r="H231" s="317"/>
      <c r="I231" s="418" t="str">
        <f t="shared" ref="I231:I260" si="94">IF(G231=0," ",G231*H231)</f>
        <v xml:space="preserve"> </v>
      </c>
      <c r="J231" s="268"/>
      <c r="K231" s="456"/>
      <c r="L231" s="418" t="str">
        <f t="shared" si="89"/>
        <v xml:space="preserve"> </v>
      </c>
      <c r="M231" s="268"/>
      <c r="N231" s="317"/>
      <c r="O231" s="418" t="str">
        <f t="shared" si="90"/>
        <v xml:space="preserve"> </v>
      </c>
      <c r="P231" s="418" t="str">
        <f t="shared" si="91"/>
        <v xml:space="preserve"> </v>
      </c>
      <c r="Q231" s="418"/>
    </row>
    <row r="232" spans="2:17" ht="12.75" customHeight="1" x14ac:dyDescent="0.2">
      <c r="B232" s="267"/>
      <c r="F232" s="265"/>
      <c r="G232" s="268"/>
      <c r="H232" s="317"/>
      <c r="I232" s="418" t="str">
        <f t="shared" si="94"/>
        <v xml:space="preserve"> </v>
      </c>
      <c r="J232" s="268"/>
      <c r="K232" s="456"/>
      <c r="L232" s="418" t="str">
        <f t="shared" si="89"/>
        <v xml:space="preserve"> </v>
      </c>
      <c r="M232" s="268"/>
      <c r="N232" s="317"/>
      <c r="O232" s="418" t="str">
        <f t="shared" si="90"/>
        <v xml:space="preserve"> </v>
      </c>
      <c r="P232" s="418" t="str">
        <f t="shared" si="91"/>
        <v xml:space="preserve"> </v>
      </c>
      <c r="Q232" s="418"/>
    </row>
    <row r="233" spans="2:17" ht="12.75" customHeight="1" x14ac:dyDescent="0.2">
      <c r="B233" s="267"/>
      <c r="F233" s="265"/>
      <c r="G233" s="268"/>
      <c r="H233" s="317"/>
      <c r="I233" s="418" t="str">
        <f t="shared" si="94"/>
        <v xml:space="preserve"> </v>
      </c>
      <c r="J233" s="268"/>
      <c r="K233" s="456"/>
      <c r="L233" s="418" t="str">
        <f t="shared" si="89"/>
        <v xml:space="preserve"> </v>
      </c>
      <c r="M233" s="268"/>
      <c r="N233" s="317"/>
      <c r="O233" s="418" t="str">
        <f t="shared" si="90"/>
        <v xml:space="preserve"> </v>
      </c>
      <c r="P233" s="418" t="str">
        <f t="shared" si="91"/>
        <v xml:space="preserve"> </v>
      </c>
      <c r="Q233" s="418"/>
    </row>
    <row r="234" spans="2:17" ht="12.75" customHeight="1" x14ac:dyDescent="0.2">
      <c r="B234" s="267"/>
      <c r="F234" s="265"/>
      <c r="G234" s="268"/>
      <c r="H234" s="317"/>
      <c r="I234" s="418" t="str">
        <f t="shared" si="94"/>
        <v xml:space="preserve"> </v>
      </c>
      <c r="J234" s="268"/>
      <c r="K234" s="456"/>
      <c r="L234" s="418" t="str">
        <f t="shared" si="89"/>
        <v xml:space="preserve"> </v>
      </c>
      <c r="M234" s="268"/>
      <c r="N234" s="317"/>
      <c r="O234" s="418" t="str">
        <f t="shared" si="90"/>
        <v xml:space="preserve"> </v>
      </c>
      <c r="P234" s="418" t="str">
        <f t="shared" si="91"/>
        <v xml:space="preserve"> </v>
      </c>
      <c r="Q234" s="418"/>
    </row>
    <row r="235" spans="2:17" ht="12.75" customHeight="1" x14ac:dyDescent="0.2">
      <c r="B235" s="267"/>
      <c r="F235" s="265"/>
      <c r="G235" s="268"/>
      <c r="H235" s="317"/>
      <c r="I235" s="418" t="str">
        <f t="shared" si="94"/>
        <v xml:space="preserve"> </v>
      </c>
      <c r="J235" s="268"/>
      <c r="K235" s="456"/>
      <c r="L235" s="418" t="str">
        <f t="shared" si="89"/>
        <v xml:space="preserve"> </v>
      </c>
      <c r="M235" s="268"/>
      <c r="N235" s="317"/>
      <c r="O235" s="418" t="str">
        <f t="shared" si="90"/>
        <v xml:space="preserve"> </v>
      </c>
      <c r="P235" s="418" t="str">
        <f t="shared" si="91"/>
        <v xml:space="preserve"> </v>
      </c>
      <c r="Q235" s="418"/>
    </row>
    <row r="236" spans="2:17" ht="12.75" customHeight="1" x14ac:dyDescent="0.2">
      <c r="B236" s="267"/>
      <c r="F236" s="265"/>
      <c r="G236" s="268"/>
      <c r="H236" s="317"/>
      <c r="I236" s="418" t="str">
        <f t="shared" si="94"/>
        <v xml:space="preserve"> </v>
      </c>
      <c r="J236" s="268"/>
      <c r="K236" s="456"/>
      <c r="L236" s="418" t="str">
        <f t="shared" si="89"/>
        <v xml:space="preserve"> </v>
      </c>
      <c r="M236" s="268"/>
      <c r="N236" s="317"/>
      <c r="O236" s="418" t="str">
        <f t="shared" si="90"/>
        <v xml:space="preserve"> </v>
      </c>
      <c r="P236" s="418" t="str">
        <f t="shared" si="91"/>
        <v xml:space="preserve"> </v>
      </c>
      <c r="Q236" s="418"/>
    </row>
    <row r="237" spans="2:17" ht="12.75" customHeight="1" x14ac:dyDescent="0.2">
      <c r="B237" s="267"/>
      <c r="F237" s="265"/>
      <c r="G237" s="268"/>
      <c r="H237" s="317"/>
      <c r="I237" s="418" t="str">
        <f t="shared" si="94"/>
        <v xml:space="preserve"> </v>
      </c>
      <c r="J237" s="268"/>
      <c r="K237" s="456"/>
      <c r="L237" s="418" t="str">
        <f t="shared" si="89"/>
        <v xml:space="preserve"> </v>
      </c>
      <c r="M237" s="268"/>
      <c r="N237" s="317"/>
      <c r="O237" s="418" t="str">
        <f t="shared" si="90"/>
        <v xml:space="preserve"> </v>
      </c>
      <c r="P237" s="418" t="str">
        <f t="shared" si="91"/>
        <v xml:space="preserve"> </v>
      </c>
      <c r="Q237" s="418"/>
    </row>
    <row r="238" spans="2:17" ht="12.75" customHeight="1" x14ac:dyDescent="0.2">
      <c r="B238" s="267"/>
      <c r="F238" s="265"/>
      <c r="G238" s="268"/>
      <c r="H238" s="317"/>
      <c r="I238" s="418" t="str">
        <f t="shared" si="94"/>
        <v xml:space="preserve"> </v>
      </c>
      <c r="J238" s="268"/>
      <c r="K238" s="456"/>
      <c r="L238" s="418" t="str">
        <f t="shared" si="89"/>
        <v xml:space="preserve"> </v>
      </c>
      <c r="M238" s="268"/>
      <c r="N238" s="317"/>
      <c r="O238" s="418" t="str">
        <f t="shared" si="90"/>
        <v xml:space="preserve"> </v>
      </c>
      <c r="P238" s="418" t="str">
        <f t="shared" si="91"/>
        <v xml:space="preserve"> </v>
      </c>
      <c r="Q238" s="418"/>
    </row>
    <row r="239" spans="2:17" ht="12.75" customHeight="1" x14ac:dyDescent="0.2">
      <c r="B239" s="267"/>
      <c r="F239" s="265"/>
      <c r="G239" s="275"/>
      <c r="H239" s="317"/>
      <c r="I239" s="418" t="str">
        <f t="shared" si="94"/>
        <v xml:space="preserve"> </v>
      </c>
      <c r="J239" s="275"/>
      <c r="K239" s="456"/>
      <c r="L239" s="418" t="str">
        <f t="shared" si="89"/>
        <v xml:space="preserve"> </v>
      </c>
      <c r="M239" s="275"/>
      <c r="N239" s="317"/>
      <c r="O239" s="418" t="str">
        <f t="shared" si="90"/>
        <v xml:space="preserve"> </v>
      </c>
      <c r="P239" s="418" t="str">
        <f t="shared" si="91"/>
        <v xml:space="preserve"> </v>
      </c>
      <c r="Q239" s="418"/>
    </row>
    <row r="240" spans="2:17" ht="12.75" customHeight="1" x14ac:dyDescent="0.2">
      <c r="B240" s="267"/>
      <c r="F240" s="265"/>
      <c r="G240" s="268"/>
      <c r="H240" s="317"/>
      <c r="I240" s="418" t="str">
        <f t="shared" si="94"/>
        <v xml:space="preserve"> </v>
      </c>
      <c r="J240" s="268"/>
      <c r="K240" s="456"/>
      <c r="L240" s="418" t="str">
        <f t="shared" si="89"/>
        <v xml:space="preserve"> </v>
      </c>
      <c r="M240" s="268"/>
      <c r="N240" s="317"/>
      <c r="O240" s="418" t="str">
        <f t="shared" si="90"/>
        <v xml:space="preserve"> </v>
      </c>
      <c r="P240" s="418" t="str">
        <f t="shared" si="91"/>
        <v xml:space="preserve"> </v>
      </c>
      <c r="Q240" s="418"/>
    </row>
    <row r="241" spans="2:17" ht="12.75" customHeight="1" x14ac:dyDescent="0.2">
      <c r="B241" s="267"/>
      <c r="F241" s="265"/>
      <c r="G241" s="268"/>
      <c r="H241" s="317"/>
      <c r="I241" s="418" t="str">
        <f t="shared" si="94"/>
        <v xml:space="preserve"> </v>
      </c>
      <c r="J241" s="268"/>
      <c r="K241" s="456"/>
      <c r="L241" s="418" t="str">
        <f t="shared" si="89"/>
        <v xml:space="preserve"> </v>
      </c>
      <c r="M241" s="268"/>
      <c r="N241" s="317"/>
      <c r="O241" s="418" t="str">
        <f t="shared" si="90"/>
        <v xml:space="preserve"> </v>
      </c>
      <c r="P241" s="418" t="str">
        <f t="shared" si="91"/>
        <v xml:space="preserve"> </v>
      </c>
      <c r="Q241" s="418"/>
    </row>
    <row r="242" spans="2:17" ht="12.75" customHeight="1" x14ac:dyDescent="0.2">
      <c r="B242" s="267"/>
      <c r="F242" s="265"/>
      <c r="G242" s="268"/>
      <c r="H242" s="317"/>
      <c r="I242" s="418" t="str">
        <f t="shared" si="94"/>
        <v xml:space="preserve"> </v>
      </c>
      <c r="J242" s="268"/>
      <c r="K242" s="456"/>
      <c r="L242" s="418" t="str">
        <f t="shared" si="89"/>
        <v xml:space="preserve"> </v>
      </c>
      <c r="M242" s="268"/>
      <c r="N242" s="317"/>
      <c r="O242" s="418" t="str">
        <f t="shared" si="90"/>
        <v xml:space="preserve"> </v>
      </c>
      <c r="P242" s="418" t="str">
        <f t="shared" si="91"/>
        <v xml:space="preserve"> </v>
      </c>
      <c r="Q242" s="418"/>
    </row>
    <row r="243" spans="2:17" ht="12.75" customHeight="1" x14ac:dyDescent="0.2">
      <c r="B243" s="267"/>
      <c r="F243" s="265"/>
      <c r="G243" s="268"/>
      <c r="H243" s="317"/>
      <c r="I243" s="418" t="str">
        <f t="shared" si="94"/>
        <v xml:space="preserve"> </v>
      </c>
      <c r="J243" s="268"/>
      <c r="K243" s="456"/>
      <c r="L243" s="418" t="str">
        <f t="shared" si="89"/>
        <v xml:space="preserve"> </v>
      </c>
      <c r="M243" s="268"/>
      <c r="N243" s="317"/>
      <c r="O243" s="418" t="str">
        <f t="shared" si="90"/>
        <v xml:space="preserve"> </v>
      </c>
      <c r="P243" s="418" t="str">
        <f t="shared" si="91"/>
        <v xml:space="preserve"> </v>
      </c>
      <c r="Q243" s="418"/>
    </row>
    <row r="244" spans="2:17" ht="12.75" customHeight="1" x14ac:dyDescent="0.2">
      <c r="B244" s="267"/>
      <c r="F244" s="265"/>
      <c r="G244" s="268"/>
      <c r="H244" s="317"/>
      <c r="I244" s="418" t="str">
        <f t="shared" si="94"/>
        <v xml:space="preserve"> </v>
      </c>
      <c r="J244" s="268"/>
      <c r="K244" s="456"/>
      <c r="L244" s="418" t="str">
        <f t="shared" si="89"/>
        <v xml:space="preserve"> </v>
      </c>
      <c r="M244" s="268"/>
      <c r="N244" s="317"/>
      <c r="O244" s="418" t="str">
        <f t="shared" si="90"/>
        <v xml:space="preserve"> </v>
      </c>
      <c r="P244" s="418" t="str">
        <f t="shared" si="91"/>
        <v xml:space="preserve"> </v>
      </c>
      <c r="Q244" s="418"/>
    </row>
    <row r="245" spans="2:17" ht="12.75" customHeight="1" x14ac:dyDescent="0.2">
      <c r="B245" s="267"/>
      <c r="F245" s="265"/>
      <c r="G245" s="268"/>
      <c r="H245" s="317"/>
      <c r="I245" s="418" t="str">
        <f t="shared" si="94"/>
        <v xml:space="preserve"> </v>
      </c>
      <c r="J245" s="268"/>
      <c r="K245" s="456"/>
      <c r="L245" s="418" t="str">
        <f t="shared" si="89"/>
        <v xml:space="preserve"> </v>
      </c>
      <c r="M245" s="268"/>
      <c r="N245" s="317"/>
      <c r="O245" s="418" t="str">
        <f t="shared" si="90"/>
        <v xml:space="preserve"> </v>
      </c>
      <c r="P245" s="418" t="str">
        <f t="shared" si="91"/>
        <v xml:space="preserve"> </v>
      </c>
      <c r="Q245" s="418"/>
    </row>
    <row r="246" spans="2:17" ht="12.75" customHeight="1" x14ac:dyDescent="0.2">
      <c r="B246" s="267"/>
      <c r="F246" s="265"/>
      <c r="G246" s="268"/>
      <c r="H246" s="317"/>
      <c r="I246" s="418" t="str">
        <f t="shared" si="94"/>
        <v xml:space="preserve"> </v>
      </c>
      <c r="J246" s="268"/>
      <c r="K246" s="456"/>
      <c r="L246" s="418" t="str">
        <f t="shared" si="89"/>
        <v xml:space="preserve"> </v>
      </c>
      <c r="M246" s="268"/>
      <c r="N246" s="317"/>
      <c r="O246" s="418" t="str">
        <f t="shared" si="90"/>
        <v xml:space="preserve"> </v>
      </c>
      <c r="P246" s="418" t="str">
        <f t="shared" si="91"/>
        <v xml:space="preserve"> </v>
      </c>
      <c r="Q246" s="418"/>
    </row>
    <row r="247" spans="2:17" ht="12.75" customHeight="1" x14ac:dyDescent="0.2">
      <c r="B247" s="267"/>
      <c r="F247" s="265"/>
      <c r="G247" s="268"/>
      <c r="H247" s="317"/>
      <c r="I247" s="418" t="str">
        <f t="shared" si="94"/>
        <v xml:space="preserve"> </v>
      </c>
      <c r="J247" s="268"/>
      <c r="K247" s="456"/>
      <c r="L247" s="418" t="str">
        <f t="shared" si="89"/>
        <v xml:space="preserve"> </v>
      </c>
      <c r="M247" s="268"/>
      <c r="N247" s="317"/>
      <c r="O247" s="418" t="str">
        <f t="shared" si="90"/>
        <v xml:space="preserve"> </v>
      </c>
      <c r="P247" s="418" t="str">
        <f t="shared" si="91"/>
        <v xml:space="preserve"> </v>
      </c>
      <c r="Q247" s="418"/>
    </row>
    <row r="248" spans="2:17" ht="12.75" customHeight="1" x14ac:dyDescent="0.2">
      <c r="B248" s="267"/>
      <c r="F248" s="265"/>
      <c r="G248" s="268"/>
      <c r="H248" s="317"/>
      <c r="I248" s="418" t="str">
        <f t="shared" si="94"/>
        <v xml:space="preserve"> </v>
      </c>
      <c r="J248" s="268"/>
      <c r="K248" s="456"/>
      <c r="L248" s="418" t="str">
        <f t="shared" si="89"/>
        <v xml:space="preserve"> </v>
      </c>
      <c r="M248" s="268"/>
      <c r="N248" s="317"/>
      <c r="O248" s="418" t="str">
        <f t="shared" si="90"/>
        <v xml:space="preserve"> </v>
      </c>
      <c r="P248" s="418" t="str">
        <f t="shared" si="91"/>
        <v xml:space="preserve"> </v>
      </c>
      <c r="Q248" s="418"/>
    </row>
    <row r="249" spans="2:17" ht="12.75" customHeight="1" x14ac:dyDescent="0.2">
      <c r="B249" s="267"/>
      <c r="F249" s="265"/>
      <c r="G249" s="268"/>
      <c r="H249" s="317"/>
      <c r="I249" s="418" t="str">
        <f t="shared" si="94"/>
        <v xml:space="preserve"> </v>
      </c>
      <c r="J249" s="268"/>
      <c r="K249" s="456"/>
      <c r="L249" s="418" t="str">
        <f t="shared" si="89"/>
        <v xml:space="preserve"> </v>
      </c>
      <c r="M249" s="268"/>
      <c r="N249" s="317"/>
      <c r="O249" s="418" t="str">
        <f t="shared" si="90"/>
        <v xml:space="preserve"> </v>
      </c>
      <c r="P249" s="418" t="str">
        <f t="shared" si="91"/>
        <v xml:space="preserve"> </v>
      </c>
      <c r="Q249" s="418"/>
    </row>
    <row r="250" spans="2:17" ht="12.75" customHeight="1" x14ac:dyDescent="0.2">
      <c r="B250" s="267"/>
      <c r="F250" s="265"/>
      <c r="G250" s="268"/>
      <c r="H250" s="317"/>
      <c r="I250" s="418" t="str">
        <f t="shared" si="94"/>
        <v xml:space="preserve"> </v>
      </c>
      <c r="J250" s="268"/>
      <c r="K250" s="456"/>
      <c r="L250" s="418" t="str">
        <f t="shared" si="89"/>
        <v xml:space="preserve"> </v>
      </c>
      <c r="M250" s="268"/>
      <c r="N250" s="317"/>
      <c r="O250" s="418" t="str">
        <f t="shared" si="90"/>
        <v xml:space="preserve"> </v>
      </c>
      <c r="P250" s="418" t="str">
        <f t="shared" si="91"/>
        <v xml:space="preserve"> </v>
      </c>
      <c r="Q250" s="418"/>
    </row>
    <row r="251" spans="2:17" ht="12.75" customHeight="1" x14ac:dyDescent="0.2">
      <c r="B251" s="267"/>
      <c r="F251" s="265"/>
      <c r="G251" s="268"/>
      <c r="H251" s="317"/>
      <c r="I251" s="418" t="str">
        <f t="shared" si="94"/>
        <v xml:space="preserve"> </v>
      </c>
      <c r="J251" s="268"/>
      <c r="K251" s="456"/>
      <c r="L251" s="418" t="str">
        <f t="shared" si="89"/>
        <v xml:space="preserve"> </v>
      </c>
      <c r="M251" s="268"/>
      <c r="N251" s="317"/>
      <c r="O251" s="418" t="str">
        <f t="shared" si="90"/>
        <v xml:space="preserve"> </v>
      </c>
      <c r="P251" s="418" t="str">
        <f t="shared" si="91"/>
        <v xml:space="preserve"> </v>
      </c>
      <c r="Q251" s="418"/>
    </row>
    <row r="252" spans="2:17" ht="12.75" customHeight="1" x14ac:dyDescent="0.2">
      <c r="B252" s="267"/>
      <c r="F252" s="265"/>
      <c r="G252" s="268"/>
      <c r="H252" s="317"/>
      <c r="I252" s="418" t="str">
        <f t="shared" si="94"/>
        <v xml:space="preserve"> </v>
      </c>
      <c r="J252" s="268"/>
      <c r="K252" s="456"/>
      <c r="L252" s="418" t="str">
        <f t="shared" si="89"/>
        <v xml:space="preserve"> </v>
      </c>
      <c r="M252" s="268"/>
      <c r="N252" s="317"/>
      <c r="O252" s="418" t="str">
        <f t="shared" si="90"/>
        <v xml:space="preserve"> </v>
      </c>
      <c r="P252" s="418" t="str">
        <f t="shared" si="91"/>
        <v xml:space="preserve"> </v>
      </c>
      <c r="Q252" s="418"/>
    </row>
    <row r="253" spans="2:17" ht="12.75" customHeight="1" x14ac:dyDescent="0.2">
      <c r="B253" s="267"/>
      <c r="F253" s="265"/>
      <c r="G253" s="268"/>
      <c r="H253" s="317"/>
      <c r="I253" s="418" t="str">
        <f t="shared" si="94"/>
        <v xml:space="preserve"> </v>
      </c>
      <c r="J253" s="268"/>
      <c r="K253" s="456"/>
      <c r="L253" s="418" t="str">
        <f t="shared" si="89"/>
        <v xml:space="preserve"> </v>
      </c>
      <c r="M253" s="268"/>
      <c r="N253" s="317"/>
      <c r="O253" s="418" t="str">
        <f t="shared" si="90"/>
        <v xml:space="preserve"> </v>
      </c>
      <c r="P253" s="418" t="str">
        <f t="shared" si="91"/>
        <v xml:space="preserve"> </v>
      </c>
      <c r="Q253" s="418"/>
    </row>
    <row r="254" spans="2:17" ht="12.75" customHeight="1" x14ac:dyDescent="0.2">
      <c r="B254" s="267"/>
      <c r="F254" s="265"/>
      <c r="G254" s="268"/>
      <c r="H254" s="317"/>
      <c r="I254" s="418" t="str">
        <f t="shared" si="94"/>
        <v xml:space="preserve"> </v>
      </c>
      <c r="J254" s="268"/>
      <c r="K254" s="456"/>
      <c r="L254" s="418" t="str">
        <f t="shared" si="89"/>
        <v xml:space="preserve"> </v>
      </c>
      <c r="M254" s="268"/>
      <c r="N254" s="317"/>
      <c r="O254" s="418" t="str">
        <f t="shared" si="90"/>
        <v xml:space="preserve"> </v>
      </c>
      <c r="P254" s="418" t="str">
        <f t="shared" si="91"/>
        <v xml:space="preserve"> </v>
      </c>
      <c r="Q254" s="418"/>
    </row>
    <row r="255" spans="2:17" ht="12.75" customHeight="1" x14ac:dyDescent="0.2">
      <c r="B255" s="267"/>
      <c r="F255" s="265"/>
      <c r="G255" s="268"/>
      <c r="H255" s="317"/>
      <c r="I255" s="418" t="str">
        <f t="shared" si="94"/>
        <v xml:space="preserve"> </v>
      </c>
      <c r="J255" s="268"/>
      <c r="K255" s="456"/>
      <c r="L255" s="418" t="str">
        <f t="shared" si="89"/>
        <v xml:space="preserve"> </v>
      </c>
      <c r="M255" s="268"/>
      <c r="N255" s="317"/>
      <c r="O255" s="418" t="str">
        <f t="shared" si="90"/>
        <v xml:space="preserve"> </v>
      </c>
      <c r="P255" s="418" t="str">
        <f t="shared" si="91"/>
        <v xml:space="preserve"> </v>
      </c>
      <c r="Q255" s="418"/>
    </row>
    <row r="256" spans="2:17" ht="12.75" customHeight="1" x14ac:dyDescent="0.2">
      <c r="B256" s="267"/>
      <c r="F256" s="265"/>
      <c r="G256" s="268"/>
      <c r="H256" s="317"/>
      <c r="I256" s="418" t="str">
        <f t="shared" si="94"/>
        <v xml:space="preserve"> </v>
      </c>
      <c r="J256" s="268"/>
      <c r="K256" s="456"/>
      <c r="L256" s="418" t="str">
        <f t="shared" si="89"/>
        <v xml:space="preserve"> </v>
      </c>
      <c r="M256" s="268"/>
      <c r="N256" s="317"/>
      <c r="O256" s="418" t="str">
        <f t="shared" si="90"/>
        <v xml:space="preserve"> </v>
      </c>
      <c r="P256" s="418" t="str">
        <f t="shared" si="91"/>
        <v xml:space="preserve"> </v>
      </c>
      <c r="Q256" s="418"/>
    </row>
    <row r="257" spans="2:21" ht="12.75" customHeight="1" x14ac:dyDescent="0.2">
      <c r="B257" s="267"/>
      <c r="F257" s="265"/>
      <c r="G257" s="268"/>
      <c r="H257" s="317"/>
      <c r="I257" s="418" t="str">
        <f t="shared" si="94"/>
        <v xml:space="preserve"> </v>
      </c>
      <c r="J257" s="268"/>
      <c r="K257" s="456"/>
      <c r="L257" s="418" t="str">
        <f t="shared" si="89"/>
        <v xml:space="preserve"> </v>
      </c>
      <c r="M257" s="268"/>
      <c r="N257" s="317"/>
      <c r="O257" s="418" t="str">
        <f t="shared" si="90"/>
        <v xml:space="preserve"> </v>
      </c>
      <c r="P257" s="418" t="str">
        <f t="shared" si="91"/>
        <v xml:space="preserve"> </v>
      </c>
      <c r="Q257" s="418"/>
    </row>
    <row r="258" spans="2:21" ht="12.75" customHeight="1" x14ac:dyDescent="0.2">
      <c r="B258" s="267"/>
      <c r="F258" s="265"/>
      <c r="G258" s="268"/>
      <c r="H258" s="317"/>
      <c r="I258" s="418" t="str">
        <f t="shared" si="94"/>
        <v xml:space="preserve"> </v>
      </c>
      <c r="J258" s="268"/>
      <c r="K258" s="456"/>
      <c r="L258" s="418" t="str">
        <f t="shared" si="89"/>
        <v xml:space="preserve"> </v>
      </c>
      <c r="M258" s="268"/>
      <c r="N258" s="317"/>
      <c r="O258" s="418" t="str">
        <f t="shared" si="90"/>
        <v xml:space="preserve"> </v>
      </c>
      <c r="P258" s="418" t="str">
        <f t="shared" si="91"/>
        <v xml:space="preserve"> </v>
      </c>
      <c r="Q258" s="418"/>
    </row>
    <row r="259" spans="2:21" ht="12.75" customHeight="1" x14ac:dyDescent="0.2">
      <c r="B259" s="267"/>
      <c r="F259" s="265"/>
      <c r="G259" s="268"/>
      <c r="H259" s="317"/>
      <c r="I259" s="418" t="str">
        <f t="shared" si="94"/>
        <v xml:space="preserve"> </v>
      </c>
      <c r="J259" s="268"/>
      <c r="K259" s="456"/>
      <c r="L259" s="418" t="str">
        <f t="shared" si="89"/>
        <v xml:space="preserve"> </v>
      </c>
      <c r="M259" s="268"/>
      <c r="N259" s="317"/>
      <c r="O259" s="418" t="str">
        <f t="shared" si="90"/>
        <v xml:space="preserve"> </v>
      </c>
      <c r="P259" s="418" t="str">
        <f t="shared" si="91"/>
        <v xml:space="preserve"> </v>
      </c>
      <c r="Q259" s="418"/>
    </row>
    <row r="260" spans="2:21" ht="12.75" customHeight="1" x14ac:dyDescent="0.2">
      <c r="B260" s="267"/>
      <c r="F260" s="265"/>
      <c r="G260" s="268"/>
      <c r="H260" s="317"/>
      <c r="I260" s="418" t="str">
        <f t="shared" si="94"/>
        <v xml:space="preserve"> </v>
      </c>
      <c r="J260" s="268"/>
      <c r="K260" s="456"/>
      <c r="L260" s="418" t="str">
        <f t="shared" si="89"/>
        <v xml:space="preserve"> </v>
      </c>
      <c r="M260" s="268"/>
      <c r="N260" s="317"/>
      <c r="O260" s="418" t="str">
        <f t="shared" si="90"/>
        <v xml:space="preserve"> </v>
      </c>
      <c r="P260" s="418" t="str">
        <f t="shared" si="91"/>
        <v xml:space="preserve"> </v>
      </c>
      <c r="Q260" s="418"/>
    </row>
    <row r="261" spans="2:21" ht="12.75" customHeight="1" x14ac:dyDescent="0.2">
      <c r="B261" s="267"/>
      <c r="F261" s="265"/>
      <c r="G261" s="268"/>
      <c r="H261" s="317"/>
      <c r="I261" s="318"/>
      <c r="J261" s="268"/>
      <c r="K261" s="456"/>
      <c r="L261" s="318"/>
      <c r="M261" s="268"/>
      <c r="N261" s="317"/>
      <c r="O261" s="318"/>
      <c r="P261" s="318"/>
      <c r="Q261" s="318"/>
    </row>
    <row r="262" spans="2:21" ht="12.75" customHeight="1" x14ac:dyDescent="0.2">
      <c r="B262" s="267"/>
      <c r="F262" s="265"/>
      <c r="G262" s="268"/>
      <c r="H262" s="317"/>
      <c r="I262" s="318"/>
      <c r="J262" s="268"/>
      <c r="K262" s="456"/>
      <c r="L262" s="318"/>
      <c r="M262" s="268"/>
      <c r="N262" s="317"/>
      <c r="O262" s="318"/>
      <c r="P262" s="318"/>
      <c r="Q262" s="318"/>
    </row>
    <row r="263" spans="2:21" ht="12.75" customHeight="1" x14ac:dyDescent="0.2">
      <c r="B263" s="267"/>
      <c r="F263" s="265"/>
      <c r="G263" s="268"/>
      <c r="H263" s="317"/>
      <c r="I263" s="318"/>
      <c r="J263" s="268"/>
      <c r="K263" s="456"/>
      <c r="L263" s="318"/>
      <c r="M263" s="268"/>
      <c r="N263" s="317"/>
      <c r="O263" s="318"/>
      <c r="P263" s="318"/>
      <c r="Q263" s="318"/>
    </row>
    <row r="264" spans="2:21" ht="12.75" customHeight="1" x14ac:dyDescent="0.2">
      <c r="B264" s="267"/>
      <c r="F264" s="265"/>
      <c r="G264" s="268"/>
      <c r="H264" s="317"/>
      <c r="I264" s="318"/>
      <c r="J264" s="268"/>
      <c r="K264" s="456"/>
      <c r="L264" s="318"/>
      <c r="M264" s="268"/>
      <c r="N264" s="317"/>
      <c r="O264" s="318"/>
      <c r="P264" s="318"/>
      <c r="Q264" s="318"/>
    </row>
    <row r="265" spans="2:21" ht="12.75" customHeight="1" x14ac:dyDescent="0.2">
      <c r="B265" s="267"/>
      <c r="F265" s="265"/>
      <c r="G265" s="268"/>
      <c r="H265" s="317"/>
      <c r="I265" s="318" t="str">
        <f>IF(G270=0," ",G270*H265)</f>
        <v xml:space="preserve"> </v>
      </c>
      <c r="J265" s="268"/>
      <c r="K265" s="456"/>
      <c r="L265" s="318" t="str">
        <f t="shared" ref="L265" si="95">IF(J270=0," ",J270*K265)</f>
        <v xml:space="preserve"> </v>
      </c>
      <c r="M265" s="268"/>
      <c r="N265" s="317"/>
      <c r="O265" s="318" t="str">
        <f t="shared" ref="O265" si="96">IF(M270=0," ",M270*N265)</f>
        <v xml:space="preserve"> </v>
      </c>
      <c r="P265" s="318" t="str">
        <f t="shared" ref="P265" si="97">IF(N270=0," ",N270*O265)</f>
        <v xml:space="preserve"> </v>
      </c>
      <c r="Q265" s="318"/>
    </row>
    <row r="266" spans="2:21" ht="12.75" customHeight="1" x14ac:dyDescent="0.2">
      <c r="B266" s="267"/>
      <c r="F266" s="265"/>
      <c r="G266" s="268"/>
      <c r="H266" s="317"/>
      <c r="I266" s="318"/>
      <c r="J266" s="268"/>
      <c r="K266" s="456"/>
      <c r="L266" s="318"/>
      <c r="M266" s="268"/>
      <c r="N266" s="317"/>
      <c r="O266" s="318"/>
      <c r="P266" s="318"/>
      <c r="Q266" s="318"/>
    </row>
    <row r="267" spans="2:21" ht="12.75" customHeight="1" x14ac:dyDescent="0.2">
      <c r="B267" s="267"/>
      <c r="F267" s="265"/>
      <c r="G267" s="268"/>
      <c r="H267" s="317"/>
      <c r="I267" s="318"/>
      <c r="J267" s="268"/>
      <c r="K267" s="456"/>
      <c r="L267" s="318"/>
      <c r="M267" s="268"/>
      <c r="N267" s="317"/>
      <c r="O267" s="318"/>
      <c r="P267" s="318"/>
      <c r="Q267" s="318"/>
    </row>
    <row r="268" spans="2:21" ht="12.75" customHeight="1" x14ac:dyDescent="0.2">
      <c r="B268" s="287">
        <v>1400</v>
      </c>
      <c r="C268" s="288" t="s">
        <v>268</v>
      </c>
      <c r="D268" s="289"/>
      <c r="E268" s="290"/>
      <c r="F268" s="291"/>
      <c r="G268" s="291"/>
      <c r="H268" s="422"/>
      <c r="I268" s="423">
        <f>SUM(I207:I267)</f>
        <v>1199500</v>
      </c>
      <c r="J268" s="291"/>
      <c r="K268" s="458"/>
      <c r="L268" s="423">
        <f t="shared" ref="L268" si="98">SUM(L207:L267)</f>
        <v>827084.84</v>
      </c>
      <c r="M268" s="291"/>
      <c r="N268" s="422"/>
      <c r="O268" s="423">
        <f>SUM(O207:O267)</f>
        <v>817000</v>
      </c>
      <c r="P268" s="423"/>
      <c r="Q268" s="423">
        <f t="shared" ref="Q268" si="99">SUM(Q207:Q267)</f>
        <v>10084.839999999997</v>
      </c>
      <c r="S268" s="34">
        <v>815500</v>
      </c>
      <c r="T268" s="365">
        <f>L268-S268</f>
        <v>11584.839999999967</v>
      </c>
      <c r="U268" s="365"/>
    </row>
    <row r="269" spans="2:21" ht="12.75" customHeight="1" x14ac:dyDescent="0.2">
      <c r="B269" s="239" t="s">
        <v>79</v>
      </c>
      <c r="C269" s="239"/>
      <c r="D269" s="263"/>
      <c r="E269" s="297"/>
      <c r="H269" s="426"/>
      <c r="I269" s="427"/>
      <c r="K269" s="456"/>
      <c r="L269" s="427"/>
      <c r="N269" s="426"/>
      <c r="O269" s="427"/>
      <c r="P269" s="427"/>
      <c r="Q269" s="427"/>
    </row>
    <row r="270" spans="2:21" ht="12.75" customHeight="1" x14ac:dyDescent="0.2">
      <c r="B270" s="239" t="s">
        <v>267</v>
      </c>
      <c r="C270" s="240"/>
      <c r="E270" s="238"/>
      <c r="H270" s="426"/>
      <c r="I270" s="427" t="str">
        <f>IF(G275=0," ",G275*H270)</f>
        <v xml:space="preserve"> </v>
      </c>
      <c r="K270" s="456"/>
      <c r="L270" s="427" t="str">
        <f t="shared" ref="L270:L271" si="100">IF(J275=0," ",J275*K270)</f>
        <v xml:space="preserve"> </v>
      </c>
      <c r="N270" s="426"/>
      <c r="O270" s="427" t="str">
        <f t="shared" ref="O270:O271" si="101">IF(M275=0," ",M275*N270)</f>
        <v xml:space="preserve"> </v>
      </c>
      <c r="P270" s="427" t="str">
        <f t="shared" ref="P270:P271" si="102">IF(N275=0," ",N275*O270)</f>
        <v xml:space="preserve"> </v>
      </c>
      <c r="Q270" s="427"/>
    </row>
    <row r="271" spans="2:21" ht="12.75" customHeight="1" x14ac:dyDescent="0.2">
      <c r="B271" s="243"/>
      <c r="C271" s="243"/>
      <c r="D271" s="244"/>
      <c r="E271" s="245"/>
      <c r="F271" s="246"/>
      <c r="H271" s="428"/>
      <c r="I271" s="429" t="str">
        <f>IF(G276=0," ",G276*H271)</f>
        <v xml:space="preserve"> </v>
      </c>
      <c r="K271" s="456"/>
      <c r="L271" s="429" t="str">
        <f t="shared" si="100"/>
        <v xml:space="preserve"> </v>
      </c>
      <c r="N271" s="428"/>
      <c r="O271" s="429" t="str">
        <f t="shared" si="101"/>
        <v xml:space="preserve"> </v>
      </c>
      <c r="P271" s="429" t="str">
        <f t="shared" si="102"/>
        <v xml:space="preserve"> </v>
      </c>
      <c r="Q271" s="429" t="str">
        <f t="shared" ref="Q271" si="103">IF(O276=0," ",O276*P271)</f>
        <v xml:space="preserve"> </v>
      </c>
    </row>
    <row r="272" spans="2:21" ht="12.75" customHeight="1" x14ac:dyDescent="0.2">
      <c r="B272" s="247" t="s">
        <v>263</v>
      </c>
      <c r="C272" s="248" t="s">
        <v>264</v>
      </c>
      <c r="D272" s="249"/>
      <c r="E272" s="250"/>
      <c r="F272" s="250" t="s">
        <v>265</v>
      </c>
      <c r="G272" s="356" t="s">
        <v>68</v>
      </c>
      <c r="H272" s="251" t="s">
        <v>849</v>
      </c>
      <c r="I272" s="252" t="s">
        <v>849</v>
      </c>
      <c r="J272" s="356" t="s">
        <v>68</v>
      </c>
      <c r="K272" s="457" t="s">
        <v>849</v>
      </c>
      <c r="L272" s="252" t="s">
        <v>849</v>
      </c>
      <c r="M272" s="356" t="s">
        <v>68</v>
      </c>
      <c r="N272" s="251" t="s">
        <v>849</v>
      </c>
      <c r="O272" s="252" t="s">
        <v>849</v>
      </c>
      <c r="P272" s="252" t="s">
        <v>849</v>
      </c>
      <c r="Q272" s="252" t="s">
        <v>849</v>
      </c>
    </row>
    <row r="273" spans="2:17" ht="12.75" customHeight="1" x14ac:dyDescent="0.2">
      <c r="B273" s="253" t="s">
        <v>266</v>
      </c>
      <c r="C273" s="254"/>
      <c r="D273" s="255"/>
      <c r="E273" s="256"/>
      <c r="F273" s="256"/>
      <c r="G273" s="357" t="s">
        <v>69</v>
      </c>
      <c r="H273" s="257" t="s">
        <v>262</v>
      </c>
      <c r="I273" s="258" t="s">
        <v>70</v>
      </c>
      <c r="J273" s="357" t="s">
        <v>69</v>
      </c>
      <c r="K273" s="457" t="s">
        <v>262</v>
      </c>
      <c r="L273" s="258" t="s">
        <v>70</v>
      </c>
      <c r="M273" s="357" t="s">
        <v>69</v>
      </c>
      <c r="N273" s="257" t="s">
        <v>262</v>
      </c>
      <c r="O273" s="258" t="s">
        <v>70</v>
      </c>
      <c r="P273" s="258" t="s">
        <v>70</v>
      </c>
      <c r="Q273" s="258" t="s">
        <v>70</v>
      </c>
    </row>
    <row r="274" spans="2:17" ht="12.75" customHeight="1" x14ac:dyDescent="0.2">
      <c r="B274" s="273"/>
      <c r="F274" s="265"/>
      <c r="G274" s="268"/>
      <c r="H274" s="317"/>
      <c r="I274" s="318" t="str">
        <f>IF(G280=0," ",G280*H274)</f>
        <v xml:space="preserve"> </v>
      </c>
      <c r="J274" s="268"/>
      <c r="K274" s="456"/>
      <c r="L274" s="318" t="str">
        <f t="shared" ref="L274:L275" si="104">IF(J280=0," ",J280*K274)</f>
        <v xml:space="preserve"> </v>
      </c>
      <c r="M274" s="268"/>
      <c r="N274" s="317"/>
      <c r="O274" s="318" t="str">
        <f t="shared" ref="O274:O275" si="105">IF(M280=0," ",M280*N274)</f>
        <v xml:space="preserve"> </v>
      </c>
      <c r="P274" s="318" t="str">
        <f t="shared" ref="P274" si="106">IF(N280=0," ",N280*O274)</f>
        <v xml:space="preserve"> </v>
      </c>
      <c r="Q274" s="318"/>
    </row>
    <row r="275" spans="2:17" ht="12.75" customHeight="1" x14ac:dyDescent="0.2">
      <c r="B275" s="261">
        <v>1500</v>
      </c>
      <c r="C275" s="262" t="s">
        <v>285</v>
      </c>
      <c r="D275" s="263"/>
      <c r="E275" s="264"/>
      <c r="F275" s="265"/>
      <c r="G275" s="268"/>
      <c r="H275" s="317"/>
      <c r="I275" s="318" t="str">
        <f>IF(G281=0," ",G281*H275)</f>
        <v xml:space="preserve"> </v>
      </c>
      <c r="J275" s="268"/>
      <c r="K275" s="456"/>
      <c r="L275" s="318" t="str">
        <f t="shared" si="104"/>
        <v xml:space="preserve"> </v>
      </c>
      <c r="M275" s="268"/>
      <c r="N275" s="317"/>
      <c r="O275" s="318" t="str">
        <f t="shared" si="105"/>
        <v xml:space="preserve"> </v>
      </c>
      <c r="P275" s="318"/>
      <c r="Q275" s="318"/>
    </row>
    <row r="276" spans="2:17" ht="12.75" customHeight="1" x14ac:dyDescent="0.2">
      <c r="B276" s="267"/>
      <c r="F276" s="265"/>
      <c r="G276" s="268"/>
      <c r="H276" s="317"/>
      <c r="I276" s="318"/>
      <c r="J276" s="268"/>
      <c r="K276" s="456"/>
      <c r="L276" s="318"/>
      <c r="M276" s="268"/>
      <c r="N276" s="317"/>
      <c r="O276" s="318"/>
      <c r="P276" s="318"/>
      <c r="Q276" s="318"/>
    </row>
    <row r="277" spans="2:17" ht="12.75" customHeight="1" x14ac:dyDescent="0.2">
      <c r="B277" s="267">
        <v>15.01</v>
      </c>
      <c r="C277" s="273" t="s">
        <v>286</v>
      </c>
      <c r="D277" s="285"/>
      <c r="E277" s="286"/>
      <c r="F277" s="265"/>
      <c r="G277" s="268"/>
      <c r="H277" s="317"/>
      <c r="I277" s="318"/>
      <c r="J277" s="268"/>
      <c r="K277" s="456"/>
      <c r="L277" s="318"/>
      <c r="M277" s="268"/>
      <c r="N277" s="317"/>
      <c r="O277" s="318"/>
      <c r="P277" s="318"/>
      <c r="Q277" s="318"/>
    </row>
    <row r="278" spans="2:17" ht="12.75" customHeight="1" x14ac:dyDescent="0.2">
      <c r="B278" s="267"/>
      <c r="C278" s="273" t="s">
        <v>287</v>
      </c>
      <c r="D278" s="285"/>
      <c r="E278" s="286"/>
      <c r="F278" s="265"/>
      <c r="G278" s="268"/>
      <c r="H278" s="317"/>
      <c r="I278" s="318"/>
      <c r="J278" s="268"/>
      <c r="K278" s="456"/>
      <c r="L278" s="318"/>
      <c r="M278" s="268"/>
      <c r="N278" s="317"/>
      <c r="O278" s="318"/>
      <c r="P278" s="318"/>
      <c r="Q278" s="318"/>
    </row>
    <row r="279" spans="2:17" ht="12.75" customHeight="1" x14ac:dyDescent="0.2">
      <c r="B279" s="273"/>
      <c r="C279" s="273" t="s">
        <v>278</v>
      </c>
      <c r="D279" s="241" t="s">
        <v>25</v>
      </c>
      <c r="F279" s="265" t="s">
        <v>288</v>
      </c>
      <c r="G279" s="268">
        <v>7.2</v>
      </c>
      <c r="H279" s="418">
        <v>20000</v>
      </c>
      <c r="I279" s="418">
        <f t="shared" ref="I279:I335" si="107">IF(G279=0," ",G279*H279)</f>
        <v>144000</v>
      </c>
      <c r="J279" s="268">
        <v>7.2</v>
      </c>
      <c r="K279" s="456">
        <v>17500</v>
      </c>
      <c r="L279" s="418">
        <f t="shared" ref="L279:L303" si="108">IF(J279=0," ",J279*K279)</f>
        <v>126000</v>
      </c>
      <c r="M279" s="268">
        <v>7.2</v>
      </c>
      <c r="N279" s="418">
        <v>17500</v>
      </c>
      <c r="O279" s="418">
        <f t="shared" ref="O279:O303" si="109">IF(M279=0," ",M279*N279)</f>
        <v>126000</v>
      </c>
      <c r="P279" s="418">
        <f>K279-N279</f>
        <v>0</v>
      </c>
      <c r="Q279" s="418">
        <f>L279-O279</f>
        <v>0</v>
      </c>
    </row>
    <row r="280" spans="2:17" ht="12.75" customHeight="1" x14ac:dyDescent="0.2">
      <c r="B280" s="267"/>
      <c r="D280" s="285"/>
      <c r="E280" s="286"/>
      <c r="F280" s="265"/>
      <c r="G280" s="268"/>
      <c r="H280" s="418"/>
      <c r="I280" s="418" t="str">
        <f t="shared" si="107"/>
        <v xml:space="preserve"> </v>
      </c>
      <c r="J280" s="268"/>
      <c r="K280" s="456"/>
      <c r="L280" s="418" t="str">
        <f t="shared" si="108"/>
        <v xml:space="preserve"> </v>
      </c>
      <c r="M280" s="268"/>
      <c r="N280" s="418"/>
      <c r="O280" s="418" t="str">
        <f t="shared" si="109"/>
        <v xml:space="preserve"> </v>
      </c>
      <c r="P280" s="418"/>
      <c r="Q280" s="418"/>
    </row>
    <row r="281" spans="2:17" ht="12.75" customHeight="1" x14ac:dyDescent="0.2">
      <c r="B281" s="267">
        <v>15.02</v>
      </c>
      <c r="C281" s="273" t="s">
        <v>289</v>
      </c>
      <c r="F281" s="265"/>
      <c r="G281" s="268"/>
      <c r="H281" s="418" t="str">
        <f>IF(F287=0," ",F287*G281)</f>
        <v xml:space="preserve"> </v>
      </c>
      <c r="I281" s="418" t="str">
        <f t="shared" si="107"/>
        <v xml:space="preserve"> </v>
      </c>
      <c r="J281" s="268"/>
      <c r="K281" s="456" t="s">
        <v>849</v>
      </c>
      <c r="L281" s="418" t="str">
        <f t="shared" si="108"/>
        <v xml:space="preserve"> </v>
      </c>
      <c r="M281" s="268"/>
      <c r="N281" s="418"/>
      <c r="O281" s="418" t="str">
        <f t="shared" si="109"/>
        <v xml:space="preserve"> </v>
      </c>
      <c r="P281" s="418"/>
      <c r="Q281" s="418"/>
    </row>
    <row r="282" spans="2:17" ht="12.75" customHeight="1" x14ac:dyDescent="0.2">
      <c r="B282" s="267"/>
      <c r="C282" s="273" t="s">
        <v>278</v>
      </c>
      <c r="D282" s="241" t="s">
        <v>135</v>
      </c>
      <c r="F282" s="265" t="s">
        <v>288</v>
      </c>
      <c r="G282" s="268">
        <v>7.2</v>
      </c>
      <c r="H282" s="418">
        <v>10000</v>
      </c>
      <c r="I282" s="418">
        <f t="shared" si="107"/>
        <v>72000</v>
      </c>
      <c r="J282" s="268">
        <v>7.2</v>
      </c>
      <c r="K282" s="456">
        <v>17500</v>
      </c>
      <c r="L282" s="418">
        <f t="shared" si="108"/>
        <v>126000</v>
      </c>
      <c r="M282" s="268">
        <v>7.2</v>
      </c>
      <c r="N282" s="418">
        <v>15000</v>
      </c>
      <c r="O282" s="418">
        <f t="shared" si="109"/>
        <v>108000</v>
      </c>
      <c r="P282" s="460">
        <f>K282-N282</f>
        <v>2500</v>
      </c>
      <c r="Q282" s="460">
        <f>L282-O282</f>
        <v>18000</v>
      </c>
    </row>
    <row r="283" spans="2:17" ht="12.75" customHeight="1" x14ac:dyDescent="0.2">
      <c r="B283" s="273"/>
      <c r="F283" s="265"/>
      <c r="G283" s="268"/>
      <c r="H283" s="418"/>
      <c r="I283" s="418" t="str">
        <f t="shared" si="107"/>
        <v xml:space="preserve"> </v>
      </c>
      <c r="J283" s="268"/>
      <c r="K283" s="456"/>
      <c r="L283" s="418" t="str">
        <f t="shared" si="108"/>
        <v xml:space="preserve"> </v>
      </c>
      <c r="M283" s="268"/>
      <c r="N283" s="418"/>
      <c r="O283" s="418" t="str">
        <f t="shared" si="109"/>
        <v xml:space="preserve"> </v>
      </c>
      <c r="P283" s="418">
        <f t="shared" ref="P283:P326" si="110">K283-N283</f>
        <v>0</v>
      </c>
      <c r="Q283" s="418"/>
    </row>
    <row r="284" spans="2:17" ht="12.75" customHeight="1" x14ac:dyDescent="0.2">
      <c r="B284" s="267"/>
      <c r="C284" s="273" t="s">
        <v>279</v>
      </c>
      <c r="D284" s="241" t="s">
        <v>136</v>
      </c>
      <c r="F284" s="265" t="s">
        <v>829</v>
      </c>
      <c r="G284" s="268">
        <f>(7200*6*0.15)/2</f>
        <v>3240</v>
      </c>
      <c r="H284" s="418">
        <v>20</v>
      </c>
      <c r="I284" s="418">
        <f t="shared" si="107"/>
        <v>64800</v>
      </c>
      <c r="J284" s="268">
        <f t="shared" ref="J284" si="111">(7200*6*0.15)/2</f>
        <v>3240</v>
      </c>
      <c r="K284" s="456">
        <v>50</v>
      </c>
      <c r="L284" s="418">
        <f t="shared" si="108"/>
        <v>162000</v>
      </c>
      <c r="M284" s="268">
        <f t="shared" ref="M284" si="112">(7200*6*0.15)/2</f>
        <v>3240</v>
      </c>
      <c r="N284" s="418">
        <v>50</v>
      </c>
      <c r="O284" s="418">
        <f t="shared" si="109"/>
        <v>162000</v>
      </c>
      <c r="P284" s="418">
        <f t="shared" si="110"/>
        <v>0</v>
      </c>
      <c r="Q284" s="418">
        <f t="shared" ref="Q284:Q326" si="113">L284-O284</f>
        <v>0</v>
      </c>
    </row>
    <row r="285" spans="2:17" ht="12.75" customHeight="1" x14ac:dyDescent="0.2">
      <c r="B285" s="267"/>
      <c r="C285" s="319"/>
      <c r="F285" s="268"/>
      <c r="G285" s="268"/>
      <c r="H285" s="418"/>
      <c r="I285" s="418" t="str">
        <f t="shared" si="107"/>
        <v xml:space="preserve"> </v>
      </c>
      <c r="J285" s="268"/>
      <c r="K285" s="456"/>
      <c r="L285" s="418" t="str">
        <f t="shared" si="108"/>
        <v xml:space="preserve"> </v>
      </c>
      <c r="M285" s="268"/>
      <c r="N285" s="418"/>
      <c r="O285" s="418" t="str">
        <f t="shared" si="109"/>
        <v xml:space="preserve"> </v>
      </c>
      <c r="P285" s="418">
        <f t="shared" si="110"/>
        <v>0</v>
      </c>
      <c r="Q285" s="418"/>
    </row>
    <row r="286" spans="2:17" ht="12.75" customHeight="1" x14ac:dyDescent="0.2">
      <c r="B286" s="267"/>
      <c r="C286" s="273" t="s">
        <v>276</v>
      </c>
      <c r="D286" s="241" t="s">
        <v>137</v>
      </c>
      <c r="F286" s="265" t="s">
        <v>829</v>
      </c>
      <c r="G286" s="268">
        <v>0</v>
      </c>
      <c r="H286" s="418">
        <v>20</v>
      </c>
      <c r="I286" s="418" t="str">
        <f t="shared" si="107"/>
        <v xml:space="preserve"> </v>
      </c>
      <c r="J286" s="268">
        <v>0</v>
      </c>
      <c r="K286" s="456">
        <v>60</v>
      </c>
      <c r="L286" s="418">
        <f>J286*K286</f>
        <v>0</v>
      </c>
      <c r="M286" s="268">
        <v>0</v>
      </c>
      <c r="N286" s="418">
        <v>60</v>
      </c>
      <c r="O286" s="418">
        <f>M286*N286</f>
        <v>0</v>
      </c>
      <c r="P286" s="418">
        <f t="shared" si="110"/>
        <v>0</v>
      </c>
      <c r="Q286" s="418">
        <f t="shared" si="113"/>
        <v>0</v>
      </c>
    </row>
    <row r="287" spans="2:17" ht="12.75" customHeight="1" x14ac:dyDescent="0.2">
      <c r="B287" s="267"/>
      <c r="F287" s="265"/>
      <c r="G287" s="268"/>
      <c r="H287" s="418"/>
      <c r="I287" s="418" t="str">
        <f t="shared" si="107"/>
        <v xml:space="preserve"> </v>
      </c>
      <c r="J287" s="268"/>
      <c r="K287" s="456"/>
      <c r="L287" s="418" t="str">
        <f t="shared" si="108"/>
        <v xml:space="preserve"> </v>
      </c>
      <c r="M287" s="268"/>
      <c r="N287" s="418"/>
      <c r="O287" s="418" t="str">
        <f t="shared" si="109"/>
        <v xml:space="preserve"> </v>
      </c>
      <c r="P287" s="418"/>
      <c r="Q287" s="418"/>
    </row>
    <row r="288" spans="2:17" ht="12.75" customHeight="1" x14ac:dyDescent="0.2">
      <c r="B288" s="267">
        <v>15.03</v>
      </c>
      <c r="C288" s="273" t="s">
        <v>729</v>
      </c>
      <c r="F288" s="265"/>
      <c r="G288" s="268"/>
      <c r="H288" s="418"/>
      <c r="I288" s="418" t="str">
        <f t="shared" si="107"/>
        <v xml:space="preserve"> </v>
      </c>
      <c r="J288" s="268"/>
      <c r="K288" s="456"/>
      <c r="L288" s="418" t="str">
        <f t="shared" si="108"/>
        <v xml:space="preserve"> </v>
      </c>
      <c r="M288" s="268"/>
      <c r="N288" s="418"/>
      <c r="O288" s="418" t="str">
        <f t="shared" si="109"/>
        <v xml:space="preserve"> </v>
      </c>
      <c r="P288" s="418"/>
      <c r="Q288" s="418"/>
    </row>
    <row r="289" spans="2:17" ht="12.75" customHeight="1" x14ac:dyDescent="0.2">
      <c r="B289" s="267" t="s">
        <v>0</v>
      </c>
      <c r="C289" s="273" t="s">
        <v>278</v>
      </c>
      <c r="D289" s="241" t="s">
        <v>139</v>
      </c>
      <c r="F289" s="265" t="s">
        <v>290</v>
      </c>
      <c r="G289" s="268">
        <f>(8*24*5)</f>
        <v>960</v>
      </c>
      <c r="H289" s="418">
        <v>280</v>
      </c>
      <c r="I289" s="418">
        <f t="shared" si="107"/>
        <v>268800</v>
      </c>
      <c r="J289" s="268">
        <f t="shared" ref="J289" si="114">(8*24*5)</f>
        <v>960</v>
      </c>
      <c r="K289" s="456">
        <v>295</v>
      </c>
      <c r="L289" s="418">
        <f t="shared" si="108"/>
        <v>283200</v>
      </c>
      <c r="M289" s="268">
        <f t="shared" ref="M289" si="115">(8*24*5)</f>
        <v>960</v>
      </c>
      <c r="N289" s="418">
        <v>295</v>
      </c>
      <c r="O289" s="418">
        <f t="shared" si="109"/>
        <v>283200</v>
      </c>
      <c r="P289" s="418">
        <f t="shared" si="110"/>
        <v>0</v>
      </c>
      <c r="Q289" s="418">
        <f t="shared" si="113"/>
        <v>0</v>
      </c>
    </row>
    <row r="290" spans="2:17" ht="12.75" customHeight="1" x14ac:dyDescent="0.2">
      <c r="B290" s="267"/>
      <c r="C290" s="273" t="s">
        <v>279</v>
      </c>
      <c r="D290" s="241" t="s">
        <v>140</v>
      </c>
      <c r="F290" s="265" t="s">
        <v>254</v>
      </c>
      <c r="G290" s="268">
        <v>4</v>
      </c>
      <c r="H290" s="418">
        <v>400</v>
      </c>
      <c r="I290" s="418">
        <f t="shared" si="107"/>
        <v>1600</v>
      </c>
      <c r="J290" s="268">
        <v>4</v>
      </c>
      <c r="K290" s="456">
        <v>1493.5</v>
      </c>
      <c r="L290" s="418">
        <f t="shared" si="108"/>
        <v>5974</v>
      </c>
      <c r="M290" s="268">
        <v>4</v>
      </c>
      <c r="N290" s="418">
        <v>1493.5</v>
      </c>
      <c r="O290" s="418">
        <f t="shared" si="109"/>
        <v>5974</v>
      </c>
      <c r="P290" s="418">
        <f t="shared" si="110"/>
        <v>0</v>
      </c>
      <c r="Q290" s="418">
        <f t="shared" si="113"/>
        <v>0</v>
      </c>
    </row>
    <row r="291" spans="2:17" ht="12.75" customHeight="1" x14ac:dyDescent="0.2">
      <c r="B291" s="267"/>
      <c r="C291" s="273" t="s">
        <v>281</v>
      </c>
      <c r="D291" s="241" t="s">
        <v>141</v>
      </c>
      <c r="F291" s="265" t="s">
        <v>254</v>
      </c>
      <c r="G291" s="268">
        <v>4</v>
      </c>
      <c r="H291" s="418">
        <v>600</v>
      </c>
      <c r="I291" s="418">
        <f t="shared" si="107"/>
        <v>2400</v>
      </c>
      <c r="J291" s="268">
        <v>4</v>
      </c>
      <c r="K291" s="456">
        <v>2802</v>
      </c>
      <c r="L291" s="418">
        <f t="shared" si="108"/>
        <v>11208</v>
      </c>
      <c r="M291" s="268">
        <v>4</v>
      </c>
      <c r="N291" s="418">
        <v>2802</v>
      </c>
      <c r="O291" s="418">
        <f t="shared" si="109"/>
        <v>11208</v>
      </c>
      <c r="P291" s="418">
        <f t="shared" si="110"/>
        <v>0</v>
      </c>
      <c r="Q291" s="418">
        <f t="shared" si="113"/>
        <v>0</v>
      </c>
    </row>
    <row r="292" spans="2:17" ht="12.75" customHeight="1" x14ac:dyDescent="0.2">
      <c r="B292" s="267"/>
      <c r="C292" s="273" t="s">
        <v>282</v>
      </c>
      <c r="D292" s="241" t="s">
        <v>142</v>
      </c>
      <c r="F292" s="265" t="s">
        <v>254</v>
      </c>
      <c r="G292" s="268">
        <v>20</v>
      </c>
      <c r="H292" s="418">
        <v>700</v>
      </c>
      <c r="I292" s="418">
        <f t="shared" si="107"/>
        <v>14000</v>
      </c>
      <c r="J292" s="268">
        <v>20</v>
      </c>
      <c r="K292" s="456">
        <v>1113.5999999999999</v>
      </c>
      <c r="L292" s="418">
        <f t="shared" si="108"/>
        <v>22272</v>
      </c>
      <c r="M292" s="268">
        <v>20</v>
      </c>
      <c r="N292" s="418">
        <v>1113.5999999999999</v>
      </c>
      <c r="O292" s="418">
        <f t="shared" si="109"/>
        <v>22272</v>
      </c>
      <c r="P292" s="418">
        <f t="shared" si="110"/>
        <v>0</v>
      </c>
      <c r="Q292" s="418">
        <f t="shared" si="113"/>
        <v>0</v>
      </c>
    </row>
    <row r="293" spans="2:17" ht="12.75" customHeight="1" x14ac:dyDescent="0.2">
      <c r="B293" s="267"/>
      <c r="C293" s="273" t="s">
        <v>121</v>
      </c>
      <c r="D293" s="241" t="s">
        <v>143</v>
      </c>
      <c r="F293" s="265" t="s">
        <v>254</v>
      </c>
      <c r="G293" s="268">
        <v>20</v>
      </c>
      <c r="H293" s="418">
        <v>700</v>
      </c>
      <c r="I293" s="418">
        <f t="shared" si="107"/>
        <v>14000</v>
      </c>
      <c r="J293" s="268">
        <v>20</v>
      </c>
      <c r="K293" s="456">
        <v>1113.5999999999999</v>
      </c>
      <c r="L293" s="418">
        <f t="shared" si="108"/>
        <v>22272</v>
      </c>
      <c r="M293" s="268">
        <v>20</v>
      </c>
      <c r="N293" s="418">
        <v>1113.5999999999999</v>
      </c>
      <c r="O293" s="418">
        <f t="shared" si="109"/>
        <v>22272</v>
      </c>
      <c r="P293" s="418">
        <f t="shared" si="110"/>
        <v>0</v>
      </c>
      <c r="Q293" s="418">
        <f t="shared" si="113"/>
        <v>0</v>
      </c>
    </row>
    <row r="294" spans="2:17" ht="12.75" customHeight="1" x14ac:dyDescent="0.2">
      <c r="B294" s="267"/>
      <c r="C294" s="273" t="s">
        <v>122</v>
      </c>
      <c r="D294" s="241" t="s">
        <v>144</v>
      </c>
      <c r="F294" s="265"/>
      <c r="G294" s="268"/>
      <c r="H294" s="418" t="str">
        <f t="shared" ref="H294" si="116">IF(F294=0," ",F294*G294)</f>
        <v xml:space="preserve"> </v>
      </c>
      <c r="I294" s="418" t="str">
        <f t="shared" si="107"/>
        <v xml:space="preserve"> </v>
      </c>
      <c r="J294" s="268"/>
      <c r="K294" s="456"/>
      <c r="L294" s="418" t="str">
        <f t="shared" si="108"/>
        <v xml:space="preserve"> </v>
      </c>
      <c r="M294" s="268"/>
      <c r="N294" s="418"/>
      <c r="O294" s="418" t="str">
        <f t="shared" si="109"/>
        <v xml:space="preserve"> </v>
      </c>
      <c r="P294" s="418"/>
      <c r="Q294" s="418"/>
    </row>
    <row r="295" spans="2:17" ht="12.75" customHeight="1" x14ac:dyDescent="0.2">
      <c r="B295" s="267"/>
      <c r="D295" s="241" t="s">
        <v>145</v>
      </c>
      <c r="F295" s="265" t="s">
        <v>275</v>
      </c>
      <c r="G295" s="268">
        <v>20</v>
      </c>
      <c r="H295" s="418">
        <v>800</v>
      </c>
      <c r="I295" s="418">
        <f t="shared" si="107"/>
        <v>16000</v>
      </c>
      <c r="J295" s="268">
        <v>20</v>
      </c>
      <c r="K295" s="456">
        <v>1113.5999999999999</v>
      </c>
      <c r="L295" s="418">
        <f t="shared" si="108"/>
        <v>22272</v>
      </c>
      <c r="M295" s="268">
        <v>20</v>
      </c>
      <c r="N295" s="418">
        <v>1113.5999999999999</v>
      </c>
      <c r="O295" s="418">
        <f t="shared" si="109"/>
        <v>22272</v>
      </c>
      <c r="P295" s="418">
        <f t="shared" si="110"/>
        <v>0</v>
      </c>
      <c r="Q295" s="418">
        <f t="shared" si="113"/>
        <v>0</v>
      </c>
    </row>
    <row r="296" spans="2:17" ht="12.75" customHeight="1" x14ac:dyDescent="0.2">
      <c r="B296" s="267"/>
      <c r="C296" s="273" t="s">
        <v>123</v>
      </c>
      <c r="D296" s="241" t="s">
        <v>146</v>
      </c>
      <c r="F296" s="265"/>
      <c r="G296" s="268"/>
      <c r="H296" s="418"/>
      <c r="I296" s="418" t="str">
        <f t="shared" si="107"/>
        <v xml:space="preserve"> </v>
      </c>
      <c r="J296" s="268"/>
      <c r="K296" s="456"/>
      <c r="L296" s="418" t="str">
        <f t="shared" si="108"/>
        <v xml:space="preserve"> </v>
      </c>
      <c r="M296" s="268"/>
      <c r="N296" s="418"/>
      <c r="O296" s="418" t="str">
        <f t="shared" si="109"/>
        <v xml:space="preserve"> </v>
      </c>
      <c r="P296" s="418"/>
      <c r="Q296" s="418"/>
    </row>
    <row r="297" spans="2:17" ht="12.75" customHeight="1" x14ac:dyDescent="0.2">
      <c r="B297" s="267"/>
      <c r="D297" s="241" t="s">
        <v>124</v>
      </c>
      <c r="E297" s="274" t="s">
        <v>26</v>
      </c>
      <c r="F297" s="265" t="s">
        <v>254</v>
      </c>
      <c r="G297" s="268">
        <f>(7200/20)*2-220</f>
        <v>500</v>
      </c>
      <c r="H297" s="418">
        <v>300</v>
      </c>
      <c r="I297" s="418">
        <f t="shared" si="107"/>
        <v>150000</v>
      </c>
      <c r="J297" s="268">
        <f t="shared" ref="J297" si="117">(7200/20)*2-220</f>
        <v>500</v>
      </c>
      <c r="K297" s="456">
        <v>245</v>
      </c>
      <c r="L297" s="418">
        <f t="shared" si="108"/>
        <v>122500</v>
      </c>
      <c r="M297" s="268">
        <f t="shared" ref="M297" si="118">(7200/20)*2-220</f>
        <v>500</v>
      </c>
      <c r="N297" s="418">
        <v>245</v>
      </c>
      <c r="O297" s="418">
        <f t="shared" si="109"/>
        <v>122500</v>
      </c>
      <c r="P297" s="418">
        <f t="shared" si="110"/>
        <v>0</v>
      </c>
      <c r="Q297" s="418">
        <f t="shared" si="113"/>
        <v>0</v>
      </c>
    </row>
    <row r="298" spans="2:17" ht="12.75" customHeight="1" x14ac:dyDescent="0.2">
      <c r="B298" s="267"/>
      <c r="C298" s="273" t="s">
        <v>277</v>
      </c>
      <c r="D298" s="241" t="s">
        <v>471</v>
      </c>
      <c r="F298" s="265"/>
      <c r="G298" s="268"/>
      <c r="H298" s="418"/>
      <c r="I298" s="418" t="str">
        <f t="shared" si="107"/>
        <v xml:space="preserve"> </v>
      </c>
      <c r="J298" s="268"/>
      <c r="K298" s="456"/>
      <c r="L298" s="418" t="str">
        <f t="shared" si="108"/>
        <v xml:space="preserve"> </v>
      </c>
      <c r="M298" s="268"/>
      <c r="N298" s="418"/>
      <c r="O298" s="418" t="str">
        <f t="shared" si="109"/>
        <v xml:space="preserve"> </v>
      </c>
      <c r="P298" s="418"/>
      <c r="Q298" s="418"/>
    </row>
    <row r="299" spans="2:17" ht="12.75" customHeight="1" x14ac:dyDescent="0.2">
      <c r="B299" s="273"/>
      <c r="D299" s="241" t="s">
        <v>470</v>
      </c>
      <c r="F299" s="265" t="s">
        <v>254</v>
      </c>
      <c r="G299" s="268">
        <v>8</v>
      </c>
      <c r="H299" s="418">
        <v>1500</v>
      </c>
      <c r="I299" s="418">
        <f t="shared" si="107"/>
        <v>12000</v>
      </c>
      <c r="J299" s="268">
        <v>8</v>
      </c>
      <c r="K299" s="456">
        <v>3100</v>
      </c>
      <c r="L299" s="418">
        <f t="shared" si="108"/>
        <v>24800</v>
      </c>
      <c r="M299" s="268">
        <v>8</v>
      </c>
      <c r="N299" s="418">
        <v>3100</v>
      </c>
      <c r="O299" s="418">
        <f t="shared" si="109"/>
        <v>24800</v>
      </c>
      <c r="P299" s="418">
        <f t="shared" si="110"/>
        <v>0</v>
      </c>
      <c r="Q299" s="418">
        <f t="shared" si="113"/>
        <v>0</v>
      </c>
    </row>
    <row r="300" spans="2:17" ht="12.75" customHeight="1" x14ac:dyDescent="0.2">
      <c r="B300" s="267"/>
      <c r="F300" s="265"/>
      <c r="G300" s="268"/>
      <c r="H300" s="418"/>
      <c r="I300" s="418" t="str">
        <f t="shared" si="107"/>
        <v xml:space="preserve"> </v>
      </c>
      <c r="J300" s="268"/>
      <c r="K300" s="456"/>
      <c r="L300" s="418" t="str">
        <f t="shared" si="108"/>
        <v xml:space="preserve"> </v>
      </c>
      <c r="M300" s="268"/>
      <c r="N300" s="418"/>
      <c r="O300" s="418" t="str">
        <f t="shared" si="109"/>
        <v xml:space="preserve"> </v>
      </c>
      <c r="P300" s="418"/>
      <c r="Q300" s="418"/>
    </row>
    <row r="301" spans="2:17" ht="12.75" customHeight="1" x14ac:dyDescent="0.2">
      <c r="B301" s="273"/>
      <c r="C301" s="273" t="s">
        <v>280</v>
      </c>
      <c r="D301" s="241" t="s">
        <v>472</v>
      </c>
      <c r="F301" s="265" t="s">
        <v>310</v>
      </c>
      <c r="G301" s="268">
        <v>2</v>
      </c>
      <c r="H301" s="418">
        <v>900</v>
      </c>
      <c r="I301" s="418">
        <f t="shared" si="107"/>
        <v>1800</v>
      </c>
      <c r="J301" s="268">
        <v>2</v>
      </c>
      <c r="K301" s="456">
        <v>1200</v>
      </c>
      <c r="L301" s="418">
        <f t="shared" si="108"/>
        <v>2400</v>
      </c>
      <c r="M301" s="268">
        <v>2</v>
      </c>
      <c r="N301" s="418">
        <v>1200</v>
      </c>
      <c r="O301" s="418">
        <f t="shared" si="109"/>
        <v>2400</v>
      </c>
      <c r="P301" s="418">
        <f t="shared" si="110"/>
        <v>0</v>
      </c>
      <c r="Q301" s="418">
        <f t="shared" si="113"/>
        <v>0</v>
      </c>
    </row>
    <row r="302" spans="2:17" ht="12.75" customHeight="1" x14ac:dyDescent="0.2">
      <c r="B302" s="267"/>
      <c r="F302" s="265"/>
      <c r="G302" s="268"/>
      <c r="H302" s="418" t="str">
        <f>IF(F309=0," ",F309*G302)</f>
        <v xml:space="preserve"> </v>
      </c>
      <c r="I302" s="418" t="str">
        <f t="shared" si="107"/>
        <v xml:space="preserve"> </v>
      </c>
      <c r="J302" s="268"/>
      <c r="K302" s="456" t="s">
        <v>849</v>
      </c>
      <c r="L302" s="418" t="str">
        <f t="shared" si="108"/>
        <v xml:space="preserve"> </v>
      </c>
      <c r="M302" s="268"/>
      <c r="N302" s="418"/>
      <c r="O302" s="418" t="str">
        <f t="shared" si="109"/>
        <v xml:space="preserve"> </v>
      </c>
      <c r="P302" s="418"/>
      <c r="Q302" s="418"/>
    </row>
    <row r="303" spans="2:17" ht="12.75" customHeight="1" x14ac:dyDescent="0.2">
      <c r="B303" s="267">
        <v>15.04</v>
      </c>
      <c r="C303" s="273" t="s">
        <v>16</v>
      </c>
      <c r="F303" s="265"/>
      <c r="G303" s="268"/>
      <c r="H303" s="418"/>
      <c r="I303" s="418" t="str">
        <f t="shared" si="107"/>
        <v xml:space="preserve"> </v>
      </c>
      <c r="J303" s="268"/>
      <c r="K303" s="456"/>
      <c r="L303" s="418" t="str">
        <f t="shared" si="108"/>
        <v xml:space="preserve"> </v>
      </c>
      <c r="M303" s="268"/>
      <c r="N303" s="418"/>
      <c r="O303" s="418" t="str">
        <f t="shared" si="109"/>
        <v xml:space="preserve"> </v>
      </c>
      <c r="P303" s="418"/>
      <c r="Q303" s="418"/>
    </row>
    <row r="304" spans="2:17" ht="12.75" customHeight="1" x14ac:dyDescent="0.2">
      <c r="B304" s="267"/>
      <c r="C304" s="273" t="s">
        <v>278</v>
      </c>
      <c r="D304" s="241" t="s">
        <v>147</v>
      </c>
      <c r="F304" s="265" t="s">
        <v>844</v>
      </c>
      <c r="G304" s="268" t="s">
        <v>596</v>
      </c>
      <c r="H304" s="418">
        <v>6000</v>
      </c>
      <c r="I304" s="418"/>
      <c r="J304" s="268" t="s">
        <v>596</v>
      </c>
      <c r="K304" s="456">
        <v>10000</v>
      </c>
      <c r="L304" s="418"/>
      <c r="M304" s="268" t="s">
        <v>596</v>
      </c>
      <c r="N304" s="418">
        <v>10000</v>
      </c>
      <c r="O304" s="418"/>
      <c r="P304" s="418">
        <f t="shared" si="110"/>
        <v>0</v>
      </c>
      <c r="Q304" s="418">
        <f t="shared" si="113"/>
        <v>0</v>
      </c>
    </row>
    <row r="305" spans="2:17" ht="12.75" customHeight="1" x14ac:dyDescent="0.2">
      <c r="B305" s="267"/>
      <c r="F305" s="265"/>
      <c r="G305" s="268"/>
      <c r="H305" s="418"/>
      <c r="I305" s="418" t="str">
        <f t="shared" si="107"/>
        <v xml:space="preserve"> </v>
      </c>
      <c r="J305" s="268"/>
      <c r="K305" s="456"/>
      <c r="L305" s="418" t="str">
        <f t="shared" ref="L305:L321" si="119">IF(J305=0," ",J305*K305)</f>
        <v xml:space="preserve"> </v>
      </c>
      <c r="M305" s="268"/>
      <c r="N305" s="418"/>
      <c r="O305" s="418" t="str">
        <f t="shared" ref="O305:O321" si="120">IF(M305=0," ",M305*N305)</f>
        <v xml:space="preserve"> </v>
      </c>
      <c r="P305" s="418"/>
      <c r="Q305" s="418"/>
    </row>
    <row r="306" spans="2:17" ht="12.75" customHeight="1" x14ac:dyDescent="0.2">
      <c r="B306" s="267">
        <v>15.05</v>
      </c>
      <c r="C306" s="273" t="s">
        <v>291</v>
      </c>
      <c r="F306" s="265"/>
      <c r="G306" s="268"/>
      <c r="H306" s="418"/>
      <c r="I306" s="418" t="str">
        <f t="shared" si="107"/>
        <v xml:space="preserve"> </v>
      </c>
      <c r="J306" s="268"/>
      <c r="K306" s="456"/>
      <c r="L306" s="418" t="str">
        <f t="shared" si="119"/>
        <v xml:space="preserve"> </v>
      </c>
      <c r="M306" s="268"/>
      <c r="N306" s="418"/>
      <c r="O306" s="418" t="str">
        <f t="shared" si="120"/>
        <v xml:space="preserve"> </v>
      </c>
      <c r="P306" s="418"/>
      <c r="Q306" s="418"/>
    </row>
    <row r="307" spans="2:17" ht="12.75" customHeight="1" x14ac:dyDescent="0.2">
      <c r="B307" s="267"/>
      <c r="C307" s="273" t="s">
        <v>292</v>
      </c>
      <c r="F307" s="265"/>
      <c r="G307" s="268"/>
      <c r="H307" s="418" t="str">
        <f>IF(F311=0," ",F311*G307)</f>
        <v xml:space="preserve"> </v>
      </c>
      <c r="I307" s="418" t="str">
        <f t="shared" si="107"/>
        <v xml:space="preserve"> </v>
      </c>
      <c r="J307" s="268"/>
      <c r="K307" s="456" t="s">
        <v>849</v>
      </c>
      <c r="L307" s="418" t="str">
        <f t="shared" si="119"/>
        <v xml:space="preserve"> </v>
      </c>
      <c r="M307" s="268"/>
      <c r="N307" s="418"/>
      <c r="O307" s="418" t="str">
        <f t="shared" si="120"/>
        <v xml:space="preserve"> </v>
      </c>
      <c r="P307" s="418"/>
      <c r="Q307" s="418"/>
    </row>
    <row r="308" spans="2:17" ht="12.75" customHeight="1" x14ac:dyDescent="0.2">
      <c r="B308" s="267"/>
      <c r="C308" s="273" t="s">
        <v>278</v>
      </c>
      <c r="D308" s="241" t="s">
        <v>148</v>
      </c>
      <c r="F308" s="265" t="s">
        <v>829</v>
      </c>
      <c r="G308" s="268">
        <f>(3600*6*0.065)</f>
        <v>1404</v>
      </c>
      <c r="H308" s="418">
        <v>20</v>
      </c>
      <c r="I308" s="418">
        <f t="shared" si="107"/>
        <v>28080</v>
      </c>
      <c r="J308" s="268">
        <f t="shared" ref="J308" si="121">(3600*6*0.065)</f>
        <v>1404</v>
      </c>
      <c r="K308" s="456">
        <v>165</v>
      </c>
      <c r="L308" s="418">
        <f t="shared" si="119"/>
        <v>231660</v>
      </c>
      <c r="M308" s="268">
        <f t="shared" ref="M308" si="122">(3600*6*0.065)</f>
        <v>1404</v>
      </c>
      <c r="N308" s="418">
        <v>90</v>
      </c>
      <c r="O308" s="418">
        <f t="shared" si="120"/>
        <v>126360</v>
      </c>
      <c r="P308" s="460">
        <f>K308-N308</f>
        <v>75</v>
      </c>
      <c r="Q308" s="460">
        <f>L308-O308</f>
        <v>105300</v>
      </c>
    </row>
    <row r="309" spans="2:17" ht="12.75" customHeight="1" x14ac:dyDescent="0.2">
      <c r="B309" s="267"/>
      <c r="F309" s="265"/>
      <c r="G309" s="268"/>
      <c r="H309" s="418"/>
      <c r="I309" s="418" t="str">
        <f t="shared" si="107"/>
        <v xml:space="preserve"> </v>
      </c>
      <c r="J309" s="268"/>
      <c r="K309" s="456"/>
      <c r="L309" s="418" t="str">
        <f t="shared" si="119"/>
        <v xml:space="preserve"> </v>
      </c>
      <c r="M309" s="268"/>
      <c r="N309" s="418"/>
      <c r="O309" s="418" t="str">
        <f t="shared" si="120"/>
        <v xml:space="preserve"> </v>
      </c>
      <c r="P309" s="418"/>
      <c r="Q309" s="418"/>
    </row>
    <row r="310" spans="2:17" ht="12.75" customHeight="1" x14ac:dyDescent="0.2">
      <c r="B310" s="267">
        <v>15.06</v>
      </c>
      <c r="C310" s="273" t="s">
        <v>293</v>
      </c>
      <c r="F310" s="265" t="s">
        <v>294</v>
      </c>
      <c r="G310" s="268">
        <f>((18000*24*3)*5)/1000</f>
        <v>6480</v>
      </c>
      <c r="H310" s="418">
        <v>10</v>
      </c>
      <c r="I310" s="418">
        <f t="shared" si="107"/>
        <v>64800</v>
      </c>
      <c r="J310" s="268">
        <f t="shared" ref="J310" si="123">((18000*24*3)*5)/1000</f>
        <v>6480</v>
      </c>
      <c r="K310" s="456">
        <v>12.5</v>
      </c>
      <c r="L310" s="418">
        <f t="shared" si="119"/>
        <v>81000</v>
      </c>
      <c r="M310" s="268">
        <f t="shared" ref="M310" si="124">((18000*24*3)*5)/1000</f>
        <v>6480</v>
      </c>
      <c r="N310" s="418">
        <v>12.5</v>
      </c>
      <c r="O310" s="418">
        <f t="shared" si="120"/>
        <v>81000</v>
      </c>
      <c r="P310" s="418">
        <f t="shared" si="110"/>
        <v>0</v>
      </c>
      <c r="Q310" s="418">
        <f t="shared" si="113"/>
        <v>0</v>
      </c>
    </row>
    <row r="311" spans="2:17" ht="12.75" customHeight="1" x14ac:dyDescent="0.2">
      <c r="B311" s="273"/>
      <c r="F311" s="265"/>
      <c r="G311" s="268"/>
      <c r="H311" s="418"/>
      <c r="I311" s="418" t="str">
        <f t="shared" si="107"/>
        <v xml:space="preserve"> </v>
      </c>
      <c r="J311" s="268"/>
      <c r="K311" s="456"/>
      <c r="L311" s="418" t="str">
        <f t="shared" si="119"/>
        <v xml:space="preserve"> </v>
      </c>
      <c r="M311" s="268"/>
      <c r="N311" s="418"/>
      <c r="O311" s="418" t="str">
        <f t="shared" si="120"/>
        <v xml:space="preserve"> </v>
      </c>
      <c r="P311" s="418"/>
      <c r="Q311" s="418"/>
    </row>
    <row r="312" spans="2:17" ht="12.75" customHeight="1" x14ac:dyDescent="0.2">
      <c r="B312" s="267">
        <v>15.07</v>
      </c>
      <c r="C312" s="273" t="s">
        <v>295</v>
      </c>
      <c r="F312" s="265"/>
      <c r="G312" s="268"/>
      <c r="H312" s="418"/>
      <c r="I312" s="418" t="str">
        <f t="shared" si="107"/>
        <v xml:space="preserve"> </v>
      </c>
      <c r="J312" s="268"/>
      <c r="K312" s="456"/>
      <c r="L312" s="418" t="str">
        <f t="shared" si="119"/>
        <v xml:space="preserve"> </v>
      </c>
      <c r="M312" s="268"/>
      <c r="N312" s="418"/>
      <c r="O312" s="418" t="str">
        <f t="shared" si="120"/>
        <v xml:space="preserve"> </v>
      </c>
      <c r="P312" s="418"/>
      <c r="Q312" s="418"/>
    </row>
    <row r="313" spans="2:17" ht="12.75" customHeight="1" x14ac:dyDescent="0.2">
      <c r="B313" s="273"/>
      <c r="C313" s="273" t="s">
        <v>278</v>
      </c>
      <c r="D313" s="241" t="s">
        <v>45</v>
      </c>
      <c r="F313" s="265" t="s">
        <v>296</v>
      </c>
      <c r="G313" s="268">
        <f>(7.2*2*6)</f>
        <v>86.4</v>
      </c>
      <c r="H313" s="418">
        <v>200</v>
      </c>
      <c r="I313" s="418">
        <f t="shared" si="107"/>
        <v>17280</v>
      </c>
      <c r="J313" s="268">
        <f t="shared" ref="J313" si="125">(7.2*2*6)</f>
        <v>86.4</v>
      </c>
      <c r="K313" s="456">
        <v>400</v>
      </c>
      <c r="L313" s="418">
        <f t="shared" si="119"/>
        <v>34560</v>
      </c>
      <c r="M313" s="268">
        <f t="shared" ref="M313" si="126">(7.2*2*6)</f>
        <v>86.4</v>
      </c>
      <c r="N313" s="418">
        <v>400</v>
      </c>
      <c r="O313" s="418">
        <f t="shared" si="120"/>
        <v>34560</v>
      </c>
      <c r="P313" s="418">
        <f t="shared" si="110"/>
        <v>0</v>
      </c>
      <c r="Q313" s="418">
        <f t="shared" si="113"/>
        <v>0</v>
      </c>
    </row>
    <row r="314" spans="2:17" ht="12.75" customHeight="1" x14ac:dyDescent="0.2">
      <c r="B314" s="273"/>
      <c r="F314" s="265"/>
      <c r="G314" s="268"/>
      <c r="H314" s="418"/>
      <c r="I314" s="418" t="str">
        <f t="shared" si="107"/>
        <v xml:space="preserve"> </v>
      </c>
      <c r="J314" s="268"/>
      <c r="K314" s="456"/>
      <c r="L314" s="418" t="str">
        <f t="shared" si="119"/>
        <v xml:space="preserve"> </v>
      </c>
      <c r="M314" s="268"/>
      <c r="N314" s="418"/>
      <c r="O314" s="418" t="str">
        <f t="shared" si="120"/>
        <v xml:space="preserve"> </v>
      </c>
      <c r="P314" s="418"/>
      <c r="Q314" s="418"/>
    </row>
    <row r="315" spans="2:17" ht="12.75" customHeight="1" x14ac:dyDescent="0.2">
      <c r="B315" s="273"/>
      <c r="C315" s="273" t="s">
        <v>279</v>
      </c>
      <c r="D315" s="241" t="s">
        <v>149</v>
      </c>
      <c r="F315" s="265" t="s">
        <v>296</v>
      </c>
      <c r="G315" s="268">
        <v>40</v>
      </c>
      <c r="H315" s="418">
        <v>200</v>
      </c>
      <c r="I315" s="418">
        <f t="shared" si="107"/>
        <v>8000</v>
      </c>
      <c r="J315" s="268">
        <v>40</v>
      </c>
      <c r="K315" s="456">
        <v>400</v>
      </c>
      <c r="L315" s="418">
        <f t="shared" si="119"/>
        <v>16000</v>
      </c>
      <c r="M315" s="268">
        <v>40</v>
      </c>
      <c r="N315" s="418">
        <v>400</v>
      </c>
      <c r="O315" s="418">
        <f t="shared" si="120"/>
        <v>16000</v>
      </c>
      <c r="P315" s="418">
        <f t="shared" si="110"/>
        <v>0</v>
      </c>
      <c r="Q315" s="418">
        <f t="shared" si="113"/>
        <v>0</v>
      </c>
    </row>
    <row r="316" spans="2:17" ht="12.75" customHeight="1" x14ac:dyDescent="0.2">
      <c r="B316" s="273"/>
      <c r="F316" s="265"/>
      <c r="G316" s="268"/>
      <c r="H316" s="418"/>
      <c r="I316" s="418" t="str">
        <f t="shared" si="107"/>
        <v xml:space="preserve"> </v>
      </c>
      <c r="J316" s="268"/>
      <c r="K316" s="456"/>
      <c r="L316" s="418" t="str">
        <f t="shared" si="119"/>
        <v xml:space="preserve"> </v>
      </c>
      <c r="M316" s="268"/>
      <c r="N316" s="418"/>
      <c r="O316" s="418" t="str">
        <f t="shared" si="120"/>
        <v xml:space="preserve"> </v>
      </c>
      <c r="P316" s="418"/>
      <c r="Q316" s="418"/>
    </row>
    <row r="317" spans="2:17" ht="12.75" customHeight="1" x14ac:dyDescent="0.2">
      <c r="B317" s="267" t="s">
        <v>297</v>
      </c>
      <c r="C317" s="273" t="s">
        <v>298</v>
      </c>
      <c r="F317" s="265" t="s">
        <v>831</v>
      </c>
      <c r="G317" s="268">
        <f>(G284+G308)*2</f>
        <v>9288</v>
      </c>
      <c r="H317" s="418">
        <v>5</v>
      </c>
      <c r="I317" s="418">
        <f t="shared" si="107"/>
        <v>46440</v>
      </c>
      <c r="J317" s="268">
        <f t="shared" ref="J317" si="127">(J284+J308)*2</f>
        <v>9288</v>
      </c>
      <c r="K317" s="456">
        <v>18.5</v>
      </c>
      <c r="L317" s="418">
        <f t="shared" si="119"/>
        <v>171828</v>
      </c>
      <c r="M317" s="268">
        <f t="shared" ref="M317" si="128">(M284+M308)*2</f>
        <v>9288</v>
      </c>
      <c r="N317" s="418">
        <v>15</v>
      </c>
      <c r="O317" s="418">
        <f t="shared" si="120"/>
        <v>139320</v>
      </c>
      <c r="P317" s="460">
        <f>K317-N317</f>
        <v>3.5</v>
      </c>
      <c r="Q317" s="460">
        <f>L317-O317</f>
        <v>32508</v>
      </c>
    </row>
    <row r="318" spans="2:17" ht="12.75" customHeight="1" x14ac:dyDescent="0.2">
      <c r="B318" s="267"/>
      <c r="C318" s="273" t="s">
        <v>299</v>
      </c>
      <c r="F318" s="265"/>
      <c r="G318" s="268"/>
      <c r="H318" s="418"/>
      <c r="I318" s="418" t="str">
        <f t="shared" si="107"/>
        <v xml:space="preserve"> </v>
      </c>
      <c r="J318" s="268"/>
      <c r="K318" s="456"/>
      <c r="L318" s="418" t="str">
        <f t="shared" si="119"/>
        <v xml:space="preserve"> </v>
      </c>
      <c r="M318" s="268"/>
      <c r="N318" s="418"/>
      <c r="O318" s="418" t="str">
        <f t="shared" si="120"/>
        <v xml:space="preserve"> </v>
      </c>
      <c r="P318" s="418"/>
      <c r="Q318" s="418"/>
    </row>
    <row r="319" spans="2:17" ht="12.75" customHeight="1" x14ac:dyDescent="0.2">
      <c r="B319" s="267"/>
      <c r="F319" s="265"/>
      <c r="G319" s="268"/>
      <c r="H319" s="418"/>
      <c r="I319" s="418" t="str">
        <f t="shared" si="107"/>
        <v xml:space="preserve"> </v>
      </c>
      <c r="J319" s="268"/>
      <c r="K319" s="456"/>
      <c r="L319" s="418" t="str">
        <f t="shared" si="119"/>
        <v xml:space="preserve"> </v>
      </c>
      <c r="M319" s="268"/>
      <c r="N319" s="418"/>
      <c r="O319" s="418" t="str">
        <f t="shared" si="120"/>
        <v xml:space="preserve"> </v>
      </c>
      <c r="P319" s="418"/>
      <c r="Q319" s="418"/>
    </row>
    <row r="320" spans="2:17" ht="12.75" customHeight="1" x14ac:dyDescent="0.2">
      <c r="B320" s="267">
        <v>15.12</v>
      </c>
      <c r="C320" s="315" t="s">
        <v>649</v>
      </c>
      <c r="D320" s="299"/>
      <c r="F320" s="265"/>
      <c r="G320" s="268"/>
      <c r="H320" s="418"/>
      <c r="I320" s="418" t="str">
        <f t="shared" si="107"/>
        <v xml:space="preserve"> </v>
      </c>
      <c r="J320" s="268"/>
      <c r="K320" s="456"/>
      <c r="L320" s="418" t="str">
        <f t="shared" si="119"/>
        <v xml:space="preserve"> </v>
      </c>
      <c r="M320" s="268"/>
      <c r="N320" s="418"/>
      <c r="O320" s="418" t="str">
        <f t="shared" si="120"/>
        <v xml:space="preserve"> </v>
      </c>
      <c r="P320" s="418"/>
      <c r="Q320" s="418"/>
    </row>
    <row r="321" spans="2:17" ht="12.75" customHeight="1" x14ac:dyDescent="0.2">
      <c r="B321" s="273"/>
      <c r="C321" s="315" t="s">
        <v>278</v>
      </c>
      <c r="D321" s="316" t="s">
        <v>650</v>
      </c>
      <c r="F321" s="265"/>
      <c r="G321" s="268"/>
      <c r="H321" s="418"/>
      <c r="I321" s="418" t="str">
        <f t="shared" si="107"/>
        <v xml:space="preserve"> </v>
      </c>
      <c r="J321" s="268"/>
      <c r="K321" s="456"/>
      <c r="L321" s="418" t="str">
        <f t="shared" si="119"/>
        <v xml:space="preserve"> </v>
      </c>
      <c r="M321" s="268"/>
      <c r="N321" s="418"/>
      <c r="O321" s="418" t="str">
        <f t="shared" si="120"/>
        <v xml:space="preserve"> </v>
      </c>
      <c r="P321" s="418"/>
      <c r="Q321" s="418"/>
    </row>
    <row r="322" spans="2:17" ht="12.75" customHeight="1" x14ac:dyDescent="0.2">
      <c r="B322" s="273"/>
      <c r="C322" s="303"/>
      <c r="D322" s="316" t="s">
        <v>277</v>
      </c>
      <c r="E322" s="274" t="s">
        <v>47</v>
      </c>
      <c r="F322" s="265" t="s">
        <v>310</v>
      </c>
      <c r="G322" s="268" t="s">
        <v>596</v>
      </c>
      <c r="H322" s="418">
        <v>2500</v>
      </c>
      <c r="I322" s="418"/>
      <c r="J322" s="268" t="s">
        <v>596</v>
      </c>
      <c r="K322" s="456">
        <v>1350</v>
      </c>
      <c r="L322" s="418"/>
      <c r="M322" s="268" t="s">
        <v>596</v>
      </c>
      <c r="N322" s="418">
        <v>1350</v>
      </c>
      <c r="O322" s="418"/>
      <c r="P322" s="418">
        <f t="shared" si="110"/>
        <v>0</v>
      </c>
      <c r="Q322" s="418">
        <f t="shared" si="113"/>
        <v>0</v>
      </c>
    </row>
    <row r="323" spans="2:17" ht="12.75" customHeight="1" x14ac:dyDescent="0.2">
      <c r="B323" s="273"/>
      <c r="C323" s="303"/>
      <c r="D323" s="299"/>
      <c r="F323" s="268"/>
      <c r="G323" s="268"/>
      <c r="H323" s="418"/>
      <c r="I323" s="418" t="str">
        <f t="shared" si="107"/>
        <v xml:space="preserve"> </v>
      </c>
      <c r="J323" s="268"/>
      <c r="K323" s="456"/>
      <c r="L323" s="418" t="str">
        <f t="shared" ref="L323" si="129">IF(J323=0," ",J323*K323)</f>
        <v xml:space="preserve"> </v>
      </c>
      <c r="M323" s="268"/>
      <c r="N323" s="418"/>
      <c r="O323" s="418" t="str">
        <f t="shared" ref="O323" si="130">IF(M323=0," ",M323*N323)</f>
        <v xml:space="preserve"> </v>
      </c>
      <c r="P323" s="418"/>
      <c r="Q323" s="418"/>
    </row>
    <row r="324" spans="2:17" ht="12.75" customHeight="1" x14ac:dyDescent="0.2">
      <c r="B324" s="273"/>
      <c r="C324" s="303"/>
      <c r="D324" s="316" t="s">
        <v>124</v>
      </c>
      <c r="E324" s="274" t="s">
        <v>46</v>
      </c>
      <c r="F324" s="265" t="s">
        <v>310</v>
      </c>
      <c r="G324" s="268" t="s">
        <v>596</v>
      </c>
      <c r="H324" s="418">
        <v>1700</v>
      </c>
      <c r="I324" s="418"/>
      <c r="J324" s="268" t="s">
        <v>596</v>
      </c>
      <c r="K324" s="456">
        <v>950</v>
      </c>
      <c r="L324" s="418"/>
      <c r="M324" s="268" t="s">
        <v>596</v>
      </c>
      <c r="N324" s="418">
        <v>950</v>
      </c>
      <c r="O324" s="418"/>
      <c r="P324" s="418">
        <f t="shared" si="110"/>
        <v>0</v>
      </c>
      <c r="Q324" s="418">
        <f t="shared" si="113"/>
        <v>0</v>
      </c>
    </row>
    <row r="325" spans="2:17" ht="12.75" customHeight="1" x14ac:dyDescent="0.2">
      <c r="B325" s="273"/>
      <c r="C325" s="303"/>
      <c r="D325" s="299"/>
      <c r="F325" s="265"/>
      <c r="G325" s="268"/>
      <c r="H325" s="418"/>
      <c r="I325" s="418" t="str">
        <f t="shared" si="107"/>
        <v xml:space="preserve"> </v>
      </c>
      <c r="J325" s="268"/>
      <c r="K325" s="456"/>
      <c r="L325" s="418" t="str">
        <f t="shared" ref="L325:L335" si="131">IF(J325=0," ",J325*K325)</f>
        <v xml:space="preserve"> </v>
      </c>
      <c r="M325" s="268"/>
      <c r="N325" s="418"/>
      <c r="O325" s="418" t="str">
        <f t="shared" ref="O325:O335" si="132">IF(M325=0," ",M325*N325)</f>
        <v xml:space="preserve"> </v>
      </c>
      <c r="P325" s="418"/>
      <c r="Q325" s="418"/>
    </row>
    <row r="326" spans="2:17" ht="12.75" customHeight="1" x14ac:dyDescent="0.2">
      <c r="B326" s="273"/>
      <c r="C326" s="315" t="s">
        <v>276</v>
      </c>
      <c r="D326" s="316" t="s">
        <v>651</v>
      </c>
      <c r="F326" s="265" t="s">
        <v>310</v>
      </c>
      <c r="G326" s="268">
        <v>140</v>
      </c>
      <c r="H326" s="418">
        <v>130</v>
      </c>
      <c r="I326" s="418">
        <f t="shared" si="107"/>
        <v>18200</v>
      </c>
      <c r="J326" s="268">
        <v>140</v>
      </c>
      <c r="K326" s="456">
        <v>200</v>
      </c>
      <c r="L326" s="418">
        <f t="shared" si="131"/>
        <v>28000</v>
      </c>
      <c r="M326" s="268">
        <v>140</v>
      </c>
      <c r="N326" s="418">
        <v>200</v>
      </c>
      <c r="O326" s="418">
        <f t="shared" si="132"/>
        <v>28000</v>
      </c>
      <c r="P326" s="418">
        <f t="shared" si="110"/>
        <v>0</v>
      </c>
      <c r="Q326" s="418">
        <f t="shared" si="113"/>
        <v>0</v>
      </c>
    </row>
    <row r="327" spans="2:17" ht="12.75" customHeight="1" x14ac:dyDescent="0.2">
      <c r="B327" s="267"/>
      <c r="F327" s="265"/>
      <c r="G327" s="268"/>
      <c r="H327" s="317"/>
      <c r="I327" s="418" t="str">
        <f t="shared" si="107"/>
        <v xml:space="preserve"> </v>
      </c>
      <c r="J327" s="268"/>
      <c r="K327" s="456"/>
      <c r="L327" s="418" t="str">
        <f t="shared" si="131"/>
        <v xml:space="preserve"> </v>
      </c>
      <c r="M327" s="268"/>
      <c r="N327" s="317"/>
      <c r="O327" s="418" t="str">
        <f t="shared" si="132"/>
        <v xml:space="preserve"> </v>
      </c>
      <c r="P327" s="418" t="str">
        <f t="shared" ref="P327:P335" si="133">IF(N327=0," ",N327*O327)</f>
        <v xml:space="preserve"> </v>
      </c>
      <c r="Q327" s="418"/>
    </row>
    <row r="328" spans="2:17" ht="12.75" customHeight="1" x14ac:dyDescent="0.2">
      <c r="B328" s="267"/>
      <c r="F328" s="265"/>
      <c r="G328" s="268"/>
      <c r="H328" s="317"/>
      <c r="I328" s="418" t="str">
        <f t="shared" si="107"/>
        <v xml:space="preserve"> </v>
      </c>
      <c r="J328" s="268"/>
      <c r="K328" s="456"/>
      <c r="L328" s="418" t="str">
        <f t="shared" si="131"/>
        <v xml:space="preserve"> </v>
      </c>
      <c r="M328" s="268"/>
      <c r="N328" s="317"/>
      <c r="O328" s="418" t="str">
        <f t="shared" si="132"/>
        <v xml:space="preserve"> </v>
      </c>
      <c r="P328" s="418" t="str">
        <f t="shared" si="133"/>
        <v xml:space="preserve"> </v>
      </c>
      <c r="Q328" s="418"/>
    </row>
    <row r="329" spans="2:17" ht="12.75" customHeight="1" x14ac:dyDescent="0.2">
      <c r="B329" s="267"/>
      <c r="F329" s="265"/>
      <c r="G329" s="268"/>
      <c r="H329" s="317"/>
      <c r="I329" s="418" t="str">
        <f t="shared" si="107"/>
        <v xml:space="preserve"> </v>
      </c>
      <c r="J329" s="268"/>
      <c r="K329" s="456"/>
      <c r="L329" s="418" t="str">
        <f t="shared" si="131"/>
        <v xml:space="preserve"> </v>
      </c>
      <c r="M329" s="268"/>
      <c r="N329" s="317"/>
      <c r="O329" s="418" t="str">
        <f t="shared" si="132"/>
        <v xml:space="preserve"> </v>
      </c>
      <c r="P329" s="418" t="str">
        <f t="shared" si="133"/>
        <v xml:space="preserve"> </v>
      </c>
      <c r="Q329" s="418"/>
    </row>
    <row r="330" spans="2:17" ht="12.75" customHeight="1" x14ac:dyDescent="0.2">
      <c r="B330" s="267"/>
      <c r="F330" s="265"/>
      <c r="G330" s="268"/>
      <c r="H330" s="317"/>
      <c r="I330" s="418" t="str">
        <f t="shared" si="107"/>
        <v xml:space="preserve"> </v>
      </c>
      <c r="J330" s="268"/>
      <c r="K330" s="456"/>
      <c r="L330" s="418" t="str">
        <f t="shared" si="131"/>
        <v xml:space="preserve"> </v>
      </c>
      <c r="M330" s="268"/>
      <c r="N330" s="317"/>
      <c r="O330" s="418" t="str">
        <f t="shared" si="132"/>
        <v xml:space="preserve"> </v>
      </c>
      <c r="P330" s="418" t="str">
        <f t="shared" si="133"/>
        <v xml:space="preserve"> </v>
      </c>
      <c r="Q330" s="418"/>
    </row>
    <row r="331" spans="2:17" ht="12.75" customHeight="1" x14ac:dyDescent="0.2">
      <c r="B331" s="267"/>
      <c r="F331" s="265"/>
      <c r="G331" s="268"/>
      <c r="H331" s="317"/>
      <c r="I331" s="418" t="str">
        <f t="shared" si="107"/>
        <v xml:space="preserve"> </v>
      </c>
      <c r="J331" s="268"/>
      <c r="K331" s="456"/>
      <c r="L331" s="418" t="str">
        <f t="shared" si="131"/>
        <v xml:space="preserve"> </v>
      </c>
      <c r="M331" s="268"/>
      <c r="N331" s="317"/>
      <c r="O331" s="418" t="str">
        <f t="shared" si="132"/>
        <v xml:space="preserve"> </v>
      </c>
      <c r="P331" s="418" t="str">
        <f t="shared" si="133"/>
        <v xml:space="preserve"> </v>
      </c>
      <c r="Q331" s="418"/>
    </row>
    <row r="332" spans="2:17" ht="12.75" customHeight="1" x14ac:dyDescent="0.2">
      <c r="B332" s="267"/>
      <c r="F332" s="265"/>
      <c r="G332" s="268"/>
      <c r="H332" s="317"/>
      <c r="I332" s="418" t="str">
        <f t="shared" si="107"/>
        <v xml:space="preserve"> </v>
      </c>
      <c r="J332" s="268"/>
      <c r="K332" s="456"/>
      <c r="L332" s="418" t="str">
        <f t="shared" si="131"/>
        <v xml:space="preserve"> </v>
      </c>
      <c r="M332" s="268"/>
      <c r="N332" s="317"/>
      <c r="O332" s="418" t="str">
        <f t="shared" si="132"/>
        <v xml:space="preserve"> </v>
      </c>
      <c r="P332" s="418" t="str">
        <f t="shared" si="133"/>
        <v xml:space="preserve"> </v>
      </c>
      <c r="Q332" s="418"/>
    </row>
    <row r="333" spans="2:17" ht="12.75" customHeight="1" x14ac:dyDescent="0.2">
      <c r="B333" s="273"/>
      <c r="F333" s="265"/>
      <c r="G333" s="268"/>
      <c r="H333" s="317"/>
      <c r="I333" s="418" t="str">
        <f t="shared" si="107"/>
        <v xml:space="preserve"> </v>
      </c>
      <c r="J333" s="268"/>
      <c r="K333" s="456"/>
      <c r="L333" s="418" t="str">
        <f t="shared" si="131"/>
        <v xml:space="preserve"> </v>
      </c>
      <c r="M333" s="268"/>
      <c r="N333" s="317"/>
      <c r="O333" s="418" t="str">
        <f t="shared" si="132"/>
        <v xml:space="preserve"> </v>
      </c>
      <c r="P333" s="418" t="str">
        <f t="shared" si="133"/>
        <v xml:space="preserve"> </v>
      </c>
      <c r="Q333" s="418"/>
    </row>
    <row r="334" spans="2:17" ht="12.75" customHeight="1" x14ac:dyDescent="0.2">
      <c r="B334" s="273"/>
      <c r="F334" s="265"/>
      <c r="G334" s="268"/>
      <c r="H334" s="317"/>
      <c r="I334" s="418" t="str">
        <f t="shared" si="107"/>
        <v xml:space="preserve"> </v>
      </c>
      <c r="J334" s="268"/>
      <c r="K334" s="456"/>
      <c r="L334" s="418" t="str">
        <f t="shared" si="131"/>
        <v xml:space="preserve"> </v>
      </c>
      <c r="M334" s="268"/>
      <c r="N334" s="317"/>
      <c r="O334" s="418" t="str">
        <f t="shared" si="132"/>
        <v xml:space="preserve"> </v>
      </c>
      <c r="P334" s="418" t="str">
        <f t="shared" si="133"/>
        <v xml:space="preserve"> </v>
      </c>
      <c r="Q334" s="418"/>
    </row>
    <row r="335" spans="2:17" ht="12.75" customHeight="1" x14ac:dyDescent="0.2">
      <c r="B335" s="273"/>
      <c r="F335" s="265"/>
      <c r="G335" s="268"/>
      <c r="H335" s="317"/>
      <c r="I335" s="418" t="str">
        <f t="shared" si="107"/>
        <v xml:space="preserve"> </v>
      </c>
      <c r="J335" s="268"/>
      <c r="K335" s="456"/>
      <c r="L335" s="418" t="str">
        <f t="shared" si="131"/>
        <v xml:space="preserve"> </v>
      </c>
      <c r="M335" s="268"/>
      <c r="N335" s="317"/>
      <c r="O335" s="418" t="str">
        <f t="shared" si="132"/>
        <v xml:space="preserve"> </v>
      </c>
      <c r="P335" s="418" t="str">
        <f t="shared" si="133"/>
        <v xml:space="preserve"> </v>
      </c>
      <c r="Q335" s="418"/>
    </row>
    <row r="336" spans="2:17" ht="12.75" customHeight="1" x14ac:dyDescent="0.2">
      <c r="B336" s="287">
        <v>1500</v>
      </c>
      <c r="C336" s="288" t="s">
        <v>268</v>
      </c>
      <c r="D336" s="289"/>
      <c r="E336" s="290"/>
      <c r="F336" s="291"/>
      <c r="G336" s="291"/>
      <c r="H336" s="422"/>
      <c r="I336" s="423">
        <f>SUM(I279:I335)</f>
        <v>944200</v>
      </c>
      <c r="J336" s="412"/>
      <c r="K336" s="457"/>
      <c r="L336" s="423">
        <f t="shared" ref="L336" si="134">SUM(L279:L335)</f>
        <v>1493946</v>
      </c>
      <c r="M336" s="291"/>
      <c r="N336" s="422"/>
      <c r="O336" s="423">
        <f>SUM(O279:O335)</f>
        <v>1338138</v>
      </c>
      <c r="P336" s="423"/>
      <c r="Q336" s="423">
        <f t="shared" ref="Q336" si="135">SUM(Q279:Q335)</f>
        <v>155808</v>
      </c>
    </row>
    <row r="337" spans="2:17" ht="12.75" customHeight="1" x14ac:dyDescent="0.2">
      <c r="B337" s="239" t="s">
        <v>79</v>
      </c>
      <c r="C337" s="239"/>
      <c r="D337" s="263"/>
      <c r="E337" s="297"/>
      <c r="H337" s="426"/>
      <c r="I337" s="427"/>
      <c r="K337" s="456"/>
      <c r="L337" s="427"/>
      <c r="N337" s="426"/>
      <c r="O337" s="427"/>
      <c r="P337" s="427"/>
      <c r="Q337" s="427"/>
    </row>
    <row r="338" spans="2:17" ht="12.75" customHeight="1" x14ac:dyDescent="0.2">
      <c r="B338" s="239" t="s">
        <v>267</v>
      </c>
      <c r="C338" s="240"/>
      <c r="E338" s="238"/>
      <c r="H338" s="426"/>
      <c r="I338" s="427"/>
      <c r="K338" s="456"/>
      <c r="L338" s="427"/>
      <c r="N338" s="426"/>
      <c r="O338" s="427"/>
      <c r="P338" s="427"/>
      <c r="Q338" s="427"/>
    </row>
    <row r="339" spans="2:17" ht="12.75" customHeight="1" x14ac:dyDescent="0.2">
      <c r="B339" s="243"/>
      <c r="C339" s="243"/>
      <c r="D339" s="244"/>
      <c r="E339" s="245"/>
      <c r="F339" s="246"/>
      <c r="I339" s="278" t="str">
        <f>IF(G344=0," ",G344*H339)</f>
        <v xml:space="preserve"> </v>
      </c>
      <c r="K339" s="456"/>
      <c r="L339" s="278" t="str">
        <f t="shared" ref="L339" si="136">IF(J344=0," ",J344*K339)</f>
        <v xml:space="preserve"> </v>
      </c>
      <c r="O339" s="278" t="str">
        <f t="shared" ref="O339" si="137">IF(M344=0," ",M344*N339)</f>
        <v xml:space="preserve"> </v>
      </c>
      <c r="P339" s="278" t="str">
        <f t="shared" ref="P339" si="138">IF(N344=0," ",N344*O339)</f>
        <v xml:space="preserve"> </v>
      </c>
      <c r="Q339" s="278" t="str">
        <f t="shared" ref="Q339" si="139">IF(O344=0," ",O344*P339)</f>
        <v xml:space="preserve"> </v>
      </c>
    </row>
    <row r="340" spans="2:17" ht="12.75" customHeight="1" x14ac:dyDescent="0.2">
      <c r="B340" s="247" t="s">
        <v>263</v>
      </c>
      <c r="C340" s="248" t="s">
        <v>264</v>
      </c>
      <c r="D340" s="249" t="s">
        <v>264</v>
      </c>
      <c r="E340" s="250"/>
      <c r="F340" s="250" t="s">
        <v>265</v>
      </c>
      <c r="G340" s="356" t="s">
        <v>68</v>
      </c>
      <c r="H340" s="251" t="s">
        <v>849</v>
      </c>
      <c r="I340" s="252" t="s">
        <v>849</v>
      </c>
      <c r="J340" s="356" t="s">
        <v>68</v>
      </c>
      <c r="K340" s="457" t="s">
        <v>849</v>
      </c>
      <c r="L340" s="252" t="s">
        <v>849</v>
      </c>
      <c r="M340" s="356" t="s">
        <v>68</v>
      </c>
      <c r="N340" s="251" t="s">
        <v>849</v>
      </c>
      <c r="O340" s="252" t="s">
        <v>849</v>
      </c>
      <c r="P340" s="252" t="s">
        <v>849</v>
      </c>
      <c r="Q340" s="252" t="s">
        <v>849</v>
      </c>
    </row>
    <row r="341" spans="2:17" ht="12.75" customHeight="1" x14ac:dyDescent="0.2">
      <c r="B341" s="253" t="s">
        <v>266</v>
      </c>
      <c r="C341" s="254"/>
      <c r="D341" s="255"/>
      <c r="E341" s="256"/>
      <c r="F341" s="256"/>
      <c r="G341" s="357" t="s">
        <v>69</v>
      </c>
      <c r="H341" s="257" t="s">
        <v>262</v>
      </c>
      <c r="I341" s="258" t="s">
        <v>70</v>
      </c>
      <c r="J341" s="357" t="s">
        <v>69</v>
      </c>
      <c r="K341" s="457" t="s">
        <v>262</v>
      </c>
      <c r="L341" s="258" t="s">
        <v>70</v>
      </c>
      <c r="M341" s="357" t="s">
        <v>69</v>
      </c>
      <c r="N341" s="257" t="s">
        <v>262</v>
      </c>
      <c r="O341" s="258" t="s">
        <v>70</v>
      </c>
      <c r="P341" s="258" t="s">
        <v>70</v>
      </c>
      <c r="Q341" s="258" t="s">
        <v>70</v>
      </c>
    </row>
    <row r="342" spans="2:17" ht="12.75" customHeight="1" x14ac:dyDescent="0.2">
      <c r="B342" s="273"/>
      <c r="F342" s="265"/>
      <c r="G342" s="268"/>
      <c r="H342" s="317"/>
      <c r="I342" s="318" t="str">
        <f>IF(G359=0," ",G359*H342)</f>
        <v xml:space="preserve"> </v>
      </c>
      <c r="J342" s="268"/>
      <c r="K342" s="456"/>
      <c r="L342" s="318" t="str">
        <f t="shared" ref="L342" si="140">IF(J359=0," ",J359*K342)</f>
        <v xml:space="preserve"> </v>
      </c>
      <c r="M342" s="268"/>
      <c r="N342" s="317"/>
      <c r="O342" s="318" t="str">
        <f t="shared" ref="O342" si="141">IF(M359=0," ",M359*N342)</f>
        <v xml:space="preserve"> </v>
      </c>
      <c r="P342" s="318" t="str">
        <f t="shared" ref="P342" si="142">IF(N359=0," ",N359*O342)</f>
        <v xml:space="preserve"> </v>
      </c>
      <c r="Q342" s="318"/>
    </row>
    <row r="343" spans="2:17" ht="12.75" customHeight="1" x14ac:dyDescent="0.2">
      <c r="B343" s="261">
        <v>1700</v>
      </c>
      <c r="C343" s="262" t="s">
        <v>67</v>
      </c>
      <c r="D343" s="263"/>
      <c r="E343" s="264"/>
      <c r="F343" s="265"/>
      <c r="G343" s="268"/>
      <c r="H343" s="317"/>
      <c r="I343" s="318"/>
      <c r="J343" s="268"/>
      <c r="K343" s="456"/>
      <c r="L343" s="318"/>
      <c r="M343" s="268"/>
      <c r="N343" s="317"/>
      <c r="O343" s="318"/>
      <c r="P343" s="318"/>
      <c r="Q343" s="318"/>
    </row>
    <row r="344" spans="2:17" ht="12.75" customHeight="1" x14ac:dyDescent="0.2">
      <c r="B344" s="267"/>
      <c r="F344" s="265"/>
      <c r="G344" s="268"/>
      <c r="H344" s="317"/>
      <c r="I344" s="318"/>
      <c r="J344" s="268"/>
      <c r="K344" s="456"/>
      <c r="L344" s="318"/>
      <c r="M344" s="268"/>
      <c r="N344" s="317"/>
      <c r="O344" s="318"/>
      <c r="P344" s="318"/>
      <c r="Q344" s="318"/>
    </row>
    <row r="345" spans="2:17" ht="12.75" customHeight="1" x14ac:dyDescent="0.2">
      <c r="B345" s="267">
        <v>17.010000000000002</v>
      </c>
      <c r="C345" s="273" t="s">
        <v>17</v>
      </c>
      <c r="F345" s="265"/>
      <c r="G345" s="268"/>
      <c r="H345" s="317"/>
      <c r="I345" s="318" t="str">
        <f>IF(G345=0," ",G345*H345)</f>
        <v xml:space="preserve"> </v>
      </c>
      <c r="J345" s="268"/>
      <c r="K345" s="456"/>
      <c r="L345" s="318" t="str">
        <f t="shared" ref="L345" si="143">IF(J345=0," ",J345*K345)</f>
        <v xml:space="preserve"> </v>
      </c>
      <c r="M345" s="268"/>
      <c r="N345" s="317"/>
      <c r="O345" s="318" t="str">
        <f t="shared" ref="O345" si="144">IF(M345=0," ",M345*N345)</f>
        <v xml:space="preserve"> </v>
      </c>
      <c r="P345" s="318" t="str">
        <f t="shared" ref="P345" si="145">IF(N345=0," ",N345*O345)</f>
        <v xml:space="preserve"> </v>
      </c>
      <c r="Q345" s="318"/>
    </row>
    <row r="346" spans="2:17" ht="12.75" customHeight="1" x14ac:dyDescent="0.2">
      <c r="B346" s="273"/>
      <c r="C346" s="273" t="s">
        <v>278</v>
      </c>
      <c r="D346" s="241" t="s">
        <v>150</v>
      </c>
      <c r="F346" s="265"/>
      <c r="G346" s="268"/>
      <c r="H346" s="317"/>
      <c r="I346" s="318"/>
      <c r="J346" s="268"/>
      <c r="K346" s="456"/>
      <c r="L346" s="318"/>
      <c r="M346" s="268"/>
      <c r="N346" s="317"/>
      <c r="O346" s="318"/>
      <c r="P346" s="318"/>
      <c r="Q346" s="318"/>
    </row>
    <row r="347" spans="2:17" ht="12.75" customHeight="1" x14ac:dyDescent="0.2">
      <c r="B347" s="273"/>
      <c r="D347" s="241" t="s">
        <v>277</v>
      </c>
      <c r="E347" s="274" t="s">
        <v>151</v>
      </c>
      <c r="F347" s="265" t="s">
        <v>454</v>
      </c>
      <c r="G347" s="65">
        <v>1</v>
      </c>
      <c r="H347" s="418">
        <v>15000</v>
      </c>
      <c r="I347" s="418">
        <f t="shared" ref="I347:I383" si="146">IF(G347=0," ",G347*H347)</f>
        <v>15000</v>
      </c>
      <c r="J347" s="65">
        <v>1</v>
      </c>
      <c r="K347" s="456">
        <v>18500</v>
      </c>
      <c r="L347" s="418">
        <f t="shared" ref="L347:L348" si="147">IF(J347=0," ",J347*K347)</f>
        <v>18500</v>
      </c>
      <c r="M347" s="65">
        <v>1</v>
      </c>
      <c r="N347" s="418">
        <v>18500</v>
      </c>
      <c r="O347" s="418">
        <f>M347*N347</f>
        <v>18500</v>
      </c>
      <c r="P347" s="418">
        <f>K347-N347</f>
        <v>0</v>
      </c>
      <c r="Q347" s="418">
        <f>L347-O347</f>
        <v>0</v>
      </c>
    </row>
    <row r="348" spans="2:17" ht="12.75" customHeight="1" x14ac:dyDescent="0.2">
      <c r="B348" s="273"/>
      <c r="F348" s="265"/>
      <c r="G348" s="275"/>
      <c r="H348" s="418"/>
      <c r="I348" s="418" t="str">
        <f t="shared" si="146"/>
        <v xml:space="preserve"> </v>
      </c>
      <c r="J348" s="275"/>
      <c r="K348" s="456"/>
      <c r="L348" s="418" t="str">
        <f t="shared" si="147"/>
        <v xml:space="preserve"> </v>
      </c>
      <c r="M348" s="275"/>
      <c r="N348" s="418"/>
      <c r="O348" s="418" t="str">
        <f t="shared" ref="O348" si="148">IF(M348=0," ",M348*N348)</f>
        <v xml:space="preserve"> </v>
      </c>
      <c r="P348" s="418"/>
      <c r="Q348" s="418"/>
    </row>
    <row r="349" spans="2:17" ht="12.75" customHeight="1" x14ac:dyDescent="0.2">
      <c r="B349" s="273"/>
      <c r="D349" s="241" t="s">
        <v>124</v>
      </c>
      <c r="E349" s="274" t="s">
        <v>686</v>
      </c>
      <c r="F349" s="265" t="s">
        <v>454</v>
      </c>
      <c r="G349" s="268" t="s">
        <v>596</v>
      </c>
      <c r="H349" s="421">
        <v>35000</v>
      </c>
      <c r="I349" s="418"/>
      <c r="J349" s="268" t="s">
        <v>596</v>
      </c>
      <c r="K349" s="456">
        <v>18500</v>
      </c>
      <c r="L349" s="418"/>
      <c r="M349" s="268" t="s">
        <v>596</v>
      </c>
      <c r="N349" s="421">
        <v>18500</v>
      </c>
      <c r="O349" s="418"/>
      <c r="P349" s="418">
        <f t="shared" ref="P349:P378" si="149">K349-N349</f>
        <v>0</v>
      </c>
      <c r="Q349" s="418">
        <f t="shared" ref="Q349:Q376" si="150">L349-O349</f>
        <v>0</v>
      </c>
    </row>
    <row r="350" spans="2:17" ht="12.75" customHeight="1" x14ac:dyDescent="0.2">
      <c r="B350" s="273"/>
      <c r="F350" s="265"/>
      <c r="G350" s="275"/>
      <c r="H350" s="418"/>
      <c r="I350" s="418" t="str">
        <f t="shared" si="146"/>
        <v xml:space="preserve"> </v>
      </c>
      <c r="J350" s="275"/>
      <c r="K350" s="456"/>
      <c r="L350" s="418" t="str">
        <f t="shared" ref="L350:L383" si="151">IF(J350=0," ",J350*K350)</f>
        <v xml:space="preserve"> </v>
      </c>
      <c r="M350" s="275"/>
      <c r="N350" s="418"/>
      <c r="O350" s="418" t="str">
        <f t="shared" ref="O350:O383" si="152">IF(M350=0," ",M350*N350)</f>
        <v xml:space="preserve"> </v>
      </c>
      <c r="P350" s="418"/>
      <c r="Q350" s="418"/>
    </row>
    <row r="351" spans="2:17" ht="12.75" customHeight="1" x14ac:dyDescent="0.2">
      <c r="B351" s="267" t="s">
        <v>24</v>
      </c>
      <c r="C351" s="273" t="s">
        <v>279</v>
      </c>
      <c r="D351" s="241" t="s">
        <v>152</v>
      </c>
      <c r="F351" s="265" t="s">
        <v>454</v>
      </c>
      <c r="G351" s="275">
        <v>2.96</v>
      </c>
      <c r="H351" s="418">
        <v>15000</v>
      </c>
      <c r="I351" s="418">
        <f t="shared" si="146"/>
        <v>44400</v>
      </c>
      <c r="J351" s="275">
        <v>2.96</v>
      </c>
      <c r="K351" s="456">
        <v>18500</v>
      </c>
      <c r="L351" s="418">
        <f t="shared" si="151"/>
        <v>54760</v>
      </c>
      <c r="M351" s="275">
        <v>2.96</v>
      </c>
      <c r="N351" s="418">
        <v>18500</v>
      </c>
      <c r="O351" s="418">
        <f t="shared" si="152"/>
        <v>54760</v>
      </c>
      <c r="P351" s="418">
        <f t="shared" si="149"/>
        <v>0</v>
      </c>
      <c r="Q351" s="418">
        <f t="shared" si="150"/>
        <v>0</v>
      </c>
    </row>
    <row r="352" spans="2:17" ht="12.75" customHeight="1" x14ac:dyDescent="0.2">
      <c r="B352" s="273"/>
      <c r="D352" s="241" t="s">
        <v>18</v>
      </c>
      <c r="F352" s="265"/>
      <c r="G352" s="275"/>
      <c r="H352" s="418"/>
      <c r="I352" s="418" t="str">
        <f t="shared" si="146"/>
        <v xml:space="preserve"> </v>
      </c>
      <c r="J352" s="275"/>
      <c r="K352" s="456"/>
      <c r="L352" s="418" t="str">
        <f t="shared" si="151"/>
        <v xml:space="preserve"> </v>
      </c>
      <c r="M352" s="275"/>
      <c r="N352" s="418"/>
      <c r="O352" s="418" t="str">
        <f t="shared" si="152"/>
        <v xml:space="preserve"> </v>
      </c>
      <c r="P352" s="418"/>
      <c r="Q352" s="418"/>
    </row>
    <row r="353" spans="2:17" ht="12.75" customHeight="1" x14ac:dyDescent="0.2">
      <c r="B353" s="267"/>
      <c r="F353" s="265"/>
      <c r="G353" s="268"/>
      <c r="H353" s="418"/>
      <c r="I353" s="418" t="str">
        <f t="shared" si="146"/>
        <v xml:space="preserve"> </v>
      </c>
      <c r="J353" s="268"/>
      <c r="K353" s="456"/>
      <c r="L353" s="418" t="str">
        <f t="shared" si="151"/>
        <v xml:space="preserve"> </v>
      </c>
      <c r="M353" s="268"/>
      <c r="N353" s="418"/>
      <c r="O353" s="418" t="str">
        <f t="shared" si="152"/>
        <v xml:space="preserve"> </v>
      </c>
      <c r="P353" s="418"/>
      <c r="Q353" s="418"/>
    </row>
    <row r="354" spans="2:17" ht="12.75" customHeight="1" x14ac:dyDescent="0.2">
      <c r="B354" s="267" t="s">
        <v>2</v>
      </c>
      <c r="C354" s="273" t="s">
        <v>259</v>
      </c>
      <c r="F354" s="265"/>
      <c r="G354" s="268"/>
      <c r="H354" s="418" t="str">
        <f>IF(F369=0," ",F369*G354)</f>
        <v xml:space="preserve"> </v>
      </c>
      <c r="I354" s="418" t="str">
        <f t="shared" si="146"/>
        <v xml:space="preserve"> </v>
      </c>
      <c r="J354" s="268"/>
      <c r="K354" s="456" t="s">
        <v>849</v>
      </c>
      <c r="L354" s="418" t="str">
        <f t="shared" si="151"/>
        <v xml:space="preserve"> </v>
      </c>
      <c r="M354" s="268"/>
      <c r="N354" s="418"/>
      <c r="O354" s="418" t="str">
        <f t="shared" si="152"/>
        <v xml:space="preserve"> </v>
      </c>
      <c r="P354" s="418"/>
      <c r="Q354" s="418"/>
    </row>
    <row r="355" spans="2:17" ht="12.75" customHeight="1" x14ac:dyDescent="0.2">
      <c r="B355" s="267"/>
      <c r="C355" s="273" t="s">
        <v>278</v>
      </c>
      <c r="D355" s="241" t="s">
        <v>153</v>
      </c>
      <c r="F355" s="265" t="s">
        <v>254</v>
      </c>
      <c r="G355" s="275">
        <v>0</v>
      </c>
      <c r="H355" s="418">
        <v>1000</v>
      </c>
      <c r="I355" s="418" t="str">
        <f t="shared" si="146"/>
        <v xml:space="preserve"> </v>
      </c>
      <c r="J355" s="275">
        <v>0</v>
      </c>
      <c r="K355" s="456">
        <v>1850</v>
      </c>
      <c r="L355" s="418">
        <v>0</v>
      </c>
      <c r="M355" s="275">
        <v>0</v>
      </c>
      <c r="N355" s="418">
        <v>1850</v>
      </c>
      <c r="O355" s="418">
        <v>0</v>
      </c>
      <c r="P355" s="418">
        <f t="shared" si="149"/>
        <v>0</v>
      </c>
      <c r="Q355" s="418">
        <f t="shared" si="150"/>
        <v>0</v>
      </c>
    </row>
    <row r="356" spans="2:17" ht="12.75" customHeight="1" x14ac:dyDescent="0.2">
      <c r="B356" s="267"/>
      <c r="F356" s="265"/>
      <c r="G356" s="268"/>
      <c r="H356" s="418"/>
      <c r="I356" s="418" t="str">
        <f t="shared" si="146"/>
        <v xml:space="preserve"> </v>
      </c>
      <c r="J356" s="268"/>
      <c r="K356" s="456"/>
      <c r="L356" s="418" t="str">
        <f t="shared" si="151"/>
        <v xml:space="preserve"> </v>
      </c>
      <c r="M356" s="268"/>
      <c r="N356" s="418"/>
      <c r="O356" s="418" t="str">
        <f t="shared" si="152"/>
        <v xml:space="preserve"> </v>
      </c>
      <c r="P356" s="418"/>
      <c r="Q356" s="418"/>
    </row>
    <row r="357" spans="2:17" ht="12.75" customHeight="1" x14ac:dyDescent="0.2">
      <c r="B357" s="267"/>
      <c r="C357" s="273" t="s">
        <v>279</v>
      </c>
      <c r="D357" s="241" t="s">
        <v>154</v>
      </c>
      <c r="F357" s="265" t="s">
        <v>254</v>
      </c>
      <c r="G357" s="275">
        <v>0</v>
      </c>
      <c r="H357" s="418">
        <v>1500</v>
      </c>
      <c r="I357" s="418" t="str">
        <f t="shared" si="146"/>
        <v xml:space="preserve"> </v>
      </c>
      <c r="J357" s="275">
        <v>0</v>
      </c>
      <c r="K357" s="456">
        <v>2100</v>
      </c>
      <c r="L357" s="418">
        <v>0</v>
      </c>
      <c r="M357" s="275">
        <v>0</v>
      </c>
      <c r="N357" s="418">
        <v>2100</v>
      </c>
      <c r="O357" s="418">
        <v>0</v>
      </c>
      <c r="P357" s="418">
        <f t="shared" si="149"/>
        <v>0</v>
      </c>
      <c r="Q357" s="418">
        <f t="shared" si="150"/>
        <v>0</v>
      </c>
    </row>
    <row r="358" spans="2:17" ht="12.75" customHeight="1" x14ac:dyDescent="0.2">
      <c r="B358" s="267"/>
      <c r="F358" s="265"/>
      <c r="G358" s="268"/>
      <c r="H358" s="418"/>
      <c r="I358" s="418" t="str">
        <f t="shared" si="146"/>
        <v xml:space="preserve"> </v>
      </c>
      <c r="J358" s="268"/>
      <c r="K358" s="456"/>
      <c r="L358" s="418" t="str">
        <f t="shared" si="151"/>
        <v xml:space="preserve"> </v>
      </c>
      <c r="M358" s="268"/>
      <c r="N358" s="418"/>
      <c r="O358" s="418" t="str">
        <f t="shared" si="152"/>
        <v xml:space="preserve"> </v>
      </c>
      <c r="P358" s="418"/>
      <c r="Q358" s="418"/>
    </row>
    <row r="359" spans="2:17" ht="12.75" customHeight="1" x14ac:dyDescent="0.2">
      <c r="B359" s="267" t="s">
        <v>1</v>
      </c>
      <c r="C359" s="273" t="s">
        <v>257</v>
      </c>
      <c r="D359" s="285"/>
      <c r="E359" s="286"/>
      <c r="F359" s="265"/>
      <c r="G359" s="268"/>
      <c r="H359" s="418"/>
      <c r="I359" s="418" t="str">
        <f t="shared" si="146"/>
        <v xml:space="preserve"> </v>
      </c>
      <c r="J359" s="268"/>
      <c r="K359" s="456"/>
      <c r="L359" s="418" t="str">
        <f t="shared" si="151"/>
        <v xml:space="preserve"> </v>
      </c>
      <c r="M359" s="268"/>
      <c r="N359" s="418"/>
      <c r="O359" s="418" t="str">
        <f t="shared" si="152"/>
        <v xml:space="preserve"> </v>
      </c>
      <c r="P359" s="418"/>
      <c r="Q359" s="418"/>
    </row>
    <row r="360" spans="2:17" ht="12.75" customHeight="1" x14ac:dyDescent="0.2">
      <c r="B360" s="267"/>
      <c r="C360" s="273" t="s">
        <v>258</v>
      </c>
      <c r="F360" s="265" t="s">
        <v>275</v>
      </c>
      <c r="G360" s="275">
        <v>200</v>
      </c>
      <c r="H360" s="418">
        <v>30</v>
      </c>
      <c r="I360" s="418">
        <f t="shared" si="146"/>
        <v>6000</v>
      </c>
      <c r="J360" s="275">
        <v>200</v>
      </c>
      <c r="K360" s="456">
        <v>15</v>
      </c>
      <c r="L360" s="418">
        <f t="shared" si="151"/>
        <v>3000</v>
      </c>
      <c r="M360" s="275">
        <v>200</v>
      </c>
      <c r="N360" s="418">
        <v>15</v>
      </c>
      <c r="O360" s="418">
        <f t="shared" si="152"/>
        <v>3000</v>
      </c>
      <c r="P360" s="418">
        <f t="shared" si="149"/>
        <v>0</v>
      </c>
      <c r="Q360" s="418">
        <f t="shared" si="150"/>
        <v>0</v>
      </c>
    </row>
    <row r="361" spans="2:17" ht="12.75" customHeight="1" x14ac:dyDescent="0.2">
      <c r="B361" s="267"/>
      <c r="F361" s="265"/>
      <c r="G361" s="268"/>
      <c r="H361" s="317"/>
      <c r="I361" s="418" t="str">
        <f t="shared" si="146"/>
        <v xml:space="preserve"> </v>
      </c>
      <c r="J361" s="268"/>
      <c r="K361" s="456"/>
      <c r="L361" s="418" t="str">
        <f t="shared" si="151"/>
        <v xml:space="preserve"> </v>
      </c>
      <c r="M361" s="268"/>
      <c r="N361" s="317"/>
      <c r="O361" s="418" t="str">
        <f t="shared" si="152"/>
        <v xml:space="preserve"> </v>
      </c>
      <c r="P361" s="418"/>
      <c r="Q361" s="418"/>
    </row>
    <row r="362" spans="2:17" ht="12.75" customHeight="1" x14ac:dyDescent="0.2">
      <c r="B362" s="267">
        <v>17.059999999999999</v>
      </c>
      <c r="C362" s="273" t="s">
        <v>681</v>
      </c>
      <c r="F362" s="265"/>
      <c r="G362" s="268"/>
      <c r="H362" s="317"/>
      <c r="I362" s="418" t="str">
        <f t="shared" si="146"/>
        <v xml:space="preserve"> </v>
      </c>
      <c r="J362" s="268"/>
      <c r="K362" s="456"/>
      <c r="L362" s="418" t="str">
        <f t="shared" si="151"/>
        <v xml:space="preserve"> </v>
      </c>
      <c r="M362" s="268"/>
      <c r="N362" s="317"/>
      <c r="O362" s="418" t="str">
        <f t="shared" si="152"/>
        <v xml:space="preserve"> </v>
      </c>
      <c r="P362" s="418"/>
      <c r="Q362" s="418"/>
    </row>
    <row r="363" spans="2:17" ht="12.75" customHeight="1" x14ac:dyDescent="0.2">
      <c r="B363" s="267"/>
      <c r="C363" s="273" t="s">
        <v>278</v>
      </c>
      <c r="D363" s="241" t="s">
        <v>682</v>
      </c>
      <c r="F363" s="265" t="s">
        <v>269</v>
      </c>
      <c r="G363" s="268">
        <v>1</v>
      </c>
      <c r="H363" s="432">
        <v>20000</v>
      </c>
      <c r="I363" s="418">
        <f t="shared" si="146"/>
        <v>20000</v>
      </c>
      <c r="J363" s="268">
        <v>1</v>
      </c>
      <c r="K363" s="456">
        <v>20000</v>
      </c>
      <c r="L363" s="418">
        <f t="shared" si="151"/>
        <v>20000</v>
      </c>
      <c r="M363" s="268">
        <v>1</v>
      </c>
      <c r="N363" s="432">
        <v>20000</v>
      </c>
      <c r="O363" s="418">
        <f t="shared" si="152"/>
        <v>20000</v>
      </c>
      <c r="P363" s="418">
        <f t="shared" si="149"/>
        <v>0</v>
      </c>
      <c r="Q363" s="418">
        <f t="shared" si="150"/>
        <v>0</v>
      </c>
    </row>
    <row r="364" spans="2:17" ht="12.75" customHeight="1" x14ac:dyDescent="0.2">
      <c r="B364" s="267"/>
      <c r="D364" s="241" t="s">
        <v>683</v>
      </c>
      <c r="F364" s="265"/>
      <c r="G364" s="359"/>
      <c r="H364" s="433"/>
      <c r="I364" s="418" t="str">
        <f t="shared" si="146"/>
        <v xml:space="preserve"> </v>
      </c>
      <c r="J364" s="359"/>
      <c r="K364" s="456"/>
      <c r="L364" s="418" t="str">
        <f t="shared" si="151"/>
        <v xml:space="preserve"> </v>
      </c>
      <c r="M364" s="359"/>
      <c r="N364" s="433"/>
      <c r="O364" s="418" t="str">
        <f t="shared" si="152"/>
        <v xml:space="preserve"> </v>
      </c>
      <c r="P364" s="418"/>
      <c r="Q364" s="418"/>
    </row>
    <row r="365" spans="2:17" ht="12.75" customHeight="1" x14ac:dyDescent="0.2">
      <c r="B365" s="273"/>
      <c r="F365" s="265"/>
      <c r="G365" s="268"/>
      <c r="H365" s="421"/>
      <c r="I365" s="418" t="str">
        <f t="shared" si="146"/>
        <v xml:space="preserve"> </v>
      </c>
      <c r="J365" s="268"/>
      <c r="K365" s="456"/>
      <c r="L365" s="418" t="str">
        <f t="shared" si="151"/>
        <v xml:space="preserve"> </v>
      </c>
      <c r="M365" s="268"/>
      <c r="N365" s="421"/>
      <c r="O365" s="418" t="str">
        <f t="shared" si="152"/>
        <v xml:space="preserve"> </v>
      </c>
      <c r="P365" s="418"/>
      <c r="Q365" s="418"/>
    </row>
    <row r="366" spans="2:17" ht="12.75" customHeight="1" x14ac:dyDescent="0.2">
      <c r="B366" s="267"/>
      <c r="C366" s="269" t="s">
        <v>279</v>
      </c>
      <c r="D366" s="540" t="s">
        <v>684</v>
      </c>
      <c r="E366" s="541"/>
      <c r="F366" s="320" t="s">
        <v>270</v>
      </c>
      <c r="G366" s="437">
        <f>H363</f>
        <v>20000</v>
      </c>
      <c r="H366" s="420">
        <v>0.1</v>
      </c>
      <c r="I366" s="418">
        <f t="shared" si="146"/>
        <v>2000</v>
      </c>
      <c r="J366" s="437">
        <f t="shared" ref="J366" si="153">K363</f>
        <v>20000</v>
      </c>
      <c r="K366" s="484">
        <v>0.1</v>
      </c>
      <c r="L366" s="418">
        <f t="shared" si="151"/>
        <v>2000</v>
      </c>
      <c r="M366" s="437">
        <f t="shared" ref="M366" si="154">N363</f>
        <v>20000</v>
      </c>
      <c r="N366" s="420">
        <v>0.1</v>
      </c>
      <c r="O366" s="418">
        <f t="shared" si="152"/>
        <v>2000</v>
      </c>
      <c r="P366" s="418">
        <f t="shared" si="149"/>
        <v>0</v>
      </c>
      <c r="Q366" s="418">
        <f t="shared" si="150"/>
        <v>0</v>
      </c>
    </row>
    <row r="367" spans="2:17" ht="12.75" customHeight="1" x14ac:dyDescent="0.2">
      <c r="B367" s="267"/>
      <c r="F367" s="265"/>
      <c r="G367" s="275"/>
      <c r="H367" s="317"/>
      <c r="I367" s="418" t="str">
        <f t="shared" si="146"/>
        <v xml:space="preserve"> </v>
      </c>
      <c r="J367" s="275"/>
      <c r="K367" s="456"/>
      <c r="L367" s="418" t="str">
        <f t="shared" si="151"/>
        <v xml:space="preserve"> </v>
      </c>
      <c r="M367" s="275"/>
      <c r="N367" s="317"/>
      <c r="O367" s="418" t="str">
        <f t="shared" si="152"/>
        <v xml:space="preserve"> </v>
      </c>
      <c r="P367" s="418"/>
      <c r="Q367" s="418"/>
    </row>
    <row r="368" spans="2:17" ht="12.75" customHeight="1" x14ac:dyDescent="0.2">
      <c r="B368" s="309" t="s">
        <v>652</v>
      </c>
      <c r="C368" s="303" t="s">
        <v>653</v>
      </c>
      <c r="D368" s="366"/>
      <c r="E368" s="299"/>
      <c r="F368" s="305"/>
      <c r="G368" s="268"/>
      <c r="H368" s="317"/>
      <c r="I368" s="418" t="str">
        <f t="shared" si="146"/>
        <v xml:space="preserve"> </v>
      </c>
      <c r="J368" s="268"/>
      <c r="K368" s="456"/>
      <c r="L368" s="418" t="str">
        <f t="shared" si="151"/>
        <v xml:space="preserve"> </v>
      </c>
      <c r="M368" s="268"/>
      <c r="N368" s="317"/>
      <c r="O368" s="418" t="str">
        <f t="shared" si="152"/>
        <v xml:space="preserve"> </v>
      </c>
      <c r="P368" s="418"/>
      <c r="Q368" s="418"/>
    </row>
    <row r="369" spans="2:17" ht="12.75" customHeight="1" x14ac:dyDescent="0.2">
      <c r="B369" s="321"/>
      <c r="C369" s="299" t="s">
        <v>654</v>
      </c>
      <c r="D369" s="366"/>
      <c r="E369" s="299"/>
      <c r="F369" s="305"/>
      <c r="G369" s="268"/>
      <c r="H369" s="317"/>
      <c r="I369" s="418" t="str">
        <f t="shared" si="146"/>
        <v xml:space="preserve"> </v>
      </c>
      <c r="J369" s="268"/>
      <c r="K369" s="456"/>
      <c r="L369" s="418" t="str">
        <f t="shared" si="151"/>
        <v xml:space="preserve"> </v>
      </c>
      <c r="M369" s="268"/>
      <c r="N369" s="317"/>
      <c r="O369" s="418" t="str">
        <f t="shared" si="152"/>
        <v xml:space="preserve"> </v>
      </c>
      <c r="P369" s="418"/>
      <c r="Q369" s="418"/>
    </row>
    <row r="370" spans="2:17" ht="12.75" customHeight="1" x14ac:dyDescent="0.2">
      <c r="B370" s="322"/>
      <c r="C370" s="303" t="s">
        <v>278</v>
      </c>
      <c r="D370" s="299" t="s">
        <v>655</v>
      </c>
      <c r="E370" s="299"/>
      <c r="F370" s="305" t="s">
        <v>829</v>
      </c>
      <c r="G370" s="268">
        <v>0</v>
      </c>
      <c r="H370" s="418">
        <v>20</v>
      </c>
      <c r="I370" s="418">
        <f>G370*H370</f>
        <v>0</v>
      </c>
      <c r="J370" s="268">
        <v>0</v>
      </c>
      <c r="K370" s="456">
        <v>95</v>
      </c>
      <c r="L370" s="418">
        <f>J370*K370</f>
        <v>0</v>
      </c>
      <c r="M370" s="268">
        <v>0</v>
      </c>
      <c r="N370" s="418">
        <v>95</v>
      </c>
      <c r="O370" s="418">
        <f>M370*N370</f>
        <v>0</v>
      </c>
      <c r="P370" s="418">
        <f t="shared" si="149"/>
        <v>0</v>
      </c>
      <c r="Q370" s="418">
        <f t="shared" si="150"/>
        <v>0</v>
      </c>
    </row>
    <row r="371" spans="2:17" ht="12.75" customHeight="1" x14ac:dyDescent="0.2">
      <c r="B371" s="322"/>
      <c r="C371" s="303"/>
      <c r="D371" s="299"/>
      <c r="E371" s="299"/>
      <c r="F371" s="298"/>
      <c r="G371" s="268"/>
      <c r="H371" s="418" t="str">
        <f t="shared" ref="H371:H377" si="155">IF(F371=0," ",F371*G371)</f>
        <v xml:space="preserve"> </v>
      </c>
      <c r="I371" s="418"/>
      <c r="J371" s="268"/>
      <c r="K371" s="456"/>
      <c r="L371" s="418"/>
      <c r="M371" s="268"/>
      <c r="N371" s="418"/>
      <c r="O371" s="418"/>
      <c r="P371" s="418"/>
      <c r="Q371" s="418"/>
    </row>
    <row r="372" spans="2:17" ht="12.75" customHeight="1" x14ac:dyDescent="0.2">
      <c r="B372" s="323"/>
      <c r="C372" s="303" t="s">
        <v>279</v>
      </c>
      <c r="D372" s="366" t="s">
        <v>656</v>
      </c>
      <c r="E372" s="299"/>
      <c r="F372" s="298"/>
      <c r="G372" s="268"/>
      <c r="H372" s="418" t="str">
        <f t="shared" si="155"/>
        <v xml:space="preserve"> </v>
      </c>
      <c r="I372" s="418"/>
      <c r="J372" s="268"/>
      <c r="K372" s="456"/>
      <c r="L372" s="418"/>
      <c r="M372" s="268"/>
      <c r="N372" s="418"/>
      <c r="O372" s="418"/>
      <c r="P372" s="418"/>
      <c r="Q372" s="418"/>
    </row>
    <row r="373" spans="2:17" ht="12.75" customHeight="1" x14ac:dyDescent="0.2">
      <c r="B373" s="323"/>
      <c r="C373" s="303"/>
      <c r="D373" s="366" t="s">
        <v>657</v>
      </c>
      <c r="E373" s="299"/>
      <c r="F373" s="305" t="s">
        <v>829</v>
      </c>
      <c r="G373" s="268">
        <v>0</v>
      </c>
      <c r="H373" s="418">
        <v>30</v>
      </c>
      <c r="I373" s="418">
        <f t="shared" ref="I373:I378" si="156">G373*H373</f>
        <v>0</v>
      </c>
      <c r="J373" s="268">
        <v>0</v>
      </c>
      <c r="K373" s="456">
        <v>95</v>
      </c>
      <c r="L373" s="418">
        <f t="shared" ref="L373:L378" si="157">J373*K373</f>
        <v>0</v>
      </c>
      <c r="M373" s="268">
        <v>0</v>
      </c>
      <c r="N373" s="418">
        <v>95</v>
      </c>
      <c r="O373" s="418">
        <f t="shared" ref="O373:O378" si="158">M373*N373</f>
        <v>0</v>
      </c>
      <c r="P373" s="418">
        <f t="shared" si="149"/>
        <v>0</v>
      </c>
      <c r="Q373" s="418">
        <f t="shared" si="150"/>
        <v>0</v>
      </c>
    </row>
    <row r="374" spans="2:17" ht="12.75" customHeight="1" x14ac:dyDescent="0.2">
      <c r="B374" s="321"/>
      <c r="C374" s="303"/>
      <c r="D374" s="366"/>
      <c r="E374" s="299"/>
      <c r="F374" s="298"/>
      <c r="G374" s="268"/>
      <c r="H374" s="418" t="str">
        <f t="shared" si="155"/>
        <v xml:space="preserve"> </v>
      </c>
      <c r="I374" s="418"/>
      <c r="J374" s="268"/>
      <c r="K374" s="456" t="s">
        <v>849</v>
      </c>
      <c r="L374" s="418"/>
      <c r="M374" s="268"/>
      <c r="N374" s="418"/>
      <c r="O374" s="418"/>
      <c r="P374" s="418"/>
      <c r="Q374" s="418"/>
    </row>
    <row r="375" spans="2:17" ht="12.75" customHeight="1" x14ac:dyDescent="0.2">
      <c r="B375" s="267" t="s">
        <v>658</v>
      </c>
      <c r="C375" s="273" t="s">
        <v>668</v>
      </c>
      <c r="F375" s="265"/>
      <c r="G375" s="268"/>
      <c r="H375" s="418" t="str">
        <f t="shared" si="155"/>
        <v xml:space="preserve"> </v>
      </c>
      <c r="I375" s="418"/>
      <c r="J375" s="268"/>
      <c r="K375" s="456" t="s">
        <v>849</v>
      </c>
      <c r="L375" s="418"/>
      <c r="M375" s="268"/>
      <c r="N375" s="418"/>
      <c r="O375" s="418"/>
      <c r="P375" s="418"/>
      <c r="Q375" s="418"/>
    </row>
    <row r="376" spans="2:17" ht="12.75" customHeight="1" x14ac:dyDescent="0.2">
      <c r="B376" s="267"/>
      <c r="C376" s="273" t="s">
        <v>278</v>
      </c>
      <c r="D376" s="241" t="s">
        <v>713</v>
      </c>
      <c r="F376" s="265" t="s">
        <v>829</v>
      </c>
      <c r="G376" s="275">
        <v>0</v>
      </c>
      <c r="H376" s="418">
        <v>550</v>
      </c>
      <c r="I376" s="418">
        <f t="shared" si="156"/>
        <v>0</v>
      </c>
      <c r="J376" s="275">
        <v>0</v>
      </c>
      <c r="K376" s="456">
        <v>550</v>
      </c>
      <c r="L376" s="418">
        <f t="shared" si="157"/>
        <v>0</v>
      </c>
      <c r="M376" s="275">
        <v>0</v>
      </c>
      <c r="N376" s="418">
        <v>550</v>
      </c>
      <c r="O376" s="418">
        <f t="shared" si="158"/>
        <v>0</v>
      </c>
      <c r="P376" s="418">
        <f t="shared" si="149"/>
        <v>0</v>
      </c>
      <c r="Q376" s="418">
        <f t="shared" si="150"/>
        <v>0</v>
      </c>
    </row>
    <row r="377" spans="2:17" ht="12.75" customHeight="1" x14ac:dyDescent="0.2">
      <c r="B377" s="267"/>
      <c r="F377" s="265"/>
      <c r="G377" s="275"/>
      <c r="H377" s="418" t="str">
        <f t="shared" si="155"/>
        <v xml:space="preserve"> </v>
      </c>
      <c r="I377" s="418"/>
      <c r="J377" s="275"/>
      <c r="K377" s="456" t="s">
        <v>849</v>
      </c>
      <c r="L377" s="418"/>
      <c r="M377" s="275"/>
      <c r="N377" s="418"/>
      <c r="O377" s="418"/>
      <c r="P377" s="418"/>
      <c r="Q377" s="418"/>
    </row>
    <row r="378" spans="2:17" ht="12.75" customHeight="1" x14ac:dyDescent="0.2">
      <c r="B378" s="267"/>
      <c r="C378" s="273" t="s">
        <v>279</v>
      </c>
      <c r="D378" s="241" t="s">
        <v>722</v>
      </c>
      <c r="F378" s="265" t="s">
        <v>829</v>
      </c>
      <c r="G378" s="275">
        <v>0</v>
      </c>
      <c r="H378" s="418">
        <v>300</v>
      </c>
      <c r="I378" s="418">
        <f t="shared" si="156"/>
        <v>0</v>
      </c>
      <c r="J378" s="275">
        <v>0</v>
      </c>
      <c r="K378" s="456">
        <v>550</v>
      </c>
      <c r="L378" s="418">
        <f t="shared" si="157"/>
        <v>0</v>
      </c>
      <c r="M378" s="275">
        <v>0</v>
      </c>
      <c r="N378" s="418">
        <v>550</v>
      </c>
      <c r="O378" s="418">
        <f t="shared" si="158"/>
        <v>0</v>
      </c>
      <c r="P378" s="418">
        <f t="shared" si="149"/>
        <v>0</v>
      </c>
      <c r="Q378" s="418">
        <f>L378-O378</f>
        <v>0</v>
      </c>
    </row>
    <row r="379" spans="2:17" ht="12.75" customHeight="1" x14ac:dyDescent="0.2">
      <c r="B379" s="322"/>
      <c r="C379" s="303"/>
      <c r="D379" s="366" t="s">
        <v>714</v>
      </c>
      <c r="E379" s="299"/>
      <c r="F379" s="298"/>
      <c r="G379" s="268"/>
      <c r="H379" s="317"/>
      <c r="I379" s="418" t="str">
        <f t="shared" si="146"/>
        <v xml:space="preserve"> </v>
      </c>
      <c r="J379" s="268"/>
      <c r="K379" s="456"/>
      <c r="L379" s="418"/>
      <c r="M379" s="268"/>
      <c r="N379" s="317"/>
      <c r="O379" s="418" t="str">
        <f t="shared" si="152"/>
        <v xml:space="preserve"> </v>
      </c>
      <c r="P379" s="418"/>
      <c r="Q379" s="418"/>
    </row>
    <row r="380" spans="2:17" ht="12.75" customHeight="1" x14ac:dyDescent="0.2">
      <c r="B380" s="267"/>
      <c r="F380" s="265"/>
      <c r="G380" s="268"/>
      <c r="H380" s="317"/>
      <c r="I380" s="418" t="str">
        <f t="shared" si="146"/>
        <v xml:space="preserve"> </v>
      </c>
      <c r="J380" s="268"/>
      <c r="K380" s="456"/>
      <c r="L380" s="418" t="str">
        <f t="shared" si="151"/>
        <v xml:space="preserve"> </v>
      </c>
      <c r="M380" s="268"/>
      <c r="N380" s="317"/>
      <c r="O380" s="418" t="str">
        <f t="shared" si="152"/>
        <v xml:space="preserve"> </v>
      </c>
      <c r="P380" s="418" t="str">
        <f t="shared" ref="P380:P383" si="159">IF(N380=0," ",N380*O380)</f>
        <v xml:space="preserve"> </v>
      </c>
      <c r="Q380" s="418"/>
    </row>
    <row r="381" spans="2:17" ht="12.75" customHeight="1" x14ac:dyDescent="0.2">
      <c r="B381" s="267"/>
      <c r="F381" s="265"/>
      <c r="G381" s="268"/>
      <c r="H381" s="317"/>
      <c r="I381" s="418" t="str">
        <f t="shared" si="146"/>
        <v xml:space="preserve"> </v>
      </c>
      <c r="J381" s="268"/>
      <c r="K381" s="456"/>
      <c r="L381" s="418" t="str">
        <f t="shared" si="151"/>
        <v xml:space="preserve"> </v>
      </c>
      <c r="M381" s="268"/>
      <c r="N381" s="317"/>
      <c r="O381" s="418" t="str">
        <f t="shared" si="152"/>
        <v xml:space="preserve"> </v>
      </c>
      <c r="P381" s="418" t="str">
        <f t="shared" si="159"/>
        <v xml:space="preserve"> </v>
      </c>
      <c r="Q381" s="418"/>
    </row>
    <row r="382" spans="2:17" ht="12.75" customHeight="1" x14ac:dyDescent="0.2">
      <c r="B382" s="267"/>
      <c r="F382" s="265"/>
      <c r="G382" s="268"/>
      <c r="H382" s="317"/>
      <c r="I382" s="418" t="str">
        <f t="shared" si="146"/>
        <v xml:space="preserve"> </v>
      </c>
      <c r="J382" s="268"/>
      <c r="K382" s="456"/>
      <c r="L382" s="418" t="str">
        <f t="shared" si="151"/>
        <v xml:space="preserve"> </v>
      </c>
      <c r="M382" s="268"/>
      <c r="N382" s="317"/>
      <c r="O382" s="418" t="str">
        <f t="shared" si="152"/>
        <v xml:space="preserve"> </v>
      </c>
      <c r="P382" s="418" t="str">
        <f t="shared" si="159"/>
        <v xml:space="preserve"> </v>
      </c>
      <c r="Q382" s="418"/>
    </row>
    <row r="383" spans="2:17" ht="12.75" customHeight="1" x14ac:dyDescent="0.2">
      <c r="B383" s="267"/>
      <c r="F383" s="265"/>
      <c r="G383" s="268"/>
      <c r="H383" s="317"/>
      <c r="I383" s="418" t="str">
        <f t="shared" si="146"/>
        <v xml:space="preserve"> </v>
      </c>
      <c r="J383" s="268"/>
      <c r="K383" s="456"/>
      <c r="L383" s="418" t="str">
        <f t="shared" si="151"/>
        <v xml:space="preserve"> </v>
      </c>
      <c r="M383" s="268"/>
      <c r="N383" s="317"/>
      <c r="O383" s="418" t="str">
        <f t="shared" si="152"/>
        <v xml:space="preserve"> </v>
      </c>
      <c r="P383" s="418" t="str">
        <f t="shared" si="159"/>
        <v xml:space="preserve"> </v>
      </c>
      <c r="Q383" s="418"/>
    </row>
    <row r="384" spans="2:17" ht="12.75" customHeight="1" x14ac:dyDescent="0.2">
      <c r="B384" s="267"/>
      <c r="F384" s="265"/>
      <c r="G384" s="268"/>
      <c r="H384" s="317"/>
      <c r="I384" s="418"/>
      <c r="J384" s="268"/>
      <c r="K384" s="456"/>
      <c r="L384" s="418"/>
      <c r="M384" s="268"/>
      <c r="N384" s="317"/>
      <c r="O384" s="418"/>
      <c r="P384" s="418"/>
      <c r="Q384" s="418"/>
    </row>
    <row r="385" spans="2:17" ht="12.75" customHeight="1" x14ac:dyDescent="0.2">
      <c r="B385" s="267"/>
      <c r="F385" s="265"/>
      <c r="G385" s="268"/>
      <c r="H385" s="317"/>
      <c r="I385" s="418"/>
      <c r="J385" s="268"/>
      <c r="K385" s="456"/>
      <c r="L385" s="418"/>
      <c r="M385" s="268"/>
      <c r="N385" s="317"/>
      <c r="O385" s="418"/>
      <c r="P385" s="418"/>
      <c r="Q385" s="418"/>
    </row>
    <row r="386" spans="2:17" ht="12.75" customHeight="1" x14ac:dyDescent="0.2">
      <c r="B386" s="267"/>
      <c r="F386" s="265"/>
      <c r="G386" s="268"/>
      <c r="H386" s="317"/>
      <c r="I386" s="418"/>
      <c r="J386" s="268"/>
      <c r="K386" s="456"/>
      <c r="L386" s="418"/>
      <c r="M386" s="268"/>
      <c r="N386" s="317"/>
      <c r="O386" s="418"/>
      <c r="P386" s="418"/>
      <c r="Q386" s="418"/>
    </row>
    <row r="387" spans="2:17" ht="12.75" customHeight="1" x14ac:dyDescent="0.2">
      <c r="B387" s="267"/>
      <c r="F387" s="265"/>
      <c r="G387" s="268"/>
      <c r="H387" s="317"/>
      <c r="I387" s="418"/>
      <c r="J387" s="268"/>
      <c r="K387" s="456"/>
      <c r="L387" s="418"/>
      <c r="M387" s="268"/>
      <c r="N387" s="317"/>
      <c r="O387" s="418"/>
      <c r="P387" s="418"/>
      <c r="Q387" s="418"/>
    </row>
    <row r="388" spans="2:17" ht="12.75" customHeight="1" x14ac:dyDescent="0.2">
      <c r="B388" s="267"/>
      <c r="F388" s="265"/>
      <c r="G388" s="268"/>
      <c r="H388" s="317"/>
      <c r="I388" s="418"/>
      <c r="J388" s="268"/>
      <c r="K388" s="456"/>
      <c r="L388" s="418"/>
      <c r="M388" s="268"/>
      <c r="N388" s="317"/>
      <c r="O388" s="418"/>
      <c r="P388" s="418"/>
      <c r="Q388" s="418"/>
    </row>
    <row r="389" spans="2:17" ht="12.75" customHeight="1" x14ac:dyDescent="0.2">
      <c r="B389" s="267"/>
      <c r="F389" s="265"/>
      <c r="G389" s="268"/>
      <c r="H389" s="317"/>
      <c r="I389" s="418"/>
      <c r="J389" s="268"/>
      <c r="K389" s="456"/>
      <c r="L389" s="418"/>
      <c r="M389" s="268"/>
      <c r="N389" s="317"/>
      <c r="O389" s="418"/>
      <c r="P389" s="418"/>
      <c r="Q389" s="418"/>
    </row>
    <row r="390" spans="2:17" ht="12.75" customHeight="1" x14ac:dyDescent="0.2">
      <c r="B390" s="267"/>
      <c r="F390" s="265"/>
      <c r="G390" s="268"/>
      <c r="H390" s="317"/>
      <c r="I390" s="418"/>
      <c r="J390" s="268"/>
      <c r="K390" s="456"/>
      <c r="L390" s="418"/>
      <c r="M390" s="268"/>
      <c r="N390" s="317"/>
      <c r="O390" s="418"/>
      <c r="P390" s="418"/>
      <c r="Q390" s="418"/>
    </row>
    <row r="391" spans="2:17" ht="12.75" customHeight="1" x14ac:dyDescent="0.2">
      <c r="B391" s="267"/>
      <c r="F391" s="265"/>
      <c r="G391" s="268"/>
      <c r="H391" s="317"/>
      <c r="I391" s="418"/>
      <c r="J391" s="268"/>
      <c r="K391" s="456"/>
      <c r="L391" s="418"/>
      <c r="M391" s="268"/>
      <c r="N391" s="317"/>
      <c r="O391" s="418"/>
      <c r="P391" s="418"/>
      <c r="Q391" s="418"/>
    </row>
    <row r="392" spans="2:17" ht="12.75" customHeight="1" x14ac:dyDescent="0.2">
      <c r="B392" s="267"/>
      <c r="F392" s="265"/>
      <c r="G392" s="268"/>
      <c r="H392" s="317"/>
      <c r="I392" s="418"/>
      <c r="J392" s="268"/>
      <c r="K392" s="456"/>
      <c r="L392" s="418"/>
      <c r="M392" s="268"/>
      <c r="N392" s="317"/>
      <c r="O392" s="418"/>
      <c r="P392" s="418"/>
      <c r="Q392" s="418"/>
    </row>
    <row r="393" spans="2:17" ht="12.75" customHeight="1" x14ac:dyDescent="0.2">
      <c r="B393" s="267"/>
      <c r="F393" s="265"/>
      <c r="G393" s="268"/>
      <c r="H393" s="317"/>
      <c r="I393" s="418"/>
      <c r="J393" s="268"/>
      <c r="K393" s="456"/>
      <c r="L393" s="418"/>
      <c r="M393" s="268"/>
      <c r="N393" s="317"/>
      <c r="O393" s="418"/>
      <c r="P393" s="418"/>
      <c r="Q393" s="418"/>
    </row>
    <row r="394" spans="2:17" ht="12.75" customHeight="1" x14ac:dyDescent="0.2">
      <c r="B394" s="267"/>
      <c r="F394" s="265"/>
      <c r="G394" s="268"/>
      <c r="H394" s="317"/>
      <c r="I394" s="418"/>
      <c r="J394" s="268"/>
      <c r="K394" s="456"/>
      <c r="L394" s="418"/>
      <c r="M394" s="268"/>
      <c r="N394" s="317"/>
      <c r="O394" s="418"/>
      <c r="P394" s="418"/>
      <c r="Q394" s="418"/>
    </row>
    <row r="395" spans="2:17" ht="12.75" customHeight="1" x14ac:dyDescent="0.2">
      <c r="B395" s="267"/>
      <c r="F395" s="265"/>
      <c r="G395" s="268"/>
      <c r="H395" s="317"/>
      <c r="I395" s="418"/>
      <c r="J395" s="268"/>
      <c r="K395" s="456"/>
      <c r="L395" s="418"/>
      <c r="M395" s="268"/>
      <c r="N395" s="317"/>
      <c r="O395" s="418"/>
      <c r="P395" s="418"/>
      <c r="Q395" s="418"/>
    </row>
    <row r="396" spans="2:17" ht="12.75" customHeight="1" x14ac:dyDescent="0.2">
      <c r="B396" s="267"/>
      <c r="F396" s="265"/>
      <c r="G396" s="268"/>
      <c r="H396" s="317"/>
      <c r="I396" s="418"/>
      <c r="J396" s="268"/>
      <c r="K396" s="456"/>
      <c r="L396" s="418"/>
      <c r="M396" s="268"/>
      <c r="N396" s="317"/>
      <c r="O396" s="418"/>
      <c r="P396" s="418"/>
      <c r="Q396" s="418"/>
    </row>
    <row r="397" spans="2:17" ht="12.75" customHeight="1" x14ac:dyDescent="0.2">
      <c r="B397" s="267"/>
      <c r="F397" s="265"/>
      <c r="G397" s="268"/>
      <c r="H397" s="317"/>
      <c r="I397" s="418"/>
      <c r="J397" s="268"/>
      <c r="K397" s="456"/>
      <c r="L397" s="418"/>
      <c r="M397" s="268"/>
      <c r="N397" s="317"/>
      <c r="O397" s="418"/>
      <c r="P397" s="418"/>
      <c r="Q397" s="418"/>
    </row>
    <row r="398" spans="2:17" ht="12.75" customHeight="1" x14ac:dyDescent="0.2">
      <c r="B398" s="267"/>
      <c r="F398" s="265"/>
      <c r="G398" s="268"/>
      <c r="H398" s="317"/>
      <c r="I398" s="418"/>
      <c r="J398" s="268"/>
      <c r="K398" s="456"/>
      <c r="L398" s="418"/>
      <c r="M398" s="268"/>
      <c r="N398" s="317"/>
      <c r="O398" s="418"/>
      <c r="P398" s="418"/>
      <c r="Q398" s="418"/>
    </row>
    <row r="399" spans="2:17" ht="12.75" customHeight="1" x14ac:dyDescent="0.2">
      <c r="B399" s="267"/>
      <c r="F399" s="265"/>
      <c r="G399" s="268"/>
      <c r="H399" s="317"/>
      <c r="I399" s="418"/>
      <c r="J399" s="268"/>
      <c r="K399" s="456"/>
      <c r="L399" s="418"/>
      <c r="M399" s="268"/>
      <c r="N399" s="317"/>
      <c r="O399" s="418"/>
      <c r="P399" s="418"/>
      <c r="Q399" s="418"/>
    </row>
    <row r="400" spans="2:17" ht="12.75" customHeight="1" x14ac:dyDescent="0.2">
      <c r="B400" s="267"/>
      <c r="F400" s="265"/>
      <c r="G400" s="268"/>
      <c r="H400" s="317"/>
      <c r="I400" s="418"/>
      <c r="J400" s="268"/>
      <c r="K400" s="456"/>
      <c r="L400" s="418"/>
      <c r="M400" s="268"/>
      <c r="N400" s="317"/>
      <c r="O400" s="418"/>
      <c r="P400" s="418"/>
      <c r="Q400" s="418"/>
    </row>
    <row r="401" spans="2:17" ht="12.75" customHeight="1" x14ac:dyDescent="0.2">
      <c r="B401" s="273"/>
      <c r="F401" s="265"/>
      <c r="G401" s="268"/>
      <c r="H401" s="317"/>
      <c r="I401" s="418"/>
      <c r="J401" s="268"/>
      <c r="K401" s="456"/>
      <c r="L401" s="418"/>
      <c r="M401" s="268"/>
      <c r="N401" s="317"/>
      <c r="O401" s="418"/>
      <c r="P401" s="418"/>
      <c r="Q401" s="418"/>
    </row>
    <row r="402" spans="2:17" ht="12.75" customHeight="1" x14ac:dyDescent="0.2">
      <c r="B402" s="273"/>
      <c r="F402" s="265"/>
      <c r="G402" s="268"/>
      <c r="H402" s="317"/>
      <c r="I402" s="318"/>
      <c r="J402" s="268"/>
      <c r="K402" s="456"/>
      <c r="L402" s="318"/>
      <c r="M402" s="268"/>
      <c r="N402" s="317"/>
      <c r="O402" s="318"/>
      <c r="P402" s="318"/>
      <c r="Q402" s="318"/>
    </row>
    <row r="403" spans="2:17" ht="12.75" customHeight="1" x14ac:dyDescent="0.2">
      <c r="B403" s="287">
        <v>1700</v>
      </c>
      <c r="C403" s="288" t="s">
        <v>268</v>
      </c>
      <c r="D403" s="289"/>
      <c r="E403" s="290"/>
      <c r="F403" s="291"/>
      <c r="G403" s="291"/>
      <c r="H403" s="422"/>
      <c r="I403" s="423">
        <f>SUM(I346:I402)</f>
        <v>87400</v>
      </c>
      <c r="J403" s="412"/>
      <c r="K403" s="457"/>
      <c r="L403" s="423">
        <f t="shared" ref="L403" si="160">SUM(L346:L402)</f>
        <v>98260</v>
      </c>
      <c r="M403" s="291"/>
      <c r="N403" s="422"/>
      <c r="O403" s="423">
        <f>SUM(O346:O402)</f>
        <v>98260</v>
      </c>
      <c r="P403" s="423"/>
      <c r="Q403" s="423">
        <f t="shared" ref="Q403" si="161">SUM(Q346:Q402)</f>
        <v>0</v>
      </c>
    </row>
    <row r="404" spans="2:17" ht="12.75" customHeight="1" x14ac:dyDescent="0.2">
      <c r="B404" s="239" t="s">
        <v>79</v>
      </c>
      <c r="C404" s="239"/>
      <c r="D404" s="263"/>
      <c r="E404" s="297"/>
      <c r="H404" s="426"/>
      <c r="I404" s="427"/>
      <c r="K404" s="456"/>
      <c r="L404" s="427"/>
      <c r="N404" s="426"/>
      <c r="O404" s="427"/>
      <c r="P404" s="427"/>
      <c r="Q404" s="427"/>
    </row>
    <row r="405" spans="2:17" ht="12.75" customHeight="1" x14ac:dyDescent="0.2">
      <c r="B405" s="239" t="s">
        <v>267</v>
      </c>
      <c r="C405" s="240"/>
      <c r="E405" s="238"/>
      <c r="H405" s="426"/>
      <c r="I405" s="427"/>
      <c r="K405" s="456"/>
      <c r="L405" s="427"/>
      <c r="N405" s="426"/>
      <c r="O405" s="427"/>
      <c r="P405" s="427"/>
      <c r="Q405" s="427"/>
    </row>
    <row r="406" spans="2:17" ht="12.75" customHeight="1" x14ac:dyDescent="0.2">
      <c r="B406" s="243"/>
      <c r="C406" s="243"/>
      <c r="D406" s="244"/>
      <c r="E406" s="245"/>
      <c r="F406" s="246"/>
      <c r="H406" s="428"/>
      <c r="I406" s="429" t="str">
        <f>IF(G411=0," ",G411*H406)</f>
        <v xml:space="preserve"> </v>
      </c>
      <c r="K406" s="456"/>
      <c r="L406" s="429" t="str">
        <f t="shared" ref="L406" si="162">IF(J411=0," ",J411*K406)</f>
        <v xml:space="preserve"> </v>
      </c>
      <c r="N406" s="428"/>
      <c r="O406" s="429" t="str">
        <f t="shared" ref="O406" si="163">IF(M411=0," ",M411*N406)</f>
        <v xml:space="preserve"> </v>
      </c>
      <c r="P406" s="429" t="str">
        <f t="shared" ref="P406" si="164">IF(N411=0," ",N411*O406)</f>
        <v xml:space="preserve"> </v>
      </c>
      <c r="Q406" s="429" t="str">
        <f t="shared" ref="Q406" si="165">IF(O411=0," ",O411*P406)</f>
        <v xml:space="preserve"> </v>
      </c>
    </row>
    <row r="407" spans="2:17" ht="12.75" customHeight="1" x14ac:dyDescent="0.2">
      <c r="B407" s="247" t="s">
        <v>263</v>
      </c>
      <c r="C407" s="248" t="s">
        <v>264</v>
      </c>
      <c r="D407" s="249"/>
      <c r="E407" s="250"/>
      <c r="F407" s="250" t="s">
        <v>265</v>
      </c>
      <c r="G407" s="356" t="s">
        <v>68</v>
      </c>
      <c r="H407" s="251" t="s">
        <v>849</v>
      </c>
      <c r="I407" s="252" t="s">
        <v>849</v>
      </c>
      <c r="J407" s="356" t="s">
        <v>68</v>
      </c>
      <c r="K407" s="457" t="s">
        <v>849</v>
      </c>
      <c r="L407" s="252" t="s">
        <v>849</v>
      </c>
      <c r="M407" s="356" t="s">
        <v>68</v>
      </c>
      <c r="N407" s="251" t="s">
        <v>849</v>
      </c>
      <c r="O407" s="252" t="s">
        <v>849</v>
      </c>
      <c r="P407" s="252" t="s">
        <v>849</v>
      </c>
      <c r="Q407" s="252" t="s">
        <v>849</v>
      </c>
    </row>
    <row r="408" spans="2:17" ht="12.75" customHeight="1" x14ac:dyDescent="0.2">
      <c r="B408" s="253" t="s">
        <v>266</v>
      </c>
      <c r="C408" s="254"/>
      <c r="D408" s="255"/>
      <c r="E408" s="256"/>
      <c r="F408" s="256"/>
      <c r="G408" s="357" t="s">
        <v>69</v>
      </c>
      <c r="H408" s="257" t="s">
        <v>262</v>
      </c>
      <c r="I408" s="258" t="s">
        <v>70</v>
      </c>
      <c r="J408" s="357" t="s">
        <v>69</v>
      </c>
      <c r="K408" s="457" t="s">
        <v>262</v>
      </c>
      <c r="L408" s="258" t="s">
        <v>70</v>
      </c>
      <c r="M408" s="357" t="s">
        <v>69</v>
      </c>
      <c r="N408" s="257" t="s">
        <v>262</v>
      </c>
      <c r="O408" s="258" t="s">
        <v>70</v>
      </c>
      <c r="P408" s="258" t="s">
        <v>70</v>
      </c>
      <c r="Q408" s="258" t="s">
        <v>70</v>
      </c>
    </row>
    <row r="409" spans="2:17" ht="12.75" customHeight="1" x14ac:dyDescent="0.2">
      <c r="B409" s="273"/>
      <c r="F409" s="265"/>
      <c r="G409" s="268"/>
      <c r="H409" s="317"/>
      <c r="I409" s="318"/>
      <c r="J409" s="268"/>
      <c r="K409" s="456"/>
      <c r="L409" s="318"/>
      <c r="M409" s="268"/>
      <c r="N409" s="317"/>
      <c r="O409" s="318"/>
      <c r="P409" s="318"/>
      <c r="Q409" s="318"/>
    </row>
    <row r="410" spans="2:17" ht="12.75" customHeight="1" x14ac:dyDescent="0.2">
      <c r="B410" s="261">
        <v>1800</v>
      </c>
      <c r="C410" s="262" t="s">
        <v>300</v>
      </c>
      <c r="D410" s="263"/>
      <c r="E410" s="264"/>
      <c r="F410" s="265"/>
      <c r="G410" s="268"/>
      <c r="H410" s="317"/>
      <c r="I410" s="418"/>
      <c r="J410" s="268"/>
      <c r="K410" s="456"/>
      <c r="L410" s="418"/>
      <c r="M410" s="268"/>
      <c r="N410" s="317"/>
      <c r="O410" s="418"/>
      <c r="P410" s="418"/>
      <c r="Q410" s="418"/>
    </row>
    <row r="411" spans="2:17" ht="12.75" customHeight="1" x14ac:dyDescent="0.2">
      <c r="B411" s="267"/>
      <c r="F411" s="265"/>
      <c r="G411" s="268"/>
      <c r="H411" s="317"/>
      <c r="I411" s="418"/>
      <c r="J411" s="268"/>
      <c r="K411" s="456"/>
      <c r="L411" s="418"/>
      <c r="M411" s="268"/>
      <c r="N411" s="317"/>
      <c r="O411" s="418"/>
      <c r="P411" s="418"/>
      <c r="Q411" s="418"/>
    </row>
    <row r="412" spans="2:17" ht="12.75" customHeight="1" x14ac:dyDescent="0.2">
      <c r="B412" s="267">
        <v>18.010000000000002</v>
      </c>
      <c r="C412" s="273" t="s">
        <v>301</v>
      </c>
      <c r="D412" s="285"/>
      <c r="E412" s="286"/>
      <c r="F412" s="265"/>
      <c r="G412" s="268"/>
      <c r="H412" s="317"/>
      <c r="I412" s="418"/>
      <c r="J412" s="268"/>
      <c r="K412" s="456"/>
      <c r="L412" s="418"/>
      <c r="M412" s="268"/>
      <c r="N412" s="317"/>
      <c r="O412" s="418"/>
      <c r="P412" s="418"/>
      <c r="Q412" s="418"/>
    </row>
    <row r="413" spans="2:17" ht="12.75" customHeight="1" x14ac:dyDescent="0.2">
      <c r="B413" s="267"/>
      <c r="C413" s="273" t="s">
        <v>278</v>
      </c>
      <c r="D413" s="285" t="s">
        <v>155</v>
      </c>
      <c r="E413" s="286"/>
      <c r="F413" s="265" t="s">
        <v>845</v>
      </c>
      <c r="G413" s="268" t="s">
        <v>596</v>
      </c>
      <c r="H413" s="418">
        <v>35</v>
      </c>
      <c r="I413" s="418"/>
      <c r="J413" s="268" t="s">
        <v>596</v>
      </c>
      <c r="K413" s="456">
        <v>45.89</v>
      </c>
      <c r="L413" s="418"/>
      <c r="M413" s="268" t="s">
        <v>596</v>
      </c>
      <c r="N413" s="418">
        <v>45.89</v>
      </c>
      <c r="O413" s="418"/>
      <c r="P413" s="418"/>
      <c r="Q413" s="418"/>
    </row>
    <row r="414" spans="2:17" ht="12.75" customHeight="1" x14ac:dyDescent="0.2">
      <c r="B414" s="267"/>
      <c r="D414" s="285"/>
      <c r="E414" s="286"/>
      <c r="F414" s="265"/>
      <c r="G414" s="275"/>
      <c r="H414" s="418"/>
      <c r="I414" s="418"/>
      <c r="J414" s="275"/>
      <c r="K414" s="456"/>
      <c r="L414" s="418"/>
      <c r="M414" s="275"/>
      <c r="N414" s="418"/>
      <c r="O414" s="418"/>
      <c r="P414" s="418"/>
      <c r="Q414" s="418"/>
    </row>
    <row r="415" spans="2:17" ht="12.75" customHeight="1" x14ac:dyDescent="0.2">
      <c r="B415" s="267"/>
      <c r="C415" s="273" t="s">
        <v>279</v>
      </c>
      <c r="D415" s="285" t="s">
        <v>156</v>
      </c>
      <c r="E415" s="286"/>
      <c r="F415" s="265" t="s">
        <v>845</v>
      </c>
      <c r="G415" s="268" t="s">
        <v>596</v>
      </c>
      <c r="H415" s="418">
        <v>80</v>
      </c>
      <c r="I415" s="418"/>
      <c r="J415" s="268" t="s">
        <v>596</v>
      </c>
      <c r="K415" s="456">
        <v>93.48</v>
      </c>
      <c r="L415" s="418"/>
      <c r="M415" s="268" t="s">
        <v>596</v>
      </c>
      <c r="N415" s="418">
        <v>93.48</v>
      </c>
      <c r="O415" s="418"/>
      <c r="P415" s="418"/>
      <c r="Q415" s="418"/>
    </row>
    <row r="416" spans="2:17" ht="12.75" customHeight="1" x14ac:dyDescent="0.2">
      <c r="B416" s="267"/>
      <c r="D416" s="285"/>
      <c r="E416" s="286"/>
      <c r="F416" s="265"/>
      <c r="G416" s="275"/>
      <c r="H416" s="418"/>
      <c r="I416" s="418"/>
      <c r="J416" s="275"/>
      <c r="K416" s="456"/>
      <c r="L416" s="418"/>
      <c r="M416" s="275"/>
      <c r="N416" s="418"/>
      <c r="O416" s="418"/>
      <c r="P416" s="418"/>
      <c r="Q416" s="418"/>
    </row>
    <row r="417" spans="2:17" ht="12.75" customHeight="1" x14ac:dyDescent="0.2">
      <c r="B417" s="267"/>
      <c r="C417" s="273" t="s">
        <v>276</v>
      </c>
      <c r="D417" s="285" t="s">
        <v>139</v>
      </c>
      <c r="E417" s="286"/>
      <c r="F417" s="265" t="s">
        <v>845</v>
      </c>
      <c r="G417" s="268" t="s">
        <v>596</v>
      </c>
      <c r="H417" s="418">
        <v>55</v>
      </c>
      <c r="I417" s="418"/>
      <c r="J417" s="268" t="s">
        <v>596</v>
      </c>
      <c r="K417" s="456">
        <v>45.89</v>
      </c>
      <c r="L417" s="418"/>
      <c r="M417" s="268" t="s">
        <v>596</v>
      </c>
      <c r="N417" s="418">
        <v>45.89</v>
      </c>
      <c r="O417" s="418"/>
      <c r="P417" s="418"/>
      <c r="Q417" s="418"/>
    </row>
    <row r="418" spans="2:17" ht="12.75" customHeight="1" x14ac:dyDescent="0.2">
      <c r="B418" s="267"/>
      <c r="F418" s="265"/>
      <c r="G418" s="268"/>
      <c r="H418" s="418"/>
      <c r="I418" s="418"/>
      <c r="J418" s="268"/>
      <c r="K418" s="456"/>
      <c r="L418" s="418"/>
      <c r="M418" s="268"/>
      <c r="N418" s="418"/>
      <c r="O418" s="418"/>
      <c r="P418" s="418"/>
      <c r="Q418" s="418"/>
    </row>
    <row r="419" spans="2:17" ht="12.75" customHeight="1" x14ac:dyDescent="0.2">
      <c r="B419" s="267">
        <v>18.02</v>
      </c>
      <c r="C419" s="273" t="s">
        <v>302</v>
      </c>
      <c r="D419" s="285"/>
      <c r="E419" s="286"/>
      <c r="F419" s="265"/>
      <c r="G419" s="268"/>
      <c r="H419" s="418"/>
      <c r="I419" s="418"/>
      <c r="J419" s="268"/>
      <c r="K419" s="456"/>
      <c r="L419" s="418"/>
      <c r="M419" s="268"/>
      <c r="N419" s="418"/>
      <c r="O419" s="418"/>
      <c r="P419" s="418"/>
      <c r="Q419" s="418"/>
    </row>
    <row r="420" spans="2:17" ht="12.75" customHeight="1" x14ac:dyDescent="0.2">
      <c r="B420" s="267"/>
      <c r="C420" s="273" t="s">
        <v>278</v>
      </c>
      <c r="D420" s="285" t="s">
        <v>157</v>
      </c>
      <c r="E420" s="286"/>
      <c r="F420" s="265"/>
      <c r="G420" s="268"/>
      <c r="H420" s="418" t="str">
        <f>IF(F424=0," ",F424*G420)</f>
        <v xml:space="preserve"> </v>
      </c>
      <c r="I420" s="418"/>
      <c r="J420" s="268"/>
      <c r="K420" s="456" t="s">
        <v>849</v>
      </c>
      <c r="L420" s="418"/>
      <c r="M420" s="268"/>
      <c r="N420" s="418"/>
      <c r="O420" s="418"/>
      <c r="P420" s="418"/>
      <c r="Q420" s="418"/>
    </row>
    <row r="421" spans="2:17" ht="12.75" customHeight="1" x14ac:dyDescent="0.2">
      <c r="B421" s="267"/>
      <c r="D421" s="285" t="s">
        <v>277</v>
      </c>
      <c r="E421" s="286" t="s">
        <v>155</v>
      </c>
      <c r="F421" s="265" t="s">
        <v>845</v>
      </c>
      <c r="G421" s="268" t="s">
        <v>596</v>
      </c>
      <c r="H421" s="418">
        <v>55</v>
      </c>
      <c r="I421" s="418"/>
      <c r="J421" s="268" t="s">
        <v>596</v>
      </c>
      <c r="K421" s="456">
        <v>68.84</v>
      </c>
      <c r="L421" s="418"/>
      <c r="M421" s="268" t="s">
        <v>596</v>
      </c>
      <c r="N421" s="418">
        <v>68.84</v>
      </c>
      <c r="O421" s="418"/>
      <c r="P421" s="418"/>
      <c r="Q421" s="418"/>
    </row>
    <row r="422" spans="2:17" ht="12.75" customHeight="1" x14ac:dyDescent="0.2">
      <c r="B422" s="267"/>
      <c r="C422" s="273" t="s">
        <v>279</v>
      </c>
      <c r="D422" s="285" t="s">
        <v>303</v>
      </c>
      <c r="E422" s="286"/>
      <c r="F422" s="265"/>
      <c r="G422" s="268"/>
      <c r="H422" s="418"/>
      <c r="I422" s="418"/>
      <c r="J422" s="268"/>
      <c r="K422" s="456"/>
      <c r="L422" s="418"/>
      <c r="M422" s="268"/>
      <c r="N422" s="418"/>
      <c r="O422" s="418"/>
      <c r="P422" s="418"/>
      <c r="Q422" s="418"/>
    </row>
    <row r="423" spans="2:17" ht="12.75" customHeight="1" x14ac:dyDescent="0.2">
      <c r="B423" s="267"/>
      <c r="D423" s="285" t="s">
        <v>277</v>
      </c>
      <c r="E423" s="286" t="s">
        <v>155</v>
      </c>
      <c r="F423" s="265" t="s">
        <v>845</v>
      </c>
      <c r="G423" s="268" t="s">
        <v>596</v>
      </c>
      <c r="H423" s="418">
        <v>100</v>
      </c>
      <c r="I423" s="418"/>
      <c r="J423" s="268" t="s">
        <v>596</v>
      </c>
      <c r="K423" s="456">
        <v>140.22</v>
      </c>
      <c r="L423" s="418"/>
      <c r="M423" s="268" t="s">
        <v>596</v>
      </c>
      <c r="N423" s="418">
        <v>140.22</v>
      </c>
      <c r="O423" s="418"/>
      <c r="P423" s="418"/>
      <c r="Q423" s="418"/>
    </row>
    <row r="424" spans="2:17" ht="12.75" customHeight="1" x14ac:dyDescent="0.2">
      <c r="B424" s="267"/>
      <c r="F424" s="265"/>
      <c r="G424" s="268"/>
      <c r="H424" s="418"/>
      <c r="I424" s="418"/>
      <c r="J424" s="268"/>
      <c r="K424" s="456"/>
      <c r="L424" s="418"/>
      <c r="M424" s="268"/>
      <c r="N424" s="418"/>
      <c r="O424" s="418"/>
      <c r="P424" s="418"/>
      <c r="Q424" s="418"/>
    </row>
    <row r="425" spans="2:17" ht="12.75" customHeight="1" x14ac:dyDescent="0.2">
      <c r="B425" s="267">
        <v>18.03</v>
      </c>
      <c r="C425" s="273" t="s">
        <v>304</v>
      </c>
      <c r="F425" s="265"/>
      <c r="G425" s="268"/>
      <c r="H425" s="418"/>
      <c r="I425" s="418"/>
      <c r="J425" s="268"/>
      <c r="K425" s="456"/>
      <c r="L425" s="418"/>
      <c r="M425" s="268"/>
      <c r="N425" s="418"/>
      <c r="O425" s="418"/>
      <c r="P425" s="418"/>
      <c r="Q425" s="418"/>
    </row>
    <row r="426" spans="2:17" ht="12.75" customHeight="1" x14ac:dyDescent="0.2">
      <c r="B426" s="267"/>
      <c r="C426" s="273" t="s">
        <v>278</v>
      </c>
      <c r="D426" s="285" t="s">
        <v>158</v>
      </c>
      <c r="E426" s="286"/>
      <c r="F426" s="265" t="s">
        <v>845</v>
      </c>
      <c r="G426" s="268" t="s">
        <v>596</v>
      </c>
      <c r="H426" s="418">
        <v>1400</v>
      </c>
      <c r="I426" s="418"/>
      <c r="J426" s="268" t="s">
        <v>596</v>
      </c>
      <c r="K426" s="456">
        <v>880</v>
      </c>
      <c r="L426" s="418"/>
      <c r="M426" s="268" t="s">
        <v>596</v>
      </c>
      <c r="N426" s="418">
        <v>880</v>
      </c>
      <c r="O426" s="418"/>
      <c r="P426" s="418"/>
      <c r="Q426" s="418"/>
    </row>
    <row r="427" spans="2:17" ht="12.75" customHeight="1" x14ac:dyDescent="0.2">
      <c r="B427" s="273"/>
      <c r="F427" s="265"/>
      <c r="G427" s="268"/>
      <c r="H427" s="418"/>
      <c r="I427" s="418"/>
      <c r="J427" s="268"/>
      <c r="K427" s="456"/>
      <c r="L427" s="418"/>
      <c r="M427" s="268"/>
      <c r="N427" s="418"/>
      <c r="O427" s="418"/>
      <c r="P427" s="418"/>
      <c r="Q427" s="418"/>
    </row>
    <row r="428" spans="2:17" ht="12.75" customHeight="1" x14ac:dyDescent="0.2">
      <c r="B428" s="267"/>
      <c r="C428" s="273" t="s">
        <v>279</v>
      </c>
      <c r="D428" s="285" t="s">
        <v>159</v>
      </c>
      <c r="E428" s="286"/>
      <c r="F428" s="265" t="s">
        <v>845</v>
      </c>
      <c r="G428" s="268" t="s">
        <v>596</v>
      </c>
      <c r="H428" s="418">
        <v>1200</v>
      </c>
      <c r="I428" s="418"/>
      <c r="J428" s="268" t="s">
        <v>596</v>
      </c>
      <c r="K428" s="456">
        <v>750</v>
      </c>
      <c r="L428" s="418"/>
      <c r="M428" s="268" t="s">
        <v>596</v>
      </c>
      <c r="N428" s="418">
        <v>750</v>
      </c>
      <c r="O428" s="418"/>
      <c r="P428" s="418"/>
      <c r="Q428" s="418"/>
    </row>
    <row r="429" spans="2:17" ht="12.75" customHeight="1" x14ac:dyDescent="0.2">
      <c r="B429" s="273"/>
      <c r="F429" s="265"/>
      <c r="G429" s="268"/>
      <c r="H429" s="418"/>
      <c r="I429" s="418"/>
      <c r="J429" s="268"/>
      <c r="K429" s="456"/>
      <c r="L429" s="418"/>
      <c r="M429" s="268"/>
      <c r="N429" s="418"/>
      <c r="O429" s="418"/>
      <c r="P429" s="418"/>
      <c r="Q429" s="418"/>
    </row>
    <row r="430" spans="2:17" ht="12.75" customHeight="1" x14ac:dyDescent="0.2">
      <c r="B430" s="267"/>
      <c r="C430" s="273" t="s">
        <v>276</v>
      </c>
      <c r="D430" s="285" t="s">
        <v>160</v>
      </c>
      <c r="E430" s="286"/>
      <c r="F430" s="265" t="s">
        <v>845</v>
      </c>
      <c r="G430" s="268" t="s">
        <v>596</v>
      </c>
      <c r="H430" s="418">
        <v>650</v>
      </c>
      <c r="I430" s="418"/>
      <c r="J430" s="268" t="s">
        <v>596</v>
      </c>
      <c r="K430" s="456">
        <v>650</v>
      </c>
      <c r="L430" s="418"/>
      <c r="M430" s="268" t="s">
        <v>596</v>
      </c>
      <c r="N430" s="418">
        <v>650</v>
      </c>
      <c r="O430" s="418"/>
      <c r="P430" s="418"/>
      <c r="Q430" s="418"/>
    </row>
    <row r="431" spans="2:17" ht="12.75" customHeight="1" x14ac:dyDescent="0.2">
      <c r="B431" s="273"/>
      <c r="F431" s="265"/>
      <c r="G431" s="268"/>
      <c r="H431" s="418"/>
      <c r="I431" s="418"/>
      <c r="J431" s="268"/>
      <c r="K431" s="456"/>
      <c r="L431" s="418"/>
      <c r="M431" s="268"/>
      <c r="N431" s="418"/>
      <c r="O431" s="418"/>
      <c r="P431" s="418"/>
      <c r="Q431" s="418"/>
    </row>
    <row r="432" spans="2:17" ht="12.75" customHeight="1" x14ac:dyDescent="0.2">
      <c r="B432" s="267"/>
      <c r="C432" s="273" t="s">
        <v>281</v>
      </c>
      <c r="D432" s="285" t="s">
        <v>161</v>
      </c>
      <c r="E432" s="286"/>
      <c r="F432" s="265" t="s">
        <v>845</v>
      </c>
      <c r="G432" s="268" t="s">
        <v>596</v>
      </c>
      <c r="H432" s="418">
        <v>1300</v>
      </c>
      <c r="I432" s="418"/>
      <c r="J432" s="268" t="s">
        <v>596</v>
      </c>
      <c r="K432" s="456">
        <v>900</v>
      </c>
      <c r="L432" s="418"/>
      <c r="M432" s="268" t="s">
        <v>596</v>
      </c>
      <c r="N432" s="418">
        <v>900</v>
      </c>
      <c r="O432" s="418"/>
      <c r="P432" s="418"/>
      <c r="Q432" s="418"/>
    </row>
    <row r="433" spans="2:17" ht="12.75" customHeight="1" x14ac:dyDescent="0.2">
      <c r="B433" s="273"/>
      <c r="F433" s="265"/>
      <c r="G433" s="268"/>
      <c r="H433" s="418"/>
      <c r="I433" s="418"/>
      <c r="J433" s="268"/>
      <c r="K433" s="456"/>
      <c r="L433" s="418"/>
      <c r="M433" s="268"/>
      <c r="N433" s="418"/>
      <c r="O433" s="418"/>
      <c r="P433" s="418"/>
      <c r="Q433" s="418"/>
    </row>
    <row r="434" spans="2:17" ht="12.75" customHeight="1" x14ac:dyDescent="0.2">
      <c r="B434" s="267"/>
      <c r="C434" s="273" t="s">
        <v>282</v>
      </c>
      <c r="D434" s="285" t="s">
        <v>162</v>
      </c>
      <c r="E434" s="286"/>
      <c r="F434" s="265" t="s">
        <v>845</v>
      </c>
      <c r="G434" s="268" t="s">
        <v>596</v>
      </c>
      <c r="H434" s="418">
        <v>750</v>
      </c>
      <c r="I434" s="418"/>
      <c r="J434" s="268" t="s">
        <v>596</v>
      </c>
      <c r="K434" s="456">
        <v>650</v>
      </c>
      <c r="L434" s="418"/>
      <c r="M434" s="268" t="s">
        <v>596</v>
      </c>
      <c r="N434" s="418">
        <v>650</v>
      </c>
      <c r="O434" s="418"/>
      <c r="P434" s="418"/>
      <c r="Q434" s="418"/>
    </row>
    <row r="435" spans="2:17" ht="12.75" customHeight="1" x14ac:dyDescent="0.2">
      <c r="B435" s="273"/>
      <c r="F435" s="265"/>
      <c r="G435" s="268"/>
      <c r="H435" s="418"/>
      <c r="I435" s="418"/>
      <c r="J435" s="268"/>
      <c r="K435" s="456"/>
      <c r="L435" s="418"/>
      <c r="M435" s="268"/>
      <c r="N435" s="418"/>
      <c r="O435" s="418"/>
      <c r="P435" s="418"/>
      <c r="Q435" s="418"/>
    </row>
    <row r="436" spans="2:17" ht="12.75" customHeight="1" x14ac:dyDescent="0.2">
      <c r="B436" s="267"/>
      <c r="C436" s="273" t="s">
        <v>121</v>
      </c>
      <c r="D436" s="285" t="s">
        <v>163</v>
      </c>
      <c r="E436" s="286"/>
      <c r="F436" s="265" t="s">
        <v>845</v>
      </c>
      <c r="G436" s="268" t="s">
        <v>596</v>
      </c>
      <c r="H436" s="418">
        <v>300</v>
      </c>
      <c r="I436" s="418"/>
      <c r="J436" s="268" t="s">
        <v>596</v>
      </c>
      <c r="K436" s="456">
        <v>500</v>
      </c>
      <c r="L436" s="418"/>
      <c r="M436" s="268" t="s">
        <v>596</v>
      </c>
      <c r="N436" s="418">
        <v>500</v>
      </c>
      <c r="O436" s="418"/>
      <c r="P436" s="418"/>
      <c r="Q436" s="418"/>
    </row>
    <row r="437" spans="2:17" ht="12.75" customHeight="1" x14ac:dyDescent="0.2">
      <c r="B437" s="273"/>
      <c r="F437" s="265"/>
      <c r="G437" s="268"/>
      <c r="H437" s="418"/>
      <c r="I437" s="418"/>
      <c r="J437" s="268"/>
      <c r="K437" s="456"/>
      <c r="L437" s="418"/>
      <c r="M437" s="268"/>
      <c r="N437" s="418"/>
      <c r="O437" s="418"/>
      <c r="P437" s="418"/>
      <c r="Q437" s="418"/>
    </row>
    <row r="438" spans="2:17" ht="12.75" customHeight="1" x14ac:dyDescent="0.2">
      <c r="B438" s="267"/>
      <c r="C438" s="273" t="s">
        <v>122</v>
      </c>
      <c r="D438" s="285" t="s">
        <v>164</v>
      </c>
      <c r="E438" s="286"/>
      <c r="F438" s="265" t="s">
        <v>845</v>
      </c>
      <c r="G438" s="268" t="s">
        <v>596</v>
      </c>
      <c r="H438" s="418">
        <v>300</v>
      </c>
      <c r="I438" s="418"/>
      <c r="J438" s="268" t="s">
        <v>596</v>
      </c>
      <c r="K438" s="456">
        <v>550</v>
      </c>
      <c r="L438" s="418"/>
      <c r="M438" s="268" t="s">
        <v>596</v>
      </c>
      <c r="N438" s="418">
        <v>550</v>
      </c>
      <c r="O438" s="418"/>
      <c r="P438" s="418"/>
      <c r="Q438" s="418"/>
    </row>
    <row r="439" spans="2:17" ht="12.75" customHeight="1" x14ac:dyDescent="0.2">
      <c r="B439" s="273"/>
      <c r="F439" s="265"/>
      <c r="G439" s="268"/>
      <c r="H439" s="418"/>
      <c r="I439" s="418"/>
      <c r="J439" s="268"/>
      <c r="K439" s="456"/>
      <c r="L439" s="418"/>
      <c r="M439" s="268"/>
      <c r="N439" s="418"/>
      <c r="O439" s="418"/>
      <c r="P439" s="418"/>
      <c r="Q439" s="418"/>
    </row>
    <row r="440" spans="2:17" ht="12.75" customHeight="1" x14ac:dyDescent="0.2">
      <c r="B440" s="273"/>
      <c r="C440" s="273" t="s">
        <v>123</v>
      </c>
      <c r="D440" s="285" t="s">
        <v>165</v>
      </c>
      <c r="E440" s="286"/>
      <c r="F440" s="265" t="s">
        <v>845</v>
      </c>
      <c r="G440" s="268" t="s">
        <v>596</v>
      </c>
      <c r="H440" s="418">
        <v>600</v>
      </c>
      <c r="I440" s="418"/>
      <c r="J440" s="268" t="s">
        <v>596</v>
      </c>
      <c r="K440" s="456">
        <v>500</v>
      </c>
      <c r="L440" s="418"/>
      <c r="M440" s="268" t="s">
        <v>596</v>
      </c>
      <c r="N440" s="418">
        <v>500</v>
      </c>
      <c r="O440" s="418"/>
      <c r="P440" s="418"/>
      <c r="Q440" s="418"/>
    </row>
    <row r="441" spans="2:17" ht="12.75" customHeight="1" x14ac:dyDescent="0.2">
      <c r="B441" s="273"/>
      <c r="F441" s="265"/>
      <c r="G441" s="268"/>
      <c r="H441" s="418"/>
      <c r="I441" s="418"/>
      <c r="J441" s="268"/>
      <c r="K441" s="456"/>
      <c r="L441" s="418"/>
      <c r="M441" s="268"/>
      <c r="N441" s="418"/>
      <c r="O441" s="418"/>
      <c r="P441" s="418"/>
      <c r="Q441" s="418"/>
    </row>
    <row r="442" spans="2:17" ht="12.75" customHeight="1" x14ac:dyDescent="0.2">
      <c r="B442" s="273"/>
      <c r="C442" s="273" t="s">
        <v>277</v>
      </c>
      <c r="D442" s="285" t="s">
        <v>27</v>
      </c>
      <c r="E442" s="286"/>
      <c r="F442" s="265" t="s">
        <v>845</v>
      </c>
      <c r="G442" s="268" t="s">
        <v>596</v>
      </c>
      <c r="H442" s="418">
        <v>400</v>
      </c>
      <c r="I442" s="418"/>
      <c r="J442" s="268" t="s">
        <v>596</v>
      </c>
      <c r="K442" s="456">
        <v>650</v>
      </c>
      <c r="L442" s="418"/>
      <c r="M442" s="268" t="s">
        <v>596</v>
      </c>
      <c r="N442" s="418">
        <v>650</v>
      </c>
      <c r="O442" s="418"/>
      <c r="P442" s="418"/>
      <c r="Q442" s="418"/>
    </row>
    <row r="443" spans="2:17" ht="12.75" customHeight="1" x14ac:dyDescent="0.2">
      <c r="B443" s="273"/>
      <c r="F443" s="265"/>
      <c r="G443" s="268"/>
      <c r="H443" s="418"/>
      <c r="I443" s="418"/>
      <c r="J443" s="268"/>
      <c r="K443" s="456"/>
      <c r="L443" s="418"/>
      <c r="M443" s="268"/>
      <c r="N443" s="418"/>
      <c r="O443" s="418"/>
      <c r="P443" s="418"/>
      <c r="Q443" s="418"/>
    </row>
    <row r="444" spans="2:17" ht="12.75" customHeight="1" x14ac:dyDescent="0.2">
      <c r="B444" s="273"/>
      <c r="C444" s="273" t="s">
        <v>138</v>
      </c>
      <c r="D444" s="285" t="s">
        <v>28</v>
      </c>
      <c r="E444" s="286"/>
      <c r="F444" s="265" t="s">
        <v>845</v>
      </c>
      <c r="G444" s="268" t="s">
        <v>596</v>
      </c>
      <c r="H444" s="418">
        <v>600</v>
      </c>
      <c r="I444" s="418"/>
      <c r="J444" s="268" t="s">
        <v>596</v>
      </c>
      <c r="K444" s="456">
        <v>700</v>
      </c>
      <c r="L444" s="418"/>
      <c r="M444" s="268" t="s">
        <v>596</v>
      </c>
      <c r="N444" s="418">
        <v>700</v>
      </c>
      <c r="O444" s="418"/>
      <c r="P444" s="418"/>
      <c r="Q444" s="418"/>
    </row>
    <row r="445" spans="2:17" ht="12.75" customHeight="1" x14ac:dyDescent="0.2">
      <c r="B445" s="273"/>
      <c r="F445" s="265"/>
      <c r="G445" s="268"/>
      <c r="H445" s="418"/>
      <c r="I445" s="418"/>
      <c r="J445" s="268"/>
      <c r="K445" s="456"/>
      <c r="L445" s="418"/>
      <c r="M445" s="268"/>
      <c r="N445" s="418"/>
      <c r="O445" s="418"/>
      <c r="P445" s="418"/>
      <c r="Q445" s="418"/>
    </row>
    <row r="446" spans="2:17" ht="12.75" customHeight="1" x14ac:dyDescent="0.2">
      <c r="B446" s="273"/>
      <c r="C446" s="273" t="s">
        <v>280</v>
      </c>
      <c r="D446" s="285" t="s">
        <v>166</v>
      </c>
      <c r="E446" s="286"/>
      <c r="F446" s="265" t="s">
        <v>845</v>
      </c>
      <c r="G446" s="268" t="s">
        <v>596</v>
      </c>
      <c r="H446" s="418">
        <v>100</v>
      </c>
      <c r="I446" s="418"/>
      <c r="J446" s="268" t="s">
        <v>596</v>
      </c>
      <c r="K446" s="456">
        <v>150</v>
      </c>
      <c r="L446" s="418"/>
      <c r="M446" s="268" t="s">
        <v>596</v>
      </c>
      <c r="N446" s="418">
        <v>150</v>
      </c>
      <c r="O446" s="418"/>
      <c r="P446" s="418"/>
      <c r="Q446" s="418"/>
    </row>
    <row r="447" spans="2:17" ht="12.75" customHeight="1" x14ac:dyDescent="0.2">
      <c r="B447" s="273"/>
      <c r="F447" s="265"/>
      <c r="G447" s="268"/>
      <c r="H447" s="418"/>
      <c r="I447" s="418"/>
      <c r="J447" s="268"/>
      <c r="K447" s="456"/>
      <c r="L447" s="418"/>
      <c r="M447" s="268"/>
      <c r="N447" s="418"/>
      <c r="O447" s="418"/>
      <c r="P447" s="418"/>
      <c r="Q447" s="418"/>
    </row>
    <row r="448" spans="2:17" ht="12.75" customHeight="1" x14ac:dyDescent="0.2">
      <c r="B448" s="267">
        <v>18.04</v>
      </c>
      <c r="C448" s="273" t="s">
        <v>278</v>
      </c>
      <c r="D448" s="285" t="s">
        <v>167</v>
      </c>
      <c r="E448" s="286"/>
      <c r="F448" s="265" t="s">
        <v>288</v>
      </c>
      <c r="G448" s="268" t="s">
        <v>596</v>
      </c>
      <c r="H448" s="418">
        <v>6.5</v>
      </c>
      <c r="I448" s="418"/>
      <c r="J448" s="268" t="s">
        <v>596</v>
      </c>
      <c r="K448" s="456">
        <v>350</v>
      </c>
      <c r="L448" s="418"/>
      <c r="M448" s="268" t="s">
        <v>596</v>
      </c>
      <c r="N448" s="418">
        <v>350</v>
      </c>
      <c r="O448" s="418"/>
      <c r="P448" s="418"/>
      <c r="Q448" s="418"/>
    </row>
    <row r="449" spans="2:17" ht="12.75" customHeight="1" x14ac:dyDescent="0.2">
      <c r="B449" s="273"/>
      <c r="F449" s="265"/>
      <c r="G449" s="268"/>
      <c r="H449" s="418"/>
      <c r="I449" s="418"/>
      <c r="J449" s="268"/>
      <c r="K449" s="456"/>
      <c r="L449" s="418"/>
      <c r="M449" s="268"/>
      <c r="N449" s="418"/>
      <c r="O449" s="418"/>
      <c r="P449" s="418"/>
      <c r="Q449" s="418"/>
    </row>
    <row r="450" spans="2:17" ht="12.75" customHeight="1" x14ac:dyDescent="0.2">
      <c r="B450" s="273"/>
      <c r="C450" s="273" t="s">
        <v>279</v>
      </c>
      <c r="D450" s="285" t="s">
        <v>168</v>
      </c>
      <c r="E450" s="286"/>
      <c r="F450" s="265" t="s">
        <v>288</v>
      </c>
      <c r="G450" s="268" t="s">
        <v>596</v>
      </c>
      <c r="H450" s="418">
        <v>15</v>
      </c>
      <c r="I450" s="418"/>
      <c r="J450" s="268" t="s">
        <v>596</v>
      </c>
      <c r="K450" s="456">
        <v>950</v>
      </c>
      <c r="L450" s="418"/>
      <c r="M450" s="268" t="s">
        <v>596</v>
      </c>
      <c r="N450" s="418">
        <v>950</v>
      </c>
      <c r="O450" s="418"/>
      <c r="P450" s="418"/>
      <c r="Q450" s="418"/>
    </row>
    <row r="451" spans="2:17" ht="12.75" customHeight="1" x14ac:dyDescent="0.2">
      <c r="B451" s="273"/>
      <c r="F451" s="265"/>
      <c r="G451" s="268"/>
      <c r="H451" s="438"/>
      <c r="I451" s="418" t="str">
        <f t="shared" ref="I451:I456" si="166">IF(G451=0," ",G451*H451)</f>
        <v xml:space="preserve"> </v>
      </c>
      <c r="J451" s="268"/>
      <c r="K451" s="456"/>
      <c r="L451" s="418" t="str">
        <f t="shared" ref="L451:L456" si="167">IF(J451=0," ",J451*K451)</f>
        <v xml:space="preserve"> </v>
      </c>
      <c r="M451" s="268"/>
      <c r="N451" s="438"/>
      <c r="O451" s="418" t="str">
        <f t="shared" ref="O451:O456" si="168">IF(M451=0," ",M451*N451)</f>
        <v xml:space="preserve"> </v>
      </c>
      <c r="P451" s="418" t="str">
        <f t="shared" ref="P451:P456" si="169">IF(N451=0," ",N451*O451)</f>
        <v xml:space="preserve"> </v>
      </c>
      <c r="Q451" s="418"/>
    </row>
    <row r="452" spans="2:17" ht="12.75" customHeight="1" x14ac:dyDescent="0.2">
      <c r="B452" s="267">
        <v>18.05</v>
      </c>
      <c r="C452" s="273" t="s">
        <v>494</v>
      </c>
      <c r="F452" s="265"/>
      <c r="G452" s="268"/>
      <c r="H452" s="438"/>
      <c r="I452" s="418" t="str">
        <f t="shared" si="166"/>
        <v xml:space="preserve"> </v>
      </c>
      <c r="J452" s="268"/>
      <c r="K452" s="456"/>
      <c r="L452" s="418" t="str">
        <f t="shared" si="167"/>
        <v xml:space="preserve"> </v>
      </c>
      <c r="M452" s="268"/>
      <c r="N452" s="438"/>
      <c r="O452" s="418" t="str">
        <f t="shared" si="168"/>
        <v xml:space="preserve"> </v>
      </c>
      <c r="P452" s="418" t="str">
        <f t="shared" si="169"/>
        <v xml:space="preserve"> </v>
      </c>
      <c r="Q452" s="418"/>
    </row>
    <row r="453" spans="2:17" ht="12.75" customHeight="1" x14ac:dyDescent="0.2">
      <c r="B453" s="273"/>
      <c r="C453" s="273" t="s">
        <v>278</v>
      </c>
      <c r="D453" s="241" t="s">
        <v>854</v>
      </c>
      <c r="F453" s="265" t="s">
        <v>269</v>
      </c>
      <c r="G453" s="419">
        <v>1300000</v>
      </c>
      <c r="H453" s="324">
        <v>1</v>
      </c>
      <c r="I453" s="418">
        <f t="shared" si="166"/>
        <v>1300000</v>
      </c>
      <c r="J453" s="419">
        <v>1300000</v>
      </c>
      <c r="K453" s="456">
        <v>1</v>
      </c>
      <c r="L453" s="418">
        <f t="shared" si="167"/>
        <v>1300000</v>
      </c>
      <c r="M453" s="419">
        <v>1300000</v>
      </c>
      <c r="N453" s="324">
        <v>1</v>
      </c>
      <c r="O453" s="418">
        <f t="shared" si="168"/>
        <v>1300000</v>
      </c>
      <c r="P453" s="418">
        <f>K453-N453</f>
        <v>0</v>
      </c>
      <c r="Q453" s="418">
        <f t="shared" ref="Q453" si="170">L453-O453</f>
        <v>0</v>
      </c>
    </row>
    <row r="454" spans="2:17" ht="12.75" customHeight="1" x14ac:dyDescent="0.2">
      <c r="B454" s="273"/>
      <c r="F454" s="265"/>
      <c r="G454" s="268"/>
      <c r="H454" s="438"/>
      <c r="I454" s="418" t="str">
        <f t="shared" si="166"/>
        <v xml:space="preserve"> </v>
      </c>
      <c r="J454" s="268"/>
      <c r="K454" s="456"/>
      <c r="L454" s="418" t="str">
        <f t="shared" si="167"/>
        <v xml:space="preserve"> </v>
      </c>
      <c r="M454" s="268"/>
      <c r="N454" s="438"/>
      <c r="O454" s="418" t="str">
        <f t="shared" si="168"/>
        <v xml:space="preserve"> </v>
      </c>
      <c r="P454" s="418" t="str">
        <f t="shared" si="169"/>
        <v xml:space="preserve"> </v>
      </c>
      <c r="Q454" s="418"/>
    </row>
    <row r="455" spans="2:17" ht="12.75" customHeight="1" x14ac:dyDescent="0.2">
      <c r="B455" s="273"/>
      <c r="C455" s="273" t="s">
        <v>279</v>
      </c>
      <c r="D455" s="241" t="s">
        <v>48</v>
      </c>
      <c r="F455" s="265" t="s">
        <v>270</v>
      </c>
      <c r="G455" s="419">
        <f>G453</f>
        <v>1300000</v>
      </c>
      <c r="H455" s="420">
        <v>0.1</v>
      </c>
      <c r="I455" s="418">
        <f t="shared" si="166"/>
        <v>130000</v>
      </c>
      <c r="J455" s="419">
        <f t="shared" ref="J455" si="171">J453</f>
        <v>1300000</v>
      </c>
      <c r="K455" s="461">
        <v>0.1</v>
      </c>
      <c r="L455" s="418">
        <f t="shared" si="167"/>
        <v>130000</v>
      </c>
      <c r="M455" s="419">
        <f t="shared" ref="M455" si="172">M453</f>
        <v>1300000</v>
      </c>
      <c r="N455" s="420">
        <v>0.05</v>
      </c>
      <c r="O455" s="418">
        <f t="shared" si="168"/>
        <v>65000</v>
      </c>
      <c r="P455" s="460">
        <f>K455-N455</f>
        <v>0.05</v>
      </c>
      <c r="Q455" s="460">
        <f t="shared" ref="Q455" si="173">L455-O455</f>
        <v>65000</v>
      </c>
    </row>
    <row r="456" spans="2:17" ht="12.75" customHeight="1" x14ac:dyDescent="0.2">
      <c r="B456" s="273"/>
      <c r="D456" s="241" t="s">
        <v>49</v>
      </c>
      <c r="F456" s="265"/>
      <c r="G456" s="268"/>
      <c r="H456" s="438"/>
      <c r="I456" s="418" t="str">
        <f t="shared" si="166"/>
        <v xml:space="preserve"> </v>
      </c>
      <c r="J456" s="268"/>
      <c r="K456" s="456"/>
      <c r="L456" s="418" t="str">
        <f t="shared" si="167"/>
        <v xml:space="preserve"> </v>
      </c>
      <c r="M456" s="268"/>
      <c r="N456" s="438"/>
      <c r="O456" s="418" t="str">
        <f t="shared" si="168"/>
        <v xml:space="preserve"> </v>
      </c>
      <c r="P456" s="418" t="str">
        <f t="shared" si="169"/>
        <v xml:space="preserve"> </v>
      </c>
      <c r="Q456" s="418"/>
    </row>
    <row r="457" spans="2:17" ht="12.75" customHeight="1" x14ac:dyDescent="0.2">
      <c r="B457" s="273"/>
      <c r="F457" s="265"/>
      <c r="G457" s="268"/>
      <c r="H457" s="438"/>
      <c r="I457" s="418"/>
      <c r="J457" s="268"/>
      <c r="K457" s="456"/>
      <c r="L457" s="418"/>
      <c r="M457" s="268"/>
      <c r="N457" s="438"/>
      <c r="O457" s="418"/>
      <c r="P457" s="418"/>
      <c r="Q457" s="418"/>
    </row>
    <row r="458" spans="2:17" ht="12.75" customHeight="1" x14ac:dyDescent="0.2">
      <c r="B458" s="273"/>
      <c r="F458" s="265"/>
      <c r="G458" s="268"/>
      <c r="H458" s="438"/>
      <c r="I458" s="418"/>
      <c r="J458" s="268"/>
      <c r="K458" s="456"/>
      <c r="L458" s="418"/>
      <c r="M458" s="268"/>
      <c r="N458" s="438"/>
      <c r="O458" s="418"/>
      <c r="P458" s="418"/>
      <c r="Q458" s="418"/>
    </row>
    <row r="459" spans="2:17" ht="12.75" customHeight="1" x14ac:dyDescent="0.2">
      <c r="B459" s="273"/>
      <c r="F459" s="265"/>
      <c r="G459" s="268"/>
      <c r="H459" s="432"/>
      <c r="I459" s="418"/>
      <c r="J459" s="268"/>
      <c r="K459" s="456"/>
      <c r="L459" s="418"/>
      <c r="M459" s="268"/>
      <c r="N459" s="432"/>
      <c r="O459" s="418"/>
      <c r="P459" s="418"/>
      <c r="Q459" s="418"/>
    </row>
    <row r="460" spans="2:17" ht="12.75" customHeight="1" x14ac:dyDescent="0.2">
      <c r="B460" s="273"/>
      <c r="F460" s="265"/>
      <c r="G460" s="268"/>
      <c r="H460" s="438"/>
      <c r="I460" s="418"/>
      <c r="J460" s="268"/>
      <c r="K460" s="456"/>
      <c r="L460" s="418"/>
      <c r="M460" s="268"/>
      <c r="N460" s="438"/>
      <c r="O460" s="418"/>
      <c r="P460" s="418"/>
      <c r="Q460" s="418"/>
    </row>
    <row r="461" spans="2:17" ht="12.75" customHeight="1" x14ac:dyDescent="0.2">
      <c r="B461" s="273"/>
      <c r="F461" s="265"/>
      <c r="G461" s="268"/>
      <c r="H461" s="438"/>
      <c r="I461" s="418"/>
      <c r="J461" s="268"/>
      <c r="K461" s="456"/>
      <c r="L461" s="418"/>
      <c r="M461" s="268"/>
      <c r="N461" s="438"/>
      <c r="O461" s="418"/>
      <c r="P461" s="418"/>
      <c r="Q461" s="418"/>
    </row>
    <row r="462" spans="2:17" ht="12.75" customHeight="1" x14ac:dyDescent="0.2">
      <c r="B462" s="273"/>
      <c r="F462" s="265"/>
      <c r="G462" s="268"/>
      <c r="H462" s="438"/>
      <c r="I462" s="418"/>
      <c r="J462" s="268"/>
      <c r="K462" s="456"/>
      <c r="L462" s="418"/>
      <c r="M462" s="268"/>
      <c r="N462" s="438"/>
      <c r="O462" s="418"/>
      <c r="P462" s="418"/>
      <c r="Q462" s="418"/>
    </row>
    <row r="463" spans="2:17" ht="12.75" customHeight="1" x14ac:dyDescent="0.2">
      <c r="B463" s="273"/>
      <c r="F463" s="265"/>
      <c r="G463" s="268"/>
      <c r="H463" s="438"/>
      <c r="I463" s="418"/>
      <c r="J463" s="268"/>
      <c r="K463" s="456"/>
      <c r="L463" s="418"/>
      <c r="M463" s="268"/>
      <c r="N463" s="438"/>
      <c r="O463" s="418"/>
      <c r="P463" s="418"/>
      <c r="Q463" s="418"/>
    </row>
    <row r="464" spans="2:17" ht="12.75" customHeight="1" x14ac:dyDescent="0.2">
      <c r="B464" s="273"/>
      <c r="F464" s="265"/>
      <c r="G464" s="268"/>
      <c r="H464" s="438"/>
      <c r="I464" s="418"/>
      <c r="J464" s="268"/>
      <c r="K464" s="456"/>
      <c r="L464" s="418"/>
      <c r="M464" s="268"/>
      <c r="N464" s="438"/>
      <c r="O464" s="418"/>
      <c r="P464" s="418"/>
      <c r="Q464" s="418"/>
    </row>
    <row r="465" spans="2:17" ht="12.75" customHeight="1" x14ac:dyDescent="0.2">
      <c r="B465" s="273"/>
      <c r="F465" s="265"/>
      <c r="G465" s="268"/>
      <c r="H465" s="438"/>
      <c r="I465" s="418"/>
      <c r="J465" s="268"/>
      <c r="K465" s="456"/>
      <c r="L465" s="418"/>
      <c r="M465" s="268"/>
      <c r="N465" s="438"/>
      <c r="O465" s="418"/>
      <c r="P465" s="418"/>
      <c r="Q465" s="418"/>
    </row>
    <row r="466" spans="2:17" ht="12.75" customHeight="1" x14ac:dyDescent="0.2">
      <c r="B466" s="273"/>
      <c r="F466" s="265"/>
      <c r="G466" s="268"/>
      <c r="H466" s="438"/>
      <c r="I466" s="418"/>
      <c r="J466" s="268"/>
      <c r="K466" s="456"/>
      <c r="L466" s="418"/>
      <c r="M466" s="268"/>
      <c r="N466" s="438"/>
      <c r="O466" s="418"/>
      <c r="P466" s="418"/>
      <c r="Q466" s="418"/>
    </row>
    <row r="467" spans="2:17" ht="12.75" customHeight="1" x14ac:dyDescent="0.2">
      <c r="B467" s="273"/>
      <c r="F467" s="265"/>
      <c r="G467" s="268"/>
      <c r="H467" s="438"/>
      <c r="I467" s="418"/>
      <c r="J467" s="268"/>
      <c r="K467" s="456"/>
      <c r="L467" s="418"/>
      <c r="M467" s="268"/>
      <c r="N467" s="438"/>
      <c r="O467" s="418"/>
      <c r="P467" s="418"/>
      <c r="Q467" s="418"/>
    </row>
    <row r="468" spans="2:17" ht="12.75" customHeight="1" x14ac:dyDescent="0.2">
      <c r="B468" s="273"/>
      <c r="F468" s="265"/>
      <c r="G468" s="268"/>
      <c r="H468" s="438"/>
      <c r="I468" s="418"/>
      <c r="J468" s="268"/>
      <c r="K468" s="456"/>
      <c r="L468" s="418"/>
      <c r="M468" s="268"/>
      <c r="N468" s="438"/>
      <c r="O468" s="418"/>
      <c r="P468" s="418"/>
      <c r="Q468" s="418"/>
    </row>
    <row r="469" spans="2:17" ht="12.75" customHeight="1" x14ac:dyDescent="0.2">
      <c r="B469" s="273"/>
      <c r="F469" s="265"/>
      <c r="G469" s="268"/>
      <c r="H469" s="438"/>
      <c r="I469" s="418"/>
      <c r="J469" s="268"/>
      <c r="K469" s="456"/>
      <c r="L469" s="418"/>
      <c r="M469" s="268"/>
      <c r="N469" s="438"/>
      <c r="O469" s="418"/>
      <c r="P469" s="418"/>
      <c r="Q469" s="418"/>
    </row>
    <row r="470" spans="2:17" ht="12.75" customHeight="1" x14ac:dyDescent="0.2">
      <c r="B470" s="273"/>
      <c r="F470" s="265"/>
      <c r="G470" s="268"/>
      <c r="H470" s="438"/>
      <c r="I470" s="439"/>
      <c r="J470" s="268"/>
      <c r="K470" s="456"/>
      <c r="L470" s="439"/>
      <c r="M470" s="268"/>
      <c r="N470" s="438"/>
      <c r="O470" s="439"/>
      <c r="P470" s="439"/>
      <c r="Q470" s="439"/>
    </row>
    <row r="471" spans="2:17" ht="12.75" customHeight="1" x14ac:dyDescent="0.2">
      <c r="B471" s="287">
        <v>1800</v>
      </c>
      <c r="C471" s="288" t="s">
        <v>268</v>
      </c>
      <c r="D471" s="289"/>
      <c r="E471" s="290"/>
      <c r="F471" s="291"/>
      <c r="G471" s="291"/>
      <c r="H471" s="422"/>
      <c r="I471" s="423">
        <f>SUM(I411:I470)</f>
        <v>1430000</v>
      </c>
      <c r="J471" s="412"/>
      <c r="K471" s="457"/>
      <c r="L471" s="423">
        <f>SUM(L411:L470)</f>
        <v>1430000</v>
      </c>
      <c r="M471" s="291"/>
      <c r="N471" s="422"/>
      <c r="O471" s="423">
        <f>SUM(O411:O470)</f>
        <v>1365000</v>
      </c>
      <c r="P471" s="423"/>
      <c r="Q471" s="423">
        <f t="shared" ref="Q471" si="174">SUM(Q414:Q470)</f>
        <v>65000</v>
      </c>
    </row>
    <row r="472" spans="2:17" ht="12.75" customHeight="1" x14ac:dyDescent="0.2">
      <c r="B472" s="239" t="s">
        <v>79</v>
      </c>
      <c r="C472" s="239"/>
      <c r="D472" s="263"/>
      <c r="E472" s="297"/>
      <c r="H472" s="426"/>
      <c r="I472" s="427"/>
      <c r="K472" s="456"/>
      <c r="L472" s="427"/>
      <c r="N472" s="426"/>
      <c r="O472" s="427"/>
      <c r="P472" s="427"/>
      <c r="Q472" s="427"/>
    </row>
    <row r="473" spans="2:17" ht="12.75" customHeight="1" x14ac:dyDescent="0.2">
      <c r="B473" s="239" t="s">
        <v>267</v>
      </c>
      <c r="C473" s="240"/>
      <c r="E473" s="238"/>
      <c r="H473" s="426"/>
      <c r="I473" s="427"/>
      <c r="K473" s="456"/>
      <c r="L473" s="427"/>
      <c r="N473" s="426"/>
      <c r="O473" s="427"/>
      <c r="P473" s="427"/>
      <c r="Q473" s="427"/>
    </row>
    <row r="474" spans="2:17" ht="12.75" customHeight="1" x14ac:dyDescent="0.2">
      <c r="B474" s="243"/>
      <c r="C474" s="243"/>
      <c r="D474" s="244"/>
      <c r="E474" s="245"/>
      <c r="F474" s="246"/>
      <c r="H474" s="440"/>
      <c r="I474" s="441" t="str">
        <f>IF(G479=0," ",G479*H474)</f>
        <v xml:space="preserve"> </v>
      </c>
      <c r="K474" s="456"/>
      <c r="L474" s="441" t="str">
        <f t="shared" ref="L474" si="175">IF(J479=0," ",J479*K474)</f>
        <v xml:space="preserve"> </v>
      </c>
      <c r="N474" s="440"/>
      <c r="O474" s="441" t="str">
        <f t="shared" ref="O474" si="176">IF(M479=0," ",M479*N474)</f>
        <v xml:space="preserve"> </v>
      </c>
      <c r="P474" s="441" t="str">
        <f t="shared" ref="P474" si="177">IF(N479=0," ",N479*O474)</f>
        <v xml:space="preserve"> </v>
      </c>
      <c r="Q474" s="441" t="str">
        <f t="shared" ref="Q474" si="178">IF(O479=0," ",O479*P474)</f>
        <v xml:space="preserve"> </v>
      </c>
    </row>
    <row r="475" spans="2:17" ht="12.75" customHeight="1" x14ac:dyDescent="0.2">
      <c r="B475" s="247" t="s">
        <v>263</v>
      </c>
      <c r="C475" s="248" t="s">
        <v>264</v>
      </c>
      <c r="D475" s="249"/>
      <c r="E475" s="250"/>
      <c r="F475" s="250" t="s">
        <v>265</v>
      </c>
      <c r="G475" s="356" t="s">
        <v>68</v>
      </c>
      <c r="H475" s="251" t="s">
        <v>849</v>
      </c>
      <c r="I475" s="252" t="s">
        <v>849</v>
      </c>
      <c r="J475" s="356" t="s">
        <v>68</v>
      </c>
      <c r="K475" s="457" t="s">
        <v>849</v>
      </c>
      <c r="L475" s="252" t="s">
        <v>849</v>
      </c>
      <c r="M475" s="356" t="s">
        <v>68</v>
      </c>
      <c r="N475" s="251" t="s">
        <v>849</v>
      </c>
      <c r="O475" s="252" t="s">
        <v>849</v>
      </c>
      <c r="P475" s="252" t="s">
        <v>849</v>
      </c>
      <c r="Q475" s="252" t="s">
        <v>849</v>
      </c>
    </row>
    <row r="476" spans="2:17" ht="12.75" customHeight="1" x14ac:dyDescent="0.2">
      <c r="B476" s="253" t="s">
        <v>266</v>
      </c>
      <c r="C476" s="254"/>
      <c r="D476" s="255"/>
      <c r="E476" s="256"/>
      <c r="F476" s="256"/>
      <c r="G476" s="357" t="s">
        <v>69</v>
      </c>
      <c r="H476" s="257" t="s">
        <v>262</v>
      </c>
      <c r="I476" s="258" t="s">
        <v>70</v>
      </c>
      <c r="J476" s="357" t="s">
        <v>69</v>
      </c>
      <c r="K476" s="457" t="s">
        <v>262</v>
      </c>
      <c r="L476" s="258" t="s">
        <v>70</v>
      </c>
      <c r="M476" s="357" t="s">
        <v>69</v>
      </c>
      <c r="N476" s="257" t="s">
        <v>262</v>
      </c>
      <c r="O476" s="258" t="s">
        <v>70</v>
      </c>
      <c r="P476" s="258" t="s">
        <v>70</v>
      </c>
      <c r="Q476" s="258" t="s">
        <v>70</v>
      </c>
    </row>
    <row r="477" spans="2:17" ht="12.75" customHeight="1" x14ac:dyDescent="0.2">
      <c r="B477" s="273"/>
      <c r="F477" s="265"/>
      <c r="G477" s="268"/>
      <c r="H477" s="438"/>
      <c r="I477" s="439" t="str">
        <f>IF(G481=0," ",G481*H477)</f>
        <v xml:space="preserve"> </v>
      </c>
      <c r="J477" s="268"/>
      <c r="K477" s="456"/>
      <c r="L477" s="439" t="str">
        <f t="shared" ref="L477:L478" si="179">IF(J481=0," ",J481*K477)</f>
        <v xml:space="preserve"> </v>
      </c>
      <c r="M477" s="268"/>
      <c r="N477" s="438"/>
      <c r="O477" s="439" t="str">
        <f t="shared" ref="O477:O478" si="180">IF(M481=0," ",M481*N477)</f>
        <v xml:space="preserve"> </v>
      </c>
      <c r="P477" s="439" t="str">
        <f t="shared" ref="P477:P478" si="181">IF(N481=0," ",N481*O477)</f>
        <v xml:space="preserve"> </v>
      </c>
      <c r="Q477" s="439" t="str">
        <f t="shared" ref="Q477" si="182">IF(O481=0," ",O481*P477)</f>
        <v xml:space="preserve"> </v>
      </c>
    </row>
    <row r="478" spans="2:17" ht="12.75" customHeight="1" x14ac:dyDescent="0.2">
      <c r="B478" s="261">
        <v>2100</v>
      </c>
      <c r="C478" s="262" t="s">
        <v>305</v>
      </c>
      <c r="D478" s="263"/>
      <c r="E478" s="264"/>
      <c r="F478" s="265"/>
      <c r="G478" s="268"/>
      <c r="H478" s="438"/>
      <c r="I478" s="418" t="str">
        <f>IF(G482=0," ",G482*H478)</f>
        <v xml:space="preserve"> </v>
      </c>
      <c r="J478" s="268"/>
      <c r="K478" s="456"/>
      <c r="L478" s="418" t="str">
        <f t="shared" si="179"/>
        <v xml:space="preserve"> </v>
      </c>
      <c r="M478" s="268"/>
      <c r="N478" s="438"/>
      <c r="O478" s="418" t="str">
        <f t="shared" si="180"/>
        <v xml:space="preserve"> </v>
      </c>
      <c r="P478" s="418" t="str">
        <f t="shared" si="181"/>
        <v xml:space="preserve"> </v>
      </c>
      <c r="Q478" s="418"/>
    </row>
    <row r="479" spans="2:17" ht="12.75" customHeight="1" x14ac:dyDescent="0.2">
      <c r="B479" s="267"/>
      <c r="F479" s="265"/>
      <c r="G479" s="268"/>
      <c r="H479" s="438"/>
      <c r="I479" s="418"/>
      <c r="J479" s="268"/>
      <c r="K479" s="456"/>
      <c r="L479" s="418"/>
      <c r="M479" s="268"/>
      <c r="N479" s="438"/>
      <c r="O479" s="418"/>
      <c r="P479" s="418"/>
      <c r="Q479" s="418"/>
    </row>
    <row r="480" spans="2:17" ht="12.75" customHeight="1" x14ac:dyDescent="0.2">
      <c r="B480" s="267" t="s">
        <v>669</v>
      </c>
      <c r="C480" s="273" t="s">
        <v>306</v>
      </c>
      <c r="D480" s="285"/>
      <c r="E480" s="286"/>
      <c r="F480" s="265"/>
      <c r="G480" s="268"/>
      <c r="H480" s="438"/>
      <c r="I480" s="418"/>
      <c r="J480" s="268"/>
      <c r="K480" s="456"/>
      <c r="L480" s="418"/>
      <c r="M480" s="268"/>
      <c r="N480" s="438"/>
      <c r="O480" s="418"/>
      <c r="P480" s="418"/>
      <c r="Q480" s="418"/>
    </row>
    <row r="481" spans="2:17" ht="12.75" customHeight="1" x14ac:dyDescent="0.2">
      <c r="B481" s="267"/>
      <c r="C481" s="273" t="s">
        <v>278</v>
      </c>
      <c r="D481" s="285" t="s">
        <v>169</v>
      </c>
      <c r="E481" s="286"/>
      <c r="F481" s="265"/>
      <c r="G481" s="268"/>
      <c r="H481" s="438"/>
      <c r="I481" s="418"/>
      <c r="J481" s="268"/>
      <c r="K481" s="456"/>
      <c r="L481" s="418"/>
      <c r="M481" s="268"/>
      <c r="N481" s="438"/>
      <c r="O481" s="418"/>
      <c r="P481" s="418"/>
      <c r="Q481" s="418"/>
    </row>
    <row r="482" spans="2:17" ht="12.75" customHeight="1" x14ac:dyDescent="0.2">
      <c r="B482" s="267"/>
      <c r="D482" s="285" t="s">
        <v>170</v>
      </c>
      <c r="F482" s="265"/>
      <c r="G482" s="268"/>
      <c r="H482" s="438"/>
      <c r="I482" s="418" t="str">
        <f>IF(G489=0," ",G489*H482)</f>
        <v xml:space="preserve"> </v>
      </c>
      <c r="J482" s="268"/>
      <c r="K482" s="456"/>
      <c r="L482" s="418" t="str">
        <f t="shared" ref="L482" si="183">IF(J489=0," ",J489*K482)</f>
        <v xml:space="preserve"> </v>
      </c>
      <c r="M482" s="268"/>
      <c r="N482" s="438"/>
      <c r="O482" s="418" t="str">
        <f t="shared" ref="O482" si="184">IF(M489=0," ",M489*N482)</f>
        <v xml:space="preserve"> </v>
      </c>
      <c r="P482" s="418" t="str">
        <f t="shared" ref="P482" si="185">IF(N489=0," ",N489*O482)</f>
        <v xml:space="preserve"> </v>
      </c>
      <c r="Q482" s="418"/>
    </row>
    <row r="483" spans="2:17" ht="12.75" customHeight="1" x14ac:dyDescent="0.2">
      <c r="B483" s="267"/>
      <c r="D483" s="241" t="s">
        <v>277</v>
      </c>
      <c r="E483" s="274" t="s">
        <v>171</v>
      </c>
      <c r="F483" s="265" t="s">
        <v>829</v>
      </c>
      <c r="G483" s="268" t="s">
        <v>596</v>
      </c>
      <c r="H483" s="418">
        <v>40</v>
      </c>
      <c r="I483" s="418"/>
      <c r="J483" s="268" t="s">
        <v>596</v>
      </c>
      <c r="K483" s="456">
        <v>105</v>
      </c>
      <c r="L483" s="418"/>
      <c r="M483" s="268" t="s">
        <v>596</v>
      </c>
      <c r="N483" s="418">
        <v>105</v>
      </c>
      <c r="O483" s="418"/>
      <c r="P483" s="418">
        <f>K483-N483</f>
        <v>0</v>
      </c>
      <c r="Q483" s="418">
        <f>L483-O483</f>
        <v>0</v>
      </c>
    </row>
    <row r="484" spans="2:17" ht="12.75" customHeight="1" x14ac:dyDescent="0.2">
      <c r="B484" s="267"/>
      <c r="F484" s="265"/>
      <c r="G484" s="268"/>
      <c r="H484" s="418"/>
      <c r="I484" s="418"/>
      <c r="J484" s="268"/>
      <c r="K484" s="456"/>
      <c r="L484" s="418"/>
      <c r="M484" s="268"/>
      <c r="N484" s="418"/>
      <c r="O484" s="418"/>
      <c r="P484" s="418"/>
      <c r="Q484" s="418"/>
    </row>
    <row r="485" spans="2:17" ht="12.75" customHeight="1" x14ac:dyDescent="0.2">
      <c r="B485" s="267"/>
      <c r="D485" s="241" t="s">
        <v>124</v>
      </c>
      <c r="E485" s="274" t="s">
        <v>187</v>
      </c>
      <c r="F485" s="265" t="s">
        <v>829</v>
      </c>
      <c r="G485" s="268" t="s">
        <v>596</v>
      </c>
      <c r="H485" s="418">
        <v>60</v>
      </c>
      <c r="I485" s="418"/>
      <c r="J485" s="268" t="s">
        <v>596</v>
      </c>
      <c r="K485" s="456">
        <v>125</v>
      </c>
      <c r="L485" s="418"/>
      <c r="M485" s="268" t="s">
        <v>596</v>
      </c>
      <c r="N485" s="418">
        <v>125</v>
      </c>
      <c r="O485" s="418"/>
      <c r="P485" s="418">
        <f t="shared" ref="P485:P528" si="186">K485-N485</f>
        <v>0</v>
      </c>
      <c r="Q485" s="418">
        <f t="shared" ref="Q485:Q530" si="187">L485-O485</f>
        <v>0</v>
      </c>
    </row>
    <row r="486" spans="2:17" ht="12.75" customHeight="1" x14ac:dyDescent="0.2">
      <c r="B486" s="267"/>
      <c r="C486" s="273" t="s">
        <v>279</v>
      </c>
      <c r="D486" s="241" t="s">
        <v>172</v>
      </c>
      <c r="F486" s="265"/>
      <c r="G486" s="268"/>
      <c r="H486" s="418"/>
      <c r="I486" s="418"/>
      <c r="J486" s="268"/>
      <c r="K486" s="456"/>
      <c r="L486" s="418"/>
      <c r="M486" s="268"/>
      <c r="N486" s="418"/>
      <c r="O486" s="418"/>
      <c r="P486" s="418"/>
      <c r="Q486" s="418"/>
    </row>
    <row r="487" spans="2:17" ht="12.75" customHeight="1" x14ac:dyDescent="0.2">
      <c r="B487" s="267"/>
      <c r="D487" s="241" t="s">
        <v>173</v>
      </c>
      <c r="F487" s="265" t="s">
        <v>829</v>
      </c>
      <c r="G487" s="268" t="s">
        <v>596</v>
      </c>
      <c r="H487" s="418">
        <v>300</v>
      </c>
      <c r="I487" s="418"/>
      <c r="J487" s="268" t="s">
        <v>596</v>
      </c>
      <c r="K487" s="456">
        <v>950</v>
      </c>
      <c r="L487" s="418"/>
      <c r="M487" s="268" t="s">
        <v>596</v>
      </c>
      <c r="N487" s="418">
        <v>950</v>
      </c>
      <c r="O487" s="418"/>
      <c r="P487" s="418">
        <f t="shared" si="186"/>
        <v>0</v>
      </c>
      <c r="Q487" s="418">
        <f t="shared" si="187"/>
        <v>0</v>
      </c>
    </row>
    <row r="488" spans="2:17" ht="12.75" customHeight="1" x14ac:dyDescent="0.2">
      <c r="B488" s="267"/>
      <c r="F488" s="265"/>
      <c r="G488" s="268"/>
      <c r="H488" s="418"/>
      <c r="I488" s="418" t="str">
        <f t="shared" ref="I488:I536" si="188">IF(G488=0," ",G488*H488)</f>
        <v xml:space="preserve"> </v>
      </c>
      <c r="J488" s="268"/>
      <c r="K488" s="456"/>
      <c r="L488" s="418" t="str">
        <f t="shared" ref="L488:L536" si="189">IF(J488=0," ",J488*K488)</f>
        <v xml:space="preserve"> </v>
      </c>
      <c r="M488" s="268"/>
      <c r="N488" s="418"/>
      <c r="O488" s="418" t="str">
        <f t="shared" ref="O488:O536" si="190">IF(M488=0," ",M488*N488)</f>
        <v xml:space="preserve"> </v>
      </c>
      <c r="P488" s="418"/>
      <c r="Q488" s="418"/>
    </row>
    <row r="489" spans="2:17" ht="12.75" customHeight="1" x14ac:dyDescent="0.2">
      <c r="B489" s="267" t="s">
        <v>3</v>
      </c>
      <c r="C489" s="273" t="s">
        <v>89</v>
      </c>
      <c r="F489" s="265"/>
      <c r="G489" s="268"/>
      <c r="H489" s="418"/>
      <c r="I489" s="418" t="str">
        <f t="shared" si="188"/>
        <v xml:space="preserve"> </v>
      </c>
      <c r="J489" s="268"/>
      <c r="K489" s="456"/>
      <c r="L489" s="418" t="str">
        <f t="shared" si="189"/>
        <v xml:space="preserve"> </v>
      </c>
      <c r="M489" s="268"/>
      <c r="N489" s="418"/>
      <c r="O489" s="418" t="str">
        <f t="shared" si="190"/>
        <v xml:space="preserve"> </v>
      </c>
      <c r="P489" s="418"/>
      <c r="Q489" s="418"/>
    </row>
    <row r="490" spans="2:17" ht="12.75" customHeight="1" x14ac:dyDescent="0.2">
      <c r="B490" s="267"/>
      <c r="C490" s="273" t="s">
        <v>278</v>
      </c>
      <c r="D490" s="241" t="s">
        <v>169</v>
      </c>
      <c r="F490" s="265"/>
      <c r="G490" s="268"/>
      <c r="H490" s="418" t="str">
        <f>IF(F495=0," ",F495*G490)</f>
        <v xml:space="preserve"> </v>
      </c>
      <c r="I490" s="418" t="str">
        <f t="shared" si="188"/>
        <v xml:space="preserve"> </v>
      </c>
      <c r="J490" s="268"/>
      <c r="K490" s="456" t="s">
        <v>849</v>
      </c>
      <c r="L490" s="418" t="str">
        <f t="shared" si="189"/>
        <v xml:space="preserve"> </v>
      </c>
      <c r="M490" s="268"/>
      <c r="N490" s="418"/>
      <c r="O490" s="418" t="str">
        <f t="shared" si="190"/>
        <v xml:space="preserve"> </v>
      </c>
      <c r="P490" s="418"/>
      <c r="Q490" s="418"/>
    </row>
    <row r="491" spans="2:17" ht="12.75" customHeight="1" x14ac:dyDescent="0.2">
      <c r="B491" s="267"/>
      <c r="D491" s="241" t="s">
        <v>170</v>
      </c>
      <c r="F491" s="265"/>
      <c r="G491" s="268"/>
      <c r="H491" s="418"/>
      <c r="I491" s="418" t="str">
        <f t="shared" si="188"/>
        <v xml:space="preserve"> </v>
      </c>
      <c r="J491" s="268"/>
      <c r="K491" s="456"/>
      <c r="L491" s="418" t="str">
        <f t="shared" si="189"/>
        <v xml:space="preserve"> </v>
      </c>
      <c r="M491" s="268"/>
      <c r="N491" s="418"/>
      <c r="O491" s="418" t="str">
        <f t="shared" si="190"/>
        <v xml:space="preserve"> </v>
      </c>
      <c r="P491" s="418"/>
      <c r="Q491" s="418"/>
    </row>
    <row r="492" spans="2:17" ht="12.75" customHeight="1" x14ac:dyDescent="0.2">
      <c r="B492" s="267"/>
      <c r="D492" s="241" t="s">
        <v>277</v>
      </c>
      <c r="E492" s="274" t="s">
        <v>171</v>
      </c>
      <c r="F492" s="265" t="s">
        <v>829</v>
      </c>
      <c r="G492" s="268">
        <v>71.5</v>
      </c>
      <c r="H492" s="418">
        <v>40</v>
      </c>
      <c r="I492" s="418">
        <f t="shared" si="188"/>
        <v>2860</v>
      </c>
      <c r="J492" s="268">
        <v>71.5</v>
      </c>
      <c r="K492" s="456">
        <v>105</v>
      </c>
      <c r="L492" s="418">
        <f t="shared" si="189"/>
        <v>7507.5</v>
      </c>
      <c r="M492" s="268">
        <v>71.5</v>
      </c>
      <c r="N492" s="418">
        <v>105</v>
      </c>
      <c r="O492" s="418">
        <f t="shared" si="190"/>
        <v>7507.5</v>
      </c>
      <c r="P492" s="418">
        <f t="shared" si="186"/>
        <v>0</v>
      </c>
      <c r="Q492" s="418">
        <f t="shared" si="187"/>
        <v>0</v>
      </c>
    </row>
    <row r="493" spans="2:17" ht="12.75" customHeight="1" x14ac:dyDescent="0.2">
      <c r="B493" s="267"/>
      <c r="C493" s="273" t="s">
        <v>279</v>
      </c>
      <c r="D493" s="241" t="s">
        <v>174</v>
      </c>
      <c r="F493" s="265"/>
      <c r="G493" s="268"/>
      <c r="H493" s="418"/>
      <c r="I493" s="418" t="str">
        <f t="shared" si="188"/>
        <v xml:space="preserve"> </v>
      </c>
      <c r="J493" s="268"/>
      <c r="K493" s="456"/>
      <c r="L493" s="418" t="str">
        <f t="shared" si="189"/>
        <v xml:space="preserve"> </v>
      </c>
      <c r="M493" s="268"/>
      <c r="N493" s="418"/>
      <c r="O493" s="418" t="str">
        <f t="shared" si="190"/>
        <v xml:space="preserve"> </v>
      </c>
      <c r="P493" s="418"/>
      <c r="Q493" s="418"/>
    </row>
    <row r="494" spans="2:17" ht="12.75" customHeight="1" x14ac:dyDescent="0.2">
      <c r="B494" s="267"/>
      <c r="D494" s="241" t="s">
        <v>175</v>
      </c>
      <c r="F494" s="265" t="s">
        <v>829</v>
      </c>
      <c r="G494" s="268">
        <v>5.2</v>
      </c>
      <c r="H494" s="418">
        <v>300</v>
      </c>
      <c r="I494" s="418">
        <f t="shared" si="188"/>
        <v>1560</v>
      </c>
      <c r="J494" s="268">
        <v>5.2</v>
      </c>
      <c r="K494" s="456">
        <v>950</v>
      </c>
      <c r="L494" s="418">
        <f t="shared" si="189"/>
        <v>4940</v>
      </c>
      <c r="M494" s="268">
        <v>5.2</v>
      </c>
      <c r="N494" s="418">
        <v>950</v>
      </c>
      <c r="O494" s="418">
        <f t="shared" si="190"/>
        <v>4940</v>
      </c>
      <c r="P494" s="418">
        <f t="shared" si="186"/>
        <v>0</v>
      </c>
      <c r="Q494" s="418">
        <f t="shared" si="187"/>
        <v>0</v>
      </c>
    </row>
    <row r="495" spans="2:17" ht="12.75" customHeight="1" x14ac:dyDescent="0.2">
      <c r="B495" s="267"/>
      <c r="F495" s="265"/>
      <c r="G495" s="268"/>
      <c r="H495" s="418"/>
      <c r="I495" s="418" t="str">
        <f t="shared" si="188"/>
        <v xml:space="preserve"> </v>
      </c>
      <c r="J495" s="268"/>
      <c r="K495" s="456"/>
      <c r="L495" s="418" t="str">
        <f t="shared" si="189"/>
        <v xml:space="preserve"> </v>
      </c>
      <c r="M495" s="268"/>
      <c r="N495" s="418"/>
      <c r="O495" s="418" t="str">
        <f t="shared" si="190"/>
        <v xml:space="preserve"> </v>
      </c>
      <c r="P495" s="418"/>
      <c r="Q495" s="418"/>
    </row>
    <row r="496" spans="2:17" ht="12.75" customHeight="1" x14ac:dyDescent="0.2">
      <c r="B496" s="267" t="s">
        <v>5</v>
      </c>
      <c r="C496" s="273" t="s">
        <v>307</v>
      </c>
      <c r="F496" s="265" t="s">
        <v>829</v>
      </c>
      <c r="G496" s="268">
        <v>20</v>
      </c>
      <c r="H496" s="418">
        <v>55</v>
      </c>
      <c r="I496" s="418">
        <f t="shared" si="188"/>
        <v>1100</v>
      </c>
      <c r="J496" s="268">
        <v>20</v>
      </c>
      <c r="K496" s="456">
        <v>65</v>
      </c>
      <c r="L496" s="418">
        <f t="shared" si="189"/>
        <v>1300</v>
      </c>
      <c r="M496" s="268">
        <v>20</v>
      </c>
      <c r="N496" s="418">
        <v>65</v>
      </c>
      <c r="O496" s="418">
        <f t="shared" si="190"/>
        <v>1300</v>
      </c>
      <c r="P496" s="418">
        <f t="shared" si="186"/>
        <v>0</v>
      </c>
      <c r="Q496" s="418">
        <f t="shared" si="187"/>
        <v>0</v>
      </c>
    </row>
    <row r="497" spans="2:20" ht="12.75" customHeight="1" x14ac:dyDescent="0.2">
      <c r="B497" s="267"/>
      <c r="F497" s="265"/>
      <c r="G497" s="268"/>
      <c r="H497" s="418"/>
      <c r="I497" s="418" t="str">
        <f t="shared" si="188"/>
        <v xml:space="preserve"> </v>
      </c>
      <c r="J497" s="268"/>
      <c r="K497" s="456"/>
      <c r="L497" s="418" t="str">
        <f t="shared" si="189"/>
        <v xml:space="preserve"> </v>
      </c>
      <c r="M497" s="268"/>
      <c r="N497" s="418"/>
      <c r="O497" s="418" t="str">
        <f t="shared" si="190"/>
        <v xml:space="preserve"> </v>
      </c>
      <c r="P497" s="418"/>
      <c r="Q497" s="418"/>
    </row>
    <row r="498" spans="2:20" ht="12.75" customHeight="1" x14ac:dyDescent="0.2">
      <c r="B498" s="267" t="s">
        <v>4</v>
      </c>
      <c r="C498" s="273" t="s">
        <v>308</v>
      </c>
      <c r="F498" s="265" t="s">
        <v>829</v>
      </c>
      <c r="G498" s="268">
        <v>2</v>
      </c>
      <c r="H498" s="421">
        <v>60</v>
      </c>
      <c r="I498" s="418">
        <f t="shared" si="188"/>
        <v>120</v>
      </c>
      <c r="J498" s="268">
        <v>2</v>
      </c>
      <c r="K498" s="456">
        <v>75</v>
      </c>
      <c r="L498" s="418">
        <f t="shared" si="189"/>
        <v>150</v>
      </c>
      <c r="M498" s="268">
        <v>2</v>
      </c>
      <c r="N498" s="421">
        <v>75</v>
      </c>
      <c r="O498" s="418">
        <f t="shared" si="190"/>
        <v>150</v>
      </c>
      <c r="P498" s="418">
        <f t="shared" si="186"/>
        <v>0</v>
      </c>
      <c r="Q498" s="418">
        <f t="shared" si="187"/>
        <v>0</v>
      </c>
    </row>
    <row r="499" spans="2:20" ht="12.75" customHeight="1" x14ac:dyDescent="0.2">
      <c r="B499" s="267"/>
      <c r="F499" s="265"/>
      <c r="G499" s="268"/>
      <c r="H499" s="418"/>
      <c r="I499" s="418" t="str">
        <f t="shared" si="188"/>
        <v xml:space="preserve"> </v>
      </c>
      <c r="J499" s="268"/>
      <c r="K499" s="456"/>
      <c r="L499" s="418" t="str">
        <f t="shared" si="189"/>
        <v xml:space="preserve"> </v>
      </c>
      <c r="M499" s="268"/>
      <c r="N499" s="418"/>
      <c r="O499" s="418" t="str">
        <f t="shared" si="190"/>
        <v xml:space="preserve"> </v>
      </c>
      <c r="P499" s="418"/>
      <c r="Q499" s="418"/>
    </row>
    <row r="500" spans="2:20" ht="12.75" customHeight="1" x14ac:dyDescent="0.2">
      <c r="B500" s="267" t="s">
        <v>410</v>
      </c>
      <c r="C500" s="273" t="s">
        <v>178</v>
      </c>
      <c r="F500" s="265"/>
      <c r="G500" s="268"/>
      <c r="H500" s="418"/>
      <c r="I500" s="418" t="str">
        <f t="shared" si="188"/>
        <v xml:space="preserve"> </v>
      </c>
      <c r="J500" s="268"/>
      <c r="K500" s="456"/>
      <c r="L500" s="418" t="str">
        <f t="shared" si="189"/>
        <v xml:space="preserve"> </v>
      </c>
      <c r="M500" s="268"/>
      <c r="N500" s="418"/>
      <c r="O500" s="418" t="str">
        <f t="shared" si="190"/>
        <v xml:space="preserve"> </v>
      </c>
      <c r="P500" s="418"/>
      <c r="Q500" s="418"/>
    </row>
    <row r="501" spans="2:20" ht="12.75" customHeight="1" x14ac:dyDescent="0.2">
      <c r="B501" s="267"/>
      <c r="C501" s="273" t="s">
        <v>179</v>
      </c>
      <c r="F501" s="265"/>
      <c r="G501" s="268"/>
      <c r="H501" s="418"/>
      <c r="I501" s="418" t="str">
        <f t="shared" si="188"/>
        <v xml:space="preserve"> </v>
      </c>
      <c r="J501" s="268"/>
      <c r="K501" s="456"/>
      <c r="L501" s="418" t="str">
        <f t="shared" si="189"/>
        <v xml:space="preserve"> </v>
      </c>
      <c r="M501" s="268"/>
      <c r="N501" s="418"/>
      <c r="O501" s="418" t="str">
        <f t="shared" si="190"/>
        <v xml:space="preserve"> </v>
      </c>
      <c r="P501" s="418"/>
      <c r="Q501" s="418"/>
    </row>
    <row r="502" spans="2:20" ht="12.75" customHeight="1" x14ac:dyDescent="0.2">
      <c r="B502" s="267"/>
      <c r="C502" s="273" t="s">
        <v>279</v>
      </c>
      <c r="D502" s="241" t="s">
        <v>50</v>
      </c>
      <c r="F502" s="265" t="s">
        <v>829</v>
      </c>
      <c r="G502" s="268">
        <v>16</v>
      </c>
      <c r="H502" s="418">
        <v>600</v>
      </c>
      <c r="I502" s="418">
        <f t="shared" si="188"/>
        <v>9600</v>
      </c>
      <c r="J502" s="268">
        <v>16</v>
      </c>
      <c r="K502" s="456">
        <v>650</v>
      </c>
      <c r="L502" s="418">
        <f t="shared" si="189"/>
        <v>10400</v>
      </c>
      <c r="M502" s="268">
        <v>16</v>
      </c>
      <c r="N502" s="418">
        <v>650</v>
      </c>
      <c r="O502" s="418">
        <f t="shared" si="190"/>
        <v>10400</v>
      </c>
      <c r="P502" s="418">
        <f t="shared" si="186"/>
        <v>0</v>
      </c>
      <c r="Q502" s="418">
        <f t="shared" si="187"/>
        <v>0</v>
      </c>
    </row>
    <row r="503" spans="2:20" ht="12.75" customHeight="1" x14ac:dyDescent="0.2">
      <c r="B503" s="267"/>
      <c r="D503" s="241" t="s">
        <v>51</v>
      </c>
      <c r="F503" s="265"/>
      <c r="G503" s="268"/>
      <c r="H503" s="317"/>
      <c r="I503" s="418" t="str">
        <f t="shared" si="188"/>
        <v xml:space="preserve"> </v>
      </c>
      <c r="J503" s="268"/>
      <c r="K503" s="456"/>
      <c r="L503" s="418" t="str">
        <f t="shared" si="189"/>
        <v xml:space="preserve"> </v>
      </c>
      <c r="M503" s="268"/>
      <c r="N503" s="317"/>
      <c r="O503" s="418" t="str">
        <f t="shared" si="190"/>
        <v xml:space="preserve"> </v>
      </c>
      <c r="P503" s="418"/>
      <c r="Q503" s="418"/>
    </row>
    <row r="504" spans="2:20" ht="12.75" customHeight="1" x14ac:dyDescent="0.2">
      <c r="B504" s="267"/>
      <c r="F504" s="265"/>
      <c r="G504" s="268"/>
      <c r="H504" s="317"/>
      <c r="I504" s="418" t="str">
        <f t="shared" si="188"/>
        <v xml:space="preserve"> </v>
      </c>
      <c r="J504" s="268"/>
      <c r="K504" s="456"/>
      <c r="L504" s="418" t="str">
        <f t="shared" si="189"/>
        <v xml:space="preserve"> </v>
      </c>
      <c r="M504" s="268"/>
      <c r="N504" s="317"/>
      <c r="O504" s="418" t="str">
        <f t="shared" si="190"/>
        <v xml:space="preserve"> </v>
      </c>
      <c r="P504" s="418"/>
      <c r="Q504" s="418"/>
    </row>
    <row r="505" spans="2:20" ht="12.75" customHeight="1" x14ac:dyDescent="0.2">
      <c r="B505" s="267" t="s">
        <v>411</v>
      </c>
      <c r="C505" s="273" t="s">
        <v>524</v>
      </c>
      <c r="F505" s="265"/>
      <c r="G505" s="268"/>
      <c r="H505" s="317"/>
      <c r="I505" s="418" t="str">
        <f t="shared" si="188"/>
        <v xml:space="preserve"> </v>
      </c>
      <c r="J505" s="268"/>
      <c r="K505" s="456"/>
      <c r="L505" s="418" t="str">
        <f t="shared" si="189"/>
        <v xml:space="preserve"> </v>
      </c>
      <c r="M505" s="268"/>
      <c r="N505" s="317"/>
      <c r="O505" s="418" t="str">
        <f t="shared" si="190"/>
        <v xml:space="preserve"> </v>
      </c>
      <c r="P505" s="418"/>
      <c r="Q505" s="418"/>
    </row>
    <row r="506" spans="2:20" ht="12.75" customHeight="1" x14ac:dyDescent="0.2">
      <c r="B506" s="267"/>
      <c r="C506" s="315" t="s">
        <v>279</v>
      </c>
      <c r="D506" s="316" t="s">
        <v>580</v>
      </c>
      <c r="F506" s="265" t="s">
        <v>829</v>
      </c>
      <c r="G506" s="268">
        <v>55.5</v>
      </c>
      <c r="H506" s="418">
        <v>150</v>
      </c>
      <c r="I506" s="418">
        <f t="shared" si="188"/>
        <v>8325</v>
      </c>
      <c r="J506" s="268">
        <v>55.5</v>
      </c>
      <c r="K506" s="456">
        <v>650</v>
      </c>
      <c r="L506" s="418">
        <f t="shared" si="189"/>
        <v>36075</v>
      </c>
      <c r="M506" s="268">
        <v>55.5</v>
      </c>
      <c r="N506" s="418">
        <v>650</v>
      </c>
      <c r="O506" s="418">
        <f t="shared" si="190"/>
        <v>36075</v>
      </c>
      <c r="P506" s="418">
        <f t="shared" si="186"/>
        <v>0</v>
      </c>
      <c r="Q506" s="418">
        <f t="shared" si="187"/>
        <v>0</v>
      </c>
    </row>
    <row r="507" spans="2:20" ht="12.75" customHeight="1" x14ac:dyDescent="0.2">
      <c r="B507" s="267"/>
      <c r="F507" s="265"/>
      <c r="G507" s="268"/>
      <c r="H507" s="418"/>
      <c r="I507" s="418" t="str">
        <f t="shared" si="188"/>
        <v xml:space="preserve"> </v>
      </c>
      <c r="J507" s="268"/>
      <c r="K507" s="456"/>
      <c r="L507" s="418" t="str">
        <f t="shared" si="189"/>
        <v xml:space="preserve"> </v>
      </c>
      <c r="M507" s="268"/>
      <c r="N507" s="418"/>
      <c r="O507" s="418" t="str">
        <f t="shared" si="190"/>
        <v xml:space="preserve"> </v>
      </c>
      <c r="P507" s="418"/>
      <c r="Q507" s="418"/>
    </row>
    <row r="508" spans="2:20" ht="12.75" customHeight="1" x14ac:dyDescent="0.2">
      <c r="B508" s="267" t="s">
        <v>412</v>
      </c>
      <c r="C508" s="273" t="s">
        <v>309</v>
      </c>
      <c r="F508" s="265"/>
      <c r="G508" s="268"/>
      <c r="H508" s="418"/>
      <c r="I508" s="418" t="str">
        <f t="shared" si="188"/>
        <v xml:space="preserve"> </v>
      </c>
      <c r="J508" s="268"/>
      <c r="K508" s="456"/>
      <c r="L508" s="418" t="str">
        <f t="shared" si="189"/>
        <v xml:space="preserve"> </v>
      </c>
      <c r="M508" s="268"/>
      <c r="N508" s="418"/>
      <c r="O508" s="418" t="str">
        <f t="shared" si="190"/>
        <v xml:space="preserve"> </v>
      </c>
      <c r="P508" s="418"/>
      <c r="Q508" s="418"/>
    </row>
    <row r="509" spans="2:20" ht="12.75" customHeight="1" x14ac:dyDescent="0.2">
      <c r="B509" s="267"/>
      <c r="C509" s="273" t="s">
        <v>279</v>
      </c>
      <c r="D509" s="241" t="s">
        <v>180</v>
      </c>
      <c r="F509" s="265" t="s">
        <v>310</v>
      </c>
      <c r="G509" s="268">
        <v>100</v>
      </c>
      <c r="H509" s="418">
        <v>160</v>
      </c>
      <c r="I509" s="418">
        <f t="shared" si="188"/>
        <v>16000</v>
      </c>
      <c r="J509" s="268">
        <v>100</v>
      </c>
      <c r="K509" s="456">
        <v>245</v>
      </c>
      <c r="L509" s="418">
        <f t="shared" si="189"/>
        <v>24500</v>
      </c>
      <c r="M509" s="268">
        <v>100</v>
      </c>
      <c r="N509" s="418">
        <v>245</v>
      </c>
      <c r="O509" s="418">
        <f t="shared" si="190"/>
        <v>24500</v>
      </c>
      <c r="P509" s="418">
        <f t="shared" si="186"/>
        <v>0</v>
      </c>
      <c r="Q509" s="418">
        <f t="shared" si="187"/>
        <v>0</v>
      </c>
      <c r="T509" s="234"/>
    </row>
    <row r="510" spans="2:20" ht="12.75" customHeight="1" x14ac:dyDescent="0.2">
      <c r="B510" s="267"/>
      <c r="D510" s="241" t="s">
        <v>619</v>
      </c>
      <c r="F510" s="265"/>
      <c r="G510" s="268"/>
      <c r="H510" s="418"/>
      <c r="I510" s="418" t="str">
        <f t="shared" si="188"/>
        <v xml:space="preserve"> </v>
      </c>
      <c r="J510" s="268"/>
      <c r="K510" s="456"/>
      <c r="L510" s="418" t="str">
        <f t="shared" si="189"/>
        <v xml:space="preserve"> </v>
      </c>
      <c r="M510" s="268"/>
      <c r="N510" s="418"/>
      <c r="O510" s="418" t="str">
        <f t="shared" si="190"/>
        <v xml:space="preserve"> </v>
      </c>
      <c r="P510" s="418"/>
      <c r="Q510" s="418"/>
      <c r="T510" s="234"/>
    </row>
    <row r="511" spans="2:20" ht="12.75" customHeight="1" x14ac:dyDescent="0.2">
      <c r="B511" s="267"/>
      <c r="F511" s="265"/>
      <c r="G511" s="268"/>
      <c r="H511" s="418"/>
      <c r="I511" s="418" t="str">
        <f t="shared" si="188"/>
        <v xml:space="preserve"> </v>
      </c>
      <c r="J511" s="268"/>
      <c r="K511" s="456"/>
      <c r="L511" s="418" t="str">
        <f t="shared" si="189"/>
        <v xml:space="preserve"> </v>
      </c>
      <c r="M511" s="268"/>
      <c r="N511" s="418"/>
      <c r="O511" s="418" t="str">
        <f t="shared" si="190"/>
        <v xml:space="preserve"> </v>
      </c>
      <c r="P511" s="418"/>
      <c r="Q511" s="418"/>
      <c r="T511" s="234"/>
    </row>
    <row r="512" spans="2:20" ht="12.75" customHeight="1" x14ac:dyDescent="0.2">
      <c r="B512" s="267" t="s">
        <v>413</v>
      </c>
      <c r="C512" s="325" t="s">
        <v>612</v>
      </c>
      <c r="F512" s="265" t="s">
        <v>275</v>
      </c>
      <c r="G512" s="268">
        <v>180</v>
      </c>
      <c r="H512" s="418">
        <v>12</v>
      </c>
      <c r="I512" s="418">
        <f t="shared" si="188"/>
        <v>2160</v>
      </c>
      <c r="J512" s="268">
        <v>180</v>
      </c>
      <c r="K512" s="456">
        <v>45</v>
      </c>
      <c r="L512" s="418">
        <f t="shared" si="189"/>
        <v>8100</v>
      </c>
      <c r="M512" s="268">
        <v>180</v>
      </c>
      <c r="N512" s="418">
        <v>45</v>
      </c>
      <c r="O512" s="418">
        <f t="shared" si="190"/>
        <v>8100</v>
      </c>
      <c r="P512" s="418">
        <f t="shared" si="186"/>
        <v>0</v>
      </c>
      <c r="Q512" s="418">
        <f t="shared" si="187"/>
        <v>0</v>
      </c>
    </row>
    <row r="513" spans="2:17" ht="12.75" customHeight="1" x14ac:dyDescent="0.2">
      <c r="B513" s="267"/>
      <c r="C513" s="325" t="s">
        <v>613</v>
      </c>
      <c r="F513" s="265"/>
      <c r="G513" s="268"/>
      <c r="H513" s="418" t="str">
        <f>IF(F541=0," ",F541*G513)</f>
        <v xml:space="preserve"> </v>
      </c>
      <c r="I513" s="418" t="str">
        <f t="shared" si="188"/>
        <v xml:space="preserve"> </v>
      </c>
      <c r="J513" s="268"/>
      <c r="K513" s="456" t="s">
        <v>849</v>
      </c>
      <c r="L513" s="418" t="str">
        <f t="shared" si="189"/>
        <v xml:space="preserve"> </v>
      </c>
      <c r="M513" s="268"/>
      <c r="N513" s="418"/>
      <c r="O513" s="418" t="str">
        <f t="shared" si="190"/>
        <v xml:space="preserve"> </v>
      </c>
      <c r="P513" s="418"/>
      <c r="Q513" s="418"/>
    </row>
    <row r="514" spans="2:17" ht="12.75" customHeight="1" x14ac:dyDescent="0.2">
      <c r="B514" s="267"/>
      <c r="F514" s="265"/>
      <c r="G514" s="268"/>
      <c r="H514" s="418"/>
      <c r="I514" s="418" t="str">
        <f t="shared" si="188"/>
        <v xml:space="preserve"> </v>
      </c>
      <c r="J514" s="268"/>
      <c r="K514" s="456"/>
      <c r="L514" s="418" t="str">
        <f t="shared" si="189"/>
        <v xml:space="preserve"> </v>
      </c>
      <c r="M514" s="268"/>
      <c r="N514" s="418"/>
      <c r="O514" s="418" t="str">
        <f t="shared" si="190"/>
        <v xml:space="preserve"> </v>
      </c>
      <c r="P514" s="418"/>
      <c r="Q514" s="418"/>
    </row>
    <row r="515" spans="2:17" ht="12.75" customHeight="1" x14ac:dyDescent="0.2">
      <c r="B515" s="267" t="s">
        <v>6</v>
      </c>
      <c r="C515" s="273" t="s">
        <v>181</v>
      </c>
      <c r="F515" s="265"/>
      <c r="G515" s="268"/>
      <c r="H515" s="418"/>
      <c r="I515" s="418" t="str">
        <f t="shared" si="188"/>
        <v xml:space="preserve"> </v>
      </c>
      <c r="J515" s="268"/>
      <c r="K515" s="456"/>
      <c r="L515" s="418" t="str">
        <f t="shared" si="189"/>
        <v xml:space="preserve"> </v>
      </c>
      <c r="M515" s="268"/>
      <c r="N515" s="418"/>
      <c r="O515" s="418" t="str">
        <f t="shared" si="190"/>
        <v xml:space="preserve"> </v>
      </c>
      <c r="P515" s="418"/>
      <c r="Q515" s="418"/>
    </row>
    <row r="516" spans="2:17" ht="12.75" customHeight="1" x14ac:dyDescent="0.2">
      <c r="B516" s="267"/>
      <c r="C516" s="273" t="s">
        <v>182</v>
      </c>
      <c r="F516" s="265"/>
      <c r="G516" s="268"/>
      <c r="H516" s="418"/>
      <c r="I516" s="418" t="str">
        <f t="shared" si="188"/>
        <v xml:space="preserve"> </v>
      </c>
      <c r="J516" s="268"/>
      <c r="K516" s="456"/>
      <c r="L516" s="418" t="str">
        <f t="shared" si="189"/>
        <v xml:space="preserve"> </v>
      </c>
      <c r="M516" s="268"/>
      <c r="N516" s="418"/>
      <c r="O516" s="418" t="str">
        <f t="shared" si="190"/>
        <v xml:space="preserve"> </v>
      </c>
      <c r="P516" s="418"/>
      <c r="Q516" s="418"/>
    </row>
    <row r="517" spans="2:17" ht="12.75" customHeight="1" x14ac:dyDescent="0.2">
      <c r="B517" s="267"/>
      <c r="C517" s="273" t="s">
        <v>278</v>
      </c>
      <c r="D517" s="241" t="s">
        <v>730</v>
      </c>
      <c r="F517" s="265" t="s">
        <v>254</v>
      </c>
      <c r="G517" s="268">
        <v>10</v>
      </c>
      <c r="H517" s="418">
        <v>800</v>
      </c>
      <c r="I517" s="418">
        <f t="shared" si="188"/>
        <v>8000</v>
      </c>
      <c r="J517" s="268">
        <v>10</v>
      </c>
      <c r="K517" s="456">
        <v>8500</v>
      </c>
      <c r="L517" s="418">
        <f t="shared" si="189"/>
        <v>85000</v>
      </c>
      <c r="M517" s="268">
        <v>10</v>
      </c>
      <c r="N517" s="418">
        <v>8500</v>
      </c>
      <c r="O517" s="418">
        <f t="shared" si="190"/>
        <v>85000</v>
      </c>
      <c r="P517" s="418">
        <f t="shared" si="186"/>
        <v>0</v>
      </c>
      <c r="Q517" s="418">
        <f t="shared" si="187"/>
        <v>0</v>
      </c>
    </row>
    <row r="518" spans="2:17" ht="12.75" customHeight="1" x14ac:dyDescent="0.2">
      <c r="B518" s="267"/>
      <c r="F518" s="265"/>
      <c r="G518" s="268"/>
      <c r="H518" s="418"/>
      <c r="I518" s="418" t="str">
        <f t="shared" si="188"/>
        <v xml:space="preserve"> </v>
      </c>
      <c r="J518" s="268"/>
      <c r="K518" s="456"/>
      <c r="L518" s="418" t="str">
        <f t="shared" si="189"/>
        <v xml:space="preserve"> </v>
      </c>
      <c r="M518" s="268"/>
      <c r="N518" s="418"/>
      <c r="O518" s="418" t="str">
        <f t="shared" si="190"/>
        <v xml:space="preserve"> </v>
      </c>
      <c r="P518" s="418"/>
      <c r="Q518" s="418"/>
    </row>
    <row r="519" spans="2:17" ht="12.75" customHeight="1" x14ac:dyDescent="0.2">
      <c r="B519" s="267"/>
      <c r="C519" s="273" t="s">
        <v>281</v>
      </c>
      <c r="D519" s="241" t="s">
        <v>731</v>
      </c>
      <c r="F519" s="265" t="s">
        <v>254</v>
      </c>
      <c r="G519" s="268">
        <v>50</v>
      </c>
      <c r="H519" s="418">
        <v>700</v>
      </c>
      <c r="I519" s="418">
        <f t="shared" si="188"/>
        <v>35000</v>
      </c>
      <c r="J519" s="268">
        <v>50</v>
      </c>
      <c r="K519" s="456">
        <v>6500</v>
      </c>
      <c r="L519" s="418">
        <f t="shared" si="189"/>
        <v>325000</v>
      </c>
      <c r="M519" s="268">
        <v>50</v>
      </c>
      <c r="N519" s="418">
        <v>2500</v>
      </c>
      <c r="O519" s="460">
        <f t="shared" si="190"/>
        <v>125000</v>
      </c>
      <c r="P519" s="460">
        <f>K519-N519</f>
        <v>4000</v>
      </c>
      <c r="Q519" s="460">
        <f>L519-O519</f>
        <v>200000</v>
      </c>
    </row>
    <row r="520" spans="2:17" ht="12.75" customHeight="1" x14ac:dyDescent="0.2">
      <c r="B520" s="267"/>
      <c r="F520" s="265"/>
      <c r="G520" s="268"/>
      <c r="H520" s="418"/>
      <c r="I520" s="418" t="str">
        <f t="shared" si="188"/>
        <v xml:space="preserve"> </v>
      </c>
      <c r="J520" s="268"/>
      <c r="K520" s="456"/>
      <c r="L520" s="418" t="str">
        <f t="shared" si="189"/>
        <v xml:space="preserve"> </v>
      </c>
      <c r="M520" s="268"/>
      <c r="N520" s="418"/>
      <c r="O520" s="418" t="str">
        <f t="shared" si="190"/>
        <v xml:space="preserve"> </v>
      </c>
      <c r="P520" s="418"/>
      <c r="Q520" s="418"/>
    </row>
    <row r="521" spans="2:17" ht="12.75" customHeight="1" x14ac:dyDescent="0.2">
      <c r="B521" s="267" t="s">
        <v>414</v>
      </c>
      <c r="C521" s="273" t="s">
        <v>311</v>
      </c>
      <c r="F521" s="265" t="s">
        <v>254</v>
      </c>
      <c r="G521" s="268">
        <v>50</v>
      </c>
      <c r="H521" s="418">
        <v>300</v>
      </c>
      <c r="I521" s="418">
        <f t="shared" si="188"/>
        <v>15000</v>
      </c>
      <c r="J521" s="268">
        <v>50</v>
      </c>
      <c r="K521" s="456">
        <v>550</v>
      </c>
      <c r="L521" s="418">
        <f t="shared" si="189"/>
        <v>27500</v>
      </c>
      <c r="M521" s="268">
        <v>50</v>
      </c>
      <c r="N521" s="418">
        <v>550</v>
      </c>
      <c r="O521" s="418">
        <f t="shared" si="190"/>
        <v>27500</v>
      </c>
      <c r="P521" s="418">
        <f t="shared" si="186"/>
        <v>0</v>
      </c>
      <c r="Q521" s="418">
        <f t="shared" si="187"/>
        <v>0</v>
      </c>
    </row>
    <row r="522" spans="2:17" ht="12.75" customHeight="1" x14ac:dyDescent="0.2">
      <c r="B522" s="267"/>
      <c r="F522" s="265"/>
      <c r="G522" s="268"/>
      <c r="H522" s="418"/>
      <c r="I522" s="418" t="str">
        <f t="shared" si="188"/>
        <v xml:space="preserve"> </v>
      </c>
      <c r="J522" s="268"/>
      <c r="K522" s="456"/>
      <c r="L522" s="418" t="str">
        <f t="shared" si="189"/>
        <v xml:space="preserve"> </v>
      </c>
      <c r="M522" s="268"/>
      <c r="N522" s="418"/>
      <c r="O522" s="418" t="str">
        <f t="shared" si="190"/>
        <v xml:space="preserve"> </v>
      </c>
      <c r="P522" s="418"/>
      <c r="Q522" s="418"/>
    </row>
    <row r="523" spans="2:17" ht="12.75" customHeight="1" x14ac:dyDescent="0.2">
      <c r="B523" s="267">
        <v>21.15</v>
      </c>
      <c r="C523" s="273" t="s">
        <v>183</v>
      </c>
      <c r="F523" s="265" t="s">
        <v>831</v>
      </c>
      <c r="G523" s="268">
        <v>2450</v>
      </c>
      <c r="H523" s="418">
        <v>10</v>
      </c>
      <c r="I523" s="418">
        <f t="shared" si="188"/>
        <v>24500</v>
      </c>
      <c r="J523" s="268">
        <v>2450</v>
      </c>
      <c r="K523" s="456">
        <v>18.5</v>
      </c>
      <c r="L523" s="418">
        <f t="shared" si="189"/>
        <v>45325</v>
      </c>
      <c r="M523" s="268">
        <v>2450</v>
      </c>
      <c r="N523" s="418">
        <v>18.5</v>
      </c>
      <c r="O523" s="418">
        <f t="shared" si="190"/>
        <v>45325</v>
      </c>
      <c r="P523" s="418">
        <f t="shared" si="186"/>
        <v>0</v>
      </c>
      <c r="Q523" s="418">
        <f t="shared" si="187"/>
        <v>0</v>
      </c>
    </row>
    <row r="524" spans="2:17" ht="12.75" customHeight="1" x14ac:dyDescent="0.2">
      <c r="B524" s="267"/>
      <c r="C524" s="273" t="s">
        <v>184</v>
      </c>
      <c r="F524" s="265"/>
      <c r="G524" s="268"/>
      <c r="H524" s="418"/>
      <c r="I524" s="418" t="str">
        <f t="shared" si="188"/>
        <v xml:space="preserve"> </v>
      </c>
      <c r="J524" s="268"/>
      <c r="K524" s="456"/>
      <c r="L524" s="418" t="str">
        <f t="shared" si="189"/>
        <v xml:space="preserve"> </v>
      </c>
      <c r="M524" s="268"/>
      <c r="N524" s="418"/>
      <c r="O524" s="418" t="str">
        <f t="shared" si="190"/>
        <v xml:space="preserve"> </v>
      </c>
      <c r="P524" s="418"/>
      <c r="Q524" s="418"/>
    </row>
    <row r="525" spans="2:17" ht="12.75" customHeight="1" x14ac:dyDescent="0.2">
      <c r="B525" s="267"/>
      <c r="F525" s="265"/>
      <c r="G525" s="268"/>
      <c r="H525" s="418"/>
      <c r="I525" s="418" t="str">
        <f t="shared" si="188"/>
        <v xml:space="preserve"> </v>
      </c>
      <c r="J525" s="268"/>
      <c r="K525" s="456"/>
      <c r="L525" s="418" t="str">
        <f t="shared" si="189"/>
        <v xml:space="preserve"> </v>
      </c>
      <c r="M525" s="268"/>
      <c r="N525" s="418"/>
      <c r="O525" s="418" t="str">
        <f t="shared" si="190"/>
        <v xml:space="preserve"> </v>
      </c>
      <c r="P525" s="418"/>
      <c r="Q525" s="418"/>
    </row>
    <row r="526" spans="2:17" ht="12.75" customHeight="1" x14ac:dyDescent="0.2">
      <c r="B526" s="267" t="s">
        <v>7</v>
      </c>
      <c r="C526" s="273" t="s">
        <v>312</v>
      </c>
      <c r="F526" s="265" t="s">
        <v>829</v>
      </c>
      <c r="G526" s="268">
        <v>150</v>
      </c>
      <c r="H526" s="418">
        <v>30</v>
      </c>
      <c r="I526" s="418">
        <f t="shared" si="188"/>
        <v>4500</v>
      </c>
      <c r="J526" s="268">
        <v>150</v>
      </c>
      <c r="K526" s="456">
        <v>65</v>
      </c>
      <c r="L526" s="418">
        <f t="shared" si="189"/>
        <v>9750</v>
      </c>
      <c r="M526" s="268">
        <v>150</v>
      </c>
      <c r="N526" s="418">
        <v>65</v>
      </c>
      <c r="O526" s="418">
        <f t="shared" si="190"/>
        <v>9750</v>
      </c>
      <c r="P526" s="418">
        <f t="shared" si="186"/>
        <v>0</v>
      </c>
      <c r="Q526" s="418">
        <f t="shared" si="187"/>
        <v>0</v>
      </c>
    </row>
    <row r="527" spans="2:17" ht="12.75" customHeight="1" x14ac:dyDescent="0.2">
      <c r="B527" s="267"/>
      <c r="F527" s="265"/>
      <c r="G527" s="268"/>
      <c r="H527" s="418"/>
      <c r="I527" s="418" t="str">
        <f t="shared" si="188"/>
        <v xml:space="preserve"> </v>
      </c>
      <c r="J527" s="268"/>
      <c r="K527" s="456"/>
      <c r="L527" s="418" t="str">
        <f t="shared" si="189"/>
        <v xml:space="preserve"> </v>
      </c>
      <c r="M527" s="268"/>
      <c r="N527" s="418"/>
      <c r="O527" s="418" t="str">
        <f t="shared" si="190"/>
        <v xml:space="preserve"> </v>
      </c>
      <c r="P527" s="418"/>
      <c r="Q527" s="418"/>
    </row>
    <row r="528" spans="2:17" ht="12.75" customHeight="1" x14ac:dyDescent="0.2">
      <c r="B528" s="267">
        <v>21.17</v>
      </c>
      <c r="C528" s="273" t="s">
        <v>52</v>
      </c>
      <c r="F528" s="265" t="s">
        <v>254</v>
      </c>
      <c r="G528" s="268">
        <v>10</v>
      </c>
      <c r="H528" s="418">
        <v>600</v>
      </c>
      <c r="I528" s="418">
        <f t="shared" si="188"/>
        <v>6000</v>
      </c>
      <c r="J528" s="268">
        <v>10</v>
      </c>
      <c r="K528" s="456">
        <v>1000</v>
      </c>
      <c r="L528" s="418">
        <f t="shared" si="189"/>
        <v>10000</v>
      </c>
      <c r="M528" s="268">
        <v>10</v>
      </c>
      <c r="N528" s="418">
        <v>1000</v>
      </c>
      <c r="O528" s="418">
        <f t="shared" si="190"/>
        <v>10000</v>
      </c>
      <c r="P528" s="418">
        <f t="shared" si="186"/>
        <v>0</v>
      </c>
      <c r="Q528" s="418">
        <f t="shared" si="187"/>
        <v>0</v>
      </c>
    </row>
    <row r="529" spans="2:17" ht="12.75" customHeight="1" x14ac:dyDescent="0.2">
      <c r="B529" s="267"/>
      <c r="F529" s="265"/>
      <c r="G529" s="268"/>
      <c r="H529" s="418"/>
      <c r="I529" s="418" t="str">
        <f t="shared" si="188"/>
        <v xml:space="preserve"> </v>
      </c>
      <c r="J529" s="268"/>
      <c r="K529" s="456"/>
      <c r="L529" s="418" t="str">
        <f t="shared" si="189"/>
        <v xml:space="preserve"> </v>
      </c>
      <c r="M529" s="268"/>
      <c r="N529" s="418"/>
      <c r="O529" s="418" t="str">
        <f t="shared" si="190"/>
        <v xml:space="preserve"> </v>
      </c>
      <c r="P529" s="418"/>
      <c r="Q529" s="418"/>
    </row>
    <row r="530" spans="2:17" ht="12.75" customHeight="1" x14ac:dyDescent="0.2">
      <c r="B530" s="267" t="s">
        <v>8</v>
      </c>
      <c r="C530" s="273" t="s">
        <v>185</v>
      </c>
      <c r="F530" s="265" t="s">
        <v>829</v>
      </c>
      <c r="G530" s="268">
        <f>3800*1.5*0.15</f>
        <v>855</v>
      </c>
      <c r="H530" s="418">
        <v>40</v>
      </c>
      <c r="I530" s="418">
        <f t="shared" si="188"/>
        <v>34200</v>
      </c>
      <c r="J530" s="268">
        <f t="shared" ref="J530" si="191">3800*1.5*0.15</f>
        <v>855</v>
      </c>
      <c r="K530" s="456">
        <v>155</v>
      </c>
      <c r="L530" s="418">
        <f t="shared" si="189"/>
        <v>132525</v>
      </c>
      <c r="M530" s="268">
        <f t="shared" ref="M530" si="192">3800*1.5*0.15</f>
        <v>855</v>
      </c>
      <c r="N530" s="418">
        <v>90</v>
      </c>
      <c r="O530" s="460">
        <f t="shared" si="190"/>
        <v>76950</v>
      </c>
      <c r="P530" s="460">
        <f>K530-N530</f>
        <v>65</v>
      </c>
      <c r="Q530" s="460">
        <f t="shared" si="187"/>
        <v>55575</v>
      </c>
    </row>
    <row r="531" spans="2:17" ht="12.75" customHeight="1" x14ac:dyDescent="0.2">
      <c r="B531" s="267"/>
      <c r="C531" s="273" t="s">
        <v>186</v>
      </c>
      <c r="F531" s="265"/>
      <c r="G531" s="268"/>
      <c r="H531" s="317"/>
      <c r="I531" s="418" t="str">
        <f t="shared" si="188"/>
        <v xml:space="preserve"> </v>
      </c>
      <c r="J531" s="268"/>
      <c r="K531" s="456"/>
      <c r="L531" s="418" t="str">
        <f t="shared" si="189"/>
        <v xml:space="preserve"> </v>
      </c>
      <c r="M531" s="268"/>
      <c r="N531" s="317"/>
      <c r="O531" s="418" t="str">
        <f t="shared" si="190"/>
        <v xml:space="preserve"> </v>
      </c>
      <c r="P531" s="418"/>
      <c r="Q531" s="418"/>
    </row>
    <row r="532" spans="2:17" ht="12.75" customHeight="1" x14ac:dyDescent="0.2">
      <c r="B532" s="267"/>
      <c r="F532" s="265"/>
      <c r="G532" s="268"/>
      <c r="H532" s="317"/>
      <c r="I532" s="418" t="str">
        <f t="shared" si="188"/>
        <v xml:space="preserve"> </v>
      </c>
      <c r="J532" s="268"/>
      <c r="K532" s="456"/>
      <c r="L532" s="418" t="str">
        <f t="shared" si="189"/>
        <v xml:space="preserve"> </v>
      </c>
      <c r="M532" s="268"/>
      <c r="N532" s="317"/>
      <c r="O532" s="418" t="str">
        <f t="shared" si="190"/>
        <v xml:space="preserve"> </v>
      </c>
      <c r="P532" s="418"/>
      <c r="Q532" s="418"/>
    </row>
    <row r="533" spans="2:17" ht="12.75" customHeight="1" x14ac:dyDescent="0.2">
      <c r="B533" s="267"/>
      <c r="F533" s="265"/>
      <c r="G533" s="268"/>
      <c r="H533" s="317"/>
      <c r="I533" s="418" t="str">
        <f t="shared" si="188"/>
        <v xml:space="preserve"> </v>
      </c>
      <c r="J533" s="268"/>
      <c r="K533" s="456"/>
      <c r="L533" s="418" t="str">
        <f t="shared" si="189"/>
        <v xml:space="preserve"> </v>
      </c>
      <c r="M533" s="268"/>
      <c r="N533" s="317"/>
      <c r="O533" s="418" t="str">
        <f t="shared" si="190"/>
        <v xml:space="preserve"> </v>
      </c>
      <c r="P533" s="418"/>
      <c r="Q533" s="418"/>
    </row>
    <row r="534" spans="2:17" ht="12.75" customHeight="1" x14ac:dyDescent="0.2">
      <c r="B534" s="267"/>
      <c r="F534" s="265"/>
      <c r="G534" s="268"/>
      <c r="H534" s="317"/>
      <c r="I534" s="418" t="str">
        <f t="shared" si="188"/>
        <v xml:space="preserve"> </v>
      </c>
      <c r="J534" s="268"/>
      <c r="K534" s="456"/>
      <c r="L534" s="418" t="str">
        <f t="shared" si="189"/>
        <v xml:space="preserve"> </v>
      </c>
      <c r="M534" s="268"/>
      <c r="N534" s="317"/>
      <c r="O534" s="418" t="str">
        <f t="shared" si="190"/>
        <v xml:space="preserve"> </v>
      </c>
      <c r="P534" s="418"/>
      <c r="Q534" s="418"/>
    </row>
    <row r="535" spans="2:17" ht="12.75" customHeight="1" x14ac:dyDescent="0.2">
      <c r="B535" s="267"/>
      <c r="F535" s="265"/>
      <c r="G535" s="268"/>
      <c r="H535" s="317"/>
      <c r="I535" s="418" t="str">
        <f t="shared" si="188"/>
        <v xml:space="preserve"> </v>
      </c>
      <c r="J535" s="268"/>
      <c r="K535" s="456"/>
      <c r="L535" s="418" t="str">
        <f t="shared" si="189"/>
        <v xml:space="preserve"> </v>
      </c>
      <c r="M535" s="268"/>
      <c r="N535" s="317"/>
      <c r="O535" s="418" t="str">
        <f t="shared" si="190"/>
        <v xml:space="preserve"> </v>
      </c>
      <c r="P535" s="418"/>
      <c r="Q535" s="418"/>
    </row>
    <row r="536" spans="2:17" ht="12.75" customHeight="1" x14ac:dyDescent="0.2">
      <c r="B536" s="267"/>
      <c r="F536" s="265"/>
      <c r="G536" s="268"/>
      <c r="H536" s="317"/>
      <c r="I536" s="418" t="str">
        <f t="shared" si="188"/>
        <v xml:space="preserve"> </v>
      </c>
      <c r="J536" s="268"/>
      <c r="K536" s="456"/>
      <c r="L536" s="418" t="str">
        <f t="shared" si="189"/>
        <v xml:space="preserve"> </v>
      </c>
      <c r="M536" s="268"/>
      <c r="N536" s="317"/>
      <c r="O536" s="418" t="str">
        <f t="shared" si="190"/>
        <v xml:space="preserve"> </v>
      </c>
      <c r="P536" s="418"/>
      <c r="Q536" s="418"/>
    </row>
    <row r="537" spans="2:17" ht="12.75" customHeight="1" x14ac:dyDescent="0.2">
      <c r="B537" s="267"/>
      <c r="F537" s="265"/>
      <c r="G537" s="268"/>
      <c r="H537" s="317"/>
      <c r="I537" s="418"/>
      <c r="J537" s="268"/>
      <c r="K537" s="456"/>
      <c r="L537" s="418"/>
      <c r="M537" s="268"/>
      <c r="N537" s="317"/>
      <c r="O537" s="418"/>
      <c r="P537" s="418"/>
      <c r="Q537" s="418"/>
    </row>
    <row r="538" spans="2:17" ht="12.75" customHeight="1" x14ac:dyDescent="0.2">
      <c r="B538" s="267"/>
      <c r="F538" s="265"/>
      <c r="G538" s="268"/>
      <c r="H538" s="438"/>
      <c r="I538" s="439"/>
      <c r="J538" s="268"/>
      <c r="K538" s="456"/>
      <c r="L538" s="439"/>
      <c r="M538" s="268"/>
      <c r="N538" s="438"/>
      <c r="O538" s="439"/>
      <c r="P538" s="439"/>
      <c r="Q538" s="439"/>
    </row>
    <row r="539" spans="2:17" ht="12.75" customHeight="1" x14ac:dyDescent="0.2">
      <c r="B539" s="287">
        <v>2100</v>
      </c>
      <c r="C539" s="288" t="s">
        <v>268</v>
      </c>
      <c r="D539" s="289"/>
      <c r="E539" s="290"/>
      <c r="F539" s="291"/>
      <c r="G539" s="291"/>
      <c r="H539" s="422"/>
      <c r="I539" s="423">
        <f>SUM(I482:I538)</f>
        <v>168925</v>
      </c>
      <c r="J539" s="412"/>
      <c r="K539" s="457"/>
      <c r="L539" s="423">
        <f t="shared" ref="L539" si="193">SUM(L482:L538)</f>
        <v>728072.5</v>
      </c>
      <c r="M539" s="291"/>
      <c r="N539" s="422"/>
      <c r="O539" s="423">
        <f>SUM(O482:O538)</f>
        <v>472497.5</v>
      </c>
      <c r="P539" s="423"/>
      <c r="Q539" s="423">
        <f t="shared" ref="Q539" si="194">SUM(Q482:Q538)</f>
        <v>255575</v>
      </c>
    </row>
    <row r="540" spans="2:17" ht="12.75" customHeight="1" x14ac:dyDescent="0.2">
      <c r="B540" s="239" t="s">
        <v>79</v>
      </c>
      <c r="C540" s="239"/>
      <c r="D540" s="263"/>
      <c r="E540" s="297"/>
      <c r="H540" s="426"/>
      <c r="I540" s="427"/>
      <c r="K540" s="456"/>
      <c r="L540" s="427"/>
      <c r="N540" s="426"/>
      <c r="O540" s="427"/>
      <c r="P540" s="427"/>
      <c r="Q540" s="427"/>
    </row>
    <row r="541" spans="2:17" ht="12.75" customHeight="1" x14ac:dyDescent="0.2">
      <c r="B541" s="239" t="s">
        <v>267</v>
      </c>
      <c r="C541" s="240"/>
      <c r="E541" s="238"/>
      <c r="H541" s="426"/>
      <c r="I541" s="427"/>
      <c r="K541" s="456"/>
      <c r="L541" s="427"/>
      <c r="N541" s="426"/>
      <c r="O541" s="427"/>
      <c r="P541" s="427"/>
      <c r="Q541" s="427"/>
    </row>
    <row r="542" spans="2:17" ht="12.75" customHeight="1" x14ac:dyDescent="0.2">
      <c r="B542" s="243"/>
      <c r="C542" s="243"/>
      <c r="D542" s="244"/>
      <c r="E542" s="245"/>
      <c r="F542" s="246"/>
      <c r="H542" s="428"/>
      <c r="I542" s="429"/>
      <c r="K542" s="456"/>
      <c r="L542" s="429"/>
      <c r="N542" s="428"/>
      <c r="O542" s="429"/>
      <c r="P542" s="429"/>
      <c r="Q542" s="429"/>
    </row>
    <row r="543" spans="2:17" ht="12.75" customHeight="1" x14ac:dyDescent="0.2">
      <c r="B543" s="247" t="s">
        <v>263</v>
      </c>
      <c r="C543" s="248" t="s">
        <v>264</v>
      </c>
      <c r="D543" s="249"/>
      <c r="E543" s="250"/>
      <c r="F543" s="250" t="s">
        <v>265</v>
      </c>
      <c r="G543" s="356" t="s">
        <v>68</v>
      </c>
      <c r="H543" s="251" t="s">
        <v>849</v>
      </c>
      <c r="I543" s="252" t="s">
        <v>849</v>
      </c>
      <c r="J543" s="356" t="s">
        <v>68</v>
      </c>
      <c r="K543" s="457" t="s">
        <v>849</v>
      </c>
      <c r="L543" s="252" t="s">
        <v>849</v>
      </c>
      <c r="M543" s="356" t="s">
        <v>68</v>
      </c>
      <c r="N543" s="251" t="s">
        <v>849</v>
      </c>
      <c r="O543" s="252" t="s">
        <v>849</v>
      </c>
      <c r="P543" s="252" t="s">
        <v>849</v>
      </c>
      <c r="Q543" s="252" t="s">
        <v>849</v>
      </c>
    </row>
    <row r="544" spans="2:17" ht="12.75" customHeight="1" x14ac:dyDescent="0.2">
      <c r="B544" s="253" t="s">
        <v>266</v>
      </c>
      <c r="C544" s="254"/>
      <c r="D544" s="255"/>
      <c r="E544" s="256"/>
      <c r="F544" s="256"/>
      <c r="G544" s="357" t="s">
        <v>69</v>
      </c>
      <c r="H544" s="257" t="s">
        <v>262</v>
      </c>
      <c r="I544" s="258" t="s">
        <v>70</v>
      </c>
      <c r="J544" s="357" t="s">
        <v>69</v>
      </c>
      <c r="K544" s="457" t="s">
        <v>262</v>
      </c>
      <c r="L544" s="258" t="s">
        <v>70</v>
      </c>
      <c r="M544" s="357" t="s">
        <v>69</v>
      </c>
      <c r="N544" s="257" t="s">
        <v>262</v>
      </c>
      <c r="O544" s="258" t="s">
        <v>70</v>
      </c>
      <c r="P544" s="258" t="s">
        <v>70</v>
      </c>
      <c r="Q544" s="258" t="s">
        <v>70</v>
      </c>
    </row>
    <row r="545" spans="2:17" ht="12.75" customHeight="1" x14ac:dyDescent="0.2">
      <c r="B545" s="273"/>
      <c r="F545" s="265"/>
      <c r="G545" s="268"/>
      <c r="H545" s="317"/>
      <c r="I545" s="318" t="str">
        <f t="shared" ref="I545:I608" si="195">IF(G545=0," ",G545*H545)</f>
        <v xml:space="preserve"> </v>
      </c>
      <c r="J545" s="268"/>
      <c r="K545" s="456"/>
      <c r="L545" s="318" t="str">
        <f t="shared" ref="L545:L574" si="196">IF(J545=0," ",J545*K545)</f>
        <v xml:space="preserve"> </v>
      </c>
      <c r="M545" s="268"/>
      <c r="N545" s="317"/>
      <c r="O545" s="318" t="str">
        <f t="shared" ref="O545:O574" si="197">IF(M545=0," ",M545*N545)</f>
        <v xml:space="preserve"> </v>
      </c>
      <c r="P545" s="318" t="str">
        <f t="shared" ref="P545:P550" si="198">IF(N545=0," ",N545*O545)</f>
        <v xml:space="preserve"> </v>
      </c>
      <c r="Q545" s="318"/>
    </row>
    <row r="546" spans="2:17" ht="12.75" customHeight="1" x14ac:dyDescent="0.2">
      <c r="B546" s="261">
        <v>2200</v>
      </c>
      <c r="C546" s="262" t="s">
        <v>313</v>
      </c>
      <c r="D546" s="263"/>
      <c r="E546" s="264"/>
      <c r="F546" s="265"/>
      <c r="G546" s="268"/>
      <c r="H546" s="317"/>
      <c r="I546" s="318" t="str">
        <f t="shared" si="195"/>
        <v xml:space="preserve"> </v>
      </c>
      <c r="J546" s="268"/>
      <c r="K546" s="456"/>
      <c r="L546" s="318" t="str">
        <f t="shared" si="196"/>
        <v xml:space="preserve"> </v>
      </c>
      <c r="M546" s="268"/>
      <c r="N546" s="317"/>
      <c r="O546" s="318" t="str">
        <f t="shared" si="197"/>
        <v xml:space="preserve"> </v>
      </c>
      <c r="P546" s="318" t="str">
        <f t="shared" si="198"/>
        <v xml:space="preserve"> </v>
      </c>
      <c r="Q546" s="318"/>
    </row>
    <row r="547" spans="2:17" ht="12.75" customHeight="1" x14ac:dyDescent="0.2">
      <c r="B547" s="267"/>
      <c r="F547" s="265"/>
      <c r="G547" s="268"/>
      <c r="H547" s="317"/>
      <c r="I547" s="418" t="str">
        <f t="shared" si="195"/>
        <v xml:space="preserve"> </v>
      </c>
      <c r="J547" s="268"/>
      <c r="K547" s="456"/>
      <c r="L547" s="418" t="str">
        <f t="shared" si="196"/>
        <v xml:space="preserve"> </v>
      </c>
      <c r="M547" s="268"/>
      <c r="N547" s="317"/>
      <c r="O547" s="418" t="str">
        <f t="shared" si="197"/>
        <v xml:space="preserve"> </v>
      </c>
      <c r="P547" s="418" t="str">
        <f t="shared" si="198"/>
        <v xml:space="preserve"> </v>
      </c>
      <c r="Q547" s="418"/>
    </row>
    <row r="548" spans="2:17" ht="12.75" customHeight="1" x14ac:dyDescent="0.2">
      <c r="B548" s="267">
        <v>22.01</v>
      </c>
      <c r="C548" s="273" t="s">
        <v>314</v>
      </c>
      <c r="D548" s="285"/>
      <c r="E548" s="286"/>
      <c r="F548" s="265"/>
      <c r="G548" s="268"/>
      <c r="H548" s="317"/>
      <c r="I548" s="418" t="str">
        <f t="shared" si="195"/>
        <v xml:space="preserve"> </v>
      </c>
      <c r="J548" s="268"/>
      <c r="K548" s="456"/>
      <c r="L548" s="418" t="str">
        <f t="shared" si="196"/>
        <v xml:space="preserve"> </v>
      </c>
      <c r="M548" s="268"/>
      <c r="N548" s="317"/>
      <c r="O548" s="418" t="str">
        <f t="shared" si="197"/>
        <v xml:space="preserve"> </v>
      </c>
      <c r="P548" s="418" t="str">
        <f t="shared" si="198"/>
        <v xml:space="preserve"> </v>
      </c>
      <c r="Q548" s="418"/>
    </row>
    <row r="549" spans="2:17" ht="12.75" customHeight="1" x14ac:dyDescent="0.2">
      <c r="B549" s="267"/>
      <c r="C549" s="273" t="s">
        <v>278</v>
      </c>
      <c r="D549" s="285" t="s">
        <v>169</v>
      </c>
      <c r="E549" s="286"/>
      <c r="F549" s="265"/>
      <c r="G549" s="268"/>
      <c r="H549" s="317"/>
      <c r="I549" s="418" t="str">
        <f t="shared" si="195"/>
        <v xml:space="preserve"> </v>
      </c>
      <c r="J549" s="268"/>
      <c r="K549" s="456"/>
      <c r="L549" s="418" t="str">
        <f t="shared" si="196"/>
        <v xml:space="preserve"> </v>
      </c>
      <c r="M549" s="268"/>
      <c r="N549" s="317"/>
      <c r="O549" s="418" t="str">
        <f t="shared" si="197"/>
        <v xml:space="preserve"> </v>
      </c>
      <c r="P549" s="418" t="str">
        <f t="shared" si="198"/>
        <v xml:space="preserve"> </v>
      </c>
      <c r="Q549" s="418"/>
    </row>
    <row r="550" spans="2:17" ht="12.75" customHeight="1" x14ac:dyDescent="0.2">
      <c r="B550" s="267"/>
      <c r="D550" s="285" t="s">
        <v>170</v>
      </c>
      <c r="F550" s="265"/>
      <c r="G550" s="268"/>
      <c r="H550" s="317"/>
      <c r="I550" s="418" t="str">
        <f t="shared" si="195"/>
        <v xml:space="preserve"> </v>
      </c>
      <c r="J550" s="268"/>
      <c r="K550" s="456"/>
      <c r="L550" s="418" t="str">
        <f t="shared" si="196"/>
        <v xml:space="preserve"> </v>
      </c>
      <c r="M550" s="268"/>
      <c r="N550" s="317"/>
      <c r="O550" s="418" t="str">
        <f t="shared" si="197"/>
        <v xml:space="preserve"> </v>
      </c>
      <c r="P550" s="418" t="str">
        <f t="shared" si="198"/>
        <v xml:space="preserve"> </v>
      </c>
      <c r="Q550" s="418"/>
    </row>
    <row r="551" spans="2:17" ht="12.75" customHeight="1" x14ac:dyDescent="0.2">
      <c r="B551" s="267"/>
      <c r="D551" s="241" t="s">
        <v>277</v>
      </c>
      <c r="E551" s="274" t="s">
        <v>171</v>
      </c>
      <c r="F551" s="265" t="s">
        <v>829</v>
      </c>
      <c r="G551" s="268">
        <f>(200*60%)+200</f>
        <v>320</v>
      </c>
      <c r="H551" s="418">
        <v>40</v>
      </c>
      <c r="I551" s="418">
        <f t="shared" si="195"/>
        <v>12800</v>
      </c>
      <c r="J551" s="268">
        <f t="shared" ref="J551" si="199">(200*60%)+200</f>
        <v>320</v>
      </c>
      <c r="K551" s="456">
        <v>95</v>
      </c>
      <c r="L551" s="418">
        <f t="shared" si="196"/>
        <v>30400</v>
      </c>
      <c r="M551" s="268">
        <f t="shared" ref="M551" si="200">(200*60%)+200</f>
        <v>320</v>
      </c>
      <c r="N551" s="418">
        <v>95</v>
      </c>
      <c r="O551" s="418">
        <f t="shared" si="197"/>
        <v>30400</v>
      </c>
      <c r="P551" s="418">
        <f>K551-N551</f>
        <v>0</v>
      </c>
      <c r="Q551" s="418">
        <f>L551-O551</f>
        <v>0</v>
      </c>
    </row>
    <row r="552" spans="2:17" ht="12.75" customHeight="1" x14ac:dyDescent="0.2">
      <c r="B552" s="267"/>
      <c r="F552" s="265"/>
      <c r="G552" s="268"/>
      <c r="H552" s="418" t="str">
        <f>IF(F552=0," ",F552*G552)</f>
        <v xml:space="preserve"> </v>
      </c>
      <c r="I552" s="418" t="str">
        <f t="shared" si="195"/>
        <v xml:space="preserve"> </v>
      </c>
      <c r="J552" s="268"/>
      <c r="K552" s="456" t="s">
        <v>849</v>
      </c>
      <c r="L552" s="418" t="str">
        <f t="shared" si="196"/>
        <v xml:space="preserve"> </v>
      </c>
      <c r="M552" s="268"/>
      <c r="N552" s="418"/>
      <c r="O552" s="418" t="str">
        <f t="shared" si="197"/>
        <v xml:space="preserve"> </v>
      </c>
      <c r="P552" s="418"/>
      <c r="Q552" s="418"/>
    </row>
    <row r="553" spans="2:17" ht="12.75" customHeight="1" x14ac:dyDescent="0.2">
      <c r="B553" s="267"/>
      <c r="D553" s="241" t="s">
        <v>124</v>
      </c>
      <c r="E553" s="274" t="s">
        <v>187</v>
      </c>
      <c r="F553" s="265" t="s">
        <v>829</v>
      </c>
      <c r="G553" s="268">
        <f>(200*40%)+50</f>
        <v>130</v>
      </c>
      <c r="H553" s="418">
        <v>100</v>
      </c>
      <c r="I553" s="418">
        <f t="shared" si="195"/>
        <v>13000</v>
      </c>
      <c r="J553" s="268">
        <f t="shared" ref="J553" si="201">(200*40%)+50</f>
        <v>130</v>
      </c>
      <c r="K553" s="456">
        <v>125</v>
      </c>
      <c r="L553" s="418">
        <f t="shared" si="196"/>
        <v>16250</v>
      </c>
      <c r="M553" s="268">
        <f t="shared" ref="M553" si="202">(200*40%)+50</f>
        <v>130</v>
      </c>
      <c r="N553" s="418">
        <v>125</v>
      </c>
      <c r="O553" s="418">
        <f t="shared" si="197"/>
        <v>16250</v>
      </c>
      <c r="P553" s="418">
        <f t="shared" ref="P553:P609" si="203">K553-N553</f>
        <v>0</v>
      </c>
      <c r="Q553" s="418">
        <f t="shared" ref="Q553:Q609" si="204">L553-O553</f>
        <v>0</v>
      </c>
    </row>
    <row r="554" spans="2:17" ht="12.75" customHeight="1" x14ac:dyDescent="0.2">
      <c r="B554" s="267"/>
      <c r="F554" s="265"/>
      <c r="G554" s="268"/>
      <c r="H554" s="418"/>
      <c r="I554" s="418" t="str">
        <f t="shared" si="195"/>
        <v xml:space="preserve"> </v>
      </c>
      <c r="J554" s="268"/>
      <c r="K554" s="456"/>
      <c r="L554" s="418" t="str">
        <f t="shared" si="196"/>
        <v xml:space="preserve"> </v>
      </c>
      <c r="M554" s="268"/>
      <c r="N554" s="418"/>
      <c r="O554" s="418" t="str">
        <f t="shared" si="197"/>
        <v xml:space="preserve"> </v>
      </c>
      <c r="P554" s="418"/>
      <c r="Q554" s="418"/>
    </row>
    <row r="555" spans="2:17" ht="12.75" customHeight="1" x14ac:dyDescent="0.2">
      <c r="B555" s="267"/>
      <c r="C555" s="273" t="s">
        <v>279</v>
      </c>
      <c r="D555" s="241" t="s">
        <v>188</v>
      </c>
      <c r="F555" s="265"/>
      <c r="G555" s="268"/>
      <c r="H555" s="418"/>
      <c r="I555" s="418" t="str">
        <f t="shared" si="195"/>
        <v xml:space="preserve"> </v>
      </c>
      <c r="J555" s="268"/>
      <c r="K555" s="456"/>
      <c r="L555" s="418" t="str">
        <f t="shared" si="196"/>
        <v xml:space="preserve"> </v>
      </c>
      <c r="M555" s="268"/>
      <c r="N555" s="418"/>
      <c r="O555" s="418" t="str">
        <f t="shared" si="197"/>
        <v xml:space="preserve"> </v>
      </c>
      <c r="P555" s="418"/>
      <c r="Q555" s="418"/>
    </row>
    <row r="556" spans="2:17" ht="12.75" customHeight="1" x14ac:dyDescent="0.2">
      <c r="B556" s="267"/>
      <c r="D556" s="241" t="s">
        <v>173</v>
      </c>
      <c r="F556" s="265" t="s">
        <v>829</v>
      </c>
      <c r="G556" s="268">
        <v>15</v>
      </c>
      <c r="H556" s="418">
        <v>400</v>
      </c>
      <c r="I556" s="418">
        <f t="shared" si="195"/>
        <v>6000</v>
      </c>
      <c r="J556" s="268">
        <v>15</v>
      </c>
      <c r="K556" s="456">
        <v>800</v>
      </c>
      <c r="L556" s="418">
        <f t="shared" si="196"/>
        <v>12000</v>
      </c>
      <c r="M556" s="268">
        <v>15</v>
      </c>
      <c r="N556" s="418">
        <v>800</v>
      </c>
      <c r="O556" s="418">
        <f t="shared" si="197"/>
        <v>12000</v>
      </c>
      <c r="P556" s="418">
        <f t="shared" si="203"/>
        <v>0</v>
      </c>
      <c r="Q556" s="418">
        <f t="shared" si="204"/>
        <v>0</v>
      </c>
    </row>
    <row r="557" spans="2:17" ht="12.75" customHeight="1" x14ac:dyDescent="0.2">
      <c r="B557" s="267"/>
      <c r="F557" s="265"/>
      <c r="G557" s="268"/>
      <c r="H557" s="418"/>
      <c r="I557" s="418" t="str">
        <f t="shared" si="195"/>
        <v xml:space="preserve"> </v>
      </c>
      <c r="J557" s="268"/>
      <c r="K557" s="456"/>
      <c r="L557" s="418" t="str">
        <f t="shared" si="196"/>
        <v xml:space="preserve"> </v>
      </c>
      <c r="M557" s="268"/>
      <c r="N557" s="418"/>
      <c r="O557" s="418" t="str">
        <f t="shared" si="197"/>
        <v xml:space="preserve"> </v>
      </c>
      <c r="P557" s="418"/>
      <c r="Q557" s="418"/>
    </row>
    <row r="558" spans="2:17" ht="12.75" customHeight="1" x14ac:dyDescent="0.2">
      <c r="B558" s="267" t="s">
        <v>9</v>
      </c>
      <c r="C558" s="273" t="s">
        <v>315</v>
      </c>
      <c r="F558" s="265"/>
      <c r="G558" s="268"/>
      <c r="H558" s="418" t="str">
        <f>IF(F558=0," ",F558*G558)</f>
        <v xml:space="preserve"> </v>
      </c>
      <c r="I558" s="418" t="str">
        <f t="shared" si="195"/>
        <v xml:space="preserve"> </v>
      </c>
      <c r="J558" s="268"/>
      <c r="K558" s="456" t="s">
        <v>849</v>
      </c>
      <c r="L558" s="418" t="str">
        <f t="shared" si="196"/>
        <v xml:space="preserve"> </v>
      </c>
      <c r="M558" s="268"/>
      <c r="N558" s="418"/>
      <c r="O558" s="418" t="str">
        <f t="shared" si="197"/>
        <v xml:space="preserve"> </v>
      </c>
      <c r="P558" s="418"/>
      <c r="Q558" s="418"/>
    </row>
    <row r="559" spans="2:17" ht="12.75" customHeight="1" x14ac:dyDescent="0.2">
      <c r="B559" s="267"/>
      <c r="C559" s="273" t="s">
        <v>278</v>
      </c>
      <c r="D559" s="241" t="s">
        <v>189</v>
      </c>
      <c r="F559" s="265" t="s">
        <v>829</v>
      </c>
      <c r="G559" s="268">
        <v>150</v>
      </c>
      <c r="H559" s="418">
        <v>40</v>
      </c>
      <c r="I559" s="418">
        <f t="shared" si="195"/>
        <v>6000</v>
      </c>
      <c r="J559" s="268">
        <v>150</v>
      </c>
      <c r="K559" s="456">
        <v>65</v>
      </c>
      <c r="L559" s="418">
        <f t="shared" si="196"/>
        <v>9750</v>
      </c>
      <c r="M559" s="268">
        <v>150</v>
      </c>
      <c r="N559" s="418">
        <v>65</v>
      </c>
      <c r="O559" s="418">
        <f t="shared" si="197"/>
        <v>9750</v>
      </c>
      <c r="P559" s="418">
        <f t="shared" si="203"/>
        <v>0</v>
      </c>
      <c r="Q559" s="418">
        <f t="shared" si="204"/>
        <v>0</v>
      </c>
    </row>
    <row r="560" spans="2:17" ht="12.75" customHeight="1" x14ac:dyDescent="0.2">
      <c r="B560" s="267"/>
      <c r="F560" s="265"/>
      <c r="G560" s="268"/>
      <c r="H560" s="418"/>
      <c r="I560" s="418" t="str">
        <f t="shared" si="195"/>
        <v xml:space="preserve"> </v>
      </c>
      <c r="J560" s="268"/>
      <c r="K560" s="456"/>
      <c r="L560" s="418" t="str">
        <f t="shared" si="196"/>
        <v xml:space="preserve"> </v>
      </c>
      <c r="M560" s="268"/>
      <c r="N560" s="418"/>
      <c r="O560" s="418" t="str">
        <f t="shared" si="197"/>
        <v xml:space="preserve"> </v>
      </c>
      <c r="P560" s="418"/>
      <c r="Q560" s="418"/>
    </row>
    <row r="561" spans="2:24" ht="12.75" customHeight="1" x14ac:dyDescent="0.2">
      <c r="B561" s="267"/>
      <c r="C561" s="273" t="s">
        <v>279</v>
      </c>
      <c r="D561" s="241" t="s">
        <v>190</v>
      </c>
      <c r="F561" s="265" t="s">
        <v>829</v>
      </c>
      <c r="G561" s="268">
        <v>20</v>
      </c>
      <c r="H561" s="418">
        <v>80</v>
      </c>
      <c r="I561" s="418">
        <f t="shared" si="195"/>
        <v>1600</v>
      </c>
      <c r="J561" s="268">
        <v>20</v>
      </c>
      <c r="K561" s="456">
        <v>450</v>
      </c>
      <c r="L561" s="418">
        <f t="shared" si="196"/>
        <v>9000</v>
      </c>
      <c r="M561" s="268">
        <v>20</v>
      </c>
      <c r="N561" s="418">
        <v>450</v>
      </c>
      <c r="O561" s="418">
        <f t="shared" si="197"/>
        <v>9000</v>
      </c>
      <c r="P561" s="418">
        <f t="shared" si="203"/>
        <v>0</v>
      </c>
      <c r="Q561" s="418">
        <f t="shared" si="204"/>
        <v>0</v>
      </c>
    </row>
    <row r="562" spans="2:24" ht="12.75" customHeight="1" x14ac:dyDescent="0.2">
      <c r="B562" s="267"/>
      <c r="F562" s="265"/>
      <c r="G562" s="268"/>
      <c r="H562" s="418"/>
      <c r="I562" s="418" t="str">
        <f t="shared" si="195"/>
        <v xml:space="preserve"> </v>
      </c>
      <c r="J562" s="268"/>
      <c r="K562" s="456"/>
      <c r="L562" s="418" t="str">
        <f t="shared" si="196"/>
        <v xml:space="preserve"> </v>
      </c>
      <c r="M562" s="268"/>
      <c r="N562" s="418"/>
      <c r="O562" s="418" t="str">
        <f t="shared" si="197"/>
        <v xml:space="preserve"> </v>
      </c>
      <c r="P562" s="418"/>
      <c r="Q562" s="418"/>
    </row>
    <row r="563" spans="2:24" ht="12.75" customHeight="1" x14ac:dyDescent="0.2">
      <c r="B563" s="267"/>
      <c r="C563" s="273" t="s">
        <v>276</v>
      </c>
      <c r="D563" s="241" t="s">
        <v>191</v>
      </c>
      <c r="F563" s="265" t="s">
        <v>829</v>
      </c>
      <c r="G563" s="268">
        <v>40</v>
      </c>
      <c r="H563" s="418">
        <v>200</v>
      </c>
      <c r="I563" s="418">
        <f t="shared" si="195"/>
        <v>8000</v>
      </c>
      <c r="J563" s="268">
        <v>40</v>
      </c>
      <c r="K563" s="456">
        <v>325</v>
      </c>
      <c r="L563" s="418">
        <f t="shared" si="196"/>
        <v>13000</v>
      </c>
      <c r="M563" s="268">
        <v>40</v>
      </c>
      <c r="N563" s="418">
        <v>325</v>
      </c>
      <c r="O563" s="418">
        <f t="shared" si="197"/>
        <v>13000</v>
      </c>
      <c r="P563" s="418">
        <f t="shared" si="203"/>
        <v>0</v>
      </c>
      <c r="Q563" s="418">
        <f t="shared" si="204"/>
        <v>0</v>
      </c>
    </row>
    <row r="564" spans="2:24" ht="12.75" customHeight="1" x14ac:dyDescent="0.2">
      <c r="B564" s="267"/>
      <c r="D564" s="241" t="s">
        <v>192</v>
      </c>
      <c r="F564" s="265"/>
      <c r="G564" s="268"/>
      <c r="H564" s="418"/>
      <c r="I564" s="418" t="str">
        <f t="shared" si="195"/>
        <v xml:space="preserve"> </v>
      </c>
      <c r="J564" s="268"/>
      <c r="K564" s="456"/>
      <c r="L564" s="418" t="str">
        <f t="shared" si="196"/>
        <v xml:space="preserve"> </v>
      </c>
      <c r="M564" s="268"/>
      <c r="N564" s="418"/>
      <c r="O564" s="418" t="str">
        <f t="shared" si="197"/>
        <v xml:space="preserve"> </v>
      </c>
      <c r="P564" s="418"/>
      <c r="Q564" s="418"/>
    </row>
    <row r="565" spans="2:24" ht="12.75" customHeight="1" x14ac:dyDescent="0.2">
      <c r="B565" s="267"/>
      <c r="F565" s="265"/>
      <c r="G565" s="268"/>
      <c r="H565" s="418" t="str">
        <f t="shared" ref="H565:H567" si="205">IF(F565=0," ",F565*G565)</f>
        <v xml:space="preserve"> </v>
      </c>
      <c r="I565" s="418" t="str">
        <f>IF(G565=0," ",G565*H565)</f>
        <v xml:space="preserve"> </v>
      </c>
      <c r="J565" s="268"/>
      <c r="K565" s="456" t="s">
        <v>849</v>
      </c>
      <c r="L565" s="418" t="str">
        <f t="shared" si="196"/>
        <v xml:space="preserve"> </v>
      </c>
      <c r="M565" s="268"/>
      <c r="N565" s="418"/>
      <c r="O565" s="418" t="str">
        <f t="shared" si="197"/>
        <v xml:space="preserve"> </v>
      </c>
      <c r="P565" s="418"/>
      <c r="Q565" s="418"/>
    </row>
    <row r="566" spans="2:24" ht="12.75" customHeight="1" x14ac:dyDescent="0.2">
      <c r="B566" s="267">
        <v>22.03</v>
      </c>
      <c r="C566" s="273" t="s">
        <v>316</v>
      </c>
      <c r="F566" s="265"/>
      <c r="G566" s="268"/>
      <c r="H566" s="418" t="str">
        <f t="shared" si="205"/>
        <v xml:space="preserve"> </v>
      </c>
      <c r="I566" s="418" t="str">
        <f t="shared" si="195"/>
        <v xml:space="preserve"> </v>
      </c>
      <c r="J566" s="268"/>
      <c r="K566" s="456" t="s">
        <v>849</v>
      </c>
      <c r="L566" s="418" t="str">
        <f t="shared" si="196"/>
        <v xml:space="preserve"> </v>
      </c>
      <c r="M566" s="268"/>
      <c r="N566" s="418"/>
      <c r="O566" s="418" t="str">
        <f t="shared" si="197"/>
        <v xml:space="preserve"> </v>
      </c>
      <c r="P566" s="418"/>
      <c r="Q566" s="418"/>
    </row>
    <row r="567" spans="2:24" ht="12.75" customHeight="1" x14ac:dyDescent="0.2">
      <c r="B567" s="267"/>
      <c r="C567" s="273" t="s">
        <v>279</v>
      </c>
      <c r="D567" s="241" t="s">
        <v>193</v>
      </c>
      <c r="F567" s="265"/>
      <c r="G567" s="268"/>
      <c r="H567" s="418" t="str">
        <f t="shared" si="205"/>
        <v xml:space="preserve"> </v>
      </c>
      <c r="I567" s="418" t="str">
        <f t="shared" si="195"/>
        <v xml:space="preserve"> </v>
      </c>
      <c r="J567" s="268"/>
      <c r="K567" s="456" t="s">
        <v>849</v>
      </c>
      <c r="L567" s="418" t="str">
        <f t="shared" si="196"/>
        <v xml:space="preserve"> </v>
      </c>
      <c r="M567" s="268"/>
      <c r="N567" s="418"/>
      <c r="O567" s="418" t="str">
        <f t="shared" si="197"/>
        <v xml:space="preserve"> </v>
      </c>
      <c r="P567" s="418"/>
      <c r="Q567" s="418"/>
    </row>
    <row r="568" spans="2:24" ht="12.75" customHeight="1" x14ac:dyDescent="0.2">
      <c r="B568" s="267"/>
      <c r="D568" s="241" t="s">
        <v>277</v>
      </c>
      <c r="E568" s="274" t="s">
        <v>742</v>
      </c>
      <c r="F568" s="265" t="s">
        <v>310</v>
      </c>
      <c r="G568" s="65">
        <v>10</v>
      </c>
      <c r="H568" s="418">
        <v>2000</v>
      </c>
      <c r="I568" s="418">
        <f t="shared" si="195"/>
        <v>20000</v>
      </c>
      <c r="J568" s="65">
        <v>10</v>
      </c>
      <c r="K568" s="459">
        <v>950</v>
      </c>
      <c r="L568" s="418">
        <f t="shared" si="196"/>
        <v>9500</v>
      </c>
      <c r="M568" s="65">
        <v>10</v>
      </c>
      <c r="N568" s="418">
        <v>950</v>
      </c>
      <c r="O568" s="418">
        <f t="shared" si="197"/>
        <v>9500</v>
      </c>
      <c r="P568" s="418">
        <f t="shared" si="203"/>
        <v>0</v>
      </c>
      <c r="Q568" s="418">
        <f t="shared" si="204"/>
        <v>0</v>
      </c>
      <c r="U568" s="234"/>
      <c r="V568" s="234"/>
      <c r="W568" s="234"/>
      <c r="X568" s="234"/>
    </row>
    <row r="569" spans="2:24" ht="12.75" customHeight="1" x14ac:dyDescent="0.2">
      <c r="B569" s="267"/>
      <c r="F569" s="265"/>
      <c r="G569" s="268"/>
      <c r="H569" s="418"/>
      <c r="I569" s="418" t="str">
        <f t="shared" si="195"/>
        <v xml:space="preserve"> </v>
      </c>
      <c r="J569" s="268"/>
      <c r="K569" s="459"/>
      <c r="L569" s="418" t="str">
        <f t="shared" si="196"/>
        <v xml:space="preserve"> </v>
      </c>
      <c r="M569" s="268"/>
      <c r="N569" s="418"/>
      <c r="O569" s="418" t="str">
        <f t="shared" si="197"/>
        <v xml:space="preserve"> </v>
      </c>
      <c r="P569" s="418"/>
      <c r="Q569" s="418"/>
      <c r="U569" s="234"/>
      <c r="V569" s="234"/>
      <c r="W569" s="234"/>
      <c r="X569" s="234"/>
    </row>
    <row r="570" spans="2:24" ht="12.75" customHeight="1" x14ac:dyDescent="0.2">
      <c r="B570" s="267"/>
      <c r="D570" s="241" t="s">
        <v>124</v>
      </c>
      <c r="E570" s="274" t="s">
        <v>743</v>
      </c>
      <c r="F570" s="265" t="s">
        <v>310</v>
      </c>
      <c r="G570" s="65">
        <v>14</v>
      </c>
      <c r="H570" s="418">
        <v>2800</v>
      </c>
      <c r="I570" s="418">
        <f t="shared" si="195"/>
        <v>39200</v>
      </c>
      <c r="J570" s="65">
        <v>14</v>
      </c>
      <c r="K570" s="459">
        <v>1350</v>
      </c>
      <c r="L570" s="418">
        <f t="shared" si="196"/>
        <v>18900</v>
      </c>
      <c r="M570" s="65">
        <v>14</v>
      </c>
      <c r="N570" s="418">
        <v>1350</v>
      </c>
      <c r="O570" s="418">
        <f t="shared" si="197"/>
        <v>18900</v>
      </c>
      <c r="P570" s="418">
        <f t="shared" si="203"/>
        <v>0</v>
      </c>
      <c r="Q570" s="418">
        <f t="shared" si="204"/>
        <v>0</v>
      </c>
      <c r="U570" s="234"/>
      <c r="V570" s="234"/>
      <c r="W570" s="234"/>
      <c r="X570" s="234"/>
    </row>
    <row r="571" spans="2:24" ht="12.75" customHeight="1" x14ac:dyDescent="0.2">
      <c r="B571" s="267"/>
      <c r="F571" s="265"/>
      <c r="G571" s="268"/>
      <c r="H571" s="418"/>
      <c r="I571" s="418" t="str">
        <f t="shared" si="195"/>
        <v xml:space="preserve"> </v>
      </c>
      <c r="J571" s="268"/>
      <c r="K571" s="459"/>
      <c r="L571" s="418" t="str">
        <f t="shared" si="196"/>
        <v xml:space="preserve"> </v>
      </c>
      <c r="M571" s="268"/>
      <c r="N571" s="418"/>
      <c r="O571" s="418" t="str">
        <f t="shared" si="197"/>
        <v xml:space="preserve"> </v>
      </c>
      <c r="P571" s="418"/>
      <c r="Q571" s="418"/>
      <c r="U571" s="234"/>
      <c r="V571" s="234"/>
      <c r="W571" s="234"/>
      <c r="X571" s="234"/>
    </row>
    <row r="572" spans="2:24" ht="12.75" customHeight="1" x14ac:dyDescent="0.2">
      <c r="B572" s="326" t="s">
        <v>687</v>
      </c>
      <c r="C572" s="327" t="s">
        <v>688</v>
      </c>
      <c r="D572" s="328"/>
      <c r="E572" s="329"/>
      <c r="F572" s="330"/>
      <c r="G572" s="361"/>
      <c r="H572" s="418"/>
      <c r="I572" s="418" t="str">
        <f t="shared" si="195"/>
        <v xml:space="preserve"> </v>
      </c>
      <c r="J572" s="361"/>
      <c r="K572" s="456"/>
      <c r="L572" s="418" t="str">
        <f t="shared" si="196"/>
        <v xml:space="preserve"> </v>
      </c>
      <c r="M572" s="361"/>
      <c r="N572" s="418"/>
      <c r="O572" s="418" t="str">
        <f t="shared" si="197"/>
        <v xml:space="preserve"> </v>
      </c>
      <c r="P572" s="418"/>
      <c r="Q572" s="418"/>
    </row>
    <row r="573" spans="2:24" ht="12.75" customHeight="1" x14ac:dyDescent="0.2">
      <c r="B573" s="326"/>
      <c r="C573" s="327" t="s">
        <v>278</v>
      </c>
      <c r="D573" s="328" t="s">
        <v>689</v>
      </c>
      <c r="E573" s="329"/>
      <c r="F573" s="330"/>
      <c r="G573" s="361"/>
      <c r="H573" s="418"/>
      <c r="I573" s="418" t="str">
        <f t="shared" si="195"/>
        <v xml:space="preserve"> </v>
      </c>
      <c r="J573" s="361"/>
      <c r="K573" s="456"/>
      <c r="L573" s="418" t="str">
        <f t="shared" si="196"/>
        <v xml:space="preserve"> </v>
      </c>
      <c r="M573" s="361"/>
      <c r="N573" s="418"/>
      <c r="O573" s="418" t="str">
        <f t="shared" si="197"/>
        <v xml:space="preserve"> </v>
      </c>
      <c r="P573" s="418"/>
      <c r="Q573" s="418"/>
    </row>
    <row r="574" spans="2:24" ht="12.75" customHeight="1" x14ac:dyDescent="0.2">
      <c r="B574" s="326"/>
      <c r="C574" s="327"/>
      <c r="D574" s="328" t="s">
        <v>690</v>
      </c>
      <c r="E574" s="329"/>
      <c r="F574" s="330"/>
      <c r="G574" s="361"/>
      <c r="H574" s="418"/>
      <c r="I574" s="418" t="str">
        <f t="shared" si="195"/>
        <v xml:space="preserve"> </v>
      </c>
      <c r="J574" s="361"/>
      <c r="K574" s="456"/>
      <c r="L574" s="418" t="str">
        <f t="shared" si="196"/>
        <v xml:space="preserve"> </v>
      </c>
      <c r="M574" s="361"/>
      <c r="N574" s="418"/>
      <c r="O574" s="418" t="str">
        <f t="shared" si="197"/>
        <v xml:space="preserve"> </v>
      </c>
      <c r="P574" s="418"/>
      <c r="Q574" s="418"/>
    </row>
    <row r="575" spans="2:24" ht="12.75" customHeight="1" x14ac:dyDescent="0.2">
      <c r="B575" s="326"/>
      <c r="C575" s="327"/>
      <c r="D575" s="328" t="s">
        <v>277</v>
      </c>
      <c r="E575" s="329" t="s">
        <v>691</v>
      </c>
      <c r="F575" s="330" t="s">
        <v>829</v>
      </c>
      <c r="G575" s="65" t="s">
        <v>596</v>
      </c>
      <c r="H575" s="418">
        <v>2000</v>
      </c>
      <c r="I575" s="418"/>
      <c r="J575" s="65" t="s">
        <v>596</v>
      </c>
      <c r="K575" s="456">
        <v>2500</v>
      </c>
      <c r="L575" s="418"/>
      <c r="M575" s="65" t="s">
        <v>596</v>
      </c>
      <c r="N575" s="418">
        <v>2500</v>
      </c>
      <c r="O575" s="418"/>
      <c r="P575" s="418">
        <f t="shared" si="203"/>
        <v>0</v>
      </c>
      <c r="Q575" s="418">
        <f t="shared" si="204"/>
        <v>0</v>
      </c>
    </row>
    <row r="576" spans="2:24" ht="12.75" customHeight="1" x14ac:dyDescent="0.2">
      <c r="B576" s="326"/>
      <c r="C576" s="327"/>
      <c r="D576" s="328"/>
      <c r="E576" s="329"/>
      <c r="F576" s="330"/>
      <c r="G576" s="361"/>
      <c r="H576" s="418"/>
      <c r="I576" s="418" t="str">
        <f t="shared" si="195"/>
        <v xml:space="preserve"> </v>
      </c>
      <c r="J576" s="361"/>
      <c r="K576" s="456"/>
      <c r="L576" s="418" t="str">
        <f t="shared" ref="L576:L593" si="206">IF(J576=0," ",J576*K576)</f>
        <v xml:space="preserve"> </v>
      </c>
      <c r="M576" s="361"/>
      <c r="N576" s="418"/>
      <c r="O576" s="418" t="str">
        <f t="shared" ref="O576:O593" si="207">IF(M576=0," ",M576*N576)</f>
        <v xml:space="preserve"> </v>
      </c>
      <c r="P576" s="418"/>
      <c r="Q576" s="418"/>
    </row>
    <row r="577" spans="2:17" ht="12.75" customHeight="1" x14ac:dyDescent="0.2">
      <c r="B577" s="326"/>
      <c r="C577" s="327" t="s">
        <v>276</v>
      </c>
      <c r="D577" s="328" t="s">
        <v>745</v>
      </c>
      <c r="E577" s="329"/>
      <c r="F577" s="330"/>
      <c r="G577" s="361"/>
      <c r="H577" s="418" t="str">
        <f t="shared" ref="H577:H590" si="208">IF(F577=0," ",F577*G577)</f>
        <v xml:space="preserve"> </v>
      </c>
      <c r="I577" s="418" t="str">
        <f t="shared" si="195"/>
        <v xml:space="preserve"> </v>
      </c>
      <c r="J577" s="361"/>
      <c r="K577" s="456" t="s">
        <v>849</v>
      </c>
      <c r="L577" s="418" t="str">
        <f t="shared" si="206"/>
        <v xml:space="preserve"> </v>
      </c>
      <c r="M577" s="361"/>
      <c r="N577" s="418" t="s">
        <v>849</v>
      </c>
      <c r="O577" s="418" t="str">
        <f t="shared" si="207"/>
        <v xml:space="preserve"> </v>
      </c>
      <c r="P577" s="418"/>
      <c r="Q577" s="418"/>
    </row>
    <row r="578" spans="2:17" ht="12.75" customHeight="1" x14ac:dyDescent="0.2">
      <c r="B578" s="326"/>
      <c r="C578" s="327"/>
      <c r="D578" s="328" t="s">
        <v>746</v>
      </c>
      <c r="E578" s="329"/>
      <c r="F578" s="330"/>
      <c r="G578" s="361"/>
      <c r="H578" s="418" t="str">
        <f t="shared" si="208"/>
        <v xml:space="preserve"> </v>
      </c>
      <c r="I578" s="418" t="str">
        <f t="shared" si="195"/>
        <v xml:space="preserve"> </v>
      </c>
      <c r="J578" s="361"/>
      <c r="K578" s="456" t="s">
        <v>849</v>
      </c>
      <c r="L578" s="418" t="str">
        <f t="shared" si="206"/>
        <v xml:space="preserve"> </v>
      </c>
      <c r="M578" s="361"/>
      <c r="N578" s="418" t="s">
        <v>849</v>
      </c>
      <c r="O578" s="418" t="str">
        <f t="shared" si="207"/>
        <v xml:space="preserve"> </v>
      </c>
      <c r="P578" s="418"/>
      <c r="Q578" s="418"/>
    </row>
    <row r="579" spans="2:17" ht="12.75" customHeight="1" x14ac:dyDescent="0.2">
      <c r="B579" s="326"/>
      <c r="C579" s="327"/>
      <c r="D579" s="328" t="s">
        <v>277</v>
      </c>
      <c r="E579" s="329" t="s">
        <v>744</v>
      </c>
      <c r="F579" s="330" t="s">
        <v>829</v>
      </c>
      <c r="G579" s="361">
        <f>6*10</f>
        <v>60</v>
      </c>
      <c r="H579" s="418">
        <v>2500</v>
      </c>
      <c r="I579" s="418">
        <f t="shared" si="195"/>
        <v>150000</v>
      </c>
      <c r="J579" s="361">
        <f t="shared" ref="J579" si="209">6*10</f>
        <v>60</v>
      </c>
      <c r="K579" s="456">
        <v>2800</v>
      </c>
      <c r="L579" s="418">
        <f t="shared" si="206"/>
        <v>168000</v>
      </c>
      <c r="M579" s="361">
        <f t="shared" ref="M579" si="210">6*10</f>
        <v>60</v>
      </c>
      <c r="N579" s="418">
        <v>2800</v>
      </c>
      <c r="O579" s="418">
        <f t="shared" si="207"/>
        <v>168000</v>
      </c>
      <c r="P579" s="418">
        <f t="shared" si="203"/>
        <v>0</v>
      </c>
      <c r="Q579" s="418">
        <f t="shared" si="204"/>
        <v>0</v>
      </c>
    </row>
    <row r="580" spans="2:17" ht="12.75" customHeight="1" x14ac:dyDescent="0.2">
      <c r="B580" s="326"/>
      <c r="C580" s="327"/>
      <c r="D580" s="328"/>
      <c r="E580" s="329"/>
      <c r="F580" s="330"/>
      <c r="G580" s="361"/>
      <c r="H580" s="418"/>
      <c r="I580" s="418" t="str">
        <f t="shared" si="195"/>
        <v xml:space="preserve"> </v>
      </c>
      <c r="J580" s="361"/>
      <c r="K580" s="456"/>
      <c r="L580" s="418" t="str">
        <f t="shared" si="206"/>
        <v xml:space="preserve"> </v>
      </c>
      <c r="M580" s="361"/>
      <c r="N580" s="418"/>
      <c r="O580" s="418" t="str">
        <f t="shared" si="207"/>
        <v xml:space="preserve"> </v>
      </c>
      <c r="P580" s="418"/>
      <c r="Q580" s="418"/>
    </row>
    <row r="581" spans="2:17" ht="12.75" customHeight="1" x14ac:dyDescent="0.2">
      <c r="B581" s="327"/>
      <c r="C581" s="327" t="s">
        <v>281</v>
      </c>
      <c r="D581" s="328" t="s">
        <v>747</v>
      </c>
      <c r="E581" s="329"/>
      <c r="F581" s="330"/>
      <c r="G581" s="361"/>
      <c r="H581" s="418" t="str">
        <f t="shared" si="208"/>
        <v xml:space="preserve"> </v>
      </c>
      <c r="I581" s="418" t="str">
        <f t="shared" si="195"/>
        <v xml:space="preserve"> </v>
      </c>
      <c r="J581" s="361"/>
      <c r="K581" s="456" t="s">
        <v>849</v>
      </c>
      <c r="L581" s="418" t="str">
        <f t="shared" si="206"/>
        <v xml:space="preserve"> </v>
      </c>
      <c r="M581" s="361"/>
      <c r="N581" s="418"/>
      <c r="O581" s="418" t="str">
        <f t="shared" si="207"/>
        <v xml:space="preserve"> </v>
      </c>
      <c r="P581" s="418"/>
      <c r="Q581" s="418"/>
    </row>
    <row r="582" spans="2:17" ht="12.75" customHeight="1" x14ac:dyDescent="0.2">
      <c r="B582" s="327"/>
      <c r="C582" s="327"/>
      <c r="D582" s="328" t="s">
        <v>277</v>
      </c>
      <c r="E582" s="329" t="s">
        <v>748</v>
      </c>
      <c r="F582" s="330" t="s">
        <v>275</v>
      </c>
      <c r="G582" s="361">
        <f>5*25</f>
        <v>125</v>
      </c>
      <c r="H582" s="418">
        <v>220</v>
      </c>
      <c r="I582" s="418">
        <f t="shared" si="195"/>
        <v>27500</v>
      </c>
      <c r="J582" s="361">
        <f t="shared" ref="J582" si="211">5*25</f>
        <v>125</v>
      </c>
      <c r="K582" s="456">
        <v>325</v>
      </c>
      <c r="L582" s="418">
        <f t="shared" si="206"/>
        <v>40625</v>
      </c>
      <c r="M582" s="361">
        <f t="shared" ref="M582" si="212">5*25</f>
        <v>125</v>
      </c>
      <c r="N582" s="418">
        <v>325</v>
      </c>
      <c r="O582" s="418">
        <f t="shared" si="207"/>
        <v>40625</v>
      </c>
      <c r="P582" s="418">
        <f t="shared" si="203"/>
        <v>0</v>
      </c>
      <c r="Q582" s="418">
        <f t="shared" si="204"/>
        <v>0</v>
      </c>
    </row>
    <row r="583" spans="2:17" ht="12.75" customHeight="1" x14ac:dyDescent="0.2">
      <c r="B583" s="326"/>
      <c r="C583" s="327"/>
      <c r="D583" s="328"/>
      <c r="E583" s="329"/>
      <c r="F583" s="330"/>
      <c r="G583" s="361"/>
      <c r="H583" s="418" t="str">
        <f t="shared" si="208"/>
        <v xml:space="preserve"> </v>
      </c>
      <c r="I583" s="418" t="str">
        <f t="shared" si="195"/>
        <v xml:space="preserve"> </v>
      </c>
      <c r="J583" s="361"/>
      <c r="K583" s="456" t="s">
        <v>849</v>
      </c>
      <c r="L583" s="418" t="str">
        <f t="shared" si="206"/>
        <v xml:space="preserve"> </v>
      </c>
      <c r="M583" s="361"/>
      <c r="N583" s="418"/>
      <c r="O583" s="418" t="str">
        <f t="shared" si="207"/>
        <v xml:space="preserve"> </v>
      </c>
      <c r="P583" s="418"/>
      <c r="Q583" s="418"/>
    </row>
    <row r="584" spans="2:17" ht="12.75" customHeight="1" x14ac:dyDescent="0.2">
      <c r="B584" s="327"/>
      <c r="C584" s="327"/>
      <c r="D584" s="328" t="s">
        <v>124</v>
      </c>
      <c r="E584" s="329" t="s">
        <v>749</v>
      </c>
      <c r="F584" s="330" t="s">
        <v>275</v>
      </c>
      <c r="G584" s="361">
        <f>5*12</f>
        <v>60</v>
      </c>
      <c r="H584" s="418">
        <v>220</v>
      </c>
      <c r="I584" s="418">
        <f t="shared" si="195"/>
        <v>13200</v>
      </c>
      <c r="J584" s="361">
        <f t="shared" ref="J584" si="213">5*12</f>
        <v>60</v>
      </c>
      <c r="K584" s="456">
        <v>350</v>
      </c>
      <c r="L584" s="418">
        <f t="shared" si="206"/>
        <v>21000</v>
      </c>
      <c r="M584" s="361">
        <f t="shared" ref="M584" si="214">5*12</f>
        <v>60</v>
      </c>
      <c r="N584" s="418">
        <v>350</v>
      </c>
      <c r="O584" s="418">
        <f t="shared" si="207"/>
        <v>21000</v>
      </c>
      <c r="P584" s="418">
        <f t="shared" si="203"/>
        <v>0</v>
      </c>
      <c r="Q584" s="418">
        <f t="shared" si="204"/>
        <v>0</v>
      </c>
    </row>
    <row r="585" spans="2:17" ht="12.75" customHeight="1" x14ac:dyDescent="0.2">
      <c r="B585" s="326"/>
      <c r="C585" s="327"/>
      <c r="D585" s="328"/>
      <c r="E585" s="329"/>
      <c r="F585" s="330"/>
      <c r="G585" s="361"/>
      <c r="H585" s="418" t="str">
        <f t="shared" si="208"/>
        <v xml:space="preserve"> </v>
      </c>
      <c r="I585" s="418" t="str">
        <f t="shared" si="195"/>
        <v xml:space="preserve"> </v>
      </c>
      <c r="J585" s="361"/>
      <c r="K585" s="456" t="s">
        <v>849</v>
      </c>
      <c r="L585" s="418" t="str">
        <f t="shared" si="206"/>
        <v xml:space="preserve"> </v>
      </c>
      <c r="M585" s="361"/>
      <c r="N585" s="418"/>
      <c r="O585" s="418" t="str">
        <f t="shared" si="207"/>
        <v xml:space="preserve"> </v>
      </c>
      <c r="P585" s="418"/>
      <c r="Q585" s="418"/>
    </row>
    <row r="586" spans="2:17" ht="12.75" customHeight="1" x14ac:dyDescent="0.2">
      <c r="B586" s="326" t="s">
        <v>750</v>
      </c>
      <c r="C586" s="327" t="s">
        <v>751</v>
      </c>
      <c r="D586" s="328"/>
      <c r="E586" s="329"/>
      <c r="F586" s="330"/>
      <c r="G586" s="361"/>
      <c r="H586" s="418" t="str">
        <f t="shared" si="208"/>
        <v xml:space="preserve"> </v>
      </c>
      <c r="I586" s="418" t="str">
        <f t="shared" si="195"/>
        <v xml:space="preserve"> </v>
      </c>
      <c r="J586" s="361"/>
      <c r="K586" s="456" t="s">
        <v>849</v>
      </c>
      <c r="L586" s="418" t="str">
        <f t="shared" si="206"/>
        <v xml:space="preserve"> </v>
      </c>
      <c r="M586" s="361"/>
      <c r="N586" s="418"/>
      <c r="O586" s="418" t="str">
        <f t="shared" si="207"/>
        <v xml:space="preserve"> </v>
      </c>
      <c r="P586" s="418"/>
      <c r="Q586" s="418"/>
    </row>
    <row r="587" spans="2:17" ht="12.75" customHeight="1" x14ac:dyDescent="0.2">
      <c r="B587" s="326"/>
      <c r="C587" s="327" t="s">
        <v>278</v>
      </c>
      <c r="D587" s="328" t="s">
        <v>194</v>
      </c>
      <c r="E587" s="329"/>
      <c r="F587" s="330" t="s">
        <v>317</v>
      </c>
      <c r="G587" s="361">
        <v>0.5</v>
      </c>
      <c r="H587" s="418">
        <v>18000</v>
      </c>
      <c r="I587" s="418">
        <f t="shared" si="195"/>
        <v>9000</v>
      </c>
      <c r="J587" s="361">
        <v>0.5</v>
      </c>
      <c r="K587" s="456">
        <v>19000</v>
      </c>
      <c r="L587" s="418">
        <f t="shared" si="206"/>
        <v>9500</v>
      </c>
      <c r="M587" s="361">
        <v>0.5</v>
      </c>
      <c r="N587" s="418">
        <v>19000</v>
      </c>
      <c r="O587" s="418">
        <f t="shared" si="207"/>
        <v>9500</v>
      </c>
      <c r="P587" s="418">
        <f t="shared" si="203"/>
        <v>0</v>
      </c>
      <c r="Q587" s="418">
        <f t="shared" si="204"/>
        <v>0</v>
      </c>
    </row>
    <row r="588" spans="2:17" ht="12.75" customHeight="1" x14ac:dyDescent="0.2">
      <c r="B588" s="326"/>
      <c r="C588" s="327"/>
      <c r="D588" s="328"/>
      <c r="E588" s="329"/>
      <c r="F588" s="330"/>
      <c r="G588" s="361"/>
      <c r="H588" s="418" t="str">
        <f t="shared" si="208"/>
        <v xml:space="preserve"> </v>
      </c>
      <c r="I588" s="418" t="str">
        <f t="shared" si="195"/>
        <v xml:space="preserve"> </v>
      </c>
      <c r="J588" s="361"/>
      <c r="K588" s="456" t="s">
        <v>849</v>
      </c>
      <c r="L588" s="418" t="str">
        <f t="shared" si="206"/>
        <v xml:space="preserve"> </v>
      </c>
      <c r="M588" s="361"/>
      <c r="N588" s="418"/>
      <c r="O588" s="418" t="str">
        <f t="shared" si="207"/>
        <v xml:space="preserve"> </v>
      </c>
      <c r="P588" s="418"/>
      <c r="Q588" s="418"/>
    </row>
    <row r="589" spans="2:17" ht="12.75" customHeight="1" x14ac:dyDescent="0.2">
      <c r="B589" s="326"/>
      <c r="C589" s="327" t="s">
        <v>279</v>
      </c>
      <c r="D589" s="328" t="s">
        <v>195</v>
      </c>
      <c r="E589" s="329"/>
      <c r="F589" s="330" t="s">
        <v>317</v>
      </c>
      <c r="G589" s="361">
        <v>2</v>
      </c>
      <c r="H589" s="418">
        <v>18000</v>
      </c>
      <c r="I589" s="418">
        <f t="shared" si="195"/>
        <v>36000</v>
      </c>
      <c r="J589" s="361">
        <v>2</v>
      </c>
      <c r="K589" s="456">
        <v>19000</v>
      </c>
      <c r="L589" s="418">
        <f t="shared" si="206"/>
        <v>38000</v>
      </c>
      <c r="M589" s="361">
        <v>2</v>
      </c>
      <c r="N589" s="418">
        <v>19000</v>
      </c>
      <c r="O589" s="418">
        <f t="shared" si="207"/>
        <v>38000</v>
      </c>
      <c r="P589" s="418">
        <f t="shared" si="203"/>
        <v>0</v>
      </c>
      <c r="Q589" s="418">
        <f t="shared" si="204"/>
        <v>0</v>
      </c>
    </row>
    <row r="590" spans="2:17" ht="12.75" customHeight="1" x14ac:dyDescent="0.2">
      <c r="B590" s="326"/>
      <c r="C590" s="327"/>
      <c r="D590" s="328"/>
      <c r="E590" s="329"/>
      <c r="F590" s="330"/>
      <c r="G590" s="361"/>
      <c r="H590" s="418" t="str">
        <f t="shared" si="208"/>
        <v xml:space="preserve"> </v>
      </c>
      <c r="I590" s="418" t="str">
        <f t="shared" si="195"/>
        <v xml:space="preserve"> </v>
      </c>
      <c r="J590" s="361"/>
      <c r="K590" s="456" t="s">
        <v>849</v>
      </c>
      <c r="L590" s="418" t="str">
        <f t="shared" si="206"/>
        <v xml:space="preserve"> </v>
      </c>
      <c r="M590" s="361"/>
      <c r="N590" s="418"/>
      <c r="O590" s="418" t="str">
        <f t="shared" si="207"/>
        <v xml:space="preserve"> </v>
      </c>
      <c r="P590" s="418"/>
      <c r="Q590" s="418"/>
    </row>
    <row r="591" spans="2:17" ht="12.75" customHeight="1" x14ac:dyDescent="0.2">
      <c r="B591" s="326"/>
      <c r="C591" s="327" t="s">
        <v>276</v>
      </c>
      <c r="D591" s="328" t="s">
        <v>196</v>
      </c>
      <c r="E591" s="329"/>
      <c r="F591" s="330" t="s">
        <v>318</v>
      </c>
      <c r="G591" s="361">
        <f>6*22*5</f>
        <v>660</v>
      </c>
      <c r="H591" s="418">
        <v>40</v>
      </c>
      <c r="I591" s="418">
        <f t="shared" si="195"/>
        <v>26400</v>
      </c>
      <c r="J591" s="361">
        <f t="shared" ref="J591" si="215">6*22*5</f>
        <v>660</v>
      </c>
      <c r="K591" s="456">
        <v>32.5</v>
      </c>
      <c r="L591" s="418">
        <f t="shared" si="206"/>
        <v>21450</v>
      </c>
      <c r="M591" s="361">
        <f t="shared" ref="M591" si="216">6*22*5</f>
        <v>660</v>
      </c>
      <c r="N591" s="418">
        <v>32.5</v>
      </c>
      <c r="O591" s="418">
        <f t="shared" si="207"/>
        <v>21450</v>
      </c>
      <c r="P591" s="418">
        <f t="shared" si="203"/>
        <v>0</v>
      </c>
      <c r="Q591" s="418">
        <f t="shared" si="204"/>
        <v>0</v>
      </c>
    </row>
    <row r="592" spans="2:17" ht="12.75" customHeight="1" x14ac:dyDescent="0.2">
      <c r="B592" s="267"/>
      <c r="G592" s="268"/>
      <c r="H592" s="418"/>
      <c r="I592" s="418" t="str">
        <f t="shared" si="195"/>
        <v xml:space="preserve"> </v>
      </c>
      <c r="J592" s="268"/>
      <c r="K592" s="456"/>
      <c r="L592" s="418" t="str">
        <f t="shared" si="206"/>
        <v xml:space="preserve"> </v>
      </c>
      <c r="M592" s="268"/>
      <c r="N592" s="418"/>
      <c r="O592" s="418" t="str">
        <f t="shared" si="207"/>
        <v xml:space="preserve"> </v>
      </c>
      <c r="P592" s="418"/>
      <c r="Q592" s="418"/>
    </row>
    <row r="593" spans="2:17" ht="12.75" customHeight="1" x14ac:dyDescent="0.2">
      <c r="B593" s="267">
        <v>22.14</v>
      </c>
      <c r="C593" s="273" t="s">
        <v>253</v>
      </c>
      <c r="F593" s="265"/>
      <c r="G593" s="268"/>
      <c r="H593" s="418" t="str">
        <f>IF(F593=0," ",F593*G593)</f>
        <v xml:space="preserve"> </v>
      </c>
      <c r="I593" s="418" t="str">
        <f t="shared" si="195"/>
        <v xml:space="preserve"> </v>
      </c>
      <c r="J593" s="268"/>
      <c r="K593" s="456" t="s">
        <v>849</v>
      </c>
      <c r="L593" s="418" t="str">
        <f t="shared" si="206"/>
        <v xml:space="preserve"> </v>
      </c>
      <c r="M593" s="268"/>
      <c r="N593" s="418"/>
      <c r="O593" s="418" t="str">
        <f t="shared" si="207"/>
        <v xml:space="preserve"> </v>
      </c>
      <c r="P593" s="418"/>
      <c r="Q593" s="418"/>
    </row>
    <row r="594" spans="2:17" ht="12.75" customHeight="1" x14ac:dyDescent="0.2">
      <c r="B594" s="267"/>
      <c r="C594" s="273" t="s">
        <v>278</v>
      </c>
      <c r="D594" s="241" t="s">
        <v>176</v>
      </c>
      <c r="F594" s="242" t="s">
        <v>310</v>
      </c>
      <c r="G594" s="65" t="s">
        <v>596</v>
      </c>
      <c r="H594" s="418">
        <v>200</v>
      </c>
      <c r="I594" s="418"/>
      <c r="J594" s="65" t="s">
        <v>596</v>
      </c>
      <c r="K594" s="456">
        <v>200</v>
      </c>
      <c r="L594" s="418"/>
      <c r="M594" s="65" t="s">
        <v>596</v>
      </c>
      <c r="N594" s="418">
        <v>200</v>
      </c>
      <c r="O594" s="418"/>
      <c r="P594" s="418">
        <f t="shared" si="203"/>
        <v>0</v>
      </c>
      <c r="Q594" s="418">
        <f t="shared" si="204"/>
        <v>0</v>
      </c>
    </row>
    <row r="595" spans="2:17" ht="12.75" customHeight="1" x14ac:dyDescent="0.2">
      <c r="B595" s="267"/>
      <c r="G595" s="268"/>
      <c r="H595" s="418"/>
      <c r="I595" s="418"/>
      <c r="J595" s="268"/>
      <c r="K595" s="456"/>
      <c r="L595" s="418"/>
      <c r="M595" s="268"/>
      <c r="N595" s="418"/>
      <c r="O595" s="418"/>
      <c r="P595" s="418"/>
      <c r="Q595" s="418"/>
    </row>
    <row r="596" spans="2:17" ht="12.75" customHeight="1" x14ac:dyDescent="0.2">
      <c r="B596" s="267"/>
      <c r="C596" s="273" t="s">
        <v>279</v>
      </c>
      <c r="D596" s="241" t="s">
        <v>53</v>
      </c>
      <c r="F596" s="242" t="s">
        <v>310</v>
      </c>
      <c r="G596" s="65" t="s">
        <v>596</v>
      </c>
      <c r="H596" s="418">
        <v>250</v>
      </c>
      <c r="I596" s="418"/>
      <c r="J596" s="65" t="s">
        <v>596</v>
      </c>
      <c r="K596" s="456">
        <v>250</v>
      </c>
      <c r="L596" s="418"/>
      <c r="M596" s="65" t="s">
        <v>596</v>
      </c>
      <c r="N596" s="418">
        <v>250</v>
      </c>
      <c r="O596" s="418"/>
      <c r="P596" s="418">
        <f t="shared" si="203"/>
        <v>0</v>
      </c>
      <c r="Q596" s="418">
        <f t="shared" si="204"/>
        <v>0</v>
      </c>
    </row>
    <row r="597" spans="2:17" ht="12.75" customHeight="1" x14ac:dyDescent="0.2">
      <c r="B597" s="267"/>
      <c r="G597" s="268"/>
      <c r="H597" s="418"/>
      <c r="I597" s="418"/>
      <c r="J597" s="268"/>
      <c r="K597" s="456"/>
      <c r="L597" s="418"/>
      <c r="M597" s="268"/>
      <c r="N597" s="418"/>
      <c r="O597" s="418"/>
      <c r="P597" s="418"/>
      <c r="Q597" s="418"/>
    </row>
    <row r="598" spans="2:17" ht="12.75" customHeight="1" x14ac:dyDescent="0.2">
      <c r="B598" s="267"/>
      <c r="C598" s="273" t="s">
        <v>276</v>
      </c>
      <c r="D598" s="241" t="s">
        <v>861</v>
      </c>
      <c r="F598" s="242" t="s">
        <v>310</v>
      </c>
      <c r="G598" s="65" t="s">
        <v>596</v>
      </c>
      <c r="H598" s="418">
        <v>300</v>
      </c>
      <c r="I598" s="418"/>
      <c r="J598" s="65" t="s">
        <v>596</v>
      </c>
      <c r="K598" s="456">
        <v>300</v>
      </c>
      <c r="L598" s="418"/>
      <c r="M598" s="65" t="s">
        <v>596</v>
      </c>
      <c r="N598" s="418">
        <v>300</v>
      </c>
      <c r="O598" s="418"/>
      <c r="P598" s="418">
        <f t="shared" si="203"/>
        <v>0</v>
      </c>
      <c r="Q598" s="418">
        <f t="shared" si="204"/>
        <v>0</v>
      </c>
    </row>
    <row r="599" spans="2:17" ht="12.75" customHeight="1" x14ac:dyDescent="0.2">
      <c r="B599" s="267"/>
      <c r="G599" s="268"/>
      <c r="H599" s="418"/>
      <c r="I599" s="418"/>
      <c r="J599" s="268"/>
      <c r="K599" s="456"/>
      <c r="L599" s="418"/>
      <c r="M599" s="268"/>
      <c r="N599" s="418"/>
      <c r="O599" s="418"/>
      <c r="P599" s="418"/>
      <c r="Q599" s="418"/>
    </row>
    <row r="600" spans="2:17" ht="12.75" customHeight="1" x14ac:dyDescent="0.2">
      <c r="B600" s="267"/>
      <c r="C600" s="273" t="s">
        <v>281</v>
      </c>
      <c r="D600" s="241" t="s">
        <v>862</v>
      </c>
      <c r="F600" s="242" t="s">
        <v>310</v>
      </c>
      <c r="G600" s="65" t="s">
        <v>596</v>
      </c>
      <c r="H600" s="418">
        <v>300</v>
      </c>
      <c r="I600" s="418"/>
      <c r="J600" s="65" t="s">
        <v>596</v>
      </c>
      <c r="K600" s="456">
        <v>350</v>
      </c>
      <c r="L600" s="418"/>
      <c r="M600" s="65" t="s">
        <v>596</v>
      </c>
      <c r="N600" s="418">
        <v>350</v>
      </c>
      <c r="O600" s="418"/>
      <c r="P600" s="418">
        <f t="shared" si="203"/>
        <v>0</v>
      </c>
      <c r="Q600" s="418">
        <f t="shared" si="204"/>
        <v>0</v>
      </c>
    </row>
    <row r="601" spans="2:17" ht="12.75" customHeight="1" x14ac:dyDescent="0.2">
      <c r="B601" s="267"/>
      <c r="G601" s="268"/>
      <c r="H601" s="418" t="str">
        <f t="shared" ref="H601:I610" si="217">IF(F601=0," ",F601*G601)</f>
        <v xml:space="preserve"> </v>
      </c>
      <c r="I601" s="418" t="str">
        <f t="shared" si="195"/>
        <v xml:space="preserve"> </v>
      </c>
      <c r="J601" s="268"/>
      <c r="K601" s="456" t="s">
        <v>849</v>
      </c>
      <c r="L601" s="418" t="str">
        <f t="shared" ref="L601:L602" si="218">IF(J601=0," ",J601*K601)</f>
        <v xml:space="preserve"> </v>
      </c>
      <c r="M601" s="268"/>
      <c r="N601" s="418"/>
      <c r="O601" s="418" t="str">
        <f t="shared" ref="O601:O602" si="219">IF(M601=0," ",M601*N601)</f>
        <v xml:space="preserve"> </v>
      </c>
      <c r="P601" s="418"/>
      <c r="Q601" s="418"/>
    </row>
    <row r="602" spans="2:17" ht="12.75" customHeight="1" x14ac:dyDescent="0.2">
      <c r="B602" s="267" t="s">
        <v>760</v>
      </c>
      <c r="C602" s="273" t="s">
        <v>752</v>
      </c>
      <c r="G602" s="268"/>
      <c r="H602" s="418" t="str">
        <f t="shared" si="217"/>
        <v xml:space="preserve"> </v>
      </c>
      <c r="I602" s="418" t="str">
        <f t="shared" si="195"/>
        <v xml:space="preserve"> </v>
      </c>
      <c r="J602" s="268"/>
      <c r="K602" s="456" t="s">
        <v>849</v>
      </c>
      <c r="L602" s="418" t="str">
        <f t="shared" si="218"/>
        <v xml:space="preserve"> </v>
      </c>
      <c r="M602" s="268"/>
      <c r="N602" s="418"/>
      <c r="O602" s="418" t="str">
        <f t="shared" si="219"/>
        <v xml:space="preserve"> </v>
      </c>
      <c r="P602" s="418"/>
      <c r="Q602" s="418"/>
    </row>
    <row r="603" spans="2:17" ht="12.75" customHeight="1" x14ac:dyDescent="0.2">
      <c r="B603" s="267"/>
      <c r="C603" s="273" t="s">
        <v>278</v>
      </c>
      <c r="D603" s="241" t="s">
        <v>753</v>
      </c>
      <c r="F603" s="330" t="s">
        <v>275</v>
      </c>
      <c r="G603" s="268" t="s">
        <v>596</v>
      </c>
      <c r="H603" s="418">
        <v>400</v>
      </c>
      <c r="I603" s="418">
        <v>0</v>
      </c>
      <c r="J603" s="268" t="s">
        <v>596</v>
      </c>
      <c r="K603" s="456">
        <v>300</v>
      </c>
      <c r="L603" s="418">
        <v>0</v>
      </c>
      <c r="M603" s="268" t="s">
        <v>596</v>
      </c>
      <c r="N603" s="418">
        <v>300</v>
      </c>
      <c r="O603" s="418">
        <v>0</v>
      </c>
      <c r="P603" s="418">
        <f t="shared" si="203"/>
        <v>0</v>
      </c>
      <c r="Q603" s="418">
        <f t="shared" si="204"/>
        <v>0</v>
      </c>
    </row>
    <row r="604" spans="2:17" ht="12.75" customHeight="1" x14ac:dyDescent="0.2">
      <c r="B604" s="267"/>
      <c r="G604" s="268"/>
      <c r="H604" s="418" t="str">
        <f t="shared" si="217"/>
        <v xml:space="preserve"> </v>
      </c>
      <c r="I604" s="418" t="str">
        <f t="shared" si="195"/>
        <v xml:space="preserve"> </v>
      </c>
      <c r="J604" s="268"/>
      <c r="K604" s="456" t="s">
        <v>849</v>
      </c>
      <c r="L604" s="418" t="str">
        <f t="shared" ref="L604" si="220">IF(J604=0," ",J604*K604)</f>
        <v xml:space="preserve"> </v>
      </c>
      <c r="M604" s="268"/>
      <c r="N604" s="418"/>
      <c r="O604" s="418" t="str">
        <f t="shared" ref="O604" si="221">IF(M604=0," ",M604*N604)</f>
        <v xml:space="preserve"> </v>
      </c>
      <c r="P604" s="418"/>
      <c r="Q604" s="418"/>
    </row>
    <row r="605" spans="2:17" ht="12.75" customHeight="1" x14ac:dyDescent="0.2">
      <c r="B605" s="267"/>
      <c r="C605" s="273" t="s">
        <v>279</v>
      </c>
      <c r="D605" s="241" t="s">
        <v>754</v>
      </c>
      <c r="F605" s="330" t="s">
        <v>275</v>
      </c>
      <c r="G605" s="268" t="s">
        <v>596</v>
      </c>
      <c r="H605" s="418">
        <v>1000</v>
      </c>
      <c r="I605" s="418">
        <v>0</v>
      </c>
      <c r="J605" s="268" t="s">
        <v>596</v>
      </c>
      <c r="K605" s="456">
        <v>600</v>
      </c>
      <c r="L605" s="418">
        <v>0</v>
      </c>
      <c r="M605" s="268" t="s">
        <v>596</v>
      </c>
      <c r="N605" s="418">
        <v>600</v>
      </c>
      <c r="O605" s="418">
        <v>0</v>
      </c>
      <c r="P605" s="418">
        <f t="shared" si="203"/>
        <v>0</v>
      </c>
      <c r="Q605" s="418">
        <f t="shared" si="204"/>
        <v>0</v>
      </c>
    </row>
    <row r="606" spans="2:17" ht="12.75" customHeight="1" x14ac:dyDescent="0.2">
      <c r="B606" s="267"/>
      <c r="G606" s="268"/>
      <c r="H606" s="418" t="str">
        <f t="shared" si="217"/>
        <v xml:space="preserve"> </v>
      </c>
      <c r="I606" s="418" t="str">
        <f t="shared" si="195"/>
        <v xml:space="preserve"> </v>
      </c>
      <c r="J606" s="268"/>
      <c r="K606" s="456" t="s">
        <v>849</v>
      </c>
      <c r="L606" s="418" t="str">
        <f t="shared" ref="L606" si="222">IF(J606=0," ",J606*K606)</f>
        <v xml:space="preserve"> </v>
      </c>
      <c r="M606" s="268"/>
      <c r="N606" s="418"/>
      <c r="O606" s="418" t="str">
        <f t="shared" ref="O606" si="223">IF(M606=0," ",M606*N606)</f>
        <v xml:space="preserve"> </v>
      </c>
      <c r="P606" s="418"/>
      <c r="Q606" s="418"/>
    </row>
    <row r="607" spans="2:17" ht="12.75" customHeight="1" x14ac:dyDescent="0.2">
      <c r="B607" s="267" t="s">
        <v>759</v>
      </c>
      <c r="C607" s="273" t="s">
        <v>755</v>
      </c>
      <c r="F607" s="330" t="s">
        <v>275</v>
      </c>
      <c r="G607" s="268" t="s">
        <v>596</v>
      </c>
      <c r="H607" s="418">
        <v>200</v>
      </c>
      <c r="I607" s="418">
        <v>0</v>
      </c>
      <c r="J607" s="268" t="s">
        <v>596</v>
      </c>
      <c r="K607" s="456">
        <v>80</v>
      </c>
      <c r="L607" s="418">
        <v>0</v>
      </c>
      <c r="M607" s="268" t="s">
        <v>596</v>
      </c>
      <c r="N607" s="418">
        <v>80</v>
      </c>
      <c r="O607" s="418">
        <v>0</v>
      </c>
      <c r="P607" s="418">
        <f t="shared" si="203"/>
        <v>0</v>
      </c>
      <c r="Q607" s="418">
        <f t="shared" si="204"/>
        <v>0</v>
      </c>
    </row>
    <row r="608" spans="2:17" ht="12.75" customHeight="1" x14ac:dyDescent="0.2">
      <c r="B608" s="267"/>
      <c r="G608" s="268"/>
      <c r="H608" s="418" t="str">
        <f t="shared" si="217"/>
        <v xml:space="preserve"> </v>
      </c>
      <c r="I608" s="418" t="str">
        <f t="shared" si="195"/>
        <v xml:space="preserve"> </v>
      </c>
      <c r="J608" s="268"/>
      <c r="K608" s="456" t="s">
        <v>849</v>
      </c>
      <c r="L608" s="418" t="str">
        <f t="shared" ref="L608" si="224">IF(J608=0," ",J608*K608)</f>
        <v xml:space="preserve"> </v>
      </c>
      <c r="M608" s="268"/>
      <c r="N608" s="418"/>
      <c r="O608" s="418" t="str">
        <f t="shared" ref="O608" si="225">IF(M608=0," ",M608*N608)</f>
        <v xml:space="preserve"> </v>
      </c>
      <c r="P608" s="418"/>
      <c r="Q608" s="418"/>
    </row>
    <row r="609" spans="2:17" ht="12.75" customHeight="1" x14ac:dyDescent="0.2">
      <c r="B609" s="267" t="s">
        <v>757</v>
      </c>
      <c r="C609" s="273" t="s">
        <v>756</v>
      </c>
      <c r="F609" s="330" t="s">
        <v>275</v>
      </c>
      <c r="G609" s="268" t="s">
        <v>596</v>
      </c>
      <c r="H609" s="418">
        <v>400</v>
      </c>
      <c r="I609" s="418">
        <v>0</v>
      </c>
      <c r="J609" s="268" t="s">
        <v>596</v>
      </c>
      <c r="K609" s="456">
        <v>90</v>
      </c>
      <c r="L609" s="418">
        <v>0</v>
      </c>
      <c r="M609" s="268" t="s">
        <v>596</v>
      </c>
      <c r="N609" s="418">
        <v>90</v>
      </c>
      <c r="O609" s="418">
        <v>0</v>
      </c>
      <c r="P609" s="418">
        <f t="shared" si="203"/>
        <v>0</v>
      </c>
      <c r="Q609" s="418">
        <f t="shared" si="204"/>
        <v>0</v>
      </c>
    </row>
    <row r="610" spans="2:17" ht="12.75" customHeight="1" x14ac:dyDescent="0.2">
      <c r="B610" s="267"/>
      <c r="G610" s="268"/>
      <c r="H610" s="317"/>
      <c r="I610" s="318" t="str">
        <f t="shared" si="217"/>
        <v xml:space="preserve"> </v>
      </c>
      <c r="J610" s="268"/>
      <c r="K610" s="456"/>
      <c r="L610" s="318" t="str">
        <f t="shared" ref="L610" si="226">IF(J610=0," ",J610*K610)</f>
        <v xml:space="preserve"> </v>
      </c>
      <c r="M610" s="268"/>
      <c r="N610" s="317"/>
      <c r="O610" s="318" t="str">
        <f t="shared" ref="O610" si="227">IF(M610=0," ",M610*N610)</f>
        <v xml:space="preserve"> </v>
      </c>
      <c r="P610" s="318" t="str">
        <f t="shared" ref="P610" si="228">IF(N610=0," ",N610*O610)</f>
        <v xml:space="preserve"> </v>
      </c>
      <c r="Q610" s="318"/>
    </row>
    <row r="611" spans="2:17" ht="12.75" customHeight="1" x14ac:dyDescent="0.2">
      <c r="B611" s="287">
        <v>2200</v>
      </c>
      <c r="C611" s="288" t="s">
        <v>283</v>
      </c>
      <c r="D611" s="289"/>
      <c r="E611" s="290"/>
      <c r="F611" s="291"/>
      <c r="G611" s="291"/>
      <c r="H611" s="422"/>
      <c r="I611" s="423">
        <f>SUM(I550:I610)</f>
        <v>368700</v>
      </c>
      <c r="J611" s="412"/>
      <c r="K611" s="457"/>
      <c r="L611" s="423">
        <f t="shared" ref="L611" si="229">SUM(L550:L610)</f>
        <v>417375</v>
      </c>
      <c r="M611" s="291"/>
      <c r="N611" s="422"/>
      <c r="O611" s="423">
        <f>SUM(O550:O610)</f>
        <v>417375</v>
      </c>
      <c r="P611" s="423"/>
      <c r="Q611" s="423">
        <f t="shared" ref="Q611" si="230">SUM(Q550:Q610)</f>
        <v>0</v>
      </c>
    </row>
    <row r="612" spans="2:17" ht="12.75" customHeight="1" x14ac:dyDescent="0.2">
      <c r="B612" s="239" t="s">
        <v>79</v>
      </c>
      <c r="C612" s="239"/>
      <c r="D612" s="263"/>
      <c r="E612" s="297"/>
      <c r="H612" s="426"/>
      <c r="I612" s="427"/>
      <c r="K612" s="456"/>
      <c r="L612" s="427"/>
      <c r="N612" s="426"/>
      <c r="O612" s="427"/>
      <c r="P612" s="427"/>
      <c r="Q612" s="427"/>
    </row>
    <row r="613" spans="2:17" ht="12.75" customHeight="1" x14ac:dyDescent="0.2">
      <c r="B613" s="239" t="s">
        <v>267</v>
      </c>
      <c r="C613" s="240"/>
      <c r="E613" s="238"/>
      <c r="H613" s="426"/>
      <c r="I613" s="427"/>
      <c r="K613" s="456"/>
      <c r="L613" s="427"/>
      <c r="N613" s="426"/>
      <c r="O613" s="427"/>
      <c r="P613" s="427"/>
      <c r="Q613" s="427"/>
    </row>
    <row r="614" spans="2:17" ht="12.75" customHeight="1" x14ac:dyDescent="0.2">
      <c r="B614" s="243"/>
      <c r="C614" s="243"/>
      <c r="D614" s="244"/>
      <c r="E614" s="245"/>
      <c r="F614" s="246"/>
      <c r="G614" s="246"/>
      <c r="H614" s="428"/>
      <c r="I614" s="429"/>
      <c r="J614" s="246"/>
      <c r="K614" s="456"/>
      <c r="L614" s="429"/>
      <c r="M614" s="246"/>
      <c r="N614" s="428"/>
      <c r="O614" s="429"/>
      <c r="P614" s="429"/>
      <c r="Q614" s="429"/>
    </row>
    <row r="615" spans="2:17" ht="12.75" customHeight="1" x14ac:dyDescent="0.2">
      <c r="B615" s="247" t="s">
        <v>263</v>
      </c>
      <c r="C615" s="248" t="s">
        <v>264</v>
      </c>
      <c r="D615" s="249"/>
      <c r="E615" s="250"/>
      <c r="F615" s="250" t="s">
        <v>265</v>
      </c>
      <c r="G615" s="356" t="s">
        <v>69</v>
      </c>
      <c r="H615" s="251" t="s">
        <v>849</v>
      </c>
      <c r="I615" s="252" t="s">
        <v>849</v>
      </c>
      <c r="J615" s="247" t="s">
        <v>69</v>
      </c>
      <c r="K615" s="457" t="s">
        <v>849</v>
      </c>
      <c r="L615" s="252" t="s">
        <v>849</v>
      </c>
      <c r="M615" s="356" t="s">
        <v>69</v>
      </c>
      <c r="N615" s="251" t="s">
        <v>849</v>
      </c>
      <c r="O615" s="252" t="s">
        <v>849</v>
      </c>
      <c r="P615" s="252" t="s">
        <v>849</v>
      </c>
      <c r="Q615" s="252" t="s">
        <v>849</v>
      </c>
    </row>
    <row r="616" spans="2:17" ht="12.75" customHeight="1" x14ac:dyDescent="0.2">
      <c r="B616" s="253" t="s">
        <v>266</v>
      </c>
      <c r="C616" s="254"/>
      <c r="D616" s="255"/>
      <c r="E616" s="256"/>
      <c r="F616" s="256"/>
      <c r="G616" s="357"/>
      <c r="H616" s="257" t="s">
        <v>262</v>
      </c>
      <c r="I616" s="258" t="s">
        <v>70</v>
      </c>
      <c r="J616" s="253"/>
      <c r="K616" s="457" t="s">
        <v>262</v>
      </c>
      <c r="L616" s="258" t="s">
        <v>70</v>
      </c>
      <c r="M616" s="357"/>
      <c r="N616" s="257" t="s">
        <v>262</v>
      </c>
      <c r="O616" s="258" t="s">
        <v>70</v>
      </c>
      <c r="P616" s="258" t="s">
        <v>70</v>
      </c>
      <c r="Q616" s="258" t="s">
        <v>70</v>
      </c>
    </row>
    <row r="617" spans="2:17" ht="12.75" customHeight="1" x14ac:dyDescent="0.2">
      <c r="B617" s="287">
        <v>2200</v>
      </c>
      <c r="C617" s="288" t="s">
        <v>71</v>
      </c>
      <c r="D617" s="289"/>
      <c r="E617" s="290"/>
      <c r="F617" s="291"/>
      <c r="G617" s="291"/>
      <c r="H617" s="434"/>
      <c r="I617" s="435">
        <f>I611</f>
        <v>368700</v>
      </c>
      <c r="J617" s="291"/>
      <c r="K617" s="457"/>
      <c r="L617" s="435">
        <f t="shared" ref="L617" si="231">L611</f>
        <v>417375</v>
      </c>
      <c r="M617" s="291"/>
      <c r="N617" s="434"/>
      <c r="O617" s="435">
        <f t="shared" ref="O617:Q617" si="232">O611</f>
        <v>417375</v>
      </c>
      <c r="P617" s="435">
        <f t="shared" si="232"/>
        <v>0</v>
      </c>
      <c r="Q617" s="435">
        <f t="shared" si="232"/>
        <v>0</v>
      </c>
    </row>
    <row r="618" spans="2:17" ht="12.75" customHeight="1" x14ac:dyDescent="0.2">
      <c r="B618" s="261"/>
      <c r="C618" s="262"/>
      <c r="D618" s="263"/>
      <c r="E618" s="264"/>
      <c r="G618" s="268"/>
      <c r="H618" s="442"/>
      <c r="I618" s="318"/>
      <c r="J618" s="268"/>
      <c r="K618" s="456"/>
      <c r="L618" s="318"/>
      <c r="M618" s="268"/>
      <c r="N618" s="442"/>
      <c r="O618" s="318"/>
      <c r="P618" s="318"/>
      <c r="Q618" s="318"/>
    </row>
    <row r="619" spans="2:17" ht="12.75" customHeight="1" x14ac:dyDescent="0.2">
      <c r="B619" s="267" t="s">
        <v>758</v>
      </c>
      <c r="C619" s="273" t="s">
        <v>761</v>
      </c>
      <c r="F619" s="265"/>
      <c r="G619" s="268"/>
      <c r="H619" s="317"/>
      <c r="I619" s="318" t="str">
        <f>IF(G619=0," ",G619*H619)</f>
        <v xml:space="preserve"> </v>
      </c>
      <c r="J619" s="268"/>
      <c r="K619" s="456"/>
      <c r="L619" s="318" t="str">
        <f t="shared" ref="L619" si="233">IF(J619=0," ",J619*K619)</f>
        <v xml:space="preserve"> </v>
      </c>
      <c r="M619" s="268"/>
      <c r="N619" s="317"/>
      <c r="O619" s="318" t="str">
        <f t="shared" ref="O619" si="234">IF(M619=0," ",M619*N619)</f>
        <v xml:space="preserve"> </v>
      </c>
      <c r="P619" s="318" t="str">
        <f t="shared" ref="P619" si="235">IF(N619=0," ",N619*O619)</f>
        <v xml:space="preserve"> </v>
      </c>
      <c r="Q619" s="318"/>
    </row>
    <row r="620" spans="2:17" ht="12.75" customHeight="1" x14ac:dyDescent="0.2">
      <c r="B620" s="267"/>
      <c r="C620" s="273" t="s">
        <v>278</v>
      </c>
      <c r="D620" s="241" t="s">
        <v>762</v>
      </c>
      <c r="F620" s="265" t="s">
        <v>254</v>
      </c>
      <c r="G620" s="268" t="s">
        <v>596</v>
      </c>
      <c r="H620" s="418">
        <v>4000</v>
      </c>
      <c r="I620" s="418">
        <v>0</v>
      </c>
      <c r="J620" s="268" t="s">
        <v>596</v>
      </c>
      <c r="K620" s="456">
        <v>3000</v>
      </c>
      <c r="L620" s="418">
        <v>0</v>
      </c>
      <c r="M620" s="268" t="s">
        <v>596</v>
      </c>
      <c r="N620" s="418">
        <v>3000</v>
      </c>
      <c r="O620" s="418">
        <v>0</v>
      </c>
      <c r="P620" s="418">
        <f>K620-N620</f>
        <v>0</v>
      </c>
      <c r="Q620" s="418">
        <f>L620-O620</f>
        <v>0</v>
      </c>
    </row>
    <row r="621" spans="2:17" ht="12.75" customHeight="1" x14ac:dyDescent="0.2">
      <c r="B621" s="267"/>
      <c r="G621" s="268"/>
      <c r="H621" s="418" t="str">
        <f>IF(F621=0," ",F621*G621)</f>
        <v xml:space="preserve"> </v>
      </c>
      <c r="I621" s="418" t="str">
        <f t="shared" ref="I621:I678" si="236">IF(G621=0," ",G621*H621)</f>
        <v xml:space="preserve"> </v>
      </c>
      <c r="J621" s="268"/>
      <c r="K621" s="456" t="s">
        <v>849</v>
      </c>
      <c r="L621" s="418" t="str">
        <f t="shared" ref="L621:L622" si="237">IF(J621=0," ",J621*K621)</f>
        <v xml:space="preserve"> </v>
      </c>
      <c r="M621" s="268"/>
      <c r="N621" s="418"/>
      <c r="O621" s="418" t="str">
        <f t="shared" ref="O621:O622" si="238">IF(M621=0," ",M621*N621)</f>
        <v xml:space="preserve"> </v>
      </c>
      <c r="P621" s="418"/>
      <c r="Q621" s="418"/>
    </row>
    <row r="622" spans="2:17" ht="12.75" customHeight="1" x14ac:dyDescent="0.2">
      <c r="B622" s="267" t="s">
        <v>415</v>
      </c>
      <c r="C622" s="273" t="s">
        <v>319</v>
      </c>
      <c r="F622" s="265"/>
      <c r="G622" s="268"/>
      <c r="H622" s="418" t="str">
        <f>IF(F622=0," ",F622*G622)</f>
        <v xml:space="preserve"> </v>
      </c>
      <c r="I622" s="418" t="str">
        <f t="shared" si="236"/>
        <v xml:space="preserve"> </v>
      </c>
      <c r="J622" s="268"/>
      <c r="K622" s="456" t="s">
        <v>849</v>
      </c>
      <c r="L622" s="418" t="str">
        <f t="shared" si="237"/>
        <v xml:space="preserve"> </v>
      </c>
      <c r="M622" s="268"/>
      <c r="N622" s="418"/>
      <c r="O622" s="418" t="str">
        <f t="shared" si="238"/>
        <v xml:space="preserve"> </v>
      </c>
      <c r="P622" s="418"/>
      <c r="Q622" s="418"/>
    </row>
    <row r="623" spans="2:17" ht="12.75" customHeight="1" x14ac:dyDescent="0.2">
      <c r="B623" s="267"/>
      <c r="C623" s="273" t="s">
        <v>278</v>
      </c>
      <c r="D623" s="241" t="s">
        <v>177</v>
      </c>
      <c r="F623" s="265" t="s">
        <v>310</v>
      </c>
      <c r="G623" s="268" t="s">
        <v>596</v>
      </c>
      <c r="H623" s="418">
        <v>50</v>
      </c>
      <c r="I623" s="418"/>
      <c r="J623" s="268" t="s">
        <v>596</v>
      </c>
      <c r="K623" s="456">
        <v>244.55</v>
      </c>
      <c r="L623" s="418"/>
      <c r="M623" s="268" t="s">
        <v>596</v>
      </c>
      <c r="N623" s="456">
        <v>244.55</v>
      </c>
      <c r="O623" s="418"/>
      <c r="P623" s="418">
        <f t="shared" ref="P623:P633" si="239">K623-N623</f>
        <v>0</v>
      </c>
      <c r="Q623" s="418">
        <f t="shared" ref="Q623:Q633" si="240">L623-O623</f>
        <v>0</v>
      </c>
    </row>
    <row r="624" spans="2:17" ht="12.75" customHeight="1" x14ac:dyDescent="0.2">
      <c r="B624" s="267"/>
      <c r="F624" s="265"/>
      <c r="G624" s="268"/>
      <c r="H624" s="418"/>
      <c r="I624" s="418"/>
      <c r="J624" s="268"/>
      <c r="K624" s="456"/>
      <c r="L624" s="418"/>
      <c r="M624" s="268"/>
      <c r="N624" s="418"/>
      <c r="O624" s="418"/>
      <c r="P624" s="418"/>
      <c r="Q624" s="418"/>
    </row>
    <row r="625" spans="2:17" ht="12.75" customHeight="1" x14ac:dyDescent="0.2">
      <c r="B625" s="267"/>
      <c r="C625" s="273" t="s">
        <v>279</v>
      </c>
      <c r="D625" s="285" t="s">
        <v>197</v>
      </c>
      <c r="E625" s="286"/>
      <c r="F625" s="265" t="s">
        <v>310</v>
      </c>
      <c r="G625" s="268" t="s">
        <v>596</v>
      </c>
      <c r="H625" s="418">
        <v>200</v>
      </c>
      <c r="I625" s="418"/>
      <c r="J625" s="268" t="s">
        <v>596</v>
      </c>
      <c r="K625" s="456">
        <v>1137.04</v>
      </c>
      <c r="L625" s="418"/>
      <c r="M625" s="268" t="s">
        <v>596</v>
      </c>
      <c r="N625" s="418">
        <v>1137.04</v>
      </c>
      <c r="O625" s="418"/>
      <c r="P625" s="418">
        <f t="shared" si="239"/>
        <v>0</v>
      </c>
      <c r="Q625" s="418">
        <f t="shared" si="240"/>
        <v>0</v>
      </c>
    </row>
    <row r="626" spans="2:17" ht="12.75" customHeight="1" x14ac:dyDescent="0.2">
      <c r="B626" s="267"/>
      <c r="D626" s="285"/>
      <c r="E626" s="286"/>
      <c r="F626" s="265"/>
      <c r="G626" s="268"/>
      <c r="H626" s="418"/>
      <c r="I626" s="418"/>
      <c r="J626" s="268"/>
      <c r="K626" s="456"/>
      <c r="L626" s="418"/>
      <c r="M626" s="268"/>
      <c r="N626" s="418"/>
      <c r="O626" s="418"/>
      <c r="P626" s="418"/>
      <c r="Q626" s="418"/>
    </row>
    <row r="627" spans="2:17" ht="12.75" customHeight="1" x14ac:dyDescent="0.2">
      <c r="B627" s="267" t="s">
        <v>416</v>
      </c>
      <c r="C627" s="273" t="s">
        <v>320</v>
      </c>
      <c r="D627" s="285"/>
      <c r="E627" s="286"/>
      <c r="F627" s="265" t="s">
        <v>254</v>
      </c>
      <c r="G627" s="268" t="s">
        <v>596</v>
      </c>
      <c r="H627" s="418">
        <v>240</v>
      </c>
      <c r="I627" s="418"/>
      <c r="J627" s="268" t="s">
        <v>596</v>
      </c>
      <c r="K627" s="456">
        <v>650</v>
      </c>
      <c r="L627" s="418"/>
      <c r="M627" s="268" t="s">
        <v>596</v>
      </c>
      <c r="N627" s="418">
        <v>650</v>
      </c>
      <c r="O627" s="418"/>
      <c r="P627" s="418">
        <f t="shared" si="239"/>
        <v>0</v>
      </c>
      <c r="Q627" s="418">
        <f t="shared" si="240"/>
        <v>0</v>
      </c>
    </row>
    <row r="628" spans="2:17" ht="12.75" customHeight="1" x14ac:dyDescent="0.2">
      <c r="B628" s="267"/>
      <c r="D628" s="285"/>
      <c r="E628" s="286"/>
      <c r="F628" s="265"/>
      <c r="G628" s="268"/>
      <c r="H628" s="418"/>
      <c r="I628" s="418"/>
      <c r="J628" s="268"/>
      <c r="K628" s="456"/>
      <c r="L628" s="418"/>
      <c r="M628" s="268"/>
      <c r="N628" s="418"/>
      <c r="O628" s="418"/>
      <c r="P628" s="418"/>
      <c r="Q628" s="418"/>
    </row>
    <row r="629" spans="2:17" ht="12.75" customHeight="1" x14ac:dyDescent="0.2">
      <c r="B629" s="283">
        <v>22.25</v>
      </c>
      <c r="C629" s="273" t="s">
        <v>198</v>
      </c>
      <c r="F629" s="265" t="s">
        <v>831</v>
      </c>
      <c r="G629" s="268" t="s">
        <v>596</v>
      </c>
      <c r="H629" s="418">
        <v>12</v>
      </c>
      <c r="I629" s="418"/>
      <c r="J629" s="268" t="s">
        <v>596</v>
      </c>
      <c r="K629" s="456">
        <v>19.5</v>
      </c>
      <c r="L629" s="418"/>
      <c r="M629" s="268" t="s">
        <v>596</v>
      </c>
      <c r="N629" s="418">
        <v>19.5</v>
      </c>
      <c r="O629" s="418"/>
      <c r="P629" s="418">
        <f t="shared" si="239"/>
        <v>0</v>
      </c>
      <c r="Q629" s="418">
        <f t="shared" si="240"/>
        <v>0</v>
      </c>
    </row>
    <row r="630" spans="2:17" ht="12.75" customHeight="1" x14ac:dyDescent="0.2">
      <c r="B630" s="283"/>
      <c r="C630" s="273" t="s">
        <v>199</v>
      </c>
      <c r="F630" s="265"/>
      <c r="G630" s="268"/>
      <c r="H630" s="317"/>
      <c r="I630" s="418" t="str">
        <f t="shared" si="236"/>
        <v xml:space="preserve"> </v>
      </c>
      <c r="J630" s="268"/>
      <c r="K630" s="456"/>
      <c r="L630" s="418" t="str">
        <f t="shared" ref="L630:L678" si="241">IF(J630=0," ",J630*K630)</f>
        <v xml:space="preserve"> </v>
      </c>
      <c r="M630" s="268"/>
      <c r="N630" s="317"/>
      <c r="O630" s="418" t="str">
        <f t="shared" ref="O630:O678" si="242">IF(M630=0," ",M630*N630)</f>
        <v xml:space="preserve"> </v>
      </c>
      <c r="P630" s="418"/>
      <c r="Q630" s="418"/>
    </row>
    <row r="631" spans="2:17" ht="12.75" customHeight="1" x14ac:dyDescent="0.2">
      <c r="B631" s="283"/>
      <c r="C631" s="273" t="s">
        <v>200</v>
      </c>
      <c r="F631" s="265"/>
      <c r="G631" s="268"/>
      <c r="H631" s="317"/>
      <c r="I631" s="418" t="str">
        <f t="shared" si="236"/>
        <v xml:space="preserve"> </v>
      </c>
      <c r="J631" s="268"/>
      <c r="K631" s="456"/>
      <c r="L631" s="418" t="str">
        <f t="shared" si="241"/>
        <v xml:space="preserve"> </v>
      </c>
      <c r="M631" s="268"/>
      <c r="N631" s="317"/>
      <c r="O631" s="418" t="str">
        <f t="shared" si="242"/>
        <v xml:space="preserve"> </v>
      </c>
      <c r="P631" s="418"/>
      <c r="Q631" s="418"/>
    </row>
    <row r="632" spans="2:17" ht="12.75" customHeight="1" x14ac:dyDescent="0.2">
      <c r="B632" s="267"/>
      <c r="F632" s="265"/>
      <c r="G632" s="268"/>
      <c r="H632" s="317"/>
      <c r="I632" s="418" t="str">
        <f t="shared" si="236"/>
        <v xml:space="preserve"> </v>
      </c>
      <c r="J632" s="268"/>
      <c r="K632" s="456"/>
      <c r="L632" s="418" t="str">
        <f t="shared" si="241"/>
        <v xml:space="preserve"> </v>
      </c>
      <c r="M632" s="268"/>
      <c r="N632" s="317"/>
      <c r="O632" s="418" t="str">
        <f t="shared" si="242"/>
        <v xml:space="preserve"> </v>
      </c>
      <c r="P632" s="418"/>
      <c r="Q632" s="418"/>
    </row>
    <row r="633" spans="2:17" ht="12.75" customHeight="1" x14ac:dyDescent="0.2">
      <c r="B633" s="267" t="s">
        <v>823</v>
      </c>
      <c r="C633" s="273" t="s">
        <v>824</v>
      </c>
      <c r="F633" s="265" t="s">
        <v>269</v>
      </c>
      <c r="G633" s="419">
        <v>100000</v>
      </c>
      <c r="H633" s="324">
        <v>1</v>
      </c>
      <c r="I633" s="418">
        <f t="shared" si="236"/>
        <v>100000</v>
      </c>
      <c r="J633" s="419">
        <v>100000</v>
      </c>
      <c r="K633" s="456">
        <v>1</v>
      </c>
      <c r="L633" s="418">
        <f t="shared" si="241"/>
        <v>100000</v>
      </c>
      <c r="M633" s="419">
        <v>100000</v>
      </c>
      <c r="N633" s="324">
        <v>1</v>
      </c>
      <c r="O633" s="418">
        <f t="shared" si="242"/>
        <v>100000</v>
      </c>
      <c r="P633" s="418">
        <f t="shared" si="239"/>
        <v>0</v>
      </c>
      <c r="Q633" s="418">
        <f t="shared" si="240"/>
        <v>0</v>
      </c>
    </row>
    <row r="634" spans="2:17" ht="12.75" customHeight="1" x14ac:dyDescent="0.2">
      <c r="B634" s="267"/>
      <c r="C634" s="273" t="s">
        <v>825</v>
      </c>
      <c r="F634" s="265"/>
      <c r="G634" s="268"/>
      <c r="H634" s="317"/>
      <c r="I634" s="418" t="str">
        <f t="shared" si="236"/>
        <v xml:space="preserve"> </v>
      </c>
      <c r="J634" s="268"/>
      <c r="K634" s="456"/>
      <c r="L634" s="418" t="str">
        <f t="shared" si="241"/>
        <v xml:space="preserve"> </v>
      </c>
      <c r="M634" s="268"/>
      <c r="N634" s="317"/>
      <c r="O634" s="418" t="str">
        <f t="shared" si="242"/>
        <v xml:space="preserve"> </v>
      </c>
      <c r="P634" s="418"/>
      <c r="Q634" s="418"/>
    </row>
    <row r="635" spans="2:17" ht="12.75" customHeight="1" x14ac:dyDescent="0.2">
      <c r="B635" s="273"/>
      <c r="F635" s="265"/>
      <c r="G635" s="268"/>
      <c r="H635" s="317"/>
      <c r="I635" s="418" t="str">
        <f t="shared" si="236"/>
        <v xml:space="preserve"> </v>
      </c>
      <c r="J635" s="268"/>
      <c r="K635" s="456"/>
      <c r="L635" s="418" t="str">
        <f t="shared" si="241"/>
        <v xml:space="preserve"> </v>
      </c>
      <c r="M635" s="268"/>
      <c r="N635" s="317"/>
      <c r="O635" s="418" t="str">
        <f t="shared" si="242"/>
        <v xml:space="preserve"> </v>
      </c>
      <c r="P635" s="418" t="str">
        <f t="shared" ref="P635:P678" si="243">IF(N635=0," ",N635*O635)</f>
        <v xml:space="preserve"> </v>
      </c>
      <c r="Q635" s="418"/>
    </row>
    <row r="636" spans="2:17" ht="12.75" customHeight="1" x14ac:dyDescent="0.2">
      <c r="B636" s="273"/>
      <c r="F636" s="265"/>
      <c r="G636" s="268"/>
      <c r="H636" s="317"/>
      <c r="I636" s="418" t="str">
        <f t="shared" si="236"/>
        <v xml:space="preserve"> </v>
      </c>
      <c r="J636" s="268"/>
      <c r="K636" s="456"/>
      <c r="L636" s="418" t="str">
        <f t="shared" si="241"/>
        <v xml:space="preserve"> </v>
      </c>
      <c r="M636" s="268"/>
      <c r="N636" s="317"/>
      <c r="O636" s="418" t="str">
        <f t="shared" si="242"/>
        <v xml:space="preserve"> </v>
      </c>
      <c r="P636" s="418" t="str">
        <f t="shared" si="243"/>
        <v xml:space="preserve"> </v>
      </c>
      <c r="Q636" s="418"/>
    </row>
    <row r="637" spans="2:17" ht="12.75" customHeight="1" x14ac:dyDescent="0.2">
      <c r="B637" s="273"/>
      <c r="F637" s="265"/>
      <c r="G637" s="268"/>
      <c r="H637" s="317"/>
      <c r="I637" s="418" t="str">
        <f t="shared" si="236"/>
        <v xml:space="preserve"> </v>
      </c>
      <c r="J637" s="268"/>
      <c r="K637" s="456"/>
      <c r="L637" s="418" t="str">
        <f t="shared" si="241"/>
        <v xml:space="preserve"> </v>
      </c>
      <c r="M637" s="268"/>
      <c r="N637" s="317"/>
      <c r="O637" s="418" t="str">
        <f t="shared" si="242"/>
        <v xml:space="preserve"> </v>
      </c>
      <c r="P637" s="418" t="str">
        <f t="shared" si="243"/>
        <v xml:space="preserve"> </v>
      </c>
      <c r="Q637" s="418"/>
    </row>
    <row r="638" spans="2:17" ht="12.75" customHeight="1" x14ac:dyDescent="0.2">
      <c r="B638" s="273"/>
      <c r="F638" s="265"/>
      <c r="G638" s="268"/>
      <c r="H638" s="317"/>
      <c r="I638" s="418" t="str">
        <f t="shared" si="236"/>
        <v xml:space="preserve"> </v>
      </c>
      <c r="J638" s="268"/>
      <c r="K638" s="456"/>
      <c r="L638" s="418" t="str">
        <f t="shared" si="241"/>
        <v xml:space="preserve"> </v>
      </c>
      <c r="M638" s="268"/>
      <c r="N638" s="317"/>
      <c r="O638" s="418" t="str">
        <f t="shared" si="242"/>
        <v xml:space="preserve"> </v>
      </c>
      <c r="P638" s="418" t="str">
        <f t="shared" si="243"/>
        <v xml:space="preserve"> </v>
      </c>
      <c r="Q638" s="418"/>
    </row>
    <row r="639" spans="2:17" ht="12.75" customHeight="1" x14ac:dyDescent="0.2">
      <c r="B639" s="273"/>
      <c r="F639" s="265"/>
      <c r="G639" s="268"/>
      <c r="H639" s="317"/>
      <c r="I639" s="418" t="str">
        <f t="shared" si="236"/>
        <v xml:space="preserve"> </v>
      </c>
      <c r="J639" s="268"/>
      <c r="K639" s="456"/>
      <c r="L639" s="418" t="str">
        <f t="shared" si="241"/>
        <v xml:space="preserve"> </v>
      </c>
      <c r="M639" s="268"/>
      <c r="N639" s="317"/>
      <c r="O639" s="418" t="str">
        <f t="shared" si="242"/>
        <v xml:space="preserve"> </v>
      </c>
      <c r="P639" s="418" t="str">
        <f t="shared" si="243"/>
        <v xml:space="preserve"> </v>
      </c>
      <c r="Q639" s="418"/>
    </row>
    <row r="640" spans="2:17" ht="12.75" customHeight="1" x14ac:dyDescent="0.2">
      <c r="B640" s="273"/>
      <c r="F640" s="265"/>
      <c r="G640" s="268"/>
      <c r="H640" s="317"/>
      <c r="I640" s="418" t="str">
        <f t="shared" si="236"/>
        <v xml:space="preserve"> </v>
      </c>
      <c r="J640" s="268"/>
      <c r="K640" s="456"/>
      <c r="L640" s="418" t="str">
        <f t="shared" si="241"/>
        <v xml:space="preserve"> </v>
      </c>
      <c r="M640" s="268"/>
      <c r="N640" s="317"/>
      <c r="O640" s="418" t="str">
        <f t="shared" si="242"/>
        <v xml:space="preserve"> </v>
      </c>
      <c r="P640" s="418" t="str">
        <f t="shared" si="243"/>
        <v xml:space="preserve"> </v>
      </c>
      <c r="Q640" s="418"/>
    </row>
    <row r="641" spans="2:17" ht="12.75" customHeight="1" x14ac:dyDescent="0.2">
      <c r="B641" s="273"/>
      <c r="F641" s="265"/>
      <c r="G641" s="268"/>
      <c r="H641" s="317"/>
      <c r="I641" s="418" t="str">
        <f t="shared" si="236"/>
        <v xml:space="preserve"> </v>
      </c>
      <c r="J641" s="268"/>
      <c r="K641" s="456"/>
      <c r="L641" s="418" t="str">
        <f t="shared" si="241"/>
        <v xml:space="preserve"> </v>
      </c>
      <c r="M641" s="268"/>
      <c r="N641" s="317"/>
      <c r="O641" s="418" t="str">
        <f t="shared" si="242"/>
        <v xml:space="preserve"> </v>
      </c>
      <c r="P641" s="418" t="str">
        <f t="shared" si="243"/>
        <v xml:space="preserve"> </v>
      </c>
      <c r="Q641" s="418"/>
    </row>
    <row r="642" spans="2:17" ht="12.75" customHeight="1" x14ac:dyDescent="0.2">
      <c r="B642" s="273"/>
      <c r="F642" s="265"/>
      <c r="G642" s="268"/>
      <c r="H642" s="317"/>
      <c r="I642" s="418" t="str">
        <f t="shared" si="236"/>
        <v xml:space="preserve"> </v>
      </c>
      <c r="J642" s="268"/>
      <c r="K642" s="456"/>
      <c r="L642" s="418" t="str">
        <f t="shared" si="241"/>
        <v xml:space="preserve"> </v>
      </c>
      <c r="M642" s="268"/>
      <c r="N642" s="317"/>
      <c r="O642" s="418" t="str">
        <f t="shared" si="242"/>
        <v xml:space="preserve"> </v>
      </c>
      <c r="P642" s="418" t="str">
        <f t="shared" si="243"/>
        <v xml:space="preserve"> </v>
      </c>
      <c r="Q642" s="418"/>
    </row>
    <row r="643" spans="2:17" ht="12.75" customHeight="1" x14ac:dyDescent="0.2">
      <c r="B643" s="273"/>
      <c r="F643" s="265"/>
      <c r="G643" s="268"/>
      <c r="H643" s="317"/>
      <c r="I643" s="418" t="str">
        <f t="shared" si="236"/>
        <v xml:space="preserve"> </v>
      </c>
      <c r="J643" s="268"/>
      <c r="K643" s="456"/>
      <c r="L643" s="418" t="str">
        <f t="shared" si="241"/>
        <v xml:space="preserve"> </v>
      </c>
      <c r="M643" s="268"/>
      <c r="N643" s="317"/>
      <c r="O643" s="418" t="str">
        <f t="shared" si="242"/>
        <v xml:space="preserve"> </v>
      </c>
      <c r="P643" s="418" t="str">
        <f t="shared" si="243"/>
        <v xml:space="preserve"> </v>
      </c>
      <c r="Q643" s="418"/>
    </row>
    <row r="644" spans="2:17" ht="12.75" customHeight="1" x14ac:dyDescent="0.2">
      <c r="B644" s="273"/>
      <c r="F644" s="265"/>
      <c r="G644" s="268"/>
      <c r="H644" s="317"/>
      <c r="I644" s="418" t="str">
        <f t="shared" si="236"/>
        <v xml:space="preserve"> </v>
      </c>
      <c r="J644" s="268"/>
      <c r="K644" s="456"/>
      <c r="L644" s="418" t="str">
        <f t="shared" si="241"/>
        <v xml:space="preserve"> </v>
      </c>
      <c r="M644" s="268"/>
      <c r="N644" s="317"/>
      <c r="O644" s="418" t="str">
        <f t="shared" si="242"/>
        <v xml:space="preserve"> </v>
      </c>
      <c r="P644" s="418" t="str">
        <f t="shared" si="243"/>
        <v xml:space="preserve"> </v>
      </c>
      <c r="Q644" s="418"/>
    </row>
    <row r="645" spans="2:17" ht="12.75" customHeight="1" x14ac:dyDescent="0.2">
      <c r="B645" s="273"/>
      <c r="F645" s="265"/>
      <c r="G645" s="268"/>
      <c r="H645" s="317"/>
      <c r="I645" s="418" t="str">
        <f t="shared" si="236"/>
        <v xml:space="preserve"> </v>
      </c>
      <c r="J645" s="268"/>
      <c r="K645" s="456"/>
      <c r="L645" s="418" t="str">
        <f t="shared" si="241"/>
        <v xml:space="preserve"> </v>
      </c>
      <c r="M645" s="268"/>
      <c r="N645" s="317"/>
      <c r="O645" s="418" t="str">
        <f t="shared" si="242"/>
        <v xml:space="preserve"> </v>
      </c>
      <c r="P645" s="418" t="str">
        <f t="shared" si="243"/>
        <v xml:space="preserve"> </v>
      </c>
      <c r="Q645" s="418"/>
    </row>
    <row r="646" spans="2:17" ht="12.75" customHeight="1" x14ac:dyDescent="0.2">
      <c r="B646" s="273"/>
      <c r="F646" s="265"/>
      <c r="G646" s="268"/>
      <c r="H646" s="317"/>
      <c r="I646" s="418" t="str">
        <f t="shared" si="236"/>
        <v xml:space="preserve"> </v>
      </c>
      <c r="J646" s="268"/>
      <c r="K646" s="456"/>
      <c r="L646" s="418" t="str">
        <f t="shared" si="241"/>
        <v xml:space="preserve"> </v>
      </c>
      <c r="M646" s="268"/>
      <c r="N646" s="317"/>
      <c r="O646" s="418" t="str">
        <f t="shared" si="242"/>
        <v xml:space="preserve"> </v>
      </c>
      <c r="P646" s="418" t="str">
        <f t="shared" si="243"/>
        <v xml:space="preserve"> </v>
      </c>
      <c r="Q646" s="418"/>
    </row>
    <row r="647" spans="2:17" ht="12.75" customHeight="1" x14ac:dyDescent="0.2">
      <c r="B647" s="273"/>
      <c r="F647" s="265"/>
      <c r="G647" s="268"/>
      <c r="H647" s="317"/>
      <c r="I647" s="418" t="str">
        <f t="shared" si="236"/>
        <v xml:space="preserve"> </v>
      </c>
      <c r="J647" s="268"/>
      <c r="K647" s="456"/>
      <c r="L647" s="418" t="str">
        <f t="shared" si="241"/>
        <v xml:space="preserve"> </v>
      </c>
      <c r="M647" s="268"/>
      <c r="N647" s="317"/>
      <c r="O647" s="418" t="str">
        <f t="shared" si="242"/>
        <v xml:space="preserve"> </v>
      </c>
      <c r="P647" s="418" t="str">
        <f t="shared" si="243"/>
        <v xml:space="preserve"> </v>
      </c>
      <c r="Q647" s="418"/>
    </row>
    <row r="648" spans="2:17" ht="12.75" customHeight="1" x14ac:dyDescent="0.2">
      <c r="B648" s="273"/>
      <c r="F648" s="265"/>
      <c r="G648" s="268"/>
      <c r="H648" s="317"/>
      <c r="I648" s="418" t="str">
        <f t="shared" si="236"/>
        <v xml:space="preserve"> </v>
      </c>
      <c r="J648" s="268"/>
      <c r="K648" s="456"/>
      <c r="L648" s="418" t="str">
        <f t="shared" si="241"/>
        <v xml:space="preserve"> </v>
      </c>
      <c r="M648" s="268"/>
      <c r="N648" s="317"/>
      <c r="O648" s="418" t="str">
        <f t="shared" si="242"/>
        <v xml:space="preserve"> </v>
      </c>
      <c r="P648" s="418" t="str">
        <f t="shared" si="243"/>
        <v xml:space="preserve"> </v>
      </c>
      <c r="Q648" s="418"/>
    </row>
    <row r="649" spans="2:17" ht="12.75" customHeight="1" x14ac:dyDescent="0.2">
      <c r="B649" s="273"/>
      <c r="F649" s="265"/>
      <c r="G649" s="268"/>
      <c r="H649" s="317"/>
      <c r="I649" s="418" t="str">
        <f t="shared" si="236"/>
        <v xml:space="preserve"> </v>
      </c>
      <c r="J649" s="268"/>
      <c r="K649" s="456"/>
      <c r="L649" s="418" t="str">
        <f t="shared" si="241"/>
        <v xml:space="preserve"> </v>
      </c>
      <c r="M649" s="268"/>
      <c r="N649" s="317"/>
      <c r="O649" s="418" t="str">
        <f t="shared" si="242"/>
        <v xml:space="preserve"> </v>
      </c>
      <c r="P649" s="418" t="str">
        <f t="shared" si="243"/>
        <v xml:space="preserve"> </v>
      </c>
      <c r="Q649" s="418"/>
    </row>
    <row r="650" spans="2:17" ht="12.75" customHeight="1" x14ac:dyDescent="0.2">
      <c r="B650" s="273"/>
      <c r="F650" s="265"/>
      <c r="G650" s="268"/>
      <c r="H650" s="317"/>
      <c r="I650" s="418" t="str">
        <f t="shared" si="236"/>
        <v xml:space="preserve"> </v>
      </c>
      <c r="J650" s="268"/>
      <c r="K650" s="456"/>
      <c r="L650" s="418" t="str">
        <f t="shared" si="241"/>
        <v xml:space="preserve"> </v>
      </c>
      <c r="M650" s="268"/>
      <c r="N650" s="317"/>
      <c r="O650" s="418" t="str">
        <f t="shared" si="242"/>
        <v xml:space="preserve"> </v>
      </c>
      <c r="P650" s="418" t="str">
        <f t="shared" si="243"/>
        <v xml:space="preserve"> </v>
      </c>
      <c r="Q650" s="418"/>
    </row>
    <row r="651" spans="2:17" ht="12.75" customHeight="1" x14ac:dyDescent="0.2">
      <c r="B651" s="273"/>
      <c r="F651" s="265"/>
      <c r="G651" s="268"/>
      <c r="H651" s="317"/>
      <c r="I651" s="418" t="str">
        <f t="shared" si="236"/>
        <v xml:space="preserve"> </v>
      </c>
      <c r="J651" s="268"/>
      <c r="K651" s="456"/>
      <c r="L651" s="418" t="str">
        <f t="shared" si="241"/>
        <v xml:space="preserve"> </v>
      </c>
      <c r="M651" s="268"/>
      <c r="N651" s="317"/>
      <c r="O651" s="418" t="str">
        <f t="shared" si="242"/>
        <v xml:space="preserve"> </v>
      </c>
      <c r="P651" s="418" t="str">
        <f t="shared" si="243"/>
        <v xml:space="preserve"> </v>
      </c>
      <c r="Q651" s="418"/>
    </row>
    <row r="652" spans="2:17" ht="12.75" customHeight="1" x14ac:dyDescent="0.2">
      <c r="B652" s="273"/>
      <c r="F652" s="265"/>
      <c r="G652" s="268"/>
      <c r="H652" s="317"/>
      <c r="I652" s="418" t="str">
        <f t="shared" si="236"/>
        <v xml:space="preserve"> </v>
      </c>
      <c r="J652" s="268"/>
      <c r="K652" s="456"/>
      <c r="L652" s="418" t="str">
        <f t="shared" si="241"/>
        <v xml:space="preserve"> </v>
      </c>
      <c r="M652" s="268"/>
      <c r="N652" s="317"/>
      <c r="O652" s="418" t="str">
        <f t="shared" si="242"/>
        <v xml:space="preserve"> </v>
      </c>
      <c r="P652" s="418" t="str">
        <f t="shared" si="243"/>
        <v xml:space="preserve"> </v>
      </c>
      <c r="Q652" s="418"/>
    </row>
    <row r="653" spans="2:17" ht="12.75" customHeight="1" x14ac:dyDescent="0.2">
      <c r="B653" s="273"/>
      <c r="F653" s="265"/>
      <c r="G653" s="268"/>
      <c r="H653" s="317"/>
      <c r="I653" s="418" t="str">
        <f t="shared" si="236"/>
        <v xml:space="preserve"> </v>
      </c>
      <c r="J653" s="268"/>
      <c r="K653" s="456"/>
      <c r="L653" s="418" t="str">
        <f t="shared" si="241"/>
        <v xml:space="preserve"> </v>
      </c>
      <c r="M653" s="268"/>
      <c r="N653" s="317"/>
      <c r="O653" s="418" t="str">
        <f t="shared" si="242"/>
        <v xml:space="preserve"> </v>
      </c>
      <c r="P653" s="418" t="str">
        <f t="shared" si="243"/>
        <v xml:space="preserve"> </v>
      </c>
      <c r="Q653" s="418"/>
    </row>
    <row r="654" spans="2:17" ht="12.75" customHeight="1" x14ac:dyDescent="0.2">
      <c r="B654" s="273"/>
      <c r="F654" s="265"/>
      <c r="G654" s="268"/>
      <c r="H654" s="317"/>
      <c r="I654" s="418" t="str">
        <f t="shared" si="236"/>
        <v xml:space="preserve"> </v>
      </c>
      <c r="J654" s="268"/>
      <c r="K654" s="456"/>
      <c r="L654" s="418" t="str">
        <f t="shared" si="241"/>
        <v xml:space="preserve"> </v>
      </c>
      <c r="M654" s="268"/>
      <c r="N654" s="317"/>
      <c r="O654" s="418" t="str">
        <f t="shared" si="242"/>
        <v xml:space="preserve"> </v>
      </c>
      <c r="P654" s="418" t="str">
        <f t="shared" si="243"/>
        <v xml:space="preserve"> </v>
      </c>
      <c r="Q654" s="418"/>
    </row>
    <row r="655" spans="2:17" ht="12.75" customHeight="1" x14ac:dyDescent="0.2">
      <c r="B655" s="273"/>
      <c r="F655" s="265"/>
      <c r="G655" s="268"/>
      <c r="H655" s="317"/>
      <c r="I655" s="418" t="str">
        <f t="shared" si="236"/>
        <v xml:space="preserve"> </v>
      </c>
      <c r="J655" s="268"/>
      <c r="K655" s="456"/>
      <c r="L655" s="418" t="str">
        <f t="shared" si="241"/>
        <v xml:space="preserve"> </v>
      </c>
      <c r="M655" s="268"/>
      <c r="N655" s="317"/>
      <c r="O655" s="418" t="str">
        <f t="shared" si="242"/>
        <v xml:space="preserve"> </v>
      </c>
      <c r="P655" s="418" t="str">
        <f t="shared" si="243"/>
        <v xml:space="preserve"> </v>
      </c>
      <c r="Q655" s="418"/>
    </row>
    <row r="656" spans="2:17" ht="12.75" customHeight="1" x14ac:dyDescent="0.2">
      <c r="B656" s="273"/>
      <c r="F656" s="265"/>
      <c r="G656" s="268"/>
      <c r="H656" s="317"/>
      <c r="I656" s="418" t="str">
        <f t="shared" si="236"/>
        <v xml:space="preserve"> </v>
      </c>
      <c r="J656" s="268"/>
      <c r="K656" s="456"/>
      <c r="L656" s="418" t="str">
        <f t="shared" si="241"/>
        <v xml:space="preserve"> </v>
      </c>
      <c r="M656" s="268"/>
      <c r="N656" s="317"/>
      <c r="O656" s="418" t="str">
        <f t="shared" si="242"/>
        <v xml:space="preserve"> </v>
      </c>
      <c r="P656" s="418" t="str">
        <f t="shared" si="243"/>
        <v xml:space="preserve"> </v>
      </c>
      <c r="Q656" s="418"/>
    </row>
    <row r="657" spans="2:17" ht="12.75" customHeight="1" x14ac:dyDescent="0.2">
      <c r="B657" s="273"/>
      <c r="F657" s="265"/>
      <c r="G657" s="268"/>
      <c r="H657" s="317"/>
      <c r="I657" s="418" t="str">
        <f t="shared" si="236"/>
        <v xml:space="preserve"> </v>
      </c>
      <c r="J657" s="268"/>
      <c r="K657" s="456"/>
      <c r="L657" s="418" t="str">
        <f t="shared" si="241"/>
        <v xml:space="preserve"> </v>
      </c>
      <c r="M657" s="268"/>
      <c r="N657" s="317"/>
      <c r="O657" s="418" t="str">
        <f t="shared" si="242"/>
        <v xml:space="preserve"> </v>
      </c>
      <c r="P657" s="418" t="str">
        <f t="shared" si="243"/>
        <v xml:space="preserve"> </v>
      </c>
      <c r="Q657" s="418"/>
    </row>
    <row r="658" spans="2:17" ht="12.75" customHeight="1" x14ac:dyDescent="0.2">
      <c r="B658" s="273"/>
      <c r="F658" s="265"/>
      <c r="G658" s="268"/>
      <c r="H658" s="317"/>
      <c r="I658" s="418" t="str">
        <f t="shared" si="236"/>
        <v xml:space="preserve"> </v>
      </c>
      <c r="J658" s="268"/>
      <c r="K658" s="456"/>
      <c r="L658" s="418" t="str">
        <f t="shared" si="241"/>
        <v xml:space="preserve"> </v>
      </c>
      <c r="M658" s="268"/>
      <c r="N658" s="317"/>
      <c r="O658" s="418" t="str">
        <f t="shared" si="242"/>
        <v xml:space="preserve"> </v>
      </c>
      <c r="P658" s="418" t="str">
        <f t="shared" si="243"/>
        <v xml:space="preserve"> </v>
      </c>
      <c r="Q658" s="418"/>
    </row>
    <row r="659" spans="2:17" ht="12.75" customHeight="1" x14ac:dyDescent="0.2">
      <c r="B659" s="273"/>
      <c r="F659" s="265"/>
      <c r="G659" s="268"/>
      <c r="H659" s="317"/>
      <c r="I659" s="418" t="str">
        <f t="shared" si="236"/>
        <v xml:space="preserve"> </v>
      </c>
      <c r="J659" s="268"/>
      <c r="K659" s="456"/>
      <c r="L659" s="418" t="str">
        <f t="shared" si="241"/>
        <v xml:space="preserve"> </v>
      </c>
      <c r="M659" s="268"/>
      <c r="N659" s="317"/>
      <c r="O659" s="418" t="str">
        <f t="shared" si="242"/>
        <v xml:space="preserve"> </v>
      </c>
      <c r="P659" s="418" t="str">
        <f t="shared" si="243"/>
        <v xml:space="preserve"> </v>
      </c>
      <c r="Q659" s="418"/>
    </row>
    <row r="660" spans="2:17" ht="12.75" customHeight="1" x14ac:dyDescent="0.2">
      <c r="B660" s="273"/>
      <c r="F660" s="265"/>
      <c r="G660" s="268"/>
      <c r="H660" s="317"/>
      <c r="I660" s="418" t="str">
        <f t="shared" si="236"/>
        <v xml:space="preserve"> </v>
      </c>
      <c r="J660" s="268"/>
      <c r="K660" s="456"/>
      <c r="L660" s="418" t="str">
        <f t="shared" si="241"/>
        <v xml:space="preserve"> </v>
      </c>
      <c r="M660" s="268"/>
      <c r="N660" s="317"/>
      <c r="O660" s="418" t="str">
        <f t="shared" si="242"/>
        <v xml:space="preserve"> </v>
      </c>
      <c r="P660" s="418" t="str">
        <f t="shared" si="243"/>
        <v xml:space="preserve"> </v>
      </c>
      <c r="Q660" s="418"/>
    </row>
    <row r="661" spans="2:17" ht="12.75" customHeight="1" x14ac:dyDescent="0.2">
      <c r="B661" s="273"/>
      <c r="F661" s="265"/>
      <c r="G661" s="268"/>
      <c r="H661" s="317"/>
      <c r="I661" s="418" t="str">
        <f t="shared" si="236"/>
        <v xml:space="preserve"> </v>
      </c>
      <c r="J661" s="268"/>
      <c r="K661" s="456"/>
      <c r="L661" s="418" t="str">
        <f t="shared" si="241"/>
        <v xml:space="preserve"> </v>
      </c>
      <c r="M661" s="268"/>
      <c r="N661" s="317"/>
      <c r="O661" s="418" t="str">
        <f t="shared" si="242"/>
        <v xml:space="preserve"> </v>
      </c>
      <c r="P661" s="418" t="str">
        <f t="shared" si="243"/>
        <v xml:space="preserve"> </v>
      </c>
      <c r="Q661" s="418"/>
    </row>
    <row r="662" spans="2:17" ht="12.75" customHeight="1" x14ac:dyDescent="0.2">
      <c r="B662" s="273"/>
      <c r="F662" s="265"/>
      <c r="G662" s="268"/>
      <c r="H662" s="317"/>
      <c r="I662" s="418" t="str">
        <f t="shared" si="236"/>
        <v xml:space="preserve"> </v>
      </c>
      <c r="J662" s="268"/>
      <c r="K662" s="456"/>
      <c r="L662" s="418" t="str">
        <f t="shared" si="241"/>
        <v xml:space="preserve"> </v>
      </c>
      <c r="M662" s="268"/>
      <c r="N662" s="317"/>
      <c r="O662" s="418" t="str">
        <f t="shared" si="242"/>
        <v xml:space="preserve"> </v>
      </c>
      <c r="P662" s="418" t="str">
        <f t="shared" si="243"/>
        <v xml:space="preserve"> </v>
      </c>
      <c r="Q662" s="418"/>
    </row>
    <row r="663" spans="2:17" ht="12.75" customHeight="1" x14ac:dyDescent="0.2">
      <c r="B663" s="273"/>
      <c r="F663" s="265"/>
      <c r="G663" s="268"/>
      <c r="H663" s="317"/>
      <c r="I663" s="418" t="str">
        <f t="shared" si="236"/>
        <v xml:space="preserve"> </v>
      </c>
      <c r="J663" s="268"/>
      <c r="K663" s="456"/>
      <c r="L663" s="418" t="str">
        <f t="shared" si="241"/>
        <v xml:space="preserve"> </v>
      </c>
      <c r="M663" s="268"/>
      <c r="N663" s="317"/>
      <c r="O663" s="418" t="str">
        <f t="shared" si="242"/>
        <v xml:space="preserve"> </v>
      </c>
      <c r="P663" s="418" t="str">
        <f t="shared" si="243"/>
        <v xml:space="preserve"> </v>
      </c>
      <c r="Q663" s="418"/>
    </row>
    <row r="664" spans="2:17" ht="12.75" customHeight="1" x14ac:dyDescent="0.2">
      <c r="B664" s="273"/>
      <c r="F664" s="265"/>
      <c r="G664" s="268"/>
      <c r="H664" s="317"/>
      <c r="I664" s="418" t="str">
        <f t="shared" si="236"/>
        <v xml:space="preserve"> </v>
      </c>
      <c r="J664" s="268"/>
      <c r="K664" s="456"/>
      <c r="L664" s="418" t="str">
        <f t="shared" si="241"/>
        <v xml:space="preserve"> </v>
      </c>
      <c r="M664" s="268"/>
      <c r="N664" s="317"/>
      <c r="O664" s="418" t="str">
        <f t="shared" si="242"/>
        <v xml:space="preserve"> </v>
      </c>
      <c r="P664" s="418" t="str">
        <f t="shared" si="243"/>
        <v xml:space="preserve"> </v>
      </c>
      <c r="Q664" s="418"/>
    </row>
    <row r="665" spans="2:17" ht="12.75" customHeight="1" x14ac:dyDescent="0.2">
      <c r="B665" s="273"/>
      <c r="F665" s="265"/>
      <c r="G665" s="268"/>
      <c r="H665" s="317"/>
      <c r="I665" s="418" t="str">
        <f t="shared" si="236"/>
        <v xml:space="preserve"> </v>
      </c>
      <c r="J665" s="268"/>
      <c r="K665" s="456"/>
      <c r="L665" s="418" t="str">
        <f t="shared" si="241"/>
        <v xml:space="preserve"> </v>
      </c>
      <c r="M665" s="268"/>
      <c r="N665" s="317"/>
      <c r="O665" s="418" t="str">
        <f t="shared" si="242"/>
        <v xml:space="preserve"> </v>
      </c>
      <c r="P665" s="418" t="str">
        <f t="shared" si="243"/>
        <v xml:space="preserve"> </v>
      </c>
      <c r="Q665" s="418"/>
    </row>
    <row r="666" spans="2:17" ht="12.75" customHeight="1" x14ac:dyDescent="0.2">
      <c r="B666" s="273"/>
      <c r="F666" s="265"/>
      <c r="G666" s="268"/>
      <c r="H666" s="317"/>
      <c r="I666" s="418" t="str">
        <f t="shared" si="236"/>
        <v xml:space="preserve"> </v>
      </c>
      <c r="J666" s="268"/>
      <c r="K666" s="456"/>
      <c r="L666" s="418" t="str">
        <f t="shared" si="241"/>
        <v xml:space="preserve"> </v>
      </c>
      <c r="M666" s="268"/>
      <c r="N666" s="317"/>
      <c r="O666" s="418" t="str">
        <f t="shared" si="242"/>
        <v xml:space="preserve"> </v>
      </c>
      <c r="P666" s="418" t="str">
        <f t="shared" si="243"/>
        <v xml:space="preserve"> </v>
      </c>
      <c r="Q666" s="418"/>
    </row>
    <row r="667" spans="2:17" ht="12.75" customHeight="1" x14ac:dyDescent="0.2">
      <c r="B667" s="273"/>
      <c r="F667" s="265"/>
      <c r="G667" s="268"/>
      <c r="H667" s="317"/>
      <c r="I667" s="418" t="str">
        <f t="shared" si="236"/>
        <v xml:space="preserve"> </v>
      </c>
      <c r="J667" s="268"/>
      <c r="K667" s="456"/>
      <c r="L667" s="418" t="str">
        <f t="shared" si="241"/>
        <v xml:space="preserve"> </v>
      </c>
      <c r="M667" s="268"/>
      <c r="N667" s="317"/>
      <c r="O667" s="418" t="str">
        <f t="shared" si="242"/>
        <v xml:space="preserve"> </v>
      </c>
      <c r="P667" s="418" t="str">
        <f t="shared" si="243"/>
        <v xml:space="preserve"> </v>
      </c>
      <c r="Q667" s="418"/>
    </row>
    <row r="668" spans="2:17" ht="12.75" customHeight="1" x14ac:dyDescent="0.2">
      <c r="B668" s="273"/>
      <c r="F668" s="265"/>
      <c r="G668" s="268"/>
      <c r="H668" s="317"/>
      <c r="I668" s="418" t="str">
        <f t="shared" si="236"/>
        <v xml:space="preserve"> </v>
      </c>
      <c r="J668" s="268"/>
      <c r="K668" s="456"/>
      <c r="L668" s="418" t="str">
        <f t="shared" si="241"/>
        <v xml:space="preserve"> </v>
      </c>
      <c r="M668" s="268"/>
      <c r="N668" s="317"/>
      <c r="O668" s="418" t="str">
        <f t="shared" si="242"/>
        <v xml:space="preserve"> </v>
      </c>
      <c r="P668" s="418" t="str">
        <f t="shared" si="243"/>
        <v xml:space="preserve"> </v>
      </c>
      <c r="Q668" s="418"/>
    </row>
    <row r="669" spans="2:17" ht="12.75" customHeight="1" x14ac:dyDescent="0.2">
      <c r="B669" s="273"/>
      <c r="F669" s="265"/>
      <c r="G669" s="268"/>
      <c r="H669" s="317"/>
      <c r="I669" s="418" t="str">
        <f t="shared" si="236"/>
        <v xml:space="preserve"> </v>
      </c>
      <c r="J669" s="268"/>
      <c r="K669" s="456"/>
      <c r="L669" s="418" t="str">
        <f t="shared" si="241"/>
        <v xml:space="preserve"> </v>
      </c>
      <c r="M669" s="268"/>
      <c r="N669" s="317"/>
      <c r="O669" s="418" t="str">
        <f t="shared" si="242"/>
        <v xml:space="preserve"> </v>
      </c>
      <c r="P669" s="418" t="str">
        <f t="shared" si="243"/>
        <v xml:space="preserve"> </v>
      </c>
      <c r="Q669" s="418"/>
    </row>
    <row r="670" spans="2:17" ht="12.75" customHeight="1" x14ac:dyDescent="0.2">
      <c r="B670" s="273"/>
      <c r="F670" s="265"/>
      <c r="G670" s="268"/>
      <c r="H670" s="317"/>
      <c r="I670" s="418" t="str">
        <f t="shared" si="236"/>
        <v xml:space="preserve"> </v>
      </c>
      <c r="J670" s="268"/>
      <c r="K670" s="456"/>
      <c r="L670" s="418" t="str">
        <f t="shared" si="241"/>
        <v xml:space="preserve"> </v>
      </c>
      <c r="M670" s="268"/>
      <c r="N670" s="317"/>
      <c r="O670" s="418" t="str">
        <f t="shared" si="242"/>
        <v xml:space="preserve"> </v>
      </c>
      <c r="P670" s="418" t="str">
        <f t="shared" si="243"/>
        <v xml:space="preserve"> </v>
      </c>
      <c r="Q670" s="418"/>
    </row>
    <row r="671" spans="2:17" ht="12.75" customHeight="1" x14ac:dyDescent="0.2">
      <c r="B671" s="273"/>
      <c r="F671" s="265"/>
      <c r="G671" s="268"/>
      <c r="H671" s="317"/>
      <c r="I671" s="418" t="str">
        <f t="shared" si="236"/>
        <v xml:space="preserve"> </v>
      </c>
      <c r="J671" s="268"/>
      <c r="K671" s="456"/>
      <c r="L671" s="418" t="str">
        <f t="shared" si="241"/>
        <v xml:space="preserve"> </v>
      </c>
      <c r="M671" s="268"/>
      <c r="N671" s="317"/>
      <c r="O671" s="418" t="str">
        <f t="shared" si="242"/>
        <v xml:space="preserve"> </v>
      </c>
      <c r="P671" s="418" t="str">
        <f t="shared" si="243"/>
        <v xml:space="preserve"> </v>
      </c>
      <c r="Q671" s="418"/>
    </row>
    <row r="672" spans="2:17" ht="12.75" customHeight="1" x14ac:dyDescent="0.2">
      <c r="B672" s="273"/>
      <c r="F672" s="265"/>
      <c r="G672" s="268"/>
      <c r="H672" s="317"/>
      <c r="I672" s="418" t="str">
        <f t="shared" si="236"/>
        <v xml:space="preserve"> </v>
      </c>
      <c r="J672" s="268"/>
      <c r="K672" s="456"/>
      <c r="L672" s="418" t="str">
        <f t="shared" si="241"/>
        <v xml:space="preserve"> </v>
      </c>
      <c r="M672" s="268"/>
      <c r="N672" s="317"/>
      <c r="O672" s="418" t="str">
        <f t="shared" si="242"/>
        <v xml:space="preserve"> </v>
      </c>
      <c r="P672" s="418" t="str">
        <f t="shared" si="243"/>
        <v xml:space="preserve"> </v>
      </c>
      <c r="Q672" s="418"/>
    </row>
    <row r="673" spans="2:17" ht="12.75" customHeight="1" x14ac:dyDescent="0.2">
      <c r="B673" s="273"/>
      <c r="F673" s="265"/>
      <c r="G673" s="268"/>
      <c r="H673" s="317"/>
      <c r="I673" s="418" t="str">
        <f t="shared" si="236"/>
        <v xml:space="preserve"> </v>
      </c>
      <c r="J673" s="268"/>
      <c r="K673" s="456"/>
      <c r="L673" s="418" t="str">
        <f t="shared" si="241"/>
        <v xml:space="preserve"> </v>
      </c>
      <c r="M673" s="268"/>
      <c r="N673" s="317"/>
      <c r="O673" s="418" t="str">
        <f t="shared" si="242"/>
        <v xml:space="preserve"> </v>
      </c>
      <c r="P673" s="418" t="str">
        <f t="shared" si="243"/>
        <v xml:space="preserve"> </v>
      </c>
      <c r="Q673" s="418"/>
    </row>
    <row r="674" spans="2:17" ht="12.75" customHeight="1" x14ac:dyDescent="0.2">
      <c r="B674" s="273"/>
      <c r="F674" s="265"/>
      <c r="G674" s="268"/>
      <c r="H674" s="317"/>
      <c r="I674" s="418" t="str">
        <f t="shared" si="236"/>
        <v xml:space="preserve"> </v>
      </c>
      <c r="J674" s="268"/>
      <c r="K674" s="456"/>
      <c r="L674" s="418" t="str">
        <f>IF(J674=L6680," ",J674*K674)</f>
        <v xml:space="preserve"> </v>
      </c>
      <c r="M674" s="268"/>
      <c r="N674" s="317"/>
      <c r="O674" s="418" t="str">
        <f t="shared" si="242"/>
        <v xml:space="preserve"> </v>
      </c>
      <c r="P674" s="418" t="str">
        <f t="shared" si="243"/>
        <v xml:space="preserve"> </v>
      </c>
      <c r="Q674" s="418"/>
    </row>
    <row r="675" spans="2:17" ht="12.75" customHeight="1" x14ac:dyDescent="0.2">
      <c r="B675" s="273"/>
      <c r="F675" s="265"/>
      <c r="G675" s="268"/>
      <c r="H675" s="317"/>
      <c r="I675" s="418" t="str">
        <f t="shared" si="236"/>
        <v xml:space="preserve"> </v>
      </c>
      <c r="J675" s="268"/>
      <c r="K675" s="456"/>
      <c r="L675" s="418" t="str">
        <f t="shared" si="241"/>
        <v xml:space="preserve"> </v>
      </c>
      <c r="M675" s="268"/>
      <c r="N675" s="317"/>
      <c r="O675" s="418" t="str">
        <f t="shared" si="242"/>
        <v xml:space="preserve"> </v>
      </c>
      <c r="P675" s="418" t="str">
        <f t="shared" si="243"/>
        <v xml:space="preserve"> </v>
      </c>
      <c r="Q675" s="418"/>
    </row>
    <row r="676" spans="2:17" ht="12.75" customHeight="1" x14ac:dyDescent="0.2">
      <c r="B676" s="273"/>
      <c r="F676" s="265"/>
      <c r="G676" s="268"/>
      <c r="H676" s="317"/>
      <c r="I676" s="418" t="str">
        <f t="shared" si="236"/>
        <v xml:space="preserve"> </v>
      </c>
      <c r="J676" s="268"/>
      <c r="K676" s="456"/>
      <c r="L676" s="418" t="str">
        <f t="shared" si="241"/>
        <v xml:space="preserve"> </v>
      </c>
      <c r="M676" s="268"/>
      <c r="N676" s="317"/>
      <c r="O676" s="418" t="str">
        <f t="shared" si="242"/>
        <v xml:space="preserve"> </v>
      </c>
      <c r="P676" s="418" t="str">
        <f t="shared" si="243"/>
        <v xml:space="preserve"> </v>
      </c>
      <c r="Q676" s="418"/>
    </row>
    <row r="677" spans="2:17" ht="12.75" customHeight="1" x14ac:dyDescent="0.2">
      <c r="B677" s="273"/>
      <c r="F677" s="265"/>
      <c r="G677" s="268"/>
      <c r="H677" s="317"/>
      <c r="I677" s="418" t="str">
        <f t="shared" si="236"/>
        <v xml:space="preserve"> </v>
      </c>
      <c r="J677" s="268"/>
      <c r="K677" s="456"/>
      <c r="L677" s="418" t="str">
        <f t="shared" si="241"/>
        <v xml:space="preserve"> </v>
      </c>
      <c r="M677" s="268"/>
      <c r="N677" s="317"/>
      <c r="O677" s="418" t="str">
        <f t="shared" si="242"/>
        <v xml:space="preserve"> </v>
      </c>
      <c r="P677" s="418" t="str">
        <f t="shared" si="243"/>
        <v xml:space="preserve"> </v>
      </c>
      <c r="Q677" s="418"/>
    </row>
    <row r="678" spans="2:17" ht="12.75" customHeight="1" x14ac:dyDescent="0.2">
      <c r="B678" s="273"/>
      <c r="F678" s="265"/>
      <c r="G678" s="268"/>
      <c r="H678" s="317"/>
      <c r="I678" s="418" t="str">
        <f t="shared" si="236"/>
        <v xml:space="preserve"> </v>
      </c>
      <c r="J678" s="268"/>
      <c r="K678" s="456"/>
      <c r="L678" s="418" t="str">
        <f t="shared" si="241"/>
        <v xml:space="preserve"> </v>
      </c>
      <c r="M678" s="268"/>
      <c r="N678" s="317"/>
      <c r="O678" s="418" t="str">
        <f t="shared" si="242"/>
        <v xml:space="preserve"> </v>
      </c>
      <c r="P678" s="418" t="str">
        <f t="shared" si="243"/>
        <v xml:space="preserve"> </v>
      </c>
      <c r="Q678" s="418"/>
    </row>
    <row r="679" spans="2:17" ht="12.75" customHeight="1" x14ac:dyDescent="0.2">
      <c r="B679" s="287">
        <v>2200</v>
      </c>
      <c r="C679" s="288" t="s">
        <v>268</v>
      </c>
      <c r="D679" s="289"/>
      <c r="E679" s="290"/>
      <c r="F679" s="291"/>
      <c r="G679" s="291"/>
      <c r="H679" s="422"/>
      <c r="I679" s="423">
        <f>SUM(I617:I678)</f>
        <v>468700</v>
      </c>
      <c r="J679" s="412"/>
      <c r="K679" s="457"/>
      <c r="L679" s="423">
        <f>SUM(L617:L678)</f>
        <v>517375</v>
      </c>
      <c r="M679" s="291"/>
      <c r="N679" s="422"/>
      <c r="O679" s="423">
        <f>SUM(O617:O678)</f>
        <v>517375</v>
      </c>
      <c r="P679" s="423"/>
      <c r="Q679" s="423">
        <f t="shared" ref="Q679" si="244">SUM(Q622:Q678)</f>
        <v>0</v>
      </c>
    </row>
    <row r="680" spans="2:17" ht="12.75" customHeight="1" x14ac:dyDescent="0.2">
      <c r="B680" s="239" t="s">
        <v>79</v>
      </c>
      <c r="C680" s="239"/>
      <c r="D680" s="263"/>
      <c r="E680" s="297"/>
      <c r="H680" s="426"/>
      <c r="I680" s="427"/>
      <c r="K680" s="456"/>
      <c r="L680" s="427"/>
      <c r="N680" s="426"/>
      <c r="O680" s="427"/>
      <c r="P680" s="427"/>
      <c r="Q680" s="427"/>
    </row>
    <row r="681" spans="2:17" ht="12.75" customHeight="1" x14ac:dyDescent="0.2">
      <c r="B681" s="239" t="s">
        <v>267</v>
      </c>
      <c r="C681" s="240"/>
      <c r="E681" s="238"/>
      <c r="K681" s="456"/>
    </row>
    <row r="682" spans="2:17" ht="12.75" customHeight="1" x14ac:dyDescent="0.2">
      <c r="B682" s="243"/>
      <c r="C682" s="243"/>
      <c r="D682" s="244"/>
      <c r="E682" s="245"/>
      <c r="F682" s="246"/>
      <c r="G682" s="246"/>
      <c r="H682" s="410"/>
      <c r="I682" s="443"/>
      <c r="J682" s="246"/>
      <c r="K682" s="456"/>
      <c r="L682" s="443"/>
      <c r="M682" s="246"/>
      <c r="N682" s="410"/>
      <c r="O682" s="443"/>
      <c r="P682" s="443"/>
      <c r="Q682" s="443"/>
    </row>
    <row r="683" spans="2:17" ht="12.75" customHeight="1" x14ac:dyDescent="0.2">
      <c r="B683" s="247" t="s">
        <v>263</v>
      </c>
      <c r="C683" s="248" t="s">
        <v>264</v>
      </c>
      <c r="D683" s="249"/>
      <c r="E683" s="250"/>
      <c r="F683" s="250" t="s">
        <v>265</v>
      </c>
      <c r="G683" s="356" t="s">
        <v>68</v>
      </c>
      <c r="H683" s="251" t="s">
        <v>849</v>
      </c>
      <c r="I683" s="252" t="s">
        <v>849</v>
      </c>
      <c r="J683" s="356" t="s">
        <v>68</v>
      </c>
      <c r="K683" s="457" t="s">
        <v>849</v>
      </c>
      <c r="L683" s="252" t="s">
        <v>849</v>
      </c>
      <c r="M683" s="356" t="s">
        <v>68</v>
      </c>
      <c r="N683" s="251" t="s">
        <v>849</v>
      </c>
      <c r="O683" s="252" t="s">
        <v>849</v>
      </c>
      <c r="P683" s="252" t="s">
        <v>849</v>
      </c>
      <c r="Q683" s="252" t="s">
        <v>849</v>
      </c>
    </row>
    <row r="684" spans="2:17" ht="12.75" customHeight="1" x14ac:dyDescent="0.2">
      <c r="B684" s="253" t="s">
        <v>266</v>
      </c>
      <c r="C684" s="254"/>
      <c r="D684" s="255"/>
      <c r="E684" s="256"/>
      <c r="F684" s="256"/>
      <c r="G684" s="357" t="s">
        <v>69</v>
      </c>
      <c r="H684" s="257" t="s">
        <v>262</v>
      </c>
      <c r="I684" s="258" t="s">
        <v>70</v>
      </c>
      <c r="J684" s="357" t="s">
        <v>69</v>
      </c>
      <c r="K684" s="457" t="s">
        <v>262</v>
      </c>
      <c r="L684" s="258" t="s">
        <v>70</v>
      </c>
      <c r="M684" s="357" t="s">
        <v>69</v>
      </c>
      <c r="N684" s="257" t="s">
        <v>262</v>
      </c>
      <c r="O684" s="258" t="s">
        <v>70</v>
      </c>
      <c r="P684" s="258" t="s">
        <v>70</v>
      </c>
      <c r="Q684" s="258" t="s">
        <v>70</v>
      </c>
    </row>
    <row r="685" spans="2:17" ht="12.75" customHeight="1" x14ac:dyDescent="0.2">
      <c r="B685" s="273"/>
      <c r="F685" s="265"/>
      <c r="G685" s="268"/>
      <c r="H685" s="317"/>
      <c r="I685" s="318"/>
      <c r="J685" s="268"/>
      <c r="K685" s="456"/>
      <c r="L685" s="318"/>
      <c r="M685" s="268"/>
      <c r="N685" s="317"/>
      <c r="O685" s="318"/>
      <c r="P685" s="318"/>
      <c r="Q685" s="318"/>
    </row>
    <row r="686" spans="2:17" ht="12.75" customHeight="1" x14ac:dyDescent="0.2">
      <c r="B686" s="261">
        <v>2300</v>
      </c>
      <c r="C686" s="262" t="s">
        <v>201</v>
      </c>
      <c r="D686" s="263"/>
      <c r="E686" s="264"/>
      <c r="F686" s="265"/>
      <c r="G686" s="268"/>
      <c r="H686" s="317"/>
      <c r="I686" s="318"/>
      <c r="J686" s="268"/>
      <c r="K686" s="456"/>
      <c r="L686" s="318"/>
      <c r="M686" s="268"/>
      <c r="N686" s="317"/>
      <c r="O686" s="318"/>
      <c r="P686" s="318"/>
      <c r="Q686" s="318"/>
    </row>
    <row r="687" spans="2:17" ht="12.75" customHeight="1" x14ac:dyDescent="0.2">
      <c r="B687" s="267"/>
      <c r="C687" s="262" t="s">
        <v>202</v>
      </c>
      <c r="D687" s="263"/>
      <c r="E687" s="264"/>
      <c r="F687" s="265"/>
      <c r="G687" s="268"/>
      <c r="H687" s="317"/>
      <c r="I687" s="318"/>
      <c r="J687" s="268"/>
      <c r="K687" s="456"/>
      <c r="L687" s="318"/>
      <c r="M687" s="268"/>
      <c r="N687" s="317"/>
      <c r="O687" s="318"/>
      <c r="P687" s="318"/>
      <c r="Q687" s="318"/>
    </row>
    <row r="688" spans="2:17" ht="12.75" customHeight="1" x14ac:dyDescent="0.2">
      <c r="B688" s="267"/>
      <c r="C688" s="262" t="s">
        <v>204</v>
      </c>
      <c r="D688" s="263"/>
      <c r="E688" s="264"/>
      <c r="F688" s="265"/>
      <c r="G688" s="268"/>
      <c r="H688" s="317"/>
      <c r="I688" s="318"/>
      <c r="J688" s="268"/>
      <c r="K688" s="456"/>
      <c r="L688" s="318"/>
      <c r="M688" s="268"/>
      <c r="N688" s="317"/>
      <c r="O688" s="318"/>
      <c r="P688" s="318"/>
      <c r="Q688" s="318"/>
    </row>
    <row r="689" spans="2:17" ht="12.75" customHeight="1" x14ac:dyDescent="0.2">
      <c r="B689" s="267"/>
      <c r="F689" s="265"/>
      <c r="G689" s="268"/>
      <c r="H689" s="317"/>
      <c r="I689" s="318"/>
      <c r="J689" s="268"/>
      <c r="K689" s="456"/>
      <c r="L689" s="318"/>
      <c r="M689" s="268"/>
      <c r="N689" s="317"/>
      <c r="O689" s="318"/>
      <c r="P689" s="318"/>
      <c r="Q689" s="318"/>
    </row>
    <row r="690" spans="2:17" ht="12.75" customHeight="1" x14ac:dyDescent="0.2">
      <c r="B690" s="267" t="s">
        <v>90</v>
      </c>
      <c r="C690" s="273" t="s">
        <v>54</v>
      </c>
      <c r="D690" s="285"/>
      <c r="E690" s="286"/>
      <c r="F690" s="265"/>
      <c r="G690" s="268"/>
      <c r="H690" s="317"/>
      <c r="I690" s="318"/>
      <c r="J690" s="268"/>
      <c r="K690" s="456"/>
      <c r="L690" s="318"/>
      <c r="M690" s="268"/>
      <c r="N690" s="317"/>
      <c r="O690" s="318"/>
      <c r="P690" s="318"/>
      <c r="Q690" s="318"/>
    </row>
    <row r="691" spans="2:17" ht="12.75" customHeight="1" x14ac:dyDescent="0.2">
      <c r="B691" s="267"/>
      <c r="C691" s="273" t="s">
        <v>732</v>
      </c>
      <c r="D691" s="285"/>
      <c r="E691" s="286"/>
      <c r="F691" s="265"/>
      <c r="G691" s="268"/>
      <c r="H691" s="317"/>
      <c r="I691" s="318"/>
      <c r="J691" s="268"/>
      <c r="K691" s="456"/>
      <c r="L691" s="318"/>
      <c r="M691" s="268"/>
      <c r="N691" s="317"/>
      <c r="O691" s="318"/>
      <c r="P691" s="318"/>
      <c r="Q691" s="318"/>
    </row>
    <row r="692" spans="2:17" ht="12.75" customHeight="1" x14ac:dyDescent="0.2">
      <c r="B692" s="267"/>
      <c r="C692" s="273" t="s">
        <v>278</v>
      </c>
      <c r="D692" s="241" t="s">
        <v>673</v>
      </c>
      <c r="F692" s="265" t="s">
        <v>310</v>
      </c>
      <c r="G692" s="65" t="s">
        <v>596</v>
      </c>
      <c r="H692" s="418">
        <v>300</v>
      </c>
      <c r="I692" s="418"/>
      <c r="J692" s="65" t="s">
        <v>596</v>
      </c>
      <c r="K692" s="456">
        <v>199</v>
      </c>
      <c r="L692" s="418"/>
      <c r="M692" s="65" t="s">
        <v>596</v>
      </c>
      <c r="N692" s="418">
        <v>199</v>
      </c>
      <c r="O692" s="418"/>
      <c r="P692" s="418">
        <f>K692-N692</f>
        <v>0</v>
      </c>
      <c r="Q692" s="418">
        <f>L692-O692</f>
        <v>0</v>
      </c>
    </row>
    <row r="693" spans="2:17" ht="12.75" customHeight="1" x14ac:dyDescent="0.2">
      <c r="B693" s="267"/>
      <c r="F693" s="265"/>
      <c r="G693" s="268"/>
      <c r="H693" s="418"/>
      <c r="I693" s="418" t="str">
        <f t="shared" ref="I693:I745" si="245">IF(G693=0," ",G693*H693)</f>
        <v xml:space="preserve"> </v>
      </c>
      <c r="J693" s="268"/>
      <c r="K693" s="456"/>
      <c r="L693" s="418" t="str">
        <f t="shared" ref="L693:L694" si="246">IF(J693=0," ",J693*K693)</f>
        <v xml:space="preserve"> </v>
      </c>
      <c r="M693" s="268"/>
      <c r="N693" s="418"/>
      <c r="O693" s="418" t="str">
        <f t="shared" ref="O693:O694" si="247">IF(M693=0," ",M693*N693)</f>
        <v xml:space="preserve"> </v>
      </c>
      <c r="P693" s="418"/>
      <c r="Q693" s="418"/>
    </row>
    <row r="694" spans="2:17" ht="12.75" customHeight="1" x14ac:dyDescent="0.2">
      <c r="B694" s="267"/>
      <c r="C694" s="273" t="s">
        <v>279</v>
      </c>
      <c r="D694" s="241" t="s">
        <v>863</v>
      </c>
      <c r="F694" s="265" t="s">
        <v>310</v>
      </c>
      <c r="G694" s="268">
        <v>2500</v>
      </c>
      <c r="H694" s="418">
        <v>300</v>
      </c>
      <c r="I694" s="418">
        <f t="shared" si="245"/>
        <v>750000</v>
      </c>
      <c r="J694" s="268">
        <v>2500</v>
      </c>
      <c r="K694" s="456">
        <v>215</v>
      </c>
      <c r="L694" s="418">
        <f t="shared" si="246"/>
        <v>537500</v>
      </c>
      <c r="M694" s="268">
        <v>2500</v>
      </c>
      <c r="N694" s="418">
        <v>215</v>
      </c>
      <c r="O694" s="418">
        <f t="shared" si="247"/>
        <v>537500</v>
      </c>
      <c r="P694" s="418">
        <f t="shared" ref="P694:P745" si="248">K694-N694</f>
        <v>0</v>
      </c>
      <c r="Q694" s="418">
        <f t="shared" ref="Q694:Q745" si="249">L694-O694</f>
        <v>0</v>
      </c>
    </row>
    <row r="695" spans="2:17" ht="12.75" customHeight="1" x14ac:dyDescent="0.2">
      <c r="B695" s="267"/>
      <c r="F695" s="265"/>
      <c r="G695" s="268"/>
      <c r="H695" s="418"/>
      <c r="I695" s="418"/>
      <c r="J695" s="268"/>
      <c r="K695" s="456"/>
      <c r="L695" s="418"/>
      <c r="M695" s="268"/>
      <c r="N695" s="418"/>
      <c r="O695" s="418"/>
      <c r="P695" s="418"/>
      <c r="Q695" s="418"/>
    </row>
    <row r="696" spans="2:17" ht="12.75" customHeight="1" x14ac:dyDescent="0.2">
      <c r="B696" s="267"/>
      <c r="D696" s="241" t="s">
        <v>864</v>
      </c>
      <c r="F696" s="265" t="s">
        <v>310</v>
      </c>
      <c r="G696" s="268">
        <v>400</v>
      </c>
      <c r="H696" s="418">
        <v>320</v>
      </c>
      <c r="I696" s="418">
        <f t="shared" ref="I696" si="250">IF(G696=0," ",G696*H696)</f>
        <v>128000</v>
      </c>
      <c r="J696" s="268">
        <v>400</v>
      </c>
      <c r="K696" s="456">
        <v>215</v>
      </c>
      <c r="L696" s="418">
        <f t="shared" ref="L696:L697" si="251">IF(J696=0," ",J696*K696)</f>
        <v>86000</v>
      </c>
      <c r="M696" s="268">
        <v>400</v>
      </c>
      <c r="N696" s="418">
        <v>215</v>
      </c>
      <c r="O696" s="418">
        <f t="shared" ref="O696:O697" si="252">IF(M696=0," ",M696*N696)</f>
        <v>86000</v>
      </c>
      <c r="P696" s="418">
        <f t="shared" si="248"/>
        <v>0</v>
      </c>
      <c r="Q696" s="418">
        <f t="shared" si="249"/>
        <v>0</v>
      </c>
    </row>
    <row r="697" spans="2:17" ht="12.75" customHeight="1" x14ac:dyDescent="0.2">
      <c r="B697" s="267"/>
      <c r="F697" s="265"/>
      <c r="G697" s="268"/>
      <c r="H697" s="418"/>
      <c r="I697" s="418" t="str">
        <f t="shared" si="245"/>
        <v xml:space="preserve"> </v>
      </c>
      <c r="J697" s="268"/>
      <c r="K697" s="456"/>
      <c r="L697" s="418" t="str">
        <f t="shared" si="251"/>
        <v xml:space="preserve"> </v>
      </c>
      <c r="M697" s="268"/>
      <c r="N697" s="418"/>
      <c r="O697" s="418" t="str">
        <f t="shared" si="252"/>
        <v xml:space="preserve"> </v>
      </c>
      <c r="P697" s="418"/>
      <c r="Q697" s="418"/>
    </row>
    <row r="698" spans="2:17" ht="12.75" customHeight="1" x14ac:dyDescent="0.2">
      <c r="B698" s="267"/>
      <c r="C698" s="273" t="s">
        <v>281</v>
      </c>
      <c r="D698" s="241" t="s">
        <v>620</v>
      </c>
      <c r="F698" s="265" t="s">
        <v>310</v>
      </c>
      <c r="G698" s="65" t="s">
        <v>596</v>
      </c>
      <c r="H698" s="418">
        <v>300</v>
      </c>
      <c r="I698" s="418"/>
      <c r="J698" s="65" t="s">
        <v>596</v>
      </c>
      <c r="K698" s="456">
        <v>199</v>
      </c>
      <c r="L698" s="418"/>
      <c r="M698" s="65" t="s">
        <v>596</v>
      </c>
      <c r="N698" s="418">
        <v>199</v>
      </c>
      <c r="O698" s="418"/>
      <c r="P698" s="418">
        <f t="shared" si="248"/>
        <v>0</v>
      </c>
      <c r="Q698" s="418">
        <f t="shared" si="249"/>
        <v>0</v>
      </c>
    </row>
    <row r="699" spans="2:17" ht="12.75" customHeight="1" x14ac:dyDescent="0.2">
      <c r="B699" s="267"/>
      <c r="D699" s="238"/>
      <c r="F699" s="265"/>
      <c r="G699" s="268"/>
      <c r="H699" s="418"/>
      <c r="I699" s="418" t="str">
        <f t="shared" si="245"/>
        <v xml:space="preserve"> </v>
      </c>
      <c r="J699" s="268"/>
      <c r="K699" s="456"/>
      <c r="L699" s="418" t="str">
        <f t="shared" ref="L699:L701" si="253">IF(J699=0," ",J699*K699)</f>
        <v xml:space="preserve"> </v>
      </c>
      <c r="M699" s="268"/>
      <c r="N699" s="418"/>
      <c r="O699" s="418" t="str">
        <f t="shared" ref="O699:O701" si="254">IF(M699=0," ",M699*N699)</f>
        <v xml:space="preserve"> </v>
      </c>
      <c r="P699" s="418"/>
      <c r="Q699" s="418"/>
    </row>
    <row r="700" spans="2:17" ht="12.75" customHeight="1" x14ac:dyDescent="0.2">
      <c r="B700" s="267"/>
      <c r="C700" s="273" t="s">
        <v>282</v>
      </c>
      <c r="D700" s="241" t="s">
        <v>621</v>
      </c>
      <c r="F700" s="265" t="s">
        <v>310</v>
      </c>
      <c r="G700" s="268">
        <v>300</v>
      </c>
      <c r="H700" s="418">
        <v>300</v>
      </c>
      <c r="I700" s="418">
        <f t="shared" si="245"/>
        <v>90000</v>
      </c>
      <c r="J700" s="268">
        <v>300</v>
      </c>
      <c r="K700" s="456">
        <v>199</v>
      </c>
      <c r="L700" s="418">
        <f t="shared" si="253"/>
        <v>59700</v>
      </c>
      <c r="M700" s="268">
        <v>300</v>
      </c>
      <c r="N700" s="418">
        <v>199</v>
      </c>
      <c r="O700" s="418">
        <f t="shared" si="254"/>
        <v>59700</v>
      </c>
      <c r="P700" s="418">
        <f t="shared" si="248"/>
        <v>0</v>
      </c>
      <c r="Q700" s="418">
        <f t="shared" si="249"/>
        <v>0</v>
      </c>
    </row>
    <row r="701" spans="2:17" ht="12.75" customHeight="1" x14ac:dyDescent="0.2">
      <c r="B701" s="267"/>
      <c r="F701" s="265"/>
      <c r="G701" s="268"/>
      <c r="H701" s="418"/>
      <c r="I701" s="418" t="str">
        <f t="shared" si="245"/>
        <v xml:space="preserve"> </v>
      </c>
      <c r="J701" s="268"/>
      <c r="K701" s="456"/>
      <c r="L701" s="418" t="str">
        <f t="shared" si="253"/>
        <v xml:space="preserve"> </v>
      </c>
      <c r="M701" s="268"/>
      <c r="N701" s="418"/>
      <c r="O701" s="418" t="str">
        <f t="shared" si="254"/>
        <v xml:space="preserve"> </v>
      </c>
      <c r="P701" s="418"/>
      <c r="Q701" s="418"/>
    </row>
    <row r="702" spans="2:17" ht="12.75" customHeight="1" x14ac:dyDescent="0.2">
      <c r="B702" s="267"/>
      <c r="C702" s="273" t="s">
        <v>121</v>
      </c>
      <c r="D702" s="241" t="s">
        <v>715</v>
      </c>
      <c r="F702" s="265" t="s">
        <v>310</v>
      </c>
      <c r="G702" s="65" t="s">
        <v>596</v>
      </c>
      <c r="H702" s="418">
        <v>180</v>
      </c>
      <c r="I702" s="418"/>
      <c r="J702" s="65" t="s">
        <v>596</v>
      </c>
      <c r="K702" s="456">
        <v>199</v>
      </c>
      <c r="L702" s="418"/>
      <c r="M702" s="65" t="s">
        <v>596</v>
      </c>
      <c r="N702" s="418">
        <v>199</v>
      </c>
      <c r="O702" s="418"/>
      <c r="P702" s="418">
        <f t="shared" si="248"/>
        <v>0</v>
      </c>
      <c r="Q702" s="418">
        <f t="shared" si="249"/>
        <v>0</v>
      </c>
    </row>
    <row r="703" spans="2:17" ht="12.75" customHeight="1" x14ac:dyDescent="0.2">
      <c r="B703" s="267"/>
      <c r="F703" s="265"/>
      <c r="G703" s="268"/>
      <c r="H703" s="418" t="str">
        <f t="shared" ref="H703:H708" si="255">IF(F703=0," ",F703*G703)</f>
        <v xml:space="preserve"> </v>
      </c>
      <c r="I703" s="418" t="str">
        <f t="shared" si="245"/>
        <v xml:space="preserve"> </v>
      </c>
      <c r="J703" s="268"/>
      <c r="K703" s="456" t="s">
        <v>849</v>
      </c>
      <c r="L703" s="418" t="str">
        <f t="shared" ref="L703:L705" si="256">IF(J703=0," ",J703*K703)</f>
        <v xml:space="preserve"> </v>
      </c>
      <c r="M703" s="268"/>
      <c r="N703" s="418"/>
      <c r="O703" s="418" t="str">
        <f t="shared" ref="O703:O705" si="257">IF(M703=0," ",M703*N703)</f>
        <v xml:space="preserve"> </v>
      </c>
      <c r="P703" s="418"/>
      <c r="Q703" s="418"/>
    </row>
    <row r="704" spans="2:17" ht="12.75" customHeight="1" x14ac:dyDescent="0.2">
      <c r="B704" s="267" t="s">
        <v>764</v>
      </c>
      <c r="C704" s="273" t="s">
        <v>765</v>
      </c>
      <c r="F704" s="265"/>
      <c r="G704" s="268"/>
      <c r="H704" s="418"/>
      <c r="I704" s="418" t="str">
        <f t="shared" si="245"/>
        <v xml:space="preserve"> </v>
      </c>
      <c r="J704" s="268"/>
      <c r="K704" s="456"/>
      <c r="L704" s="418" t="str">
        <f t="shared" si="256"/>
        <v xml:space="preserve"> </v>
      </c>
      <c r="M704" s="268"/>
      <c r="N704" s="418"/>
      <c r="O704" s="418" t="str">
        <f t="shared" si="257"/>
        <v xml:space="preserve"> </v>
      </c>
      <c r="P704" s="418"/>
      <c r="Q704" s="418"/>
    </row>
    <row r="705" spans="2:17" ht="12.75" customHeight="1" x14ac:dyDescent="0.2">
      <c r="B705" s="267"/>
      <c r="C705" s="273" t="s">
        <v>766</v>
      </c>
      <c r="F705" s="265"/>
      <c r="G705" s="268"/>
      <c r="H705" s="418"/>
      <c r="I705" s="418" t="str">
        <f t="shared" si="245"/>
        <v xml:space="preserve"> </v>
      </c>
      <c r="J705" s="268"/>
      <c r="K705" s="456"/>
      <c r="L705" s="418" t="str">
        <f t="shared" si="256"/>
        <v xml:space="preserve"> </v>
      </c>
      <c r="M705" s="268"/>
      <c r="N705" s="418"/>
      <c r="O705" s="418" t="str">
        <f t="shared" si="257"/>
        <v xml:space="preserve"> </v>
      </c>
      <c r="P705" s="418"/>
      <c r="Q705" s="418"/>
    </row>
    <row r="706" spans="2:17" ht="12.75" customHeight="1" x14ac:dyDescent="0.2">
      <c r="B706" s="267"/>
      <c r="C706" s="273" t="s">
        <v>278</v>
      </c>
      <c r="D706" s="241" t="s">
        <v>767</v>
      </c>
      <c r="F706" s="265" t="s">
        <v>310</v>
      </c>
      <c r="G706" s="65" t="s">
        <v>596</v>
      </c>
      <c r="H706" s="418">
        <v>380</v>
      </c>
      <c r="I706" s="418"/>
      <c r="J706" s="65" t="s">
        <v>596</v>
      </c>
      <c r="K706" s="456">
        <v>199</v>
      </c>
      <c r="L706" s="418"/>
      <c r="M706" s="65" t="s">
        <v>596</v>
      </c>
      <c r="N706" s="418">
        <v>199</v>
      </c>
      <c r="O706" s="418"/>
      <c r="P706" s="418">
        <f t="shared" si="248"/>
        <v>0</v>
      </c>
      <c r="Q706" s="418">
        <f t="shared" si="249"/>
        <v>0</v>
      </c>
    </row>
    <row r="707" spans="2:17" ht="12.75" customHeight="1" x14ac:dyDescent="0.2">
      <c r="B707" s="267"/>
      <c r="F707" s="265"/>
      <c r="G707" s="268"/>
      <c r="H707" s="418"/>
      <c r="I707" s="418" t="str">
        <f t="shared" si="245"/>
        <v xml:space="preserve"> </v>
      </c>
      <c r="J707" s="268"/>
      <c r="K707" s="456"/>
      <c r="L707" s="418" t="str">
        <f t="shared" ref="L707:L709" si="258">IF(J707=0," ",J707*K707)</f>
        <v xml:space="preserve"> </v>
      </c>
      <c r="M707" s="268"/>
      <c r="N707" s="418"/>
      <c r="O707" s="418" t="str">
        <f t="shared" ref="O707:O709" si="259">IF(M707=0," ",M707*N707)</f>
        <v xml:space="preserve"> </v>
      </c>
      <c r="P707" s="418"/>
      <c r="Q707" s="418"/>
    </row>
    <row r="708" spans="2:17" ht="12.75" customHeight="1" x14ac:dyDescent="0.2">
      <c r="B708" s="267" t="s">
        <v>417</v>
      </c>
      <c r="C708" s="273" t="s">
        <v>763</v>
      </c>
      <c r="D708" s="285"/>
      <c r="E708" s="286"/>
      <c r="F708" s="265"/>
      <c r="G708" s="268"/>
      <c r="H708" s="418" t="str">
        <f t="shared" si="255"/>
        <v xml:space="preserve"> </v>
      </c>
      <c r="I708" s="418" t="str">
        <f t="shared" si="245"/>
        <v xml:space="preserve"> </v>
      </c>
      <c r="J708" s="268"/>
      <c r="K708" s="456" t="s">
        <v>849</v>
      </c>
      <c r="L708" s="418" t="str">
        <f t="shared" si="258"/>
        <v xml:space="preserve"> </v>
      </c>
      <c r="M708" s="268"/>
      <c r="N708" s="418"/>
      <c r="O708" s="418" t="str">
        <f t="shared" si="259"/>
        <v xml:space="preserve"> </v>
      </c>
      <c r="P708" s="418"/>
      <c r="Q708" s="418"/>
    </row>
    <row r="709" spans="2:17" ht="12.75" customHeight="1" x14ac:dyDescent="0.2">
      <c r="B709" s="267"/>
      <c r="C709" s="273" t="s">
        <v>205</v>
      </c>
      <c r="D709" s="285"/>
      <c r="E709" s="286"/>
      <c r="F709" s="265"/>
      <c r="G709" s="268"/>
      <c r="H709" s="418"/>
      <c r="I709" s="418" t="str">
        <f t="shared" si="245"/>
        <v xml:space="preserve"> </v>
      </c>
      <c r="J709" s="268"/>
      <c r="K709" s="456"/>
      <c r="L709" s="418" t="str">
        <f t="shared" si="258"/>
        <v xml:space="preserve"> </v>
      </c>
      <c r="M709" s="268"/>
      <c r="N709" s="418"/>
      <c r="O709" s="418" t="str">
        <f t="shared" si="259"/>
        <v xml:space="preserve"> </v>
      </c>
      <c r="P709" s="418"/>
      <c r="Q709" s="418"/>
    </row>
    <row r="710" spans="2:17" ht="12.75" customHeight="1" x14ac:dyDescent="0.2">
      <c r="B710" s="267"/>
      <c r="C710" s="273" t="s">
        <v>279</v>
      </c>
      <c r="D710" s="241" t="s">
        <v>716</v>
      </c>
      <c r="F710" s="265" t="s">
        <v>275</v>
      </c>
      <c r="G710" s="65" t="s">
        <v>596</v>
      </c>
      <c r="H710" s="418">
        <v>350</v>
      </c>
      <c r="I710" s="418"/>
      <c r="J710" s="65" t="s">
        <v>596</v>
      </c>
      <c r="K710" s="456">
        <v>450</v>
      </c>
      <c r="L710" s="418"/>
      <c r="M710" s="65" t="s">
        <v>596</v>
      </c>
      <c r="N710" s="418">
        <v>450</v>
      </c>
      <c r="O710" s="418"/>
      <c r="P710" s="418">
        <f t="shared" si="248"/>
        <v>0</v>
      </c>
      <c r="Q710" s="418">
        <f t="shared" si="249"/>
        <v>0</v>
      </c>
    </row>
    <row r="711" spans="2:17" ht="12.75" customHeight="1" x14ac:dyDescent="0.2">
      <c r="B711" s="267"/>
      <c r="F711" s="265"/>
      <c r="G711" s="268"/>
      <c r="H711" s="418"/>
      <c r="I711" s="418" t="str">
        <f t="shared" si="245"/>
        <v xml:space="preserve"> </v>
      </c>
      <c r="J711" s="268"/>
      <c r="K711" s="456"/>
      <c r="L711" s="418" t="str">
        <f t="shared" ref="L711:L721" si="260">IF(J711=0," ",J711*K711)</f>
        <v xml:space="preserve"> </v>
      </c>
      <c r="M711" s="268"/>
      <c r="N711" s="418"/>
      <c r="O711" s="418" t="str">
        <f t="shared" ref="O711:O721" si="261">IF(M711=0," ",M711*N711)</f>
        <v xml:space="preserve"> </v>
      </c>
      <c r="P711" s="418"/>
      <c r="Q711" s="418"/>
    </row>
    <row r="712" spans="2:17" ht="12.75" customHeight="1" x14ac:dyDescent="0.2">
      <c r="B712" s="267" t="s">
        <v>418</v>
      </c>
      <c r="C712" s="273" t="s">
        <v>733</v>
      </c>
      <c r="F712" s="265"/>
      <c r="G712" s="268"/>
      <c r="H712" s="418" t="str">
        <f t="shared" ref="H712:H715" si="262">IF(F712=0," ",F712*G712)</f>
        <v xml:space="preserve"> </v>
      </c>
      <c r="I712" s="418" t="str">
        <f t="shared" si="245"/>
        <v xml:space="preserve"> </v>
      </c>
      <c r="J712" s="268"/>
      <c r="K712" s="456" t="s">
        <v>849</v>
      </c>
      <c r="L712" s="418" t="str">
        <f t="shared" si="260"/>
        <v xml:space="preserve"> </v>
      </c>
      <c r="M712" s="268"/>
      <c r="N712" s="418"/>
      <c r="O712" s="418" t="str">
        <f t="shared" si="261"/>
        <v xml:space="preserve"> </v>
      </c>
      <c r="P712" s="418"/>
      <c r="Q712" s="418"/>
    </row>
    <row r="713" spans="2:17" ht="12.75" customHeight="1" x14ac:dyDescent="0.2">
      <c r="B713" s="267"/>
      <c r="C713" s="273" t="s">
        <v>278</v>
      </c>
      <c r="D713" s="241" t="s">
        <v>206</v>
      </c>
      <c r="F713" s="265" t="s">
        <v>310</v>
      </c>
      <c r="G713" s="268">
        <f>10*18</f>
        <v>180</v>
      </c>
      <c r="H713" s="418">
        <v>340</v>
      </c>
      <c r="I713" s="418">
        <f t="shared" si="245"/>
        <v>61200</v>
      </c>
      <c r="J713" s="268">
        <f t="shared" ref="J713" si="263">10*18</f>
        <v>180</v>
      </c>
      <c r="K713" s="456">
        <v>350</v>
      </c>
      <c r="L713" s="418">
        <f t="shared" si="260"/>
        <v>63000</v>
      </c>
      <c r="M713" s="268">
        <f t="shared" ref="M713" si="264">10*18</f>
        <v>180</v>
      </c>
      <c r="N713" s="418">
        <v>350</v>
      </c>
      <c r="O713" s="418">
        <f t="shared" si="261"/>
        <v>63000</v>
      </c>
      <c r="P713" s="418">
        <f t="shared" si="248"/>
        <v>0</v>
      </c>
      <c r="Q713" s="418">
        <f t="shared" si="249"/>
        <v>0</v>
      </c>
    </row>
    <row r="714" spans="2:17" ht="12.75" customHeight="1" x14ac:dyDescent="0.2">
      <c r="B714" s="267"/>
      <c r="F714" s="265"/>
      <c r="G714" s="268"/>
      <c r="H714" s="418" t="str">
        <f t="shared" si="262"/>
        <v xml:space="preserve"> </v>
      </c>
      <c r="I714" s="418" t="str">
        <f t="shared" si="245"/>
        <v xml:space="preserve"> </v>
      </c>
      <c r="J714" s="268"/>
      <c r="K714" s="456" t="s">
        <v>849</v>
      </c>
      <c r="L714" s="418" t="str">
        <f t="shared" si="260"/>
        <v xml:space="preserve"> </v>
      </c>
      <c r="M714" s="268"/>
      <c r="N714" s="418"/>
      <c r="O714" s="418" t="str">
        <f t="shared" si="261"/>
        <v xml:space="preserve"> </v>
      </c>
      <c r="P714" s="418"/>
      <c r="Q714" s="418"/>
    </row>
    <row r="715" spans="2:17" ht="12.75" customHeight="1" x14ac:dyDescent="0.2">
      <c r="B715" s="267" t="s">
        <v>419</v>
      </c>
      <c r="C715" s="273" t="s">
        <v>674</v>
      </c>
      <c r="F715" s="265"/>
      <c r="G715" s="268"/>
      <c r="H715" s="418" t="str">
        <f t="shared" si="262"/>
        <v xml:space="preserve"> </v>
      </c>
      <c r="I715" s="418" t="str">
        <f t="shared" si="245"/>
        <v xml:space="preserve"> </v>
      </c>
      <c r="J715" s="268"/>
      <c r="K715" s="456" t="s">
        <v>849</v>
      </c>
      <c r="L715" s="418" t="str">
        <f t="shared" si="260"/>
        <v xml:space="preserve"> </v>
      </c>
      <c r="M715" s="268"/>
      <c r="N715" s="418"/>
      <c r="O715" s="418" t="str">
        <f t="shared" si="261"/>
        <v xml:space="preserve"> </v>
      </c>
      <c r="P715" s="418"/>
      <c r="Q715" s="418"/>
    </row>
    <row r="716" spans="2:17" ht="12.75" customHeight="1" x14ac:dyDescent="0.2">
      <c r="B716" s="267"/>
      <c r="C716" s="273" t="s">
        <v>278</v>
      </c>
      <c r="D716" s="241" t="s">
        <v>734</v>
      </c>
      <c r="F716" s="265" t="s">
        <v>254</v>
      </c>
      <c r="G716" s="268">
        <v>15</v>
      </c>
      <c r="H716" s="418">
        <v>650</v>
      </c>
      <c r="I716" s="418">
        <f t="shared" si="245"/>
        <v>9750</v>
      </c>
      <c r="J716" s="268">
        <v>15</v>
      </c>
      <c r="K716" s="456">
        <v>6500</v>
      </c>
      <c r="L716" s="418">
        <f t="shared" si="260"/>
        <v>97500</v>
      </c>
      <c r="M716" s="268">
        <v>15</v>
      </c>
      <c r="N716" s="418">
        <v>6500</v>
      </c>
      <c r="O716" s="418">
        <f t="shared" si="261"/>
        <v>97500</v>
      </c>
      <c r="P716" s="418">
        <f t="shared" si="248"/>
        <v>0</v>
      </c>
      <c r="Q716" s="418">
        <f t="shared" si="249"/>
        <v>0</v>
      </c>
    </row>
    <row r="717" spans="2:17" ht="12.75" customHeight="1" x14ac:dyDescent="0.2">
      <c r="B717" s="267"/>
      <c r="F717" s="265"/>
      <c r="G717" s="268"/>
      <c r="H717" s="418"/>
      <c r="I717" s="418" t="str">
        <f t="shared" si="245"/>
        <v xml:space="preserve"> </v>
      </c>
      <c r="J717" s="268"/>
      <c r="K717" s="456"/>
      <c r="L717" s="418" t="str">
        <f t="shared" si="260"/>
        <v xml:space="preserve"> </v>
      </c>
      <c r="M717" s="268"/>
      <c r="N717" s="418"/>
      <c r="O717" s="418" t="str">
        <f t="shared" si="261"/>
        <v xml:space="preserve"> </v>
      </c>
      <c r="P717" s="418"/>
      <c r="Q717" s="418"/>
    </row>
    <row r="718" spans="2:17" ht="12.75" customHeight="1" x14ac:dyDescent="0.2">
      <c r="B718" s="267"/>
      <c r="C718" s="273" t="s">
        <v>279</v>
      </c>
      <c r="D718" s="241" t="s">
        <v>735</v>
      </c>
      <c r="F718" s="265" t="s">
        <v>254</v>
      </c>
      <c r="G718" s="268">
        <v>3</v>
      </c>
      <c r="H718" s="418">
        <v>1000</v>
      </c>
      <c r="I718" s="418">
        <f t="shared" si="245"/>
        <v>3000</v>
      </c>
      <c r="J718" s="268">
        <v>3</v>
      </c>
      <c r="K718" s="456">
        <v>6500</v>
      </c>
      <c r="L718" s="418">
        <f t="shared" si="260"/>
        <v>19500</v>
      </c>
      <c r="M718" s="268">
        <v>3</v>
      </c>
      <c r="N718" s="418">
        <v>6500</v>
      </c>
      <c r="O718" s="418">
        <f t="shared" si="261"/>
        <v>19500</v>
      </c>
      <c r="P718" s="418">
        <f t="shared" si="248"/>
        <v>0</v>
      </c>
      <c r="Q718" s="418">
        <f t="shared" si="249"/>
        <v>0</v>
      </c>
    </row>
    <row r="719" spans="2:17" ht="12.75" customHeight="1" x14ac:dyDescent="0.2">
      <c r="B719" s="267"/>
      <c r="F719" s="265"/>
      <c r="G719" s="268"/>
      <c r="H719" s="418"/>
      <c r="I719" s="418" t="str">
        <f t="shared" si="245"/>
        <v xml:space="preserve"> </v>
      </c>
      <c r="J719" s="268"/>
      <c r="K719" s="456"/>
      <c r="L719" s="418" t="str">
        <f t="shared" si="260"/>
        <v xml:space="preserve"> </v>
      </c>
      <c r="M719" s="268"/>
      <c r="N719" s="418"/>
      <c r="O719" s="418" t="str">
        <f t="shared" si="261"/>
        <v xml:space="preserve"> </v>
      </c>
      <c r="P719" s="418"/>
      <c r="Q719" s="418"/>
    </row>
    <row r="720" spans="2:17" ht="12.75" customHeight="1" x14ac:dyDescent="0.2">
      <c r="B720" s="267"/>
      <c r="C720" s="273" t="s">
        <v>276</v>
      </c>
      <c r="D720" s="241" t="s">
        <v>736</v>
      </c>
      <c r="F720" s="265" t="s">
        <v>254</v>
      </c>
      <c r="G720" s="268">
        <v>18</v>
      </c>
      <c r="H720" s="418">
        <v>1000</v>
      </c>
      <c r="I720" s="418">
        <f t="shared" si="245"/>
        <v>18000</v>
      </c>
      <c r="J720" s="268">
        <v>18</v>
      </c>
      <c r="K720" s="456">
        <v>6500</v>
      </c>
      <c r="L720" s="418">
        <f t="shared" si="260"/>
        <v>117000</v>
      </c>
      <c r="M720" s="268">
        <v>18</v>
      </c>
      <c r="N720" s="418">
        <v>6500</v>
      </c>
      <c r="O720" s="418">
        <f t="shared" si="261"/>
        <v>117000</v>
      </c>
      <c r="P720" s="418">
        <f t="shared" si="248"/>
        <v>0</v>
      </c>
      <c r="Q720" s="418">
        <f t="shared" si="249"/>
        <v>0</v>
      </c>
    </row>
    <row r="721" spans="2:17" ht="12.75" customHeight="1" x14ac:dyDescent="0.2">
      <c r="B721" s="267"/>
      <c r="F721" s="265"/>
      <c r="G721" s="268"/>
      <c r="H721" s="418"/>
      <c r="I721" s="418" t="str">
        <f t="shared" si="245"/>
        <v xml:space="preserve"> </v>
      </c>
      <c r="J721" s="268"/>
      <c r="K721" s="456"/>
      <c r="L721" s="418" t="str">
        <f t="shared" si="260"/>
        <v xml:space="preserve"> </v>
      </c>
      <c r="M721" s="268"/>
      <c r="N721" s="418"/>
      <c r="O721" s="418" t="str">
        <f t="shared" si="261"/>
        <v xml:space="preserve"> </v>
      </c>
      <c r="P721" s="418"/>
      <c r="Q721" s="418"/>
    </row>
    <row r="722" spans="2:17" ht="12.75" customHeight="1" x14ac:dyDescent="0.2">
      <c r="B722" s="267"/>
      <c r="C722" s="273" t="s">
        <v>121</v>
      </c>
      <c r="D722" s="241" t="s">
        <v>737</v>
      </c>
      <c r="F722" s="265" t="s">
        <v>254</v>
      </c>
      <c r="G722" s="65" t="s">
        <v>596</v>
      </c>
      <c r="H722" s="418">
        <v>500</v>
      </c>
      <c r="I722" s="418"/>
      <c r="J722" s="65" t="s">
        <v>596</v>
      </c>
      <c r="K722" s="456">
        <v>9000</v>
      </c>
      <c r="L722" s="418"/>
      <c r="M722" s="65" t="s">
        <v>596</v>
      </c>
      <c r="N722" s="418">
        <v>9000</v>
      </c>
      <c r="O722" s="418"/>
      <c r="P722" s="418">
        <f t="shared" si="248"/>
        <v>0</v>
      </c>
      <c r="Q722" s="418">
        <f t="shared" si="249"/>
        <v>0</v>
      </c>
    </row>
    <row r="723" spans="2:17" ht="12.75" customHeight="1" x14ac:dyDescent="0.2">
      <c r="B723" s="267"/>
      <c r="F723" s="265"/>
      <c r="G723" s="275"/>
      <c r="H723" s="418" t="str">
        <f>IF(F723=0," ",F723*G723)</f>
        <v xml:space="preserve"> </v>
      </c>
      <c r="I723" s="418" t="str">
        <f t="shared" si="245"/>
        <v xml:space="preserve"> </v>
      </c>
      <c r="J723" s="275"/>
      <c r="K723" s="456" t="s">
        <v>849</v>
      </c>
      <c r="L723" s="418" t="str">
        <f t="shared" ref="L723:L727" si="265">IF(J723=0," ",J723*K723)</f>
        <v xml:space="preserve"> </v>
      </c>
      <c r="M723" s="275"/>
      <c r="N723" s="418"/>
      <c r="O723" s="418" t="str">
        <f t="shared" ref="O723:O727" si="266">IF(M723=0," ",M723*N723)</f>
        <v xml:space="preserve"> </v>
      </c>
      <c r="P723" s="418"/>
      <c r="Q723" s="418"/>
    </row>
    <row r="724" spans="2:17" ht="12.75" customHeight="1" x14ac:dyDescent="0.2">
      <c r="B724" s="267"/>
      <c r="C724" s="273" t="s">
        <v>122</v>
      </c>
      <c r="D724" s="241" t="s">
        <v>622</v>
      </c>
      <c r="F724" s="265" t="s">
        <v>254</v>
      </c>
      <c r="G724" s="268">
        <v>8</v>
      </c>
      <c r="H724" s="418">
        <v>600</v>
      </c>
      <c r="I724" s="418">
        <f t="shared" si="245"/>
        <v>4800</v>
      </c>
      <c r="J724" s="268">
        <v>8</v>
      </c>
      <c r="K724" s="456">
        <v>3000</v>
      </c>
      <c r="L724" s="418">
        <f t="shared" si="265"/>
        <v>24000</v>
      </c>
      <c r="M724" s="268">
        <v>8</v>
      </c>
      <c r="N724" s="418">
        <v>3000</v>
      </c>
      <c r="O724" s="418">
        <f t="shared" si="266"/>
        <v>24000</v>
      </c>
      <c r="P724" s="418">
        <f t="shared" si="248"/>
        <v>0</v>
      </c>
      <c r="Q724" s="418">
        <f t="shared" si="249"/>
        <v>0</v>
      </c>
    </row>
    <row r="725" spans="2:17" ht="12.75" customHeight="1" x14ac:dyDescent="0.2">
      <c r="B725" s="267"/>
      <c r="D725" s="241" t="s">
        <v>738</v>
      </c>
      <c r="F725" s="265"/>
      <c r="G725" s="268"/>
      <c r="H725" s="418"/>
      <c r="I725" s="418" t="str">
        <f t="shared" si="245"/>
        <v xml:space="preserve"> </v>
      </c>
      <c r="J725" s="268"/>
      <c r="K725" s="456"/>
      <c r="L725" s="418" t="str">
        <f t="shared" si="265"/>
        <v xml:space="preserve"> </v>
      </c>
      <c r="M725" s="268"/>
      <c r="N725" s="418"/>
      <c r="O725" s="418" t="str">
        <f t="shared" si="266"/>
        <v xml:space="preserve"> </v>
      </c>
      <c r="P725" s="418"/>
      <c r="Q725" s="418"/>
    </row>
    <row r="726" spans="2:17" ht="12.75" customHeight="1" x14ac:dyDescent="0.2">
      <c r="B726" s="267"/>
      <c r="C726" s="273" t="s">
        <v>123</v>
      </c>
      <c r="D726" s="241" t="s">
        <v>623</v>
      </c>
      <c r="F726" s="265" t="s">
        <v>254</v>
      </c>
      <c r="G726" s="268">
        <v>8</v>
      </c>
      <c r="H726" s="418">
        <v>1000</v>
      </c>
      <c r="I726" s="418">
        <f t="shared" si="245"/>
        <v>8000</v>
      </c>
      <c r="J726" s="268">
        <v>8</v>
      </c>
      <c r="K726" s="456">
        <v>3000</v>
      </c>
      <c r="L726" s="418">
        <f t="shared" si="265"/>
        <v>24000</v>
      </c>
      <c r="M726" s="268">
        <v>8</v>
      </c>
      <c r="N726" s="418">
        <v>3000</v>
      </c>
      <c r="O726" s="418">
        <f t="shared" si="266"/>
        <v>24000</v>
      </c>
      <c r="P726" s="418">
        <f t="shared" si="248"/>
        <v>0</v>
      </c>
      <c r="Q726" s="418">
        <f t="shared" si="249"/>
        <v>0</v>
      </c>
    </row>
    <row r="727" spans="2:17" ht="12.75" customHeight="1" x14ac:dyDescent="0.2">
      <c r="B727" s="331"/>
      <c r="D727" s="241" t="s">
        <v>738</v>
      </c>
      <c r="F727" s="265"/>
      <c r="G727" s="268"/>
      <c r="H727" s="418"/>
      <c r="I727" s="418" t="str">
        <f t="shared" si="245"/>
        <v xml:space="preserve"> </v>
      </c>
      <c r="J727" s="268"/>
      <c r="K727" s="456"/>
      <c r="L727" s="418" t="str">
        <f t="shared" si="265"/>
        <v xml:space="preserve"> </v>
      </c>
      <c r="M727" s="268"/>
      <c r="N727" s="418"/>
      <c r="O727" s="418" t="str">
        <f t="shared" si="266"/>
        <v xml:space="preserve"> </v>
      </c>
      <c r="P727" s="418"/>
      <c r="Q727" s="418"/>
    </row>
    <row r="728" spans="2:17" ht="12.75" customHeight="1" x14ac:dyDescent="0.2">
      <c r="B728" s="267"/>
      <c r="C728" s="273" t="s">
        <v>277</v>
      </c>
      <c r="D728" s="241" t="s">
        <v>207</v>
      </c>
      <c r="F728" s="265" t="s">
        <v>254</v>
      </c>
      <c r="G728" s="65" t="s">
        <v>596</v>
      </c>
      <c r="H728" s="418">
        <v>10000</v>
      </c>
      <c r="I728" s="418"/>
      <c r="J728" s="65" t="s">
        <v>596</v>
      </c>
      <c r="K728" s="456">
        <v>3000</v>
      </c>
      <c r="L728" s="418"/>
      <c r="M728" s="65" t="s">
        <v>596</v>
      </c>
      <c r="N728" s="418">
        <v>3000</v>
      </c>
      <c r="O728" s="418"/>
      <c r="P728" s="418">
        <f t="shared" si="248"/>
        <v>0</v>
      </c>
      <c r="Q728" s="418">
        <f t="shared" si="249"/>
        <v>0</v>
      </c>
    </row>
    <row r="729" spans="2:17" ht="12.75" customHeight="1" x14ac:dyDescent="0.2">
      <c r="B729" s="267"/>
      <c r="D729" s="241" t="s">
        <v>739</v>
      </c>
      <c r="F729" s="265"/>
      <c r="G729" s="268"/>
      <c r="H729" s="418"/>
      <c r="I729" s="418" t="str">
        <f t="shared" si="245"/>
        <v xml:space="preserve"> </v>
      </c>
      <c r="J729" s="268"/>
      <c r="K729" s="456"/>
      <c r="L729" s="418" t="str">
        <f t="shared" ref="L729:L746" si="267">IF(J729=0," ",J729*K729)</f>
        <v xml:space="preserve"> </v>
      </c>
      <c r="M729" s="268"/>
      <c r="N729" s="418"/>
      <c r="O729" s="418" t="str">
        <f t="shared" ref="O729:O746" si="268">IF(M729=0," ",M729*N729)</f>
        <v xml:space="preserve"> </v>
      </c>
      <c r="P729" s="418"/>
      <c r="Q729" s="418"/>
    </row>
    <row r="730" spans="2:17" ht="12.75" customHeight="1" x14ac:dyDescent="0.2">
      <c r="B730" s="273"/>
      <c r="C730" s="315"/>
      <c r="D730" s="316"/>
      <c r="E730" s="308"/>
      <c r="F730" s="310"/>
      <c r="G730" s="298"/>
      <c r="H730" s="418"/>
      <c r="I730" s="418" t="str">
        <f t="shared" si="245"/>
        <v xml:space="preserve"> </v>
      </c>
      <c r="J730" s="298"/>
      <c r="K730" s="456"/>
      <c r="L730" s="418" t="str">
        <f t="shared" si="267"/>
        <v xml:space="preserve"> </v>
      </c>
      <c r="M730" s="298"/>
      <c r="N730" s="418"/>
      <c r="O730" s="418" t="str">
        <f t="shared" si="268"/>
        <v xml:space="preserve"> </v>
      </c>
      <c r="P730" s="418"/>
      <c r="Q730" s="418"/>
    </row>
    <row r="731" spans="2:17" ht="12.75" customHeight="1" x14ac:dyDescent="0.2">
      <c r="B731" s="267" t="s">
        <v>420</v>
      </c>
      <c r="C731" s="273" t="s">
        <v>324</v>
      </c>
      <c r="D731" s="285"/>
      <c r="E731" s="286"/>
      <c r="F731" s="265"/>
      <c r="G731" s="268"/>
      <c r="H731" s="418" t="str">
        <f t="shared" ref="H731" si="269">IF(F731=0," ",F731*G731)</f>
        <v xml:space="preserve"> </v>
      </c>
      <c r="I731" s="418" t="str">
        <f t="shared" si="245"/>
        <v xml:space="preserve"> </v>
      </c>
      <c r="J731" s="268"/>
      <c r="K731" s="456" t="s">
        <v>849</v>
      </c>
      <c r="L731" s="418" t="str">
        <f t="shared" si="267"/>
        <v xml:space="preserve"> </v>
      </c>
      <c r="M731" s="268"/>
      <c r="N731" s="418"/>
      <c r="O731" s="418" t="str">
        <f t="shared" si="268"/>
        <v xml:space="preserve"> </v>
      </c>
      <c r="P731" s="418"/>
      <c r="Q731" s="418"/>
    </row>
    <row r="732" spans="2:17" ht="12.75" customHeight="1" x14ac:dyDescent="0.2">
      <c r="B732" s="267"/>
      <c r="C732" s="273" t="s">
        <v>278</v>
      </c>
      <c r="D732" s="285" t="s">
        <v>208</v>
      </c>
      <c r="E732" s="286"/>
      <c r="F732" s="265" t="s">
        <v>275</v>
      </c>
      <c r="G732" s="268">
        <v>3000</v>
      </c>
      <c r="H732" s="418">
        <v>10</v>
      </c>
      <c r="I732" s="418">
        <f t="shared" si="245"/>
        <v>30000</v>
      </c>
      <c r="J732" s="268">
        <v>3000</v>
      </c>
      <c r="K732" s="456">
        <v>45</v>
      </c>
      <c r="L732" s="418">
        <f t="shared" si="267"/>
        <v>135000</v>
      </c>
      <c r="M732" s="268">
        <v>3000</v>
      </c>
      <c r="N732" s="418">
        <v>30</v>
      </c>
      <c r="O732" s="418">
        <f t="shared" si="268"/>
        <v>90000</v>
      </c>
      <c r="P732" s="460">
        <f t="shared" si="248"/>
        <v>15</v>
      </c>
      <c r="Q732" s="460">
        <f t="shared" si="249"/>
        <v>45000</v>
      </c>
    </row>
    <row r="733" spans="2:17" ht="12.75" customHeight="1" x14ac:dyDescent="0.2">
      <c r="B733" s="267"/>
      <c r="F733" s="265"/>
      <c r="G733" s="268"/>
      <c r="H733" s="418"/>
      <c r="I733" s="418" t="str">
        <f t="shared" si="245"/>
        <v xml:space="preserve"> </v>
      </c>
      <c r="J733" s="268"/>
      <c r="K733" s="456"/>
      <c r="L733" s="418" t="str">
        <f t="shared" si="267"/>
        <v xml:space="preserve"> </v>
      </c>
      <c r="M733" s="268"/>
      <c r="N733" s="418"/>
      <c r="O733" s="418" t="str">
        <f t="shared" si="268"/>
        <v xml:space="preserve"> </v>
      </c>
      <c r="P733" s="460"/>
      <c r="Q733" s="460"/>
    </row>
    <row r="734" spans="2:17" ht="12.75" customHeight="1" x14ac:dyDescent="0.2">
      <c r="B734" s="267"/>
      <c r="C734" s="273" t="s">
        <v>279</v>
      </c>
      <c r="D734" s="241" t="s">
        <v>209</v>
      </c>
      <c r="F734" s="265" t="s">
        <v>275</v>
      </c>
      <c r="G734" s="268">
        <v>120</v>
      </c>
      <c r="H734" s="418">
        <v>100</v>
      </c>
      <c r="I734" s="418">
        <f t="shared" si="245"/>
        <v>12000</v>
      </c>
      <c r="J734" s="268">
        <v>120</v>
      </c>
      <c r="K734" s="456">
        <v>250</v>
      </c>
      <c r="L734" s="418">
        <f t="shared" si="267"/>
        <v>30000</v>
      </c>
      <c r="M734" s="268">
        <v>120</v>
      </c>
      <c r="N734" s="418">
        <v>200</v>
      </c>
      <c r="O734" s="418">
        <f t="shared" si="268"/>
        <v>24000</v>
      </c>
      <c r="P734" s="460">
        <f t="shared" si="248"/>
        <v>50</v>
      </c>
      <c r="Q734" s="460">
        <f t="shared" si="249"/>
        <v>6000</v>
      </c>
    </row>
    <row r="735" spans="2:17" ht="12.75" customHeight="1" x14ac:dyDescent="0.2">
      <c r="B735" s="267"/>
      <c r="D735" s="285"/>
      <c r="E735" s="286"/>
      <c r="F735" s="265"/>
      <c r="G735" s="268"/>
      <c r="H735" s="418"/>
      <c r="I735" s="418" t="str">
        <f t="shared" si="245"/>
        <v xml:space="preserve"> </v>
      </c>
      <c r="J735" s="268"/>
      <c r="K735" s="456"/>
      <c r="L735" s="418" t="str">
        <f t="shared" si="267"/>
        <v xml:space="preserve"> </v>
      </c>
      <c r="M735" s="268"/>
      <c r="N735" s="418"/>
      <c r="O735" s="418" t="str">
        <f t="shared" si="268"/>
        <v xml:space="preserve"> </v>
      </c>
      <c r="P735" s="460"/>
      <c r="Q735" s="460"/>
    </row>
    <row r="736" spans="2:17" ht="12.75" customHeight="1" x14ac:dyDescent="0.2">
      <c r="B736" s="267" t="s">
        <v>421</v>
      </c>
      <c r="C736" s="273" t="s">
        <v>740</v>
      </c>
      <c r="F736" s="265"/>
      <c r="G736" s="268"/>
      <c r="H736" s="418" t="str">
        <f t="shared" ref="H736:H741" si="270">IF(F736=0," ",F736*G736)</f>
        <v xml:space="preserve"> </v>
      </c>
      <c r="I736" s="418" t="str">
        <f t="shared" si="245"/>
        <v xml:space="preserve"> </v>
      </c>
      <c r="J736" s="268"/>
      <c r="K736" s="456" t="s">
        <v>849</v>
      </c>
      <c r="L736" s="418" t="str">
        <f t="shared" si="267"/>
        <v xml:space="preserve"> </v>
      </c>
      <c r="M736" s="268"/>
      <c r="N736" s="418"/>
      <c r="O736" s="418" t="str">
        <f t="shared" si="268"/>
        <v xml:space="preserve"> </v>
      </c>
      <c r="P736" s="460"/>
      <c r="Q736" s="460"/>
    </row>
    <row r="737" spans="2:17" ht="12.75" customHeight="1" x14ac:dyDescent="0.2">
      <c r="B737" s="267"/>
      <c r="C737" s="273" t="s">
        <v>278</v>
      </c>
      <c r="D737" s="241" t="s">
        <v>675</v>
      </c>
      <c r="F737" s="265" t="s">
        <v>829</v>
      </c>
      <c r="G737" s="268">
        <f>3000*1.72*0.125</f>
        <v>645</v>
      </c>
      <c r="H737" s="418">
        <v>2800</v>
      </c>
      <c r="I737" s="418">
        <f t="shared" si="245"/>
        <v>1806000</v>
      </c>
      <c r="J737" s="268">
        <f t="shared" ref="J737" si="271">3000*1.72*0.125</f>
        <v>645</v>
      </c>
      <c r="K737" s="456">
        <v>2500</v>
      </c>
      <c r="L737" s="418">
        <f t="shared" si="267"/>
        <v>1612500</v>
      </c>
      <c r="M737" s="268">
        <f t="shared" ref="M737" si="272">3000*1.72*0.125</f>
        <v>645</v>
      </c>
      <c r="N737" s="418">
        <v>2500</v>
      </c>
      <c r="O737" s="418">
        <f t="shared" si="268"/>
        <v>1612500</v>
      </c>
      <c r="P737" s="460">
        <f t="shared" si="248"/>
        <v>0</v>
      </c>
      <c r="Q737" s="460">
        <f t="shared" si="249"/>
        <v>0</v>
      </c>
    </row>
    <row r="738" spans="2:17" ht="12.75" customHeight="1" x14ac:dyDescent="0.2">
      <c r="B738" s="267"/>
      <c r="D738" s="285"/>
      <c r="E738" s="286"/>
      <c r="F738" s="265"/>
      <c r="G738" s="268"/>
      <c r="H738" s="418"/>
      <c r="I738" s="418" t="str">
        <f t="shared" si="245"/>
        <v xml:space="preserve"> </v>
      </c>
      <c r="J738" s="268"/>
      <c r="K738" s="456"/>
      <c r="L738" s="418" t="str">
        <f t="shared" si="267"/>
        <v xml:space="preserve"> </v>
      </c>
      <c r="M738" s="268"/>
      <c r="N738" s="418"/>
      <c r="O738" s="418" t="str">
        <f t="shared" si="268"/>
        <v xml:space="preserve"> </v>
      </c>
      <c r="P738" s="460"/>
      <c r="Q738" s="460"/>
    </row>
    <row r="739" spans="2:17" ht="12.75" customHeight="1" x14ac:dyDescent="0.2">
      <c r="B739" s="267"/>
      <c r="C739" s="273" t="s">
        <v>279</v>
      </c>
      <c r="D739" s="241" t="s">
        <v>210</v>
      </c>
      <c r="F739" s="265" t="s">
        <v>275</v>
      </c>
      <c r="G739" s="268">
        <f>3000*1.72</f>
        <v>5160</v>
      </c>
      <c r="H739" s="418">
        <v>40</v>
      </c>
      <c r="I739" s="418">
        <f t="shared" si="245"/>
        <v>206400</v>
      </c>
      <c r="J739" s="268">
        <f t="shared" ref="J739" si="273">3000*1.72</f>
        <v>5160</v>
      </c>
      <c r="K739" s="456">
        <v>35</v>
      </c>
      <c r="L739" s="418">
        <f t="shared" si="267"/>
        <v>180600</v>
      </c>
      <c r="M739" s="268">
        <f t="shared" ref="M739" si="274">3000*1.72</f>
        <v>5160</v>
      </c>
      <c r="N739" s="418">
        <v>10</v>
      </c>
      <c r="O739" s="418">
        <f t="shared" si="268"/>
        <v>51600</v>
      </c>
      <c r="P739" s="460">
        <f t="shared" si="248"/>
        <v>25</v>
      </c>
      <c r="Q739" s="460">
        <f t="shared" si="249"/>
        <v>129000</v>
      </c>
    </row>
    <row r="740" spans="2:17" ht="12.75" customHeight="1" x14ac:dyDescent="0.2">
      <c r="B740" s="267"/>
      <c r="F740" s="265"/>
      <c r="G740" s="268"/>
      <c r="H740" s="418" t="str">
        <f t="shared" si="270"/>
        <v xml:space="preserve"> </v>
      </c>
      <c r="I740" s="418" t="str">
        <f t="shared" si="245"/>
        <v xml:space="preserve"> </v>
      </c>
      <c r="J740" s="268"/>
      <c r="K740" s="456" t="s">
        <v>849</v>
      </c>
      <c r="L740" s="418" t="str">
        <f t="shared" si="267"/>
        <v xml:space="preserve"> </v>
      </c>
      <c r="M740" s="268"/>
      <c r="N740" s="418"/>
      <c r="O740" s="418" t="str">
        <f t="shared" si="268"/>
        <v xml:space="preserve"> </v>
      </c>
      <c r="P740" s="460"/>
      <c r="Q740" s="460"/>
    </row>
    <row r="741" spans="2:17" ht="12.75" customHeight="1" x14ac:dyDescent="0.2">
      <c r="B741" s="267" t="s">
        <v>422</v>
      </c>
      <c r="C741" s="273" t="s">
        <v>213</v>
      </c>
      <c r="F741" s="265"/>
      <c r="G741" s="268"/>
      <c r="H741" s="418" t="str">
        <f t="shared" si="270"/>
        <v xml:space="preserve"> </v>
      </c>
      <c r="I741" s="418" t="str">
        <f t="shared" si="245"/>
        <v xml:space="preserve"> </v>
      </c>
      <c r="J741" s="268"/>
      <c r="K741" s="456" t="s">
        <v>849</v>
      </c>
      <c r="L741" s="418" t="str">
        <f t="shared" si="267"/>
        <v xml:space="preserve"> </v>
      </c>
      <c r="M741" s="268"/>
      <c r="N741" s="418"/>
      <c r="O741" s="418" t="str">
        <f t="shared" si="268"/>
        <v xml:space="preserve"> </v>
      </c>
      <c r="P741" s="460"/>
      <c r="Q741" s="460"/>
    </row>
    <row r="742" spans="2:17" ht="12.75" customHeight="1" x14ac:dyDescent="0.2">
      <c r="B742" s="267"/>
      <c r="C742" s="273" t="s">
        <v>214</v>
      </c>
      <c r="F742" s="265"/>
      <c r="G742" s="268"/>
      <c r="H742" s="418"/>
      <c r="I742" s="418" t="str">
        <f t="shared" si="245"/>
        <v xml:space="preserve"> </v>
      </c>
      <c r="J742" s="268"/>
      <c r="K742" s="456"/>
      <c r="L742" s="418" t="str">
        <f t="shared" si="267"/>
        <v xml:space="preserve"> </v>
      </c>
      <c r="M742" s="268"/>
      <c r="N742" s="418"/>
      <c r="O742" s="418" t="str">
        <f t="shared" si="268"/>
        <v xml:space="preserve"> </v>
      </c>
      <c r="P742" s="460"/>
      <c r="Q742" s="460"/>
    </row>
    <row r="743" spans="2:17" ht="12.75" customHeight="1" x14ac:dyDescent="0.2">
      <c r="B743" s="267"/>
      <c r="C743" s="273" t="s">
        <v>279</v>
      </c>
      <c r="D743" s="241" t="s">
        <v>215</v>
      </c>
      <c r="F743" s="265" t="s">
        <v>275</v>
      </c>
      <c r="G743" s="268">
        <f>6000*0.125*0.8</f>
        <v>600</v>
      </c>
      <c r="H743" s="418">
        <v>80</v>
      </c>
      <c r="I743" s="418">
        <f t="shared" si="245"/>
        <v>48000</v>
      </c>
      <c r="J743" s="268">
        <f t="shared" ref="J743" si="275">6000*0.125*0.8</f>
        <v>600</v>
      </c>
      <c r="K743" s="456">
        <v>320</v>
      </c>
      <c r="L743" s="418">
        <f t="shared" si="267"/>
        <v>192000</v>
      </c>
      <c r="M743" s="268">
        <f t="shared" ref="M743" si="276">6000*0.125*0.8</f>
        <v>600</v>
      </c>
      <c r="N743" s="418">
        <v>150</v>
      </c>
      <c r="O743" s="418">
        <f t="shared" si="268"/>
        <v>90000</v>
      </c>
      <c r="P743" s="460">
        <f t="shared" si="248"/>
        <v>170</v>
      </c>
      <c r="Q743" s="460">
        <f t="shared" si="249"/>
        <v>102000</v>
      </c>
    </row>
    <row r="744" spans="2:17" ht="12.75" customHeight="1" x14ac:dyDescent="0.2">
      <c r="B744" s="267"/>
      <c r="D744" s="241" t="s">
        <v>216</v>
      </c>
      <c r="F744" s="265"/>
      <c r="G744" s="268"/>
      <c r="H744" s="418"/>
      <c r="I744" s="418" t="str">
        <f t="shared" si="245"/>
        <v xml:space="preserve"> </v>
      </c>
      <c r="J744" s="268"/>
      <c r="K744" s="456"/>
      <c r="L744" s="418" t="str">
        <f t="shared" si="267"/>
        <v xml:space="preserve"> </v>
      </c>
      <c r="M744" s="268"/>
      <c r="N744" s="418"/>
      <c r="O744" s="418" t="str">
        <f t="shared" si="268"/>
        <v xml:space="preserve"> </v>
      </c>
      <c r="P744" s="460"/>
      <c r="Q744" s="460"/>
    </row>
    <row r="745" spans="2:17" ht="12.75" customHeight="1" x14ac:dyDescent="0.2">
      <c r="B745" s="267"/>
      <c r="C745" s="273" t="s">
        <v>276</v>
      </c>
      <c r="D745" s="241" t="s">
        <v>211</v>
      </c>
      <c r="F745" s="265" t="s">
        <v>275</v>
      </c>
      <c r="G745" s="268">
        <v>76.5</v>
      </c>
      <c r="H745" s="418">
        <v>80</v>
      </c>
      <c r="I745" s="418">
        <f t="shared" si="245"/>
        <v>6120</v>
      </c>
      <c r="J745" s="268">
        <v>76.5</v>
      </c>
      <c r="K745" s="456">
        <v>320</v>
      </c>
      <c r="L745" s="418">
        <f t="shared" si="267"/>
        <v>24480</v>
      </c>
      <c r="M745" s="268">
        <v>76.5</v>
      </c>
      <c r="N745" s="418">
        <v>200</v>
      </c>
      <c r="O745" s="418">
        <f t="shared" si="268"/>
        <v>15300</v>
      </c>
      <c r="P745" s="460">
        <f t="shared" si="248"/>
        <v>120</v>
      </c>
      <c r="Q745" s="460">
        <f t="shared" si="249"/>
        <v>9180</v>
      </c>
    </row>
    <row r="746" spans="2:17" ht="12.75" customHeight="1" x14ac:dyDescent="0.2">
      <c r="B746" s="267"/>
      <c r="F746" s="265"/>
      <c r="G746" s="268"/>
      <c r="H746" s="317"/>
      <c r="I746" s="418" t="str">
        <f>IF(G746=0," ",G746*H746)</f>
        <v xml:space="preserve"> </v>
      </c>
      <c r="J746" s="268"/>
      <c r="K746" s="456"/>
      <c r="L746" s="418" t="str">
        <f t="shared" si="267"/>
        <v xml:space="preserve"> </v>
      </c>
      <c r="M746" s="268"/>
      <c r="N746" s="317"/>
      <c r="O746" s="418" t="str">
        <f t="shared" si="268"/>
        <v xml:space="preserve"> </v>
      </c>
      <c r="P746" s="418" t="str">
        <f t="shared" ref="P746" si="277">IF(N746=0," ",N746*O746)</f>
        <v xml:space="preserve"> </v>
      </c>
      <c r="Q746" s="418"/>
    </row>
    <row r="747" spans="2:17" ht="12.75" customHeight="1" x14ac:dyDescent="0.2">
      <c r="B747" s="267"/>
      <c r="F747" s="265"/>
      <c r="G747" s="268"/>
      <c r="H747" s="317"/>
      <c r="I747" s="418"/>
      <c r="J747" s="268"/>
      <c r="K747" s="456"/>
      <c r="L747" s="418"/>
      <c r="M747" s="268"/>
      <c r="N747" s="317"/>
      <c r="O747" s="418"/>
      <c r="P747" s="418"/>
      <c r="Q747" s="418"/>
    </row>
    <row r="748" spans="2:17" ht="12.75" customHeight="1" x14ac:dyDescent="0.2">
      <c r="B748" s="267"/>
      <c r="F748" s="265"/>
      <c r="G748" s="268"/>
      <c r="H748" s="317"/>
      <c r="I748" s="439"/>
      <c r="J748" s="268"/>
      <c r="K748" s="456"/>
      <c r="L748" s="439"/>
      <c r="M748" s="268"/>
      <c r="N748" s="317"/>
      <c r="O748" s="439"/>
      <c r="P748" s="439"/>
      <c r="Q748" s="439"/>
    </row>
    <row r="749" spans="2:17" ht="12.75" customHeight="1" x14ac:dyDescent="0.2">
      <c r="B749" s="287">
        <v>2300</v>
      </c>
      <c r="C749" s="288" t="s">
        <v>283</v>
      </c>
      <c r="D749" s="289"/>
      <c r="E749" s="290"/>
      <c r="F749" s="291"/>
      <c r="G749" s="291"/>
      <c r="H749" s="422"/>
      <c r="I749" s="423">
        <f>SUM(I690:I748)</f>
        <v>3181270</v>
      </c>
      <c r="J749" s="291"/>
      <c r="K749" s="457"/>
      <c r="L749" s="423">
        <f t="shared" ref="L749" si="278">SUM(L690:L748)</f>
        <v>3202780</v>
      </c>
      <c r="M749" s="291"/>
      <c r="N749" s="422"/>
      <c r="O749" s="423">
        <f>SUM(O690:O748)</f>
        <v>2911600</v>
      </c>
      <c r="P749" s="423"/>
      <c r="Q749" s="423">
        <f t="shared" ref="Q749" si="279">SUM(Q690:Q748)</f>
        <v>291180</v>
      </c>
    </row>
    <row r="750" spans="2:17" ht="12.75" customHeight="1" x14ac:dyDescent="0.2">
      <c r="B750" s="239" t="s">
        <v>79</v>
      </c>
      <c r="C750" s="239"/>
      <c r="D750" s="263"/>
      <c r="E750" s="297"/>
      <c r="H750" s="426"/>
      <c r="I750" s="427"/>
      <c r="K750" s="456"/>
      <c r="L750" s="427"/>
      <c r="N750" s="426"/>
      <c r="O750" s="427"/>
      <c r="P750" s="427"/>
      <c r="Q750" s="427"/>
    </row>
    <row r="751" spans="2:17" ht="12.75" customHeight="1" x14ac:dyDescent="0.2">
      <c r="B751" s="239" t="s">
        <v>267</v>
      </c>
      <c r="C751" s="240"/>
      <c r="E751" s="238"/>
      <c r="H751" s="426"/>
      <c r="I751" s="427"/>
      <c r="K751" s="456"/>
      <c r="L751" s="427"/>
      <c r="N751" s="426"/>
      <c r="O751" s="427"/>
      <c r="P751" s="427"/>
      <c r="Q751" s="427"/>
    </row>
    <row r="752" spans="2:17" ht="12.75" customHeight="1" x14ac:dyDescent="0.2">
      <c r="B752" s="243"/>
      <c r="C752" s="243"/>
      <c r="D752" s="244"/>
      <c r="E752" s="245"/>
      <c r="F752" s="246"/>
      <c r="G752" s="246"/>
      <c r="H752" s="428"/>
      <c r="I752" s="429"/>
      <c r="J752" s="246"/>
      <c r="K752" s="456"/>
      <c r="L752" s="429"/>
      <c r="M752" s="246"/>
      <c r="N752" s="428"/>
      <c r="O752" s="429"/>
      <c r="P752" s="429"/>
      <c r="Q752" s="429"/>
    </row>
    <row r="753" spans="2:17" ht="12.75" customHeight="1" x14ac:dyDescent="0.2">
      <c r="B753" s="247" t="s">
        <v>263</v>
      </c>
      <c r="C753" s="248" t="s">
        <v>264</v>
      </c>
      <c r="D753" s="249"/>
      <c r="E753" s="250"/>
      <c r="F753" s="250" t="s">
        <v>265</v>
      </c>
      <c r="G753" s="356" t="s">
        <v>69</v>
      </c>
      <c r="H753" s="251" t="s">
        <v>849</v>
      </c>
      <c r="I753" s="252" t="s">
        <v>849</v>
      </c>
      <c r="J753" s="247" t="s">
        <v>69</v>
      </c>
      <c r="K753" s="457" t="s">
        <v>849</v>
      </c>
      <c r="L753" s="252" t="s">
        <v>849</v>
      </c>
      <c r="M753" s="356" t="s">
        <v>69</v>
      </c>
      <c r="N753" s="251" t="s">
        <v>849</v>
      </c>
      <c r="O753" s="252" t="s">
        <v>849</v>
      </c>
      <c r="P753" s="252" t="s">
        <v>849</v>
      </c>
      <c r="Q753" s="252" t="s">
        <v>849</v>
      </c>
    </row>
    <row r="754" spans="2:17" ht="12.75" customHeight="1" x14ac:dyDescent="0.2">
      <c r="B754" s="253" t="s">
        <v>266</v>
      </c>
      <c r="C754" s="254"/>
      <c r="D754" s="255"/>
      <c r="E754" s="256"/>
      <c r="F754" s="256"/>
      <c r="G754" s="357"/>
      <c r="H754" s="257" t="s">
        <v>262</v>
      </c>
      <c r="I754" s="258" t="s">
        <v>70</v>
      </c>
      <c r="J754" s="253"/>
      <c r="K754" s="457" t="s">
        <v>262</v>
      </c>
      <c r="L754" s="258" t="s">
        <v>70</v>
      </c>
      <c r="M754" s="357"/>
      <c r="N754" s="257" t="s">
        <v>262</v>
      </c>
      <c r="O754" s="258" t="s">
        <v>70</v>
      </c>
      <c r="P754" s="258" t="s">
        <v>70</v>
      </c>
      <c r="Q754" s="258" t="s">
        <v>70</v>
      </c>
    </row>
    <row r="755" spans="2:17" ht="12.75" customHeight="1" x14ac:dyDescent="0.2">
      <c r="B755" s="287">
        <v>2300</v>
      </c>
      <c r="C755" s="288" t="s">
        <v>71</v>
      </c>
      <c r="D755" s="289"/>
      <c r="E755" s="290"/>
      <c r="F755" s="291"/>
      <c r="G755" s="291"/>
      <c r="H755" s="434"/>
      <c r="I755" s="435">
        <f>I749</f>
        <v>3181270</v>
      </c>
      <c r="J755" s="291"/>
      <c r="K755" s="457"/>
      <c r="L755" s="435">
        <f t="shared" ref="L755" si="280">L749</f>
        <v>3202780</v>
      </c>
      <c r="M755" s="291"/>
      <c r="N755" s="434"/>
      <c r="O755" s="435">
        <f t="shared" ref="O755:Q755" si="281">O749</f>
        <v>2911600</v>
      </c>
      <c r="P755" s="435">
        <f t="shared" si="281"/>
        <v>0</v>
      </c>
      <c r="Q755" s="435">
        <f t="shared" si="281"/>
        <v>291180</v>
      </c>
    </row>
    <row r="756" spans="2:17" ht="12.75" customHeight="1" x14ac:dyDescent="0.2">
      <c r="B756" s="267"/>
      <c r="F756" s="265"/>
      <c r="G756" s="268"/>
      <c r="H756" s="444"/>
      <c r="I756" s="318"/>
      <c r="J756" s="268"/>
      <c r="K756" s="456"/>
      <c r="L756" s="318"/>
      <c r="M756" s="268"/>
      <c r="N756" s="444"/>
      <c r="O756" s="318"/>
      <c r="P756" s="318"/>
      <c r="Q756" s="318"/>
    </row>
    <row r="757" spans="2:17" ht="12.75" customHeight="1" x14ac:dyDescent="0.2">
      <c r="B757" s="267" t="s">
        <v>423</v>
      </c>
      <c r="C757" s="273" t="s">
        <v>325</v>
      </c>
      <c r="F757" s="265" t="s">
        <v>310</v>
      </c>
      <c r="G757" s="268">
        <v>148.15</v>
      </c>
      <c r="H757" s="418">
        <v>300</v>
      </c>
      <c r="I757" s="418">
        <f t="shared" ref="I757:I775" si="282">IF(G757=0," ",G757*H757)</f>
        <v>44445</v>
      </c>
      <c r="J757" s="268">
        <v>148.15</v>
      </c>
      <c r="K757" s="456">
        <v>95</v>
      </c>
      <c r="L757" s="418">
        <f t="shared" ref="L757:L775" si="283">IF(J757=0," ",J757*K757)</f>
        <v>14074.25</v>
      </c>
      <c r="M757" s="268">
        <v>148.15</v>
      </c>
      <c r="N757" s="418">
        <v>60</v>
      </c>
      <c r="O757" s="418">
        <f t="shared" ref="O757:O775" si="284">IF(M757=0," ",M757*N757)</f>
        <v>8889</v>
      </c>
      <c r="P757" s="460">
        <f>K757-N757</f>
        <v>35</v>
      </c>
      <c r="Q757" s="460">
        <f>L757-O757</f>
        <v>5185.25</v>
      </c>
    </row>
    <row r="758" spans="2:17" ht="12.75" customHeight="1" x14ac:dyDescent="0.2">
      <c r="B758" s="267"/>
      <c r="F758" s="265"/>
      <c r="G758" s="275"/>
      <c r="H758" s="418" t="str">
        <f t="shared" ref="H758:H761" si="285">IF(F758=0," ",F758*G758)</f>
        <v xml:space="preserve"> </v>
      </c>
      <c r="I758" s="418" t="str">
        <f t="shared" si="282"/>
        <v xml:space="preserve"> </v>
      </c>
      <c r="J758" s="275"/>
      <c r="K758" s="456" t="s">
        <v>849</v>
      </c>
      <c r="L758" s="418" t="str">
        <f t="shared" si="283"/>
        <v xml:space="preserve"> </v>
      </c>
      <c r="M758" s="275"/>
      <c r="N758" s="418"/>
      <c r="O758" s="418" t="str">
        <f t="shared" si="284"/>
        <v xml:space="preserve"> </v>
      </c>
      <c r="P758" s="460"/>
      <c r="Q758" s="460"/>
    </row>
    <row r="759" spans="2:17" ht="12.75" customHeight="1" x14ac:dyDescent="0.2">
      <c r="B759" s="267" t="s">
        <v>424</v>
      </c>
      <c r="C759" s="273" t="s">
        <v>56</v>
      </c>
      <c r="F759" s="265" t="s">
        <v>829</v>
      </c>
      <c r="G759" s="268">
        <v>25</v>
      </c>
      <c r="H759" s="418">
        <v>1800</v>
      </c>
      <c r="I759" s="418">
        <f t="shared" si="282"/>
        <v>45000</v>
      </c>
      <c r="J759" s="268">
        <v>25</v>
      </c>
      <c r="K759" s="456">
        <v>2250</v>
      </c>
      <c r="L759" s="418">
        <f t="shared" si="283"/>
        <v>56250</v>
      </c>
      <c r="M759" s="268">
        <v>25</v>
      </c>
      <c r="N759" s="418">
        <v>2250</v>
      </c>
      <c r="O759" s="418">
        <f t="shared" si="284"/>
        <v>56250</v>
      </c>
      <c r="P759" s="460">
        <f t="shared" ref="P759:P771" si="286">K759-N759</f>
        <v>0</v>
      </c>
      <c r="Q759" s="460">
        <f t="shared" ref="Q759:Q771" si="287">L759-O759</f>
        <v>0</v>
      </c>
    </row>
    <row r="760" spans="2:17" ht="12.75" customHeight="1" x14ac:dyDescent="0.2">
      <c r="B760" s="273"/>
      <c r="F760" s="265"/>
      <c r="G760" s="268"/>
      <c r="H760" s="418" t="str">
        <f t="shared" si="285"/>
        <v xml:space="preserve"> </v>
      </c>
      <c r="I760" s="418" t="str">
        <f t="shared" si="282"/>
        <v xml:space="preserve"> </v>
      </c>
      <c r="J760" s="268"/>
      <c r="K760" s="456" t="s">
        <v>849</v>
      </c>
      <c r="L760" s="418" t="str">
        <f t="shared" si="283"/>
        <v xml:space="preserve"> </v>
      </c>
      <c r="M760" s="268"/>
      <c r="N760" s="418"/>
      <c r="O760" s="418" t="str">
        <f t="shared" si="284"/>
        <v xml:space="preserve"> </v>
      </c>
      <c r="P760" s="460"/>
      <c r="Q760" s="460"/>
    </row>
    <row r="761" spans="2:17" ht="12.75" customHeight="1" x14ac:dyDescent="0.2">
      <c r="B761" s="267" t="s">
        <v>425</v>
      </c>
      <c r="C761" s="273" t="s">
        <v>217</v>
      </c>
      <c r="F761" s="265"/>
      <c r="G761" s="268"/>
      <c r="H761" s="418" t="str">
        <f t="shared" si="285"/>
        <v xml:space="preserve"> </v>
      </c>
      <c r="I761" s="418" t="str">
        <f t="shared" si="282"/>
        <v xml:space="preserve"> </v>
      </c>
      <c r="J761" s="268"/>
      <c r="K761" s="456" t="s">
        <v>849</v>
      </c>
      <c r="L761" s="418" t="str">
        <f t="shared" si="283"/>
        <v xml:space="preserve"> </v>
      </c>
      <c r="M761" s="268"/>
      <c r="N761" s="418"/>
      <c r="O761" s="418" t="str">
        <f t="shared" si="284"/>
        <v xml:space="preserve"> </v>
      </c>
      <c r="P761" s="460"/>
      <c r="Q761" s="460"/>
    </row>
    <row r="762" spans="2:17" ht="12.75" customHeight="1" x14ac:dyDescent="0.2">
      <c r="B762" s="331"/>
      <c r="C762" s="273" t="s">
        <v>218</v>
      </c>
      <c r="F762" s="265"/>
      <c r="G762" s="268"/>
      <c r="H762" s="418"/>
      <c r="I762" s="418" t="str">
        <f t="shared" si="282"/>
        <v xml:space="preserve"> </v>
      </c>
      <c r="J762" s="268"/>
      <c r="K762" s="456"/>
      <c r="L762" s="418" t="str">
        <f t="shared" si="283"/>
        <v xml:space="preserve"> </v>
      </c>
      <c r="M762" s="268"/>
      <c r="N762" s="418"/>
      <c r="O762" s="418" t="str">
        <f t="shared" si="284"/>
        <v xml:space="preserve"> </v>
      </c>
      <c r="P762" s="460"/>
      <c r="Q762" s="460"/>
    </row>
    <row r="763" spans="2:17" ht="12.75" customHeight="1" x14ac:dyDescent="0.2">
      <c r="B763" s="267"/>
      <c r="C763" s="273" t="s">
        <v>278</v>
      </c>
      <c r="D763" s="241" t="s">
        <v>194</v>
      </c>
      <c r="F763" s="265" t="s">
        <v>317</v>
      </c>
      <c r="G763" s="268">
        <v>0.5</v>
      </c>
      <c r="H763" s="418">
        <v>18000</v>
      </c>
      <c r="I763" s="418">
        <f t="shared" si="282"/>
        <v>9000</v>
      </c>
      <c r="J763" s="268">
        <v>0.5</v>
      </c>
      <c r="K763" s="456">
        <v>19000</v>
      </c>
      <c r="L763" s="418">
        <f t="shared" si="283"/>
        <v>9500</v>
      </c>
      <c r="M763" s="268">
        <v>0.5</v>
      </c>
      <c r="N763" s="418">
        <v>19000</v>
      </c>
      <c r="O763" s="418">
        <f t="shared" si="284"/>
        <v>9500</v>
      </c>
      <c r="P763" s="460">
        <f t="shared" si="286"/>
        <v>0</v>
      </c>
      <c r="Q763" s="460">
        <f t="shared" si="287"/>
        <v>0</v>
      </c>
    </row>
    <row r="764" spans="2:17" ht="12.75" customHeight="1" x14ac:dyDescent="0.2">
      <c r="B764" s="267"/>
      <c r="F764" s="265"/>
      <c r="G764" s="268"/>
      <c r="H764" s="418"/>
      <c r="I764" s="418" t="str">
        <f t="shared" si="282"/>
        <v xml:space="preserve"> </v>
      </c>
      <c r="J764" s="268"/>
      <c r="K764" s="456"/>
      <c r="L764" s="418" t="str">
        <f t="shared" si="283"/>
        <v xml:space="preserve"> </v>
      </c>
      <c r="M764" s="268"/>
      <c r="N764" s="418"/>
      <c r="O764" s="418" t="str">
        <f t="shared" si="284"/>
        <v xml:space="preserve"> </v>
      </c>
      <c r="P764" s="460"/>
      <c r="Q764" s="460"/>
    </row>
    <row r="765" spans="2:17" ht="12.75" customHeight="1" x14ac:dyDescent="0.2">
      <c r="B765" s="267"/>
      <c r="C765" s="273" t="s">
        <v>279</v>
      </c>
      <c r="D765" s="241" t="s">
        <v>195</v>
      </c>
      <c r="F765" s="265" t="s">
        <v>317</v>
      </c>
      <c r="G765" s="268">
        <v>1.2</v>
      </c>
      <c r="H765" s="418">
        <v>18000</v>
      </c>
      <c r="I765" s="418">
        <f t="shared" si="282"/>
        <v>21600</v>
      </c>
      <c r="J765" s="268">
        <v>1.2</v>
      </c>
      <c r="K765" s="456">
        <v>19000</v>
      </c>
      <c r="L765" s="418">
        <f t="shared" si="283"/>
        <v>22800</v>
      </c>
      <c r="M765" s="268">
        <v>1.2</v>
      </c>
      <c r="N765" s="418">
        <v>19000</v>
      </c>
      <c r="O765" s="418">
        <f t="shared" si="284"/>
        <v>22800</v>
      </c>
      <c r="P765" s="460">
        <f t="shared" si="286"/>
        <v>0</v>
      </c>
      <c r="Q765" s="460">
        <f t="shared" si="287"/>
        <v>0</v>
      </c>
    </row>
    <row r="766" spans="2:17" ht="12.75" customHeight="1" x14ac:dyDescent="0.2">
      <c r="B766" s="267"/>
      <c r="D766" s="285"/>
      <c r="E766" s="286"/>
      <c r="F766" s="265"/>
      <c r="G766" s="268"/>
      <c r="H766" s="418"/>
      <c r="I766" s="418" t="str">
        <f t="shared" si="282"/>
        <v xml:space="preserve"> </v>
      </c>
      <c r="J766" s="268"/>
      <c r="K766" s="456"/>
      <c r="L766" s="418" t="str">
        <f t="shared" si="283"/>
        <v xml:space="preserve"> </v>
      </c>
      <c r="M766" s="268"/>
      <c r="N766" s="418"/>
      <c r="O766" s="418" t="str">
        <f t="shared" si="284"/>
        <v xml:space="preserve"> </v>
      </c>
      <c r="P766" s="460"/>
      <c r="Q766" s="460"/>
    </row>
    <row r="767" spans="2:17" ht="12.75" customHeight="1" x14ac:dyDescent="0.2">
      <c r="B767" s="267"/>
      <c r="C767" s="273" t="s">
        <v>276</v>
      </c>
      <c r="D767" s="241" t="s">
        <v>196</v>
      </c>
      <c r="F767" s="265" t="s">
        <v>318</v>
      </c>
      <c r="G767" s="268">
        <f>3000*1.72*3.11</f>
        <v>16047.599999999999</v>
      </c>
      <c r="H767" s="418">
        <v>30</v>
      </c>
      <c r="I767" s="418">
        <f t="shared" si="282"/>
        <v>481427.99999999994</v>
      </c>
      <c r="J767" s="268">
        <f t="shared" ref="J767" si="288">3000*1.72*3.11</f>
        <v>16047.599999999999</v>
      </c>
      <c r="K767" s="456">
        <v>30</v>
      </c>
      <c r="L767" s="418">
        <f t="shared" si="283"/>
        <v>481427.99999999994</v>
      </c>
      <c r="M767" s="268">
        <f t="shared" ref="M767" si="289">3000*1.72*3.11</f>
        <v>16047.599999999999</v>
      </c>
      <c r="N767" s="418">
        <v>20</v>
      </c>
      <c r="O767" s="418">
        <f t="shared" si="284"/>
        <v>320952</v>
      </c>
      <c r="P767" s="460">
        <f t="shared" si="286"/>
        <v>10</v>
      </c>
      <c r="Q767" s="460">
        <f t="shared" si="287"/>
        <v>160475.99999999994</v>
      </c>
    </row>
    <row r="768" spans="2:17" ht="12.75" customHeight="1" x14ac:dyDescent="0.2">
      <c r="B768" s="267"/>
      <c r="F768" s="265"/>
      <c r="G768" s="268"/>
      <c r="H768" s="418"/>
      <c r="I768" s="418" t="str">
        <f t="shared" si="282"/>
        <v xml:space="preserve"> </v>
      </c>
      <c r="J768" s="268"/>
      <c r="K768" s="456"/>
      <c r="L768" s="418" t="str">
        <f t="shared" si="283"/>
        <v xml:space="preserve"> </v>
      </c>
      <c r="M768" s="268"/>
      <c r="N768" s="418"/>
      <c r="O768" s="418" t="str">
        <f t="shared" si="284"/>
        <v xml:space="preserve"> </v>
      </c>
      <c r="P768" s="460"/>
      <c r="Q768" s="460"/>
    </row>
    <row r="769" spans="1:17" s="524" customFormat="1" ht="12.75" customHeight="1" x14ac:dyDescent="0.2">
      <c r="A769" s="519"/>
      <c r="B769" s="527">
        <v>23.14</v>
      </c>
      <c r="C769" s="528" t="s">
        <v>55</v>
      </c>
      <c r="D769" s="529"/>
      <c r="E769" s="530"/>
      <c r="F769" s="531"/>
      <c r="G769" s="505"/>
      <c r="H769" s="460"/>
      <c r="I769" s="460" t="str">
        <f t="shared" si="282"/>
        <v xml:space="preserve"> </v>
      </c>
      <c r="J769" s="505"/>
      <c r="K769" s="504"/>
      <c r="L769" s="460" t="str">
        <f t="shared" si="283"/>
        <v xml:space="preserve"> </v>
      </c>
      <c r="M769" s="505"/>
      <c r="N769" s="460"/>
      <c r="O769" s="460" t="str">
        <f t="shared" si="284"/>
        <v xml:space="preserve"> </v>
      </c>
      <c r="P769" s="460"/>
      <c r="Q769" s="460"/>
    </row>
    <row r="770" spans="1:17" s="524" customFormat="1" ht="12.75" customHeight="1" x14ac:dyDescent="0.2">
      <c r="A770" s="519"/>
      <c r="B770" s="527"/>
      <c r="C770" s="528" t="s">
        <v>517</v>
      </c>
      <c r="D770" s="529"/>
      <c r="E770" s="530"/>
      <c r="F770" s="531"/>
      <c r="G770" s="505"/>
      <c r="H770" s="460"/>
      <c r="I770" s="460" t="str">
        <f t="shared" si="282"/>
        <v xml:space="preserve"> </v>
      </c>
      <c r="J770" s="505"/>
      <c r="K770" s="504"/>
      <c r="L770" s="460" t="str">
        <f t="shared" si="283"/>
        <v xml:space="preserve"> </v>
      </c>
      <c r="M770" s="505"/>
      <c r="N770" s="460"/>
      <c r="O770" s="460" t="str">
        <f t="shared" si="284"/>
        <v xml:space="preserve"> </v>
      </c>
      <c r="P770" s="460"/>
      <c r="Q770" s="460"/>
    </row>
    <row r="771" spans="1:17" s="524" customFormat="1" ht="12.75" customHeight="1" x14ac:dyDescent="0.2">
      <c r="A771" s="519"/>
      <c r="B771" s="527"/>
      <c r="C771" s="528" t="s">
        <v>518</v>
      </c>
      <c r="D771" s="529"/>
      <c r="E771" s="530"/>
      <c r="F771" s="531" t="s">
        <v>310</v>
      </c>
      <c r="G771" s="505">
        <f>1500*2</f>
        <v>3000</v>
      </c>
      <c r="H771" s="460">
        <v>15</v>
      </c>
      <c r="I771" s="460">
        <f t="shared" si="282"/>
        <v>45000</v>
      </c>
      <c r="J771" s="505">
        <f t="shared" ref="J771" si="290">1500*2</f>
        <v>3000</v>
      </c>
      <c r="K771" s="504">
        <v>30</v>
      </c>
      <c r="L771" s="460">
        <f t="shared" si="283"/>
        <v>90000</v>
      </c>
      <c r="M771" s="505">
        <f t="shared" ref="M771" si="291">1500*2</f>
        <v>3000</v>
      </c>
      <c r="N771" s="460">
        <v>20</v>
      </c>
      <c r="O771" s="460">
        <f t="shared" si="284"/>
        <v>60000</v>
      </c>
      <c r="P771" s="460">
        <f t="shared" si="286"/>
        <v>10</v>
      </c>
      <c r="Q771" s="460">
        <f t="shared" si="287"/>
        <v>30000</v>
      </c>
    </row>
    <row r="772" spans="1:17" s="524" customFormat="1" ht="12.75" customHeight="1" x14ac:dyDescent="0.2">
      <c r="A772" s="519"/>
      <c r="B772" s="527"/>
      <c r="C772" s="528" t="s">
        <v>203</v>
      </c>
      <c r="D772" s="532"/>
      <c r="E772" s="533"/>
      <c r="F772" s="531"/>
      <c r="G772" s="505"/>
      <c r="H772" s="506"/>
      <c r="I772" s="460" t="str">
        <f t="shared" si="282"/>
        <v xml:space="preserve"> </v>
      </c>
      <c r="J772" s="505"/>
      <c r="K772" s="504"/>
      <c r="L772" s="460" t="str">
        <f t="shared" si="283"/>
        <v xml:space="preserve"> </v>
      </c>
      <c r="M772" s="505"/>
      <c r="N772" s="506"/>
      <c r="O772" s="460" t="str">
        <f t="shared" si="284"/>
        <v xml:space="preserve"> </v>
      </c>
      <c r="P772" s="460" t="str">
        <f t="shared" ref="P772:P775" si="292">IF(N772=0," ",N772*O772)</f>
        <v xml:space="preserve"> </v>
      </c>
      <c r="Q772" s="460"/>
    </row>
    <row r="773" spans="1:17" ht="12.75" customHeight="1" x14ac:dyDescent="0.2">
      <c r="B773" s="267"/>
      <c r="D773" s="285"/>
      <c r="E773" s="286"/>
      <c r="F773" s="265"/>
      <c r="G773" s="268"/>
      <c r="H773" s="317"/>
      <c r="I773" s="418" t="str">
        <f t="shared" si="282"/>
        <v xml:space="preserve"> </v>
      </c>
      <c r="J773" s="268"/>
      <c r="K773" s="456"/>
      <c r="L773" s="418" t="str">
        <f t="shared" si="283"/>
        <v xml:space="preserve"> </v>
      </c>
      <c r="M773" s="268"/>
      <c r="N773" s="317"/>
      <c r="O773" s="418" t="str">
        <f t="shared" si="284"/>
        <v xml:space="preserve"> </v>
      </c>
      <c r="P773" s="418" t="str">
        <f t="shared" si="292"/>
        <v xml:space="preserve"> </v>
      </c>
      <c r="Q773" s="418"/>
    </row>
    <row r="774" spans="1:17" ht="12.75" customHeight="1" x14ac:dyDescent="0.2">
      <c r="B774" s="267"/>
      <c r="D774" s="285"/>
      <c r="E774" s="286"/>
      <c r="F774" s="265"/>
      <c r="G774" s="268"/>
      <c r="H774" s="317"/>
      <c r="I774" s="418" t="str">
        <f t="shared" si="282"/>
        <v xml:space="preserve"> </v>
      </c>
      <c r="J774" s="268"/>
      <c r="K774" s="456"/>
      <c r="L774" s="418" t="str">
        <f t="shared" si="283"/>
        <v xml:space="preserve"> </v>
      </c>
      <c r="M774" s="268"/>
      <c r="N774" s="317"/>
      <c r="O774" s="418" t="str">
        <f t="shared" si="284"/>
        <v xml:space="preserve"> </v>
      </c>
      <c r="P774" s="418" t="str">
        <f t="shared" si="292"/>
        <v xml:space="preserve"> </v>
      </c>
      <c r="Q774" s="418"/>
    </row>
    <row r="775" spans="1:17" ht="12.75" customHeight="1" x14ac:dyDescent="0.2">
      <c r="B775" s="267"/>
      <c r="D775" s="285"/>
      <c r="E775" s="286"/>
      <c r="F775" s="265"/>
      <c r="G775" s="268"/>
      <c r="H775" s="317"/>
      <c r="I775" s="418" t="str">
        <f t="shared" si="282"/>
        <v xml:space="preserve"> </v>
      </c>
      <c r="J775" s="268"/>
      <c r="K775" s="456"/>
      <c r="L775" s="418" t="str">
        <f t="shared" si="283"/>
        <v xml:space="preserve"> </v>
      </c>
      <c r="M775" s="268"/>
      <c r="N775" s="317"/>
      <c r="O775" s="418" t="str">
        <f t="shared" si="284"/>
        <v xml:space="preserve"> </v>
      </c>
      <c r="P775" s="418" t="str">
        <f t="shared" si="292"/>
        <v xml:space="preserve"> </v>
      </c>
      <c r="Q775" s="418"/>
    </row>
    <row r="776" spans="1:17" ht="12.75" customHeight="1" x14ac:dyDescent="0.2">
      <c r="B776" s="267"/>
      <c r="D776" s="285"/>
      <c r="E776" s="286"/>
      <c r="F776" s="265"/>
      <c r="G776" s="268"/>
      <c r="H776" s="317"/>
      <c r="I776" s="318"/>
      <c r="J776" s="268"/>
      <c r="K776" s="456"/>
      <c r="L776" s="318"/>
      <c r="M776" s="268"/>
      <c r="N776" s="317"/>
      <c r="O776" s="318"/>
      <c r="P776" s="318"/>
      <c r="Q776" s="318"/>
    </row>
    <row r="777" spans="1:17" ht="12.75" customHeight="1" x14ac:dyDescent="0.2">
      <c r="B777" s="267"/>
      <c r="D777" s="285"/>
      <c r="E777" s="286"/>
      <c r="F777" s="265"/>
      <c r="G777" s="268"/>
      <c r="H777" s="317"/>
      <c r="I777" s="318"/>
      <c r="J777" s="268"/>
      <c r="K777" s="456"/>
      <c r="L777" s="318"/>
      <c r="M777" s="268"/>
      <c r="N777" s="317"/>
      <c r="O777" s="318"/>
      <c r="P777" s="318"/>
      <c r="Q777" s="318"/>
    </row>
    <row r="778" spans="1:17" ht="12.75" customHeight="1" x14ac:dyDescent="0.2">
      <c r="B778" s="267"/>
      <c r="D778" s="285"/>
      <c r="E778" s="286"/>
      <c r="F778" s="265"/>
      <c r="G778" s="268"/>
      <c r="H778" s="317"/>
      <c r="I778" s="318"/>
      <c r="J778" s="268"/>
      <c r="K778" s="456"/>
      <c r="L778" s="318"/>
      <c r="M778" s="268"/>
      <c r="N778" s="317"/>
      <c r="O778" s="318"/>
      <c r="P778" s="318"/>
      <c r="Q778" s="318"/>
    </row>
    <row r="779" spans="1:17" ht="12.75" customHeight="1" x14ac:dyDescent="0.2">
      <c r="B779" s="267"/>
      <c r="D779" s="285"/>
      <c r="E779" s="286"/>
      <c r="F779" s="265"/>
      <c r="G779" s="268"/>
      <c r="H779" s="317"/>
      <c r="I779" s="318"/>
      <c r="J779" s="268"/>
      <c r="K779" s="456"/>
      <c r="L779" s="318"/>
      <c r="M779" s="268"/>
      <c r="N779" s="317"/>
      <c r="O779" s="318"/>
      <c r="P779" s="318"/>
      <c r="Q779" s="318"/>
    </row>
    <row r="780" spans="1:17" ht="12.75" customHeight="1" x14ac:dyDescent="0.2">
      <c r="B780" s="267"/>
      <c r="D780" s="285"/>
      <c r="E780" s="286"/>
      <c r="F780" s="265"/>
      <c r="G780" s="268"/>
      <c r="H780" s="317"/>
      <c r="I780" s="318"/>
      <c r="J780" s="268"/>
      <c r="K780" s="456"/>
      <c r="L780" s="318"/>
      <c r="M780" s="268"/>
      <c r="N780" s="317"/>
      <c r="O780" s="318"/>
      <c r="P780" s="318"/>
      <c r="Q780" s="318"/>
    </row>
    <row r="781" spans="1:17" ht="12.75" customHeight="1" x14ac:dyDescent="0.2">
      <c r="B781" s="267"/>
      <c r="D781" s="285"/>
      <c r="E781" s="286"/>
      <c r="F781" s="265"/>
      <c r="G781" s="268"/>
      <c r="H781" s="317"/>
      <c r="I781" s="318"/>
      <c r="J781" s="268"/>
      <c r="K781" s="456"/>
      <c r="L781" s="318"/>
      <c r="M781" s="268"/>
      <c r="N781" s="317"/>
      <c r="O781" s="318"/>
      <c r="P781" s="318"/>
      <c r="Q781" s="318"/>
    </row>
    <row r="782" spans="1:17" ht="12.75" customHeight="1" x14ac:dyDescent="0.2">
      <c r="B782" s="267"/>
      <c r="D782" s="285"/>
      <c r="E782" s="286"/>
      <c r="F782" s="265"/>
      <c r="G782" s="268"/>
      <c r="H782" s="317"/>
      <c r="I782" s="318"/>
      <c r="J782" s="268"/>
      <c r="K782" s="456"/>
      <c r="L782" s="318"/>
      <c r="M782" s="268"/>
      <c r="N782" s="317"/>
      <c r="O782" s="318"/>
      <c r="P782" s="318"/>
      <c r="Q782" s="318"/>
    </row>
    <row r="783" spans="1:17" ht="12.75" customHeight="1" x14ac:dyDescent="0.2">
      <c r="B783" s="267"/>
      <c r="D783" s="285"/>
      <c r="E783" s="286"/>
      <c r="F783" s="265"/>
      <c r="G783" s="268"/>
      <c r="H783" s="317"/>
      <c r="I783" s="318"/>
      <c r="J783" s="268"/>
      <c r="K783" s="456"/>
      <c r="L783" s="318"/>
      <c r="M783" s="268"/>
      <c r="N783" s="317"/>
      <c r="O783" s="318"/>
      <c r="P783" s="318"/>
      <c r="Q783" s="318"/>
    </row>
    <row r="784" spans="1:17" ht="12.75" customHeight="1" x14ac:dyDescent="0.2">
      <c r="B784" s="267"/>
      <c r="D784" s="285"/>
      <c r="E784" s="286"/>
      <c r="F784" s="265"/>
      <c r="G784" s="268"/>
      <c r="H784" s="317"/>
      <c r="I784" s="318"/>
      <c r="J784" s="268"/>
      <c r="K784" s="456"/>
      <c r="L784" s="318"/>
      <c r="M784" s="268"/>
      <c r="N784" s="317"/>
      <c r="O784" s="318"/>
      <c r="P784" s="318"/>
      <c r="Q784" s="318"/>
    </row>
    <row r="785" spans="2:17" ht="12.75" customHeight="1" x14ac:dyDescent="0.2">
      <c r="B785" s="267"/>
      <c r="D785" s="285"/>
      <c r="E785" s="286"/>
      <c r="F785" s="265"/>
      <c r="G785" s="268"/>
      <c r="H785" s="317"/>
      <c r="I785" s="318"/>
      <c r="J785" s="268"/>
      <c r="K785" s="456"/>
      <c r="L785" s="318"/>
      <c r="M785" s="268"/>
      <c r="N785" s="317"/>
      <c r="O785" s="318"/>
      <c r="P785" s="318"/>
      <c r="Q785" s="318"/>
    </row>
    <row r="786" spans="2:17" ht="12.75" customHeight="1" x14ac:dyDescent="0.2">
      <c r="B786" s="267"/>
      <c r="D786" s="285"/>
      <c r="E786" s="286"/>
      <c r="F786" s="265"/>
      <c r="G786" s="268"/>
      <c r="H786" s="317"/>
      <c r="I786" s="318"/>
      <c r="J786" s="268"/>
      <c r="K786" s="456"/>
      <c r="L786" s="318"/>
      <c r="M786" s="268"/>
      <c r="N786" s="317"/>
      <c r="O786" s="318"/>
      <c r="P786" s="318"/>
      <c r="Q786" s="318"/>
    </row>
    <row r="787" spans="2:17" ht="12.75" customHeight="1" x14ac:dyDescent="0.2">
      <c r="B787" s="267"/>
      <c r="D787" s="285"/>
      <c r="E787" s="286"/>
      <c r="F787" s="265"/>
      <c r="G787" s="268"/>
      <c r="H787" s="317"/>
      <c r="I787" s="318"/>
      <c r="J787" s="268"/>
      <c r="K787" s="456"/>
      <c r="L787" s="318"/>
      <c r="M787" s="268"/>
      <c r="N787" s="317"/>
      <c r="O787" s="318"/>
      <c r="P787" s="318"/>
      <c r="Q787" s="318"/>
    </row>
    <row r="788" spans="2:17" ht="12.75" customHeight="1" x14ac:dyDescent="0.2">
      <c r="B788" s="267"/>
      <c r="D788" s="285"/>
      <c r="E788" s="286"/>
      <c r="F788" s="265"/>
      <c r="G788" s="268"/>
      <c r="H788" s="317"/>
      <c r="I788" s="318"/>
      <c r="J788" s="268"/>
      <c r="K788" s="456"/>
      <c r="L788" s="318"/>
      <c r="M788" s="268"/>
      <c r="N788" s="317"/>
      <c r="O788" s="318"/>
      <c r="P788" s="318"/>
      <c r="Q788" s="318"/>
    </row>
    <row r="789" spans="2:17" ht="12.75" customHeight="1" x14ac:dyDescent="0.2">
      <c r="B789" s="267"/>
      <c r="D789" s="285"/>
      <c r="E789" s="286"/>
      <c r="F789" s="265"/>
      <c r="G789" s="268"/>
      <c r="H789" s="317"/>
      <c r="I789" s="318"/>
      <c r="J789" s="268"/>
      <c r="K789" s="456"/>
      <c r="L789" s="318"/>
      <c r="M789" s="268"/>
      <c r="N789" s="317"/>
      <c r="O789" s="318"/>
      <c r="P789" s="318"/>
      <c r="Q789" s="318"/>
    </row>
    <row r="790" spans="2:17" ht="12.75" customHeight="1" x14ac:dyDescent="0.2">
      <c r="B790" s="267"/>
      <c r="D790" s="285"/>
      <c r="E790" s="286"/>
      <c r="F790" s="265"/>
      <c r="G790" s="268"/>
      <c r="H790" s="317"/>
      <c r="I790" s="318"/>
      <c r="J790" s="268"/>
      <c r="K790" s="456"/>
      <c r="L790" s="318"/>
      <c r="M790" s="268"/>
      <c r="N790" s="317"/>
      <c r="O790" s="318"/>
      <c r="P790" s="318"/>
      <c r="Q790" s="318"/>
    </row>
    <row r="791" spans="2:17" ht="12.75" customHeight="1" x14ac:dyDescent="0.2">
      <c r="B791" s="267"/>
      <c r="D791" s="285"/>
      <c r="E791" s="286"/>
      <c r="F791" s="265"/>
      <c r="G791" s="268"/>
      <c r="H791" s="317"/>
      <c r="I791" s="318"/>
      <c r="J791" s="268"/>
      <c r="K791" s="456"/>
      <c r="L791" s="318"/>
      <c r="M791" s="268"/>
      <c r="N791" s="317"/>
      <c r="O791" s="318"/>
      <c r="P791" s="318"/>
      <c r="Q791" s="318"/>
    </row>
    <row r="792" spans="2:17" ht="12.75" customHeight="1" x14ac:dyDescent="0.2">
      <c r="B792" s="267"/>
      <c r="D792" s="285"/>
      <c r="E792" s="286"/>
      <c r="F792" s="265"/>
      <c r="G792" s="268"/>
      <c r="H792" s="317"/>
      <c r="I792" s="318"/>
      <c r="J792" s="268"/>
      <c r="K792" s="456"/>
      <c r="L792" s="318"/>
      <c r="M792" s="268"/>
      <c r="N792" s="317"/>
      <c r="O792" s="318"/>
      <c r="P792" s="318"/>
      <c r="Q792" s="318"/>
    </row>
    <row r="793" spans="2:17" ht="12.75" customHeight="1" x14ac:dyDescent="0.2">
      <c r="B793" s="267"/>
      <c r="D793" s="285"/>
      <c r="E793" s="286"/>
      <c r="F793" s="265"/>
      <c r="G793" s="268"/>
      <c r="H793" s="317"/>
      <c r="I793" s="318"/>
      <c r="J793" s="268"/>
      <c r="K793" s="456"/>
      <c r="L793" s="318"/>
      <c r="M793" s="268"/>
      <c r="N793" s="317"/>
      <c r="O793" s="318"/>
      <c r="P793" s="318"/>
      <c r="Q793" s="318"/>
    </row>
    <row r="794" spans="2:17" ht="12.75" customHeight="1" x14ac:dyDescent="0.2">
      <c r="B794" s="267"/>
      <c r="D794" s="285"/>
      <c r="E794" s="286"/>
      <c r="F794" s="265"/>
      <c r="G794" s="268"/>
      <c r="H794" s="317"/>
      <c r="I794" s="318"/>
      <c r="J794" s="268"/>
      <c r="K794" s="456"/>
      <c r="L794" s="318"/>
      <c r="M794" s="268"/>
      <c r="N794" s="317"/>
      <c r="O794" s="318"/>
      <c r="P794" s="318"/>
      <c r="Q794" s="318"/>
    </row>
    <row r="795" spans="2:17" ht="12.75" customHeight="1" x14ac:dyDescent="0.2">
      <c r="B795" s="267"/>
      <c r="D795" s="285"/>
      <c r="E795" s="286"/>
      <c r="F795" s="265"/>
      <c r="G795" s="268"/>
      <c r="H795" s="317"/>
      <c r="I795" s="318"/>
      <c r="J795" s="268"/>
      <c r="K795" s="456"/>
      <c r="L795" s="318"/>
      <c r="M795" s="268"/>
      <c r="N795" s="317"/>
      <c r="O795" s="318"/>
      <c r="P795" s="318"/>
      <c r="Q795" s="318"/>
    </row>
    <row r="796" spans="2:17" ht="12.75" customHeight="1" x14ac:dyDescent="0.2">
      <c r="B796" s="267"/>
      <c r="D796" s="285"/>
      <c r="E796" s="286"/>
      <c r="F796" s="265"/>
      <c r="G796" s="268"/>
      <c r="H796" s="317"/>
      <c r="I796" s="318"/>
      <c r="J796" s="268"/>
      <c r="K796" s="456"/>
      <c r="L796" s="318"/>
      <c r="M796" s="268"/>
      <c r="N796" s="317"/>
      <c r="O796" s="318"/>
      <c r="P796" s="318"/>
      <c r="Q796" s="318"/>
    </row>
    <row r="797" spans="2:17" ht="12.75" customHeight="1" x14ac:dyDescent="0.2">
      <c r="B797" s="267"/>
      <c r="D797" s="285"/>
      <c r="E797" s="286"/>
      <c r="F797" s="265"/>
      <c r="G797" s="268"/>
      <c r="H797" s="317"/>
      <c r="I797" s="318"/>
      <c r="J797" s="268"/>
      <c r="K797" s="456"/>
      <c r="L797" s="318"/>
      <c r="M797" s="268"/>
      <c r="N797" s="317"/>
      <c r="O797" s="318"/>
      <c r="P797" s="318"/>
      <c r="Q797" s="318"/>
    </row>
    <row r="798" spans="2:17" ht="12.75" customHeight="1" x14ac:dyDescent="0.2">
      <c r="B798" s="267"/>
      <c r="D798" s="285"/>
      <c r="E798" s="286"/>
      <c r="F798" s="265"/>
      <c r="G798" s="268"/>
      <c r="H798" s="317"/>
      <c r="I798" s="318"/>
      <c r="J798" s="268"/>
      <c r="K798" s="456"/>
      <c r="L798" s="318"/>
      <c r="M798" s="268"/>
      <c r="N798" s="317"/>
      <c r="O798" s="318"/>
      <c r="P798" s="318"/>
      <c r="Q798" s="318"/>
    </row>
    <row r="799" spans="2:17" ht="12.75" customHeight="1" x14ac:dyDescent="0.2">
      <c r="B799" s="267"/>
      <c r="D799" s="285"/>
      <c r="E799" s="286"/>
      <c r="F799" s="265"/>
      <c r="G799" s="268"/>
      <c r="H799" s="317"/>
      <c r="I799" s="318"/>
      <c r="J799" s="268"/>
      <c r="K799" s="456"/>
      <c r="L799" s="318"/>
      <c r="M799" s="268"/>
      <c r="N799" s="317"/>
      <c r="O799" s="318"/>
      <c r="P799" s="318"/>
      <c r="Q799" s="318"/>
    </row>
    <row r="800" spans="2:17" ht="12.75" customHeight="1" x14ac:dyDescent="0.2">
      <c r="B800" s="267"/>
      <c r="D800" s="285"/>
      <c r="E800" s="286"/>
      <c r="F800" s="265"/>
      <c r="G800" s="268"/>
      <c r="H800" s="317"/>
      <c r="I800" s="318"/>
      <c r="J800" s="268"/>
      <c r="K800" s="456"/>
      <c r="L800" s="318"/>
      <c r="M800" s="268"/>
      <c r="N800" s="317"/>
      <c r="O800" s="318"/>
      <c r="P800" s="318"/>
      <c r="Q800" s="318"/>
    </row>
    <row r="801" spans="2:20" ht="12.75" customHeight="1" x14ac:dyDescent="0.2">
      <c r="B801" s="267"/>
      <c r="D801" s="285"/>
      <c r="E801" s="286"/>
      <c r="F801" s="265"/>
      <c r="G801" s="268"/>
      <c r="H801" s="317"/>
      <c r="I801" s="318"/>
      <c r="J801" s="268"/>
      <c r="K801" s="456"/>
      <c r="L801" s="318"/>
      <c r="M801" s="268"/>
      <c r="N801" s="317"/>
      <c r="O801" s="318"/>
      <c r="P801" s="318"/>
      <c r="Q801" s="318"/>
    </row>
    <row r="802" spans="2:20" ht="12.75" customHeight="1" x14ac:dyDescent="0.2">
      <c r="B802" s="267"/>
      <c r="D802" s="285"/>
      <c r="E802" s="286"/>
      <c r="F802" s="265"/>
      <c r="G802" s="268"/>
      <c r="H802" s="317"/>
      <c r="I802" s="318"/>
      <c r="J802" s="268"/>
      <c r="K802" s="456"/>
      <c r="L802" s="318"/>
      <c r="M802" s="268"/>
      <c r="N802" s="317"/>
      <c r="O802" s="318"/>
      <c r="P802" s="318"/>
      <c r="Q802" s="318"/>
    </row>
    <row r="803" spans="2:20" ht="12.75" customHeight="1" x14ac:dyDescent="0.2">
      <c r="B803" s="267"/>
      <c r="D803" s="285"/>
      <c r="E803" s="286"/>
      <c r="F803" s="265"/>
      <c r="G803" s="268"/>
      <c r="H803" s="317"/>
      <c r="I803" s="318"/>
      <c r="J803" s="268"/>
      <c r="K803" s="456"/>
      <c r="L803" s="318"/>
      <c r="M803" s="268"/>
      <c r="N803" s="317"/>
      <c r="O803" s="318"/>
      <c r="P803" s="318"/>
      <c r="Q803" s="318"/>
    </row>
    <row r="804" spans="2:20" ht="12.75" customHeight="1" x14ac:dyDescent="0.2">
      <c r="B804" s="267"/>
      <c r="D804" s="285"/>
      <c r="E804" s="286"/>
      <c r="F804" s="265"/>
      <c r="G804" s="268"/>
      <c r="H804" s="317"/>
      <c r="I804" s="318"/>
      <c r="J804" s="268"/>
      <c r="K804" s="456"/>
      <c r="L804" s="318"/>
      <c r="M804" s="268"/>
      <c r="N804" s="317"/>
      <c r="O804" s="318"/>
      <c r="P804" s="318"/>
      <c r="Q804" s="318"/>
    </row>
    <row r="805" spans="2:20" ht="12.75" customHeight="1" x14ac:dyDescent="0.2">
      <c r="B805" s="267"/>
      <c r="D805" s="285"/>
      <c r="E805" s="286"/>
      <c r="F805" s="265"/>
      <c r="G805" s="268"/>
      <c r="H805" s="317"/>
      <c r="I805" s="318"/>
      <c r="J805" s="268"/>
      <c r="K805" s="456"/>
      <c r="L805" s="318"/>
      <c r="M805" s="268"/>
      <c r="N805" s="317"/>
      <c r="O805" s="318"/>
      <c r="P805" s="318"/>
      <c r="Q805" s="318"/>
    </row>
    <row r="806" spans="2:20" ht="12.75" customHeight="1" x14ac:dyDescent="0.2">
      <c r="B806" s="267"/>
      <c r="D806" s="285"/>
      <c r="E806" s="286"/>
      <c r="F806" s="265"/>
      <c r="G806" s="268"/>
      <c r="H806" s="317"/>
      <c r="I806" s="318"/>
      <c r="J806" s="268"/>
      <c r="K806" s="456"/>
      <c r="L806" s="318"/>
      <c r="M806" s="268"/>
      <c r="N806" s="317"/>
      <c r="O806" s="318"/>
      <c r="P806" s="318"/>
      <c r="Q806" s="318"/>
    </row>
    <row r="807" spans="2:20" ht="12.75" customHeight="1" x14ac:dyDescent="0.2">
      <c r="B807" s="267"/>
      <c r="D807" s="285"/>
      <c r="E807" s="286"/>
      <c r="F807" s="265"/>
      <c r="G807" s="268"/>
      <c r="H807" s="317"/>
      <c r="I807" s="318"/>
      <c r="J807" s="268"/>
      <c r="K807" s="456"/>
      <c r="L807" s="318"/>
      <c r="M807" s="268"/>
      <c r="N807" s="317"/>
      <c r="O807" s="318"/>
      <c r="P807" s="318"/>
      <c r="Q807" s="318"/>
    </row>
    <row r="808" spans="2:20" ht="12.75" customHeight="1" x14ac:dyDescent="0.2">
      <c r="B808" s="267"/>
      <c r="D808" s="285"/>
      <c r="E808" s="286"/>
      <c r="F808" s="265"/>
      <c r="G808" s="268"/>
      <c r="H808" s="317"/>
      <c r="I808" s="318"/>
      <c r="J808" s="268"/>
      <c r="K808" s="456"/>
      <c r="L808" s="318"/>
      <c r="M808" s="268"/>
      <c r="N808" s="317"/>
      <c r="O808" s="318"/>
      <c r="P808" s="318"/>
      <c r="Q808" s="318"/>
    </row>
    <row r="809" spans="2:20" ht="12.75" customHeight="1" x14ac:dyDescent="0.2">
      <c r="B809" s="267"/>
      <c r="D809" s="285"/>
      <c r="E809" s="286"/>
      <c r="F809" s="265"/>
      <c r="G809" s="268"/>
      <c r="H809" s="317"/>
      <c r="I809" s="318"/>
      <c r="J809" s="268"/>
      <c r="K809" s="456"/>
      <c r="L809" s="318"/>
      <c r="M809" s="268"/>
      <c r="N809" s="317"/>
      <c r="O809" s="318"/>
      <c r="P809" s="318"/>
      <c r="Q809" s="318"/>
    </row>
    <row r="810" spans="2:20" ht="12.75" customHeight="1" x14ac:dyDescent="0.2">
      <c r="B810" s="267"/>
      <c r="D810" s="285"/>
      <c r="E810" s="286"/>
      <c r="F810" s="265"/>
      <c r="G810" s="268"/>
      <c r="H810" s="317"/>
      <c r="I810" s="318"/>
      <c r="J810" s="268"/>
      <c r="K810" s="456"/>
      <c r="L810" s="318"/>
      <c r="M810" s="268"/>
      <c r="N810" s="317"/>
      <c r="O810" s="318"/>
      <c r="P810" s="318"/>
      <c r="Q810" s="318"/>
    </row>
    <row r="811" spans="2:20" ht="12.75" customHeight="1" x14ac:dyDescent="0.2">
      <c r="B811" s="267"/>
      <c r="D811" s="285"/>
      <c r="E811" s="286"/>
      <c r="F811" s="265"/>
      <c r="G811" s="268"/>
      <c r="H811" s="317"/>
      <c r="I811" s="318"/>
      <c r="J811" s="268"/>
      <c r="K811" s="456"/>
      <c r="L811" s="318"/>
      <c r="M811" s="268"/>
      <c r="N811" s="317"/>
      <c r="O811" s="318"/>
      <c r="P811" s="318"/>
      <c r="Q811" s="318"/>
    </row>
    <row r="812" spans="2:20" ht="12.75" customHeight="1" x14ac:dyDescent="0.2">
      <c r="B812" s="267"/>
      <c r="D812" s="285"/>
      <c r="E812" s="286"/>
      <c r="F812" s="265"/>
      <c r="G812" s="268"/>
      <c r="H812" s="317"/>
      <c r="I812" s="318"/>
      <c r="J812" s="268"/>
      <c r="K812" s="456"/>
      <c r="L812" s="318"/>
      <c r="M812" s="268"/>
      <c r="N812" s="317"/>
      <c r="O812" s="318"/>
      <c r="P812" s="318"/>
      <c r="Q812" s="318"/>
    </row>
    <row r="813" spans="2:20" ht="12.75" customHeight="1" x14ac:dyDescent="0.2">
      <c r="B813" s="267"/>
      <c r="D813" s="285"/>
      <c r="E813" s="286"/>
      <c r="F813" s="265"/>
      <c r="G813" s="268"/>
      <c r="H813" s="317"/>
      <c r="I813" s="318"/>
      <c r="J813" s="268"/>
      <c r="K813" s="456"/>
      <c r="L813" s="318"/>
      <c r="M813" s="268"/>
      <c r="N813" s="317"/>
      <c r="O813" s="318"/>
      <c r="P813" s="318"/>
      <c r="Q813" s="318"/>
    </row>
    <row r="814" spans="2:20" ht="12.75" customHeight="1" x14ac:dyDescent="0.2">
      <c r="B814" s="267"/>
      <c r="D814" s="285"/>
      <c r="E814" s="286"/>
      <c r="F814" s="265"/>
      <c r="G814" s="268"/>
      <c r="H814" s="317"/>
      <c r="I814" s="318"/>
      <c r="J814" s="268"/>
      <c r="K814" s="456"/>
      <c r="L814" s="318"/>
      <c r="M814" s="268"/>
      <c r="N814" s="317"/>
      <c r="O814" s="318"/>
      <c r="P814" s="318"/>
      <c r="Q814" s="318"/>
    </row>
    <row r="815" spans="2:20" ht="12.75" customHeight="1" x14ac:dyDescent="0.2">
      <c r="B815" s="267"/>
      <c r="F815" s="265"/>
      <c r="G815" s="268"/>
      <c r="H815" s="317"/>
      <c r="I815" s="439"/>
      <c r="J815" s="268"/>
      <c r="K815" s="456"/>
      <c r="L815" s="439"/>
      <c r="M815" s="268"/>
      <c r="N815" s="317"/>
      <c r="O815" s="439"/>
      <c r="P815" s="439"/>
      <c r="Q815" s="439"/>
      <c r="T815" s="34" t="s">
        <v>890</v>
      </c>
    </row>
    <row r="816" spans="2:20" ht="12.75" customHeight="1" x14ac:dyDescent="0.2">
      <c r="B816" s="287">
        <v>2300</v>
      </c>
      <c r="C816" s="288" t="s">
        <v>268</v>
      </c>
      <c r="D816" s="289"/>
      <c r="E816" s="290"/>
      <c r="F816" s="291"/>
      <c r="G816" s="291"/>
      <c r="H816" s="422"/>
      <c r="I816" s="423">
        <f>SUM(I755:I815)</f>
        <v>3827743</v>
      </c>
      <c r="J816" s="412"/>
      <c r="K816" s="457"/>
      <c r="L816" s="423">
        <f t="shared" ref="L816" si="293">SUM(L755:L815)</f>
        <v>3876832.25</v>
      </c>
      <c r="M816" s="291"/>
      <c r="N816" s="422"/>
      <c r="O816" s="423">
        <f>SUM(O755:O815)</f>
        <v>3389991</v>
      </c>
      <c r="P816" s="423"/>
      <c r="Q816" s="423">
        <f t="shared" ref="Q816" si="294">SUM(Q755:Q815)</f>
        <v>486841.24999999994</v>
      </c>
      <c r="S816" s="34">
        <v>3891832.25</v>
      </c>
      <c r="T816" s="516">
        <f>L816-S816</f>
        <v>-15000</v>
      </c>
    </row>
    <row r="817" spans="2:17" ht="12.75" customHeight="1" x14ac:dyDescent="0.2">
      <c r="B817" s="239" t="s">
        <v>79</v>
      </c>
      <c r="C817" s="239"/>
      <c r="D817" s="263"/>
      <c r="E817" s="297"/>
      <c r="H817" s="426"/>
      <c r="I817" s="427"/>
      <c r="K817" s="456"/>
      <c r="L817" s="427"/>
      <c r="N817" s="426"/>
      <c r="O817" s="427"/>
      <c r="P817" s="427"/>
      <c r="Q817" s="427"/>
    </row>
    <row r="818" spans="2:17" ht="12.75" customHeight="1" x14ac:dyDescent="0.2">
      <c r="B818" s="239" t="s">
        <v>267</v>
      </c>
      <c r="C818" s="240"/>
      <c r="E818" s="238"/>
      <c r="K818" s="456"/>
    </row>
    <row r="819" spans="2:17" ht="12.75" customHeight="1" x14ac:dyDescent="0.2">
      <c r="B819" s="243"/>
      <c r="C819" s="243"/>
      <c r="D819" s="244"/>
      <c r="E819" s="245"/>
      <c r="F819" s="246"/>
      <c r="H819" s="410"/>
      <c r="I819" s="443"/>
      <c r="K819" s="456"/>
      <c r="L819" s="443"/>
      <c r="N819" s="410"/>
      <c r="O819" s="443"/>
      <c r="P819" s="443"/>
      <c r="Q819" s="443"/>
    </row>
    <row r="820" spans="2:17" ht="12.75" customHeight="1" x14ac:dyDescent="0.2">
      <c r="B820" s="247" t="s">
        <v>263</v>
      </c>
      <c r="C820" s="248" t="s">
        <v>264</v>
      </c>
      <c r="D820" s="249"/>
      <c r="E820" s="250"/>
      <c r="F820" s="250" t="s">
        <v>265</v>
      </c>
      <c r="G820" s="356" t="s">
        <v>68</v>
      </c>
      <c r="H820" s="251" t="s">
        <v>849</v>
      </c>
      <c r="I820" s="252" t="s">
        <v>849</v>
      </c>
      <c r="J820" s="356" t="s">
        <v>68</v>
      </c>
      <c r="K820" s="457" t="s">
        <v>849</v>
      </c>
      <c r="L820" s="252" t="s">
        <v>849</v>
      </c>
      <c r="M820" s="356" t="s">
        <v>68</v>
      </c>
      <c r="N820" s="251" t="s">
        <v>849</v>
      </c>
      <c r="O820" s="252" t="s">
        <v>849</v>
      </c>
      <c r="P820" s="252" t="s">
        <v>849</v>
      </c>
      <c r="Q820" s="252" t="s">
        <v>849</v>
      </c>
    </row>
    <row r="821" spans="2:17" ht="12.75" customHeight="1" x14ac:dyDescent="0.2">
      <c r="B821" s="253" t="s">
        <v>266</v>
      </c>
      <c r="C821" s="254"/>
      <c r="D821" s="255"/>
      <c r="E821" s="256"/>
      <c r="F821" s="256"/>
      <c r="G821" s="357" t="s">
        <v>69</v>
      </c>
      <c r="H821" s="257" t="s">
        <v>262</v>
      </c>
      <c r="I821" s="258" t="s">
        <v>70</v>
      </c>
      <c r="J821" s="357" t="s">
        <v>69</v>
      </c>
      <c r="K821" s="457" t="s">
        <v>262</v>
      </c>
      <c r="L821" s="258" t="s">
        <v>70</v>
      </c>
      <c r="M821" s="357" t="s">
        <v>69</v>
      </c>
      <c r="N821" s="257" t="s">
        <v>262</v>
      </c>
      <c r="O821" s="258" t="s">
        <v>70</v>
      </c>
      <c r="P821" s="258" t="s">
        <v>70</v>
      </c>
      <c r="Q821" s="258" t="s">
        <v>70</v>
      </c>
    </row>
    <row r="822" spans="2:17" ht="12.75" customHeight="1" x14ac:dyDescent="0.2">
      <c r="B822" s="273"/>
      <c r="F822" s="265"/>
      <c r="G822" s="268"/>
      <c r="H822" s="317"/>
      <c r="I822" s="318"/>
      <c r="J822" s="268"/>
      <c r="K822" s="456"/>
      <c r="L822" s="318"/>
      <c r="M822" s="268"/>
      <c r="N822" s="317"/>
      <c r="O822" s="318"/>
      <c r="P822" s="318"/>
      <c r="Q822" s="318"/>
    </row>
    <row r="823" spans="2:17" ht="12.75" customHeight="1" x14ac:dyDescent="0.2">
      <c r="B823" s="261">
        <v>3100</v>
      </c>
      <c r="C823" s="262" t="s">
        <v>321</v>
      </c>
      <c r="D823" s="263"/>
      <c r="E823" s="264"/>
      <c r="F823" s="265"/>
      <c r="G823" s="268"/>
      <c r="H823" s="317"/>
      <c r="I823" s="318"/>
      <c r="J823" s="268"/>
      <c r="K823" s="456"/>
      <c r="L823" s="318"/>
      <c r="M823" s="268"/>
      <c r="N823" s="317"/>
      <c r="O823" s="318"/>
      <c r="P823" s="318"/>
      <c r="Q823" s="318"/>
    </row>
    <row r="824" spans="2:17" ht="12.75" customHeight="1" x14ac:dyDescent="0.2">
      <c r="B824" s="267"/>
      <c r="C824" s="262"/>
      <c r="D824" s="263"/>
      <c r="E824" s="264"/>
      <c r="F824" s="265"/>
      <c r="G824" s="268"/>
      <c r="H824" s="317"/>
      <c r="I824" s="439" t="str">
        <f>IF(G824=0," ",G824*H824)</f>
        <v xml:space="preserve"> </v>
      </c>
      <c r="J824" s="268"/>
      <c r="K824" s="456"/>
      <c r="L824" s="439" t="str">
        <f t="shared" ref="L824" si="295">IF(J824=0," ",J824*K824)</f>
        <v xml:space="preserve"> </v>
      </c>
      <c r="M824" s="268"/>
      <c r="N824" s="317"/>
      <c r="O824" s="439" t="str">
        <f t="shared" ref="O824" si="296">IF(M824=0," ",M824*N824)</f>
        <v xml:space="preserve"> </v>
      </c>
      <c r="P824" s="439" t="str">
        <f t="shared" ref="P824" si="297">IF(N824=0," ",N824*O824)</f>
        <v xml:space="preserve"> </v>
      </c>
      <c r="Q824" s="439"/>
    </row>
    <row r="825" spans="2:17" ht="12.75" customHeight="1" x14ac:dyDescent="0.2">
      <c r="B825" s="267">
        <v>31.01</v>
      </c>
      <c r="C825" s="273" t="s">
        <v>521</v>
      </c>
      <c r="F825" s="265"/>
      <c r="G825" s="268"/>
      <c r="H825" s="317"/>
      <c r="I825" s="439"/>
      <c r="J825" s="268"/>
      <c r="K825" s="456"/>
      <c r="L825" s="439"/>
      <c r="M825" s="268"/>
      <c r="N825" s="317"/>
      <c r="O825" s="439"/>
      <c r="P825" s="439"/>
      <c r="Q825" s="439"/>
    </row>
    <row r="826" spans="2:17" ht="12.75" customHeight="1" x14ac:dyDescent="0.2">
      <c r="B826" s="267"/>
      <c r="C826" s="273" t="s">
        <v>522</v>
      </c>
      <c r="F826" s="265" t="s">
        <v>829</v>
      </c>
      <c r="G826" s="268">
        <f>80*60*0.3</f>
        <v>1440</v>
      </c>
      <c r="H826" s="418">
        <v>50</v>
      </c>
      <c r="I826" s="418">
        <f t="shared" ref="I826:I836" si="298">IF(G826=0," ",G826*H826)</f>
        <v>72000</v>
      </c>
      <c r="J826" s="268">
        <f t="shared" ref="J826" si="299">80*60*0.3</f>
        <v>1440</v>
      </c>
      <c r="K826" s="456">
        <v>60</v>
      </c>
      <c r="L826" s="418">
        <f t="shared" ref="L826:L832" si="300">IF(J826=0," ",J826*K826)</f>
        <v>86400</v>
      </c>
      <c r="M826" s="268">
        <f t="shared" ref="M826" si="301">80*60*0.3</f>
        <v>1440</v>
      </c>
      <c r="N826" s="418">
        <v>60</v>
      </c>
      <c r="O826" s="418">
        <f t="shared" ref="O826:O832" si="302">IF(M826=0," ",M826*N826)</f>
        <v>86400</v>
      </c>
      <c r="P826" s="418">
        <f>K826-N826</f>
        <v>0</v>
      </c>
      <c r="Q826" s="418">
        <f>L826-O826</f>
        <v>0</v>
      </c>
    </row>
    <row r="827" spans="2:17" ht="12.75" customHeight="1" x14ac:dyDescent="0.2">
      <c r="B827" s="267"/>
      <c r="F827" s="265"/>
      <c r="G827" s="268"/>
      <c r="H827" s="418" t="str">
        <f t="shared" ref="H827:H832" si="303">IF(F827=0," ",F827*G827)</f>
        <v xml:space="preserve"> </v>
      </c>
      <c r="I827" s="418" t="str">
        <f t="shared" si="298"/>
        <v xml:space="preserve"> </v>
      </c>
      <c r="J827" s="268"/>
      <c r="K827" s="456" t="s">
        <v>849</v>
      </c>
      <c r="L827" s="418" t="str">
        <f t="shared" si="300"/>
        <v xml:space="preserve"> </v>
      </c>
      <c r="M827" s="268"/>
      <c r="N827" s="418"/>
      <c r="O827" s="418" t="str">
        <f t="shared" si="302"/>
        <v xml:space="preserve"> </v>
      </c>
      <c r="P827" s="418"/>
      <c r="Q827" s="418"/>
    </row>
    <row r="828" spans="2:17" ht="12.75" customHeight="1" x14ac:dyDescent="0.2">
      <c r="B828" s="267">
        <v>31.03</v>
      </c>
      <c r="C828" s="273" t="s">
        <v>322</v>
      </c>
      <c r="F828" s="265"/>
      <c r="G828" s="268"/>
      <c r="H828" s="418" t="str">
        <f>IF(F828=0," ",F828*G828)</f>
        <v xml:space="preserve"> </v>
      </c>
      <c r="I828" s="418" t="str">
        <f t="shared" si="298"/>
        <v xml:space="preserve"> </v>
      </c>
      <c r="J828" s="268"/>
      <c r="K828" s="456" t="s">
        <v>849</v>
      </c>
      <c r="L828" s="418" t="str">
        <f t="shared" si="300"/>
        <v xml:space="preserve"> </v>
      </c>
      <c r="M828" s="268"/>
      <c r="N828" s="418"/>
      <c r="O828" s="418" t="str">
        <f t="shared" si="302"/>
        <v xml:space="preserve"> </v>
      </c>
      <c r="P828" s="418"/>
      <c r="Q828" s="418"/>
    </row>
    <row r="829" spans="2:17" ht="12.75" customHeight="1" x14ac:dyDescent="0.2">
      <c r="B829" s="267"/>
      <c r="F829" s="265"/>
      <c r="G829" s="268"/>
      <c r="H829" s="418"/>
      <c r="I829" s="418" t="str">
        <f t="shared" si="298"/>
        <v xml:space="preserve"> </v>
      </c>
      <c r="J829" s="268"/>
      <c r="K829" s="456"/>
      <c r="L829" s="418" t="str">
        <f t="shared" si="300"/>
        <v xml:space="preserve"> </v>
      </c>
      <c r="M829" s="268"/>
      <c r="N829" s="418"/>
      <c r="O829" s="418" t="str">
        <f t="shared" si="302"/>
        <v xml:space="preserve"> </v>
      </c>
      <c r="P829" s="418"/>
      <c r="Q829" s="418"/>
    </row>
    <row r="830" spans="2:17" ht="12.75" customHeight="1" x14ac:dyDescent="0.2">
      <c r="B830" s="267" t="s">
        <v>850</v>
      </c>
      <c r="C830" s="273" t="s">
        <v>276</v>
      </c>
      <c r="D830" s="241" t="s">
        <v>323</v>
      </c>
      <c r="F830" s="265" t="s">
        <v>454</v>
      </c>
      <c r="G830" s="268">
        <v>1</v>
      </c>
      <c r="H830" s="418">
        <v>20000</v>
      </c>
      <c r="I830" s="418">
        <f t="shared" si="298"/>
        <v>20000</v>
      </c>
      <c r="J830" s="268">
        <v>1</v>
      </c>
      <c r="K830" s="456">
        <v>18500</v>
      </c>
      <c r="L830" s="418">
        <f t="shared" si="300"/>
        <v>18500</v>
      </c>
      <c r="M830" s="268">
        <v>1</v>
      </c>
      <c r="N830" s="418">
        <v>18500</v>
      </c>
      <c r="O830" s="418">
        <f t="shared" si="302"/>
        <v>18500</v>
      </c>
      <c r="P830" s="418">
        <f t="shared" ref="P830:P837" si="304">K830-N830</f>
        <v>0</v>
      </c>
      <c r="Q830" s="418">
        <f t="shared" ref="Q830" si="305">IF(O830=0," ",O830*P830)</f>
        <v>0</v>
      </c>
    </row>
    <row r="831" spans="2:17" ht="12.75" customHeight="1" x14ac:dyDescent="0.2">
      <c r="B831" s="267"/>
      <c r="F831" s="265"/>
      <c r="G831" s="268"/>
      <c r="H831" s="418"/>
      <c r="I831" s="418" t="str">
        <f t="shared" si="298"/>
        <v xml:space="preserve"> </v>
      </c>
      <c r="J831" s="268"/>
      <c r="K831" s="456"/>
      <c r="L831" s="418" t="str">
        <f t="shared" si="300"/>
        <v xml:space="preserve"> </v>
      </c>
      <c r="M831" s="268"/>
      <c r="N831" s="418"/>
      <c r="O831" s="418" t="str">
        <f t="shared" si="302"/>
        <v xml:space="preserve"> </v>
      </c>
      <c r="P831" s="418"/>
      <c r="Q831" s="418"/>
    </row>
    <row r="832" spans="2:17" ht="12.75" customHeight="1" x14ac:dyDescent="0.2">
      <c r="B832" s="302" t="s">
        <v>581</v>
      </c>
      <c r="C832" s="315" t="s">
        <v>582</v>
      </c>
      <c r="D832" s="332"/>
      <c r="E832" s="332"/>
      <c r="F832" s="333"/>
      <c r="G832" s="362"/>
      <c r="H832" s="418" t="str">
        <f t="shared" si="303"/>
        <v xml:space="preserve"> </v>
      </c>
      <c r="I832" s="418" t="str">
        <f t="shared" si="298"/>
        <v xml:space="preserve"> </v>
      </c>
      <c r="J832" s="362"/>
      <c r="K832" s="456" t="s">
        <v>849</v>
      </c>
      <c r="L832" s="418" t="str">
        <f t="shared" si="300"/>
        <v xml:space="preserve"> </v>
      </c>
      <c r="M832" s="362"/>
      <c r="N832" s="418"/>
      <c r="O832" s="418" t="str">
        <f t="shared" si="302"/>
        <v xml:space="preserve"> </v>
      </c>
      <c r="P832" s="418"/>
      <c r="Q832" s="418"/>
    </row>
    <row r="833" spans="2:17" ht="12.75" customHeight="1" x14ac:dyDescent="0.2">
      <c r="B833" s="334"/>
      <c r="C833" s="335" t="s">
        <v>278</v>
      </c>
      <c r="D833" s="332" t="s">
        <v>583</v>
      </c>
      <c r="E833" s="336"/>
      <c r="F833" s="337" t="s">
        <v>288</v>
      </c>
      <c r="G833" s="65" t="s">
        <v>596</v>
      </c>
      <c r="H833" s="418">
        <v>10000</v>
      </c>
      <c r="I833" s="418"/>
      <c r="J833" s="65" t="s">
        <v>596</v>
      </c>
      <c r="K833" s="456">
        <v>19500</v>
      </c>
      <c r="L833" s="418"/>
      <c r="M833" s="65" t="s">
        <v>596</v>
      </c>
      <c r="N833" s="418">
        <v>19500</v>
      </c>
      <c r="O833" s="418"/>
      <c r="P833" s="418">
        <f t="shared" si="304"/>
        <v>0</v>
      </c>
      <c r="Q833" s="418"/>
    </row>
    <row r="834" spans="2:17" ht="12.75" customHeight="1" x14ac:dyDescent="0.2">
      <c r="B834" s="334"/>
      <c r="C834" s="335"/>
      <c r="D834" s="332"/>
      <c r="E834" s="332"/>
      <c r="F834" s="333"/>
      <c r="G834" s="362"/>
      <c r="H834" s="418" t="str">
        <f t="shared" ref="H834:I850" si="306">IF(F834=0," ",F834*G834)</f>
        <v xml:space="preserve"> </v>
      </c>
      <c r="I834" s="418" t="str">
        <f t="shared" si="298"/>
        <v xml:space="preserve"> </v>
      </c>
      <c r="J834" s="362"/>
      <c r="K834" s="456" t="s">
        <v>849</v>
      </c>
      <c r="L834" s="418" t="str">
        <f t="shared" ref="L834" si="307">IF(J834=0," ",J834*K834)</f>
        <v xml:space="preserve"> </v>
      </c>
      <c r="M834" s="362"/>
      <c r="N834" s="418"/>
      <c r="O834" s="418" t="str">
        <f t="shared" ref="O834" si="308">IF(M834=0," ",M834*N834)</f>
        <v xml:space="preserve"> </v>
      </c>
      <c r="P834" s="418"/>
      <c r="Q834" s="418"/>
    </row>
    <row r="835" spans="2:17" ht="12.75" customHeight="1" x14ac:dyDescent="0.2">
      <c r="B835" s="334"/>
      <c r="C835" s="335" t="s">
        <v>279</v>
      </c>
      <c r="D835" s="332" t="s">
        <v>584</v>
      </c>
      <c r="E835" s="332"/>
      <c r="F835" s="337" t="s">
        <v>254</v>
      </c>
      <c r="G835" s="65" t="s">
        <v>596</v>
      </c>
      <c r="H835" s="418">
        <v>400</v>
      </c>
      <c r="I835" s="418"/>
      <c r="J835" s="65" t="s">
        <v>596</v>
      </c>
      <c r="K835" s="456">
        <v>550</v>
      </c>
      <c r="L835" s="418"/>
      <c r="M835" s="65" t="s">
        <v>596</v>
      </c>
      <c r="N835" s="418">
        <v>550</v>
      </c>
      <c r="O835" s="418"/>
      <c r="P835" s="418">
        <f t="shared" si="304"/>
        <v>0</v>
      </c>
      <c r="Q835" s="418"/>
    </row>
    <row r="836" spans="2:17" ht="12.75" customHeight="1" x14ac:dyDescent="0.2">
      <c r="B836" s="302"/>
      <c r="C836" s="303"/>
      <c r="D836" s="299"/>
      <c r="E836" s="308"/>
      <c r="F836" s="310"/>
      <c r="G836" s="298"/>
      <c r="H836" s="418" t="str">
        <f t="shared" si="306"/>
        <v xml:space="preserve"> </v>
      </c>
      <c r="I836" s="418" t="str">
        <f t="shared" si="298"/>
        <v xml:space="preserve"> </v>
      </c>
      <c r="J836" s="298"/>
      <c r="K836" s="456" t="s">
        <v>849</v>
      </c>
      <c r="L836" s="418" t="str">
        <f t="shared" ref="L836" si="309">IF(J836=0," ",J836*K836)</f>
        <v xml:space="preserve"> </v>
      </c>
      <c r="M836" s="298"/>
      <c r="N836" s="418"/>
      <c r="O836" s="418" t="str">
        <f t="shared" ref="O836" si="310">IF(M836=0," ",M836*N836)</f>
        <v xml:space="preserve"> </v>
      </c>
      <c r="P836" s="418"/>
      <c r="Q836" s="418"/>
    </row>
    <row r="837" spans="2:17" ht="12.75" customHeight="1" x14ac:dyDescent="0.2">
      <c r="B837" s="302"/>
      <c r="C837" s="315" t="s">
        <v>276</v>
      </c>
      <c r="D837" s="316" t="s">
        <v>585</v>
      </c>
      <c r="E837" s="308"/>
      <c r="F837" s="337" t="s">
        <v>254</v>
      </c>
      <c r="G837" s="65" t="s">
        <v>596</v>
      </c>
      <c r="H837" s="418">
        <v>5000</v>
      </c>
      <c r="I837" s="418"/>
      <c r="J837" s="65" t="s">
        <v>596</v>
      </c>
      <c r="K837" s="456">
        <v>6500</v>
      </c>
      <c r="L837" s="418"/>
      <c r="M837" s="65" t="s">
        <v>596</v>
      </c>
      <c r="N837" s="418">
        <v>6500</v>
      </c>
      <c r="O837" s="418"/>
      <c r="P837" s="418">
        <f t="shared" si="304"/>
        <v>0</v>
      </c>
      <c r="Q837" s="418"/>
    </row>
    <row r="838" spans="2:17" ht="12.75" customHeight="1" x14ac:dyDescent="0.2">
      <c r="B838" s="302"/>
      <c r="C838" s="315"/>
      <c r="D838" s="316"/>
      <c r="E838" s="308"/>
      <c r="F838" s="310"/>
      <c r="G838" s="298"/>
      <c r="H838" s="436"/>
      <c r="I838" s="418" t="str">
        <f t="shared" si="306"/>
        <v xml:space="preserve"> </v>
      </c>
      <c r="J838" s="298"/>
      <c r="K838" s="456"/>
      <c r="L838" s="418" t="str">
        <f t="shared" ref="L838" si="311">IF(J838=0," ",J838*K838)</f>
        <v xml:space="preserve"> </v>
      </c>
      <c r="M838" s="298"/>
      <c r="N838" s="436"/>
      <c r="O838" s="418" t="str">
        <f t="shared" ref="O838" si="312">IF(M838=0," ",M838*N838)</f>
        <v xml:space="preserve"> </v>
      </c>
      <c r="P838" s="418" t="str">
        <f t="shared" ref="P838" si="313">IF(N838=0," ",N838*O838)</f>
        <v xml:space="preserve"> </v>
      </c>
      <c r="Q838" s="418"/>
    </row>
    <row r="839" spans="2:17" ht="12.75" customHeight="1" x14ac:dyDescent="0.2">
      <c r="B839" s="267"/>
      <c r="F839" s="265"/>
      <c r="G839" s="268"/>
      <c r="H839" s="438"/>
      <c r="I839" s="418"/>
      <c r="J839" s="268"/>
      <c r="K839" s="456"/>
      <c r="L839" s="418"/>
      <c r="M839" s="268"/>
      <c r="N839" s="438"/>
      <c r="O839" s="418"/>
      <c r="P839" s="418"/>
      <c r="Q839" s="418"/>
    </row>
    <row r="840" spans="2:17" ht="12.75" customHeight="1" x14ac:dyDescent="0.2">
      <c r="B840" s="267"/>
      <c r="F840" s="265"/>
      <c r="G840" s="268"/>
      <c r="H840" s="317"/>
      <c r="I840" s="418" t="str">
        <f t="shared" ref="I840" si="314">IF(G840=0," ",G840*H840)</f>
        <v xml:space="preserve"> </v>
      </c>
      <c r="J840" s="268"/>
      <c r="K840" s="456"/>
      <c r="L840" s="418" t="str">
        <f t="shared" ref="L840" si="315">IF(J840=0," ",J840*K840)</f>
        <v xml:space="preserve"> </v>
      </c>
      <c r="M840" s="268"/>
      <c r="N840" s="317"/>
      <c r="O840" s="418" t="str">
        <f t="shared" ref="O840" si="316">IF(M840=0," ",M840*N840)</f>
        <v xml:space="preserve"> </v>
      </c>
      <c r="P840" s="418" t="str">
        <f t="shared" ref="P840" si="317">IF(N840=0," ",N840*O840)</f>
        <v xml:space="preserve"> </v>
      </c>
      <c r="Q840" s="418"/>
    </row>
    <row r="841" spans="2:17" ht="12.75" customHeight="1" x14ac:dyDescent="0.2">
      <c r="B841" s="267"/>
      <c r="F841" s="265"/>
      <c r="G841" s="268"/>
      <c r="H841" s="317"/>
      <c r="I841" s="439"/>
      <c r="J841" s="268"/>
      <c r="K841" s="456"/>
      <c r="L841" s="439"/>
      <c r="M841" s="268"/>
      <c r="N841" s="317"/>
      <c r="O841" s="439"/>
      <c r="P841" s="439"/>
      <c r="Q841" s="439"/>
    </row>
    <row r="842" spans="2:17" ht="12.75" customHeight="1" x14ac:dyDescent="0.2">
      <c r="B842" s="267"/>
      <c r="F842" s="265"/>
      <c r="G842" s="268"/>
      <c r="H842" s="317"/>
      <c r="I842" s="439"/>
      <c r="J842" s="268"/>
      <c r="K842" s="456"/>
      <c r="L842" s="439"/>
      <c r="M842" s="268"/>
      <c r="N842" s="317"/>
      <c r="O842" s="439"/>
      <c r="P842" s="439"/>
      <c r="Q842" s="439"/>
    </row>
    <row r="843" spans="2:17" ht="12.75" customHeight="1" x14ac:dyDescent="0.2">
      <c r="B843" s="267"/>
      <c r="F843" s="265"/>
      <c r="G843" s="268"/>
      <c r="H843" s="317"/>
      <c r="I843" s="439" t="str">
        <f>IF(G843=0," ",G843*H843)</f>
        <v xml:space="preserve"> </v>
      </c>
      <c r="J843" s="268"/>
      <c r="K843" s="456"/>
      <c r="L843" s="439" t="str">
        <f t="shared" ref="L843:L844" si="318">IF(J843=0," ",J843*K843)</f>
        <v xml:space="preserve"> </v>
      </c>
      <c r="M843" s="268"/>
      <c r="N843" s="317"/>
      <c r="O843" s="439" t="str">
        <f t="shared" ref="O843:O844" si="319">IF(M843=0," ",M843*N843)</f>
        <v xml:space="preserve"> </v>
      </c>
      <c r="P843" s="439" t="str">
        <f t="shared" ref="P843:P844" si="320">IF(N843=0," ",N843*O843)</f>
        <v xml:space="preserve"> </v>
      </c>
      <c r="Q843" s="439"/>
    </row>
    <row r="844" spans="2:17" ht="12.75" customHeight="1" x14ac:dyDescent="0.2">
      <c r="B844" s="267"/>
      <c r="F844" s="265"/>
      <c r="G844" s="268"/>
      <c r="H844" s="317"/>
      <c r="I844" s="439" t="str">
        <f t="shared" si="306"/>
        <v xml:space="preserve"> </v>
      </c>
      <c r="J844" s="268"/>
      <c r="K844" s="456"/>
      <c r="L844" s="439" t="str">
        <f t="shared" si="318"/>
        <v xml:space="preserve"> </v>
      </c>
      <c r="M844" s="268"/>
      <c r="N844" s="317"/>
      <c r="O844" s="439" t="str">
        <f t="shared" si="319"/>
        <v xml:space="preserve"> </v>
      </c>
      <c r="P844" s="439" t="str">
        <f t="shared" si="320"/>
        <v xml:space="preserve"> </v>
      </c>
      <c r="Q844" s="439"/>
    </row>
    <row r="845" spans="2:17" ht="12.75" customHeight="1" x14ac:dyDescent="0.2">
      <c r="B845" s="267"/>
      <c r="F845" s="265"/>
      <c r="G845" s="268"/>
      <c r="H845" s="438"/>
      <c r="I845" s="439"/>
      <c r="J845" s="268"/>
      <c r="K845" s="456"/>
      <c r="L845" s="439"/>
      <c r="M845" s="268"/>
      <c r="N845" s="438"/>
      <c r="O845" s="439"/>
      <c r="P845" s="439"/>
      <c r="Q845" s="439"/>
    </row>
    <row r="846" spans="2:17" ht="12.75" customHeight="1" x14ac:dyDescent="0.2">
      <c r="B846" s="267"/>
      <c r="F846" s="265"/>
      <c r="G846" s="268"/>
      <c r="H846" s="317"/>
      <c r="I846" s="439"/>
      <c r="J846" s="268"/>
      <c r="K846" s="456"/>
      <c r="L846" s="439"/>
      <c r="M846" s="268"/>
      <c r="N846" s="317"/>
      <c r="O846" s="439"/>
      <c r="P846" s="439"/>
      <c r="Q846" s="439"/>
    </row>
    <row r="847" spans="2:17" ht="12.75" customHeight="1" x14ac:dyDescent="0.2">
      <c r="B847" s="267"/>
      <c r="F847" s="265"/>
      <c r="G847" s="268"/>
      <c r="H847" s="317"/>
      <c r="I847" s="439"/>
      <c r="J847" s="268"/>
      <c r="K847" s="456"/>
      <c r="L847" s="439"/>
      <c r="M847" s="268"/>
      <c r="N847" s="317"/>
      <c r="O847" s="439"/>
      <c r="P847" s="439"/>
      <c r="Q847" s="439"/>
    </row>
    <row r="848" spans="2:17" ht="12.75" customHeight="1" x14ac:dyDescent="0.2">
      <c r="B848" s="267"/>
      <c r="D848" s="285"/>
      <c r="E848" s="286"/>
      <c r="F848" s="265"/>
      <c r="G848" s="268"/>
      <c r="H848" s="317"/>
      <c r="I848" s="439" t="str">
        <f t="shared" si="306"/>
        <v xml:space="preserve"> </v>
      </c>
      <c r="J848" s="268"/>
      <c r="K848" s="456"/>
      <c r="L848" s="439" t="str">
        <f t="shared" ref="L848:L850" si="321">IF(J848=0," ",J848*K848)</f>
        <v xml:space="preserve"> </v>
      </c>
      <c r="M848" s="268"/>
      <c r="N848" s="317"/>
      <c r="O848" s="439" t="str">
        <f t="shared" ref="O848:O850" si="322">IF(M848=0," ",M848*N848)</f>
        <v xml:space="preserve"> </v>
      </c>
      <c r="P848" s="439" t="str">
        <f t="shared" ref="P848:P850" si="323">IF(N848=0," ",N848*O848)</f>
        <v xml:space="preserve"> </v>
      </c>
      <c r="Q848" s="439"/>
    </row>
    <row r="849" spans="2:17" ht="12.75" customHeight="1" x14ac:dyDescent="0.2">
      <c r="B849" s="267"/>
      <c r="D849" s="285"/>
      <c r="E849" s="286"/>
      <c r="F849" s="265"/>
      <c r="G849" s="268"/>
      <c r="H849" s="317"/>
      <c r="I849" s="439" t="str">
        <f t="shared" si="306"/>
        <v xml:space="preserve"> </v>
      </c>
      <c r="J849" s="268"/>
      <c r="K849" s="456"/>
      <c r="L849" s="439" t="str">
        <f t="shared" si="321"/>
        <v xml:space="preserve"> </v>
      </c>
      <c r="M849" s="268"/>
      <c r="N849" s="317"/>
      <c r="O849" s="439" t="str">
        <f t="shared" si="322"/>
        <v xml:space="preserve"> </v>
      </c>
      <c r="P849" s="439" t="str">
        <f t="shared" si="323"/>
        <v xml:space="preserve"> </v>
      </c>
      <c r="Q849" s="439"/>
    </row>
    <row r="850" spans="2:17" ht="12.75" customHeight="1" x14ac:dyDescent="0.2">
      <c r="B850" s="267"/>
      <c r="F850" s="265"/>
      <c r="G850" s="268"/>
      <c r="H850" s="317"/>
      <c r="I850" s="439" t="str">
        <f t="shared" si="306"/>
        <v xml:space="preserve"> </v>
      </c>
      <c r="J850" s="268"/>
      <c r="K850" s="456"/>
      <c r="L850" s="439" t="str">
        <f t="shared" si="321"/>
        <v xml:space="preserve"> </v>
      </c>
      <c r="M850" s="268"/>
      <c r="N850" s="317"/>
      <c r="O850" s="439" t="str">
        <f t="shared" si="322"/>
        <v xml:space="preserve"> </v>
      </c>
      <c r="P850" s="439" t="str">
        <f t="shared" si="323"/>
        <v xml:space="preserve"> </v>
      </c>
      <c r="Q850" s="439"/>
    </row>
    <row r="851" spans="2:17" ht="12.75" customHeight="1" x14ac:dyDescent="0.2">
      <c r="B851" s="267"/>
      <c r="F851" s="265"/>
      <c r="G851" s="268"/>
      <c r="H851" s="317"/>
      <c r="I851" s="439"/>
      <c r="J851" s="268"/>
      <c r="K851" s="456"/>
      <c r="L851" s="439"/>
      <c r="M851" s="268"/>
      <c r="N851" s="317"/>
      <c r="O851" s="439"/>
      <c r="P851" s="439"/>
      <c r="Q851" s="439"/>
    </row>
    <row r="852" spans="2:17" ht="12.75" customHeight="1" x14ac:dyDescent="0.2">
      <c r="B852" s="267"/>
      <c r="F852" s="265"/>
      <c r="G852" s="268"/>
      <c r="H852" s="317"/>
      <c r="I852" s="439"/>
      <c r="J852" s="268"/>
      <c r="K852" s="456"/>
      <c r="L852" s="439"/>
      <c r="M852" s="268"/>
      <c r="N852" s="317"/>
      <c r="O852" s="439"/>
      <c r="P852" s="439"/>
      <c r="Q852" s="439"/>
    </row>
    <row r="853" spans="2:17" ht="12.75" customHeight="1" x14ac:dyDescent="0.2">
      <c r="B853" s="267"/>
      <c r="F853" s="265"/>
      <c r="G853" s="268"/>
      <c r="H853" s="317"/>
      <c r="I853" s="439"/>
      <c r="J853" s="268"/>
      <c r="K853" s="456"/>
      <c r="L853" s="439"/>
      <c r="M853" s="268"/>
      <c r="N853" s="317"/>
      <c r="O853" s="439"/>
      <c r="P853" s="439"/>
      <c r="Q853" s="439"/>
    </row>
    <row r="854" spans="2:17" ht="12.75" customHeight="1" x14ac:dyDescent="0.2">
      <c r="B854" s="267"/>
      <c r="F854" s="265"/>
      <c r="G854" s="268"/>
      <c r="H854" s="317"/>
      <c r="I854" s="439"/>
      <c r="J854" s="268"/>
      <c r="K854" s="456"/>
      <c r="L854" s="439"/>
      <c r="M854" s="268"/>
      <c r="N854" s="317"/>
      <c r="O854" s="439"/>
      <c r="P854" s="439"/>
      <c r="Q854" s="439"/>
    </row>
    <row r="855" spans="2:17" ht="12.75" customHeight="1" x14ac:dyDescent="0.2">
      <c r="B855" s="267"/>
      <c r="F855" s="265"/>
      <c r="G855" s="268"/>
      <c r="H855" s="317"/>
      <c r="I855" s="439"/>
      <c r="J855" s="268"/>
      <c r="K855" s="456"/>
      <c r="L855" s="439"/>
      <c r="M855" s="268"/>
      <c r="N855" s="317"/>
      <c r="O855" s="439"/>
      <c r="P855" s="439"/>
      <c r="Q855" s="439"/>
    </row>
    <row r="856" spans="2:17" ht="12.75" customHeight="1" x14ac:dyDescent="0.2">
      <c r="B856" s="267"/>
      <c r="F856" s="265"/>
      <c r="G856" s="268"/>
      <c r="H856" s="317"/>
      <c r="I856" s="439"/>
      <c r="J856" s="268"/>
      <c r="K856" s="456"/>
      <c r="L856" s="439"/>
      <c r="M856" s="268"/>
      <c r="N856" s="317"/>
      <c r="O856" s="439"/>
      <c r="P856" s="439"/>
      <c r="Q856" s="439"/>
    </row>
    <row r="857" spans="2:17" ht="12.75" customHeight="1" x14ac:dyDescent="0.2">
      <c r="B857" s="267"/>
      <c r="F857" s="265"/>
      <c r="G857" s="268"/>
      <c r="H857" s="317"/>
      <c r="I857" s="439"/>
      <c r="J857" s="268"/>
      <c r="K857" s="456"/>
      <c r="L857" s="439"/>
      <c r="M857" s="268"/>
      <c r="N857" s="317"/>
      <c r="O857" s="439"/>
      <c r="P857" s="439"/>
      <c r="Q857" s="439"/>
    </row>
    <row r="858" spans="2:17" ht="12.75" customHeight="1" x14ac:dyDescent="0.2">
      <c r="B858" s="267"/>
      <c r="F858" s="265"/>
      <c r="G858" s="268"/>
      <c r="H858" s="317"/>
      <c r="I858" s="439"/>
      <c r="J858" s="268"/>
      <c r="K858" s="456"/>
      <c r="L858" s="439"/>
      <c r="M858" s="268"/>
      <c r="N858" s="317"/>
      <c r="O858" s="439"/>
      <c r="P858" s="439"/>
      <c r="Q858" s="439"/>
    </row>
    <row r="859" spans="2:17" ht="12.75" customHeight="1" x14ac:dyDescent="0.2">
      <c r="B859" s="267"/>
      <c r="F859" s="265"/>
      <c r="G859" s="268"/>
      <c r="H859" s="317"/>
      <c r="I859" s="439"/>
      <c r="J859" s="268"/>
      <c r="K859" s="456"/>
      <c r="L859" s="439"/>
      <c r="M859" s="268"/>
      <c r="N859" s="317"/>
      <c r="O859" s="439"/>
      <c r="P859" s="439"/>
      <c r="Q859" s="439"/>
    </row>
    <row r="860" spans="2:17" ht="12.75" customHeight="1" x14ac:dyDescent="0.2">
      <c r="B860" s="267"/>
      <c r="F860" s="265"/>
      <c r="G860" s="268"/>
      <c r="H860" s="317"/>
      <c r="I860" s="439"/>
      <c r="J860" s="268"/>
      <c r="K860" s="456"/>
      <c r="L860" s="439"/>
      <c r="M860" s="268"/>
      <c r="N860" s="317"/>
      <c r="O860" s="439"/>
      <c r="P860" s="439"/>
      <c r="Q860" s="439"/>
    </row>
    <row r="861" spans="2:17" ht="12.75" customHeight="1" x14ac:dyDescent="0.2">
      <c r="B861" s="331"/>
      <c r="F861" s="265"/>
      <c r="G861" s="268"/>
      <c r="H861" s="317"/>
      <c r="I861" s="439"/>
      <c r="J861" s="268"/>
      <c r="K861" s="456"/>
      <c r="L861" s="439"/>
      <c r="M861" s="268"/>
      <c r="N861" s="317"/>
      <c r="O861" s="439"/>
      <c r="P861" s="439"/>
      <c r="Q861" s="439"/>
    </row>
    <row r="862" spans="2:17" ht="12.75" customHeight="1" x14ac:dyDescent="0.2">
      <c r="B862" s="267"/>
      <c r="F862" s="265"/>
      <c r="G862" s="275"/>
      <c r="H862" s="317"/>
      <c r="I862" s="439"/>
      <c r="J862" s="275"/>
      <c r="K862" s="456"/>
      <c r="L862" s="439"/>
      <c r="M862" s="275"/>
      <c r="N862" s="317"/>
      <c r="O862" s="439"/>
      <c r="P862" s="439"/>
      <c r="Q862" s="439"/>
    </row>
    <row r="863" spans="2:17" ht="12.75" customHeight="1" x14ac:dyDescent="0.2">
      <c r="B863" s="267"/>
      <c r="F863" s="265"/>
      <c r="G863" s="268"/>
      <c r="H863" s="317"/>
      <c r="I863" s="439"/>
      <c r="J863" s="268"/>
      <c r="K863" s="456"/>
      <c r="L863" s="439"/>
      <c r="M863" s="268"/>
      <c r="N863" s="317"/>
      <c r="O863" s="439"/>
      <c r="P863" s="439"/>
      <c r="Q863" s="439"/>
    </row>
    <row r="864" spans="2:17" ht="12.75" customHeight="1" x14ac:dyDescent="0.2">
      <c r="B864" s="267"/>
      <c r="F864" s="265"/>
      <c r="G864" s="268"/>
      <c r="H864" s="317"/>
      <c r="I864" s="439"/>
      <c r="J864" s="268"/>
      <c r="K864" s="456"/>
      <c r="L864" s="439"/>
      <c r="M864" s="268"/>
      <c r="N864" s="317"/>
      <c r="O864" s="439"/>
      <c r="P864" s="439"/>
      <c r="Q864" s="439"/>
    </row>
    <row r="865" spans="2:17" ht="12.75" customHeight="1" x14ac:dyDescent="0.2">
      <c r="B865" s="273"/>
      <c r="F865" s="265"/>
      <c r="G865" s="268"/>
      <c r="H865" s="317"/>
      <c r="I865" s="439"/>
      <c r="J865" s="268"/>
      <c r="K865" s="456"/>
      <c r="L865" s="439"/>
      <c r="M865" s="268"/>
      <c r="N865" s="317"/>
      <c r="O865" s="439"/>
      <c r="P865" s="439"/>
      <c r="Q865" s="439"/>
    </row>
    <row r="866" spans="2:17" ht="12.75" customHeight="1" x14ac:dyDescent="0.2">
      <c r="B866" s="331"/>
      <c r="F866" s="265"/>
      <c r="G866" s="268"/>
      <c r="H866" s="317"/>
      <c r="I866" s="318"/>
      <c r="J866" s="268"/>
      <c r="K866" s="456"/>
      <c r="L866" s="318"/>
      <c r="M866" s="268"/>
      <c r="N866" s="317"/>
      <c r="O866" s="318"/>
      <c r="P866" s="318"/>
      <c r="Q866" s="318"/>
    </row>
    <row r="867" spans="2:17" ht="12.75" customHeight="1" x14ac:dyDescent="0.2">
      <c r="B867" s="331"/>
      <c r="F867" s="265"/>
      <c r="G867" s="268"/>
      <c r="H867" s="317"/>
      <c r="I867" s="318"/>
      <c r="J867" s="268"/>
      <c r="K867" s="456"/>
      <c r="L867" s="318"/>
      <c r="M867" s="268"/>
      <c r="N867" s="317"/>
      <c r="O867" s="318"/>
      <c r="P867" s="318"/>
      <c r="Q867" s="318"/>
    </row>
    <row r="868" spans="2:17" ht="12.75" customHeight="1" x14ac:dyDescent="0.2">
      <c r="B868" s="331"/>
      <c r="F868" s="265"/>
      <c r="G868" s="268"/>
      <c r="H868" s="317"/>
      <c r="I868" s="318"/>
      <c r="J868" s="268"/>
      <c r="K868" s="456"/>
      <c r="L868" s="318"/>
      <c r="M868" s="268"/>
      <c r="N868" s="317"/>
      <c r="O868" s="318"/>
      <c r="P868" s="318"/>
      <c r="Q868" s="318"/>
    </row>
    <row r="869" spans="2:17" ht="12.75" customHeight="1" x14ac:dyDescent="0.2">
      <c r="B869" s="331"/>
      <c r="F869" s="265"/>
      <c r="G869" s="268"/>
      <c r="H869" s="317"/>
      <c r="I869" s="318"/>
      <c r="J869" s="268"/>
      <c r="K869" s="456"/>
      <c r="L869" s="318"/>
      <c r="M869" s="268"/>
      <c r="N869" s="317"/>
      <c r="O869" s="318"/>
      <c r="P869" s="318"/>
      <c r="Q869" s="318"/>
    </row>
    <row r="870" spans="2:17" ht="12.75" customHeight="1" x14ac:dyDescent="0.2">
      <c r="B870" s="331"/>
      <c r="F870" s="265"/>
      <c r="G870" s="268"/>
      <c r="H870" s="317"/>
      <c r="I870" s="318"/>
      <c r="J870" s="268"/>
      <c r="K870" s="456"/>
      <c r="L870" s="318"/>
      <c r="M870" s="268"/>
      <c r="N870" s="317"/>
      <c r="O870" s="318"/>
      <c r="P870" s="318"/>
      <c r="Q870" s="318"/>
    </row>
    <row r="871" spans="2:17" ht="12.75" customHeight="1" x14ac:dyDescent="0.2">
      <c r="B871" s="331"/>
      <c r="F871" s="265"/>
      <c r="G871" s="268"/>
      <c r="H871" s="317"/>
      <c r="I871" s="318"/>
      <c r="J871" s="268"/>
      <c r="K871" s="456"/>
      <c r="L871" s="318"/>
      <c r="M871" s="268"/>
      <c r="N871" s="317"/>
      <c r="O871" s="318"/>
      <c r="P871" s="318"/>
      <c r="Q871" s="318"/>
    </row>
    <row r="872" spans="2:17" ht="12.75" customHeight="1" x14ac:dyDescent="0.2">
      <c r="B872" s="331"/>
      <c r="F872" s="265"/>
      <c r="G872" s="268"/>
      <c r="H872" s="317"/>
      <c r="I872" s="318"/>
      <c r="J872" s="268"/>
      <c r="K872" s="456"/>
      <c r="L872" s="318"/>
      <c r="M872" s="268"/>
      <c r="N872" s="317"/>
      <c r="O872" s="318"/>
      <c r="P872" s="318"/>
      <c r="Q872" s="318"/>
    </row>
    <row r="873" spans="2:17" ht="12.75" customHeight="1" x14ac:dyDescent="0.2">
      <c r="B873" s="331"/>
      <c r="F873" s="265"/>
      <c r="G873" s="268"/>
      <c r="H873" s="317"/>
      <c r="I873" s="318"/>
      <c r="J873" s="268"/>
      <c r="K873" s="456"/>
      <c r="L873" s="318"/>
      <c r="M873" s="268"/>
      <c r="N873" s="317"/>
      <c r="O873" s="318"/>
      <c r="P873" s="318"/>
      <c r="Q873" s="318"/>
    </row>
    <row r="874" spans="2:17" ht="12.75" customHeight="1" x14ac:dyDescent="0.2">
      <c r="B874" s="331"/>
      <c r="F874" s="265"/>
      <c r="G874" s="268"/>
      <c r="H874" s="317"/>
      <c r="I874" s="318"/>
      <c r="J874" s="268"/>
      <c r="K874" s="456"/>
      <c r="L874" s="318"/>
      <c r="M874" s="268"/>
      <c r="N874" s="317"/>
      <c r="O874" s="318"/>
      <c r="P874" s="318"/>
      <c r="Q874" s="318"/>
    </row>
    <row r="875" spans="2:17" ht="12.75" customHeight="1" x14ac:dyDescent="0.2">
      <c r="B875" s="331"/>
      <c r="F875" s="265"/>
      <c r="G875" s="268"/>
      <c r="H875" s="317"/>
      <c r="I875" s="318"/>
      <c r="J875" s="268"/>
      <c r="K875" s="456"/>
      <c r="L875" s="318"/>
      <c r="M875" s="268"/>
      <c r="N875" s="317"/>
      <c r="O875" s="318"/>
      <c r="P875" s="318"/>
      <c r="Q875" s="318"/>
    </row>
    <row r="876" spans="2:17" ht="12.75" customHeight="1" x14ac:dyDescent="0.2">
      <c r="B876" s="267"/>
      <c r="F876" s="265"/>
      <c r="G876" s="268"/>
      <c r="H876" s="317"/>
      <c r="I876" s="439"/>
      <c r="J876" s="268"/>
      <c r="K876" s="456"/>
      <c r="L876" s="439"/>
      <c r="M876" s="268"/>
      <c r="N876" s="317"/>
      <c r="O876" s="439"/>
      <c r="P876" s="439"/>
      <c r="Q876" s="439"/>
    </row>
    <row r="877" spans="2:17" ht="12.75" customHeight="1" x14ac:dyDescent="0.2">
      <c r="B877" s="267"/>
      <c r="F877" s="265"/>
      <c r="G877" s="268"/>
      <c r="H877" s="317"/>
      <c r="I877" s="439"/>
      <c r="J877" s="268"/>
      <c r="K877" s="456"/>
      <c r="L877" s="439"/>
      <c r="M877" s="268"/>
      <c r="N877" s="317"/>
      <c r="O877" s="439"/>
      <c r="P877" s="439"/>
      <c r="Q877" s="439"/>
    </row>
    <row r="878" spans="2:17" ht="12.75" customHeight="1" x14ac:dyDescent="0.2">
      <c r="B878" s="267"/>
      <c r="F878" s="265"/>
      <c r="G878" s="268"/>
      <c r="H878" s="317"/>
      <c r="I878" s="439"/>
      <c r="J878" s="268"/>
      <c r="K878" s="456"/>
      <c r="L878" s="439"/>
      <c r="M878" s="268"/>
      <c r="N878" s="317"/>
      <c r="O878" s="439"/>
      <c r="P878" s="439"/>
      <c r="Q878" s="439"/>
    </row>
    <row r="879" spans="2:17" ht="12.75" customHeight="1" x14ac:dyDescent="0.2">
      <c r="B879" s="267"/>
      <c r="F879" s="265"/>
      <c r="G879" s="268"/>
      <c r="H879" s="317"/>
      <c r="I879" s="439"/>
      <c r="J879" s="268"/>
      <c r="K879" s="456"/>
      <c r="L879" s="439"/>
      <c r="M879" s="268"/>
      <c r="N879" s="317"/>
      <c r="O879" s="439"/>
      <c r="P879" s="439"/>
      <c r="Q879" s="439"/>
    </row>
    <row r="880" spans="2:17" ht="12.75" customHeight="1" x14ac:dyDescent="0.2">
      <c r="B880" s="267"/>
      <c r="F880" s="265"/>
      <c r="G880" s="268"/>
      <c r="H880" s="317"/>
      <c r="I880" s="439"/>
      <c r="J880" s="268"/>
      <c r="K880" s="456"/>
      <c r="L880" s="439"/>
      <c r="M880" s="268"/>
      <c r="N880" s="317"/>
      <c r="O880" s="439"/>
      <c r="P880" s="439"/>
      <c r="Q880" s="439"/>
    </row>
    <row r="881" spans="2:24" ht="12.75" customHeight="1" x14ac:dyDescent="0.2">
      <c r="B881" s="267"/>
      <c r="F881" s="265"/>
      <c r="G881" s="268"/>
      <c r="H881" s="317"/>
      <c r="I881" s="439"/>
      <c r="J881" s="268"/>
      <c r="K881" s="456"/>
      <c r="L881" s="439"/>
      <c r="M881" s="268"/>
      <c r="N881" s="317"/>
      <c r="O881" s="439"/>
      <c r="P881" s="439"/>
      <c r="Q881" s="439"/>
    </row>
    <row r="882" spans="2:24" ht="12.75" customHeight="1" x14ac:dyDescent="0.2">
      <c r="B882" s="267"/>
      <c r="F882" s="265"/>
      <c r="G882" s="268"/>
      <c r="H882" s="317"/>
      <c r="I882" s="439"/>
      <c r="J882" s="268"/>
      <c r="K882" s="456"/>
      <c r="L882" s="439"/>
      <c r="M882" s="268"/>
      <c r="N882" s="317"/>
      <c r="O882" s="439"/>
      <c r="P882" s="439"/>
      <c r="Q882" s="439"/>
    </row>
    <row r="883" spans="2:24" ht="12.75" customHeight="1" x14ac:dyDescent="0.2">
      <c r="B883" s="267"/>
      <c r="D883" s="285"/>
      <c r="E883" s="286"/>
      <c r="F883" s="265"/>
      <c r="G883" s="268"/>
      <c r="H883" s="317"/>
      <c r="I883" s="318"/>
      <c r="J883" s="268"/>
      <c r="K883" s="456"/>
      <c r="L883" s="318"/>
      <c r="M883" s="268"/>
      <c r="N883" s="317"/>
      <c r="O883" s="318"/>
      <c r="P883" s="318"/>
      <c r="Q883" s="318"/>
    </row>
    <row r="884" spans="2:24" ht="12.75" customHeight="1" x14ac:dyDescent="0.2">
      <c r="B884" s="287">
        <v>3100</v>
      </c>
      <c r="C884" s="288" t="s">
        <v>268</v>
      </c>
      <c r="D884" s="289"/>
      <c r="E884" s="290"/>
      <c r="F884" s="291"/>
      <c r="G884" s="291"/>
      <c r="H884" s="422"/>
      <c r="I884" s="423">
        <f>SUM(I826:I883)</f>
        <v>92000</v>
      </c>
      <c r="J884" s="412"/>
      <c r="K884" s="457"/>
      <c r="L884" s="423">
        <f>SUM(L826:L883)</f>
        <v>104900</v>
      </c>
      <c r="M884" s="291"/>
      <c r="N884" s="422"/>
      <c r="O884" s="423">
        <f>SUM(O826:O883)</f>
        <v>104900</v>
      </c>
      <c r="P884" s="423"/>
      <c r="Q884" s="423">
        <f t="shared" ref="Q884" si="324">SUM(Q827:Q883)</f>
        <v>0</v>
      </c>
    </row>
    <row r="885" spans="2:24" ht="12.75" customHeight="1" x14ac:dyDescent="0.2">
      <c r="B885" s="239" t="s">
        <v>79</v>
      </c>
      <c r="C885" s="239"/>
      <c r="D885" s="263"/>
      <c r="E885" s="297"/>
      <c r="H885" s="426"/>
      <c r="I885" s="427"/>
      <c r="K885" s="456"/>
      <c r="L885" s="427"/>
      <c r="N885" s="426"/>
      <c r="O885" s="427"/>
      <c r="P885" s="427"/>
      <c r="Q885" s="427"/>
    </row>
    <row r="886" spans="2:24" ht="12.75" customHeight="1" x14ac:dyDescent="0.2">
      <c r="B886" s="239" t="s">
        <v>267</v>
      </c>
      <c r="C886" s="240"/>
      <c r="E886" s="238"/>
      <c r="H886" s="426"/>
      <c r="I886" s="427"/>
      <c r="K886" s="456"/>
      <c r="L886" s="427"/>
      <c r="N886" s="426"/>
      <c r="O886" s="427"/>
      <c r="P886" s="427"/>
      <c r="Q886" s="427"/>
    </row>
    <row r="887" spans="2:24" ht="12.75" customHeight="1" x14ac:dyDescent="0.2">
      <c r="B887" s="243"/>
      <c r="C887" s="243"/>
      <c r="D887" s="244"/>
      <c r="E887" s="245"/>
      <c r="F887" s="246"/>
      <c r="H887" s="428"/>
      <c r="I887" s="429"/>
      <c r="K887" s="456"/>
      <c r="L887" s="429"/>
      <c r="N887" s="428"/>
      <c r="O887" s="429"/>
      <c r="P887" s="429"/>
      <c r="Q887" s="429"/>
    </row>
    <row r="888" spans="2:24" ht="12.75" customHeight="1" x14ac:dyDescent="0.2">
      <c r="B888" s="247" t="s">
        <v>263</v>
      </c>
      <c r="C888" s="248" t="s">
        <v>264</v>
      </c>
      <c r="D888" s="249"/>
      <c r="E888" s="250"/>
      <c r="F888" s="250" t="s">
        <v>265</v>
      </c>
      <c r="G888" s="356" t="s">
        <v>68</v>
      </c>
      <c r="H888" s="251" t="s">
        <v>849</v>
      </c>
      <c r="I888" s="252" t="s">
        <v>849</v>
      </c>
      <c r="J888" s="356" t="s">
        <v>68</v>
      </c>
      <c r="K888" s="454" t="s">
        <v>849</v>
      </c>
      <c r="L888" s="252" t="s">
        <v>849</v>
      </c>
      <c r="M888" s="356" t="s">
        <v>68</v>
      </c>
      <c r="N888" s="251" t="s">
        <v>849</v>
      </c>
      <c r="O888" s="252" t="s">
        <v>849</v>
      </c>
      <c r="P888" s="252" t="s">
        <v>849</v>
      </c>
      <c r="Q888" s="252" t="s">
        <v>849</v>
      </c>
    </row>
    <row r="889" spans="2:24" ht="12.75" customHeight="1" x14ac:dyDescent="0.2">
      <c r="B889" s="253" t="s">
        <v>266</v>
      </c>
      <c r="C889" s="254"/>
      <c r="D889" s="255"/>
      <c r="E889" s="256"/>
      <c r="F889" s="256"/>
      <c r="G889" s="357" t="s">
        <v>69</v>
      </c>
      <c r="H889" s="257" t="s">
        <v>262</v>
      </c>
      <c r="I889" s="258" t="s">
        <v>70</v>
      </c>
      <c r="J889" s="357" t="s">
        <v>69</v>
      </c>
      <c r="K889" s="455" t="s">
        <v>262</v>
      </c>
      <c r="L889" s="258" t="s">
        <v>70</v>
      </c>
      <c r="M889" s="357" t="s">
        <v>69</v>
      </c>
      <c r="N889" s="257" t="s">
        <v>262</v>
      </c>
      <c r="O889" s="258" t="s">
        <v>70</v>
      </c>
      <c r="P889" s="258" t="s">
        <v>70</v>
      </c>
      <c r="Q889" s="258" t="s">
        <v>70</v>
      </c>
    </row>
    <row r="890" spans="2:24" ht="12.75" customHeight="1" x14ac:dyDescent="0.2">
      <c r="B890" s="273"/>
      <c r="F890" s="265"/>
      <c r="G890" s="268"/>
      <c r="H890" s="317"/>
      <c r="I890" s="318"/>
      <c r="J890" s="268"/>
      <c r="K890" s="456"/>
      <c r="L890" s="318"/>
      <c r="M890" s="268"/>
      <c r="N890" s="317"/>
      <c r="O890" s="318"/>
      <c r="P890" s="318"/>
      <c r="Q890" s="318"/>
    </row>
    <row r="891" spans="2:24" ht="12.75" customHeight="1" x14ac:dyDescent="0.2">
      <c r="B891" s="261">
        <v>3300</v>
      </c>
      <c r="C891" s="262" t="s">
        <v>326</v>
      </c>
      <c r="D891" s="263"/>
      <c r="E891" s="264"/>
      <c r="F891" s="265"/>
      <c r="G891" s="268"/>
      <c r="H891" s="317"/>
      <c r="I891" s="418"/>
      <c r="J891" s="268"/>
      <c r="K891" s="456"/>
      <c r="L891" s="418"/>
      <c r="M891" s="268"/>
      <c r="N891" s="317"/>
      <c r="O891" s="418"/>
      <c r="P891" s="418"/>
      <c r="Q891" s="418"/>
    </row>
    <row r="892" spans="2:24" ht="12.75" customHeight="1" x14ac:dyDescent="0.2">
      <c r="B892" s="267"/>
      <c r="F892" s="265"/>
      <c r="G892" s="268"/>
      <c r="H892" s="317"/>
      <c r="I892" s="418"/>
      <c r="J892" s="268"/>
      <c r="K892" s="456"/>
      <c r="L892" s="418"/>
      <c r="M892" s="268"/>
      <c r="N892" s="317"/>
      <c r="O892" s="418"/>
      <c r="P892" s="418"/>
      <c r="Q892" s="418"/>
    </row>
    <row r="893" spans="2:24" ht="12.75" customHeight="1" x14ac:dyDescent="0.2">
      <c r="B893" s="267" t="s">
        <v>528</v>
      </c>
      <c r="C893" s="273" t="s">
        <v>529</v>
      </c>
      <c r="D893" s="285"/>
      <c r="E893" s="286"/>
      <c r="F893" s="265"/>
      <c r="G893" s="268"/>
      <c r="H893" s="317"/>
      <c r="I893" s="418"/>
      <c r="J893" s="268"/>
      <c r="K893" s="456"/>
      <c r="L893" s="418"/>
      <c r="M893" s="268"/>
      <c r="N893" s="317"/>
      <c r="O893" s="418"/>
      <c r="P893" s="418"/>
      <c r="Q893" s="418"/>
    </row>
    <row r="894" spans="2:24" ht="12.75" customHeight="1" x14ac:dyDescent="0.2">
      <c r="B894" s="267"/>
      <c r="C894" s="273" t="s">
        <v>278</v>
      </c>
      <c r="D894" s="285" t="s">
        <v>219</v>
      </c>
      <c r="E894" s="286"/>
      <c r="F894" s="265"/>
      <c r="G894" s="268"/>
      <c r="H894" s="317"/>
      <c r="I894" s="418"/>
      <c r="J894" s="268"/>
      <c r="K894" s="456"/>
      <c r="L894" s="418"/>
      <c r="M894" s="268"/>
      <c r="N894" s="317"/>
      <c r="O894" s="418"/>
      <c r="P894" s="418"/>
      <c r="Q894" s="418"/>
    </row>
    <row r="895" spans="2:24" ht="12.75" customHeight="1" x14ac:dyDescent="0.2">
      <c r="B895" s="267"/>
      <c r="D895" s="285" t="s">
        <v>220</v>
      </c>
      <c r="E895" s="286"/>
      <c r="F895" s="265"/>
      <c r="G895" s="268"/>
      <c r="H895" s="317"/>
      <c r="I895" s="418"/>
      <c r="J895" s="268"/>
      <c r="K895" s="456"/>
      <c r="L895" s="418"/>
      <c r="M895" s="268"/>
      <c r="N895" s="317"/>
      <c r="O895" s="418"/>
      <c r="P895" s="418"/>
      <c r="Q895" s="418"/>
    </row>
    <row r="896" spans="2:24" ht="12.75" customHeight="1" x14ac:dyDescent="0.2">
      <c r="B896" s="267"/>
      <c r="D896" s="241" t="s">
        <v>277</v>
      </c>
      <c r="E896" s="274" t="s">
        <v>221</v>
      </c>
      <c r="F896" s="265" t="s">
        <v>829</v>
      </c>
      <c r="G896" s="268">
        <f>25*10*22.5*2</f>
        <v>11250</v>
      </c>
      <c r="H896" s="418">
        <v>30</v>
      </c>
      <c r="I896" s="418">
        <f t="shared" ref="I896:I941" si="325">IF(G896=0," ",G896*H896)</f>
        <v>337500</v>
      </c>
      <c r="J896" s="268">
        <f t="shared" ref="J896" si="326">25*10*22.5*2</f>
        <v>11250</v>
      </c>
      <c r="K896" s="459">
        <v>35</v>
      </c>
      <c r="L896" s="418">
        <f t="shared" ref="L896:L916" si="327">IF(J896=0," ",J896*K896)</f>
        <v>393750</v>
      </c>
      <c r="M896" s="268">
        <f t="shared" ref="M896" si="328">25*10*22.5*2</f>
        <v>11250</v>
      </c>
      <c r="N896" s="418">
        <v>45</v>
      </c>
      <c r="O896" s="418">
        <f t="shared" ref="O896:O916" si="329">IF(M896=0," ",M896*N896)</f>
        <v>506250</v>
      </c>
      <c r="P896" s="460">
        <f>K896-N896</f>
        <v>-10</v>
      </c>
      <c r="Q896" s="460">
        <f>L896-O896</f>
        <v>-112500</v>
      </c>
      <c r="T896" s="234"/>
      <c r="U896" s="234"/>
      <c r="V896" s="234"/>
      <c r="W896" s="234"/>
      <c r="X896" s="234"/>
    </row>
    <row r="897" spans="2:24" ht="12.75" customHeight="1" x14ac:dyDescent="0.2">
      <c r="B897" s="267"/>
      <c r="F897" s="265"/>
      <c r="G897" s="268"/>
      <c r="H897" s="418"/>
      <c r="I897" s="418" t="str">
        <f t="shared" si="325"/>
        <v xml:space="preserve"> </v>
      </c>
      <c r="J897" s="268"/>
      <c r="K897" s="459"/>
      <c r="L897" s="418" t="str">
        <f t="shared" si="327"/>
        <v xml:space="preserve"> </v>
      </c>
      <c r="M897" s="268"/>
      <c r="N897" s="418"/>
      <c r="O897" s="418" t="str">
        <f t="shared" si="329"/>
        <v xml:space="preserve"> </v>
      </c>
      <c r="P897" s="460"/>
      <c r="Q897" s="460"/>
      <c r="T897" s="234"/>
      <c r="U897" s="234"/>
      <c r="V897" s="234"/>
      <c r="W897" s="234"/>
      <c r="X897" s="234"/>
    </row>
    <row r="898" spans="2:24" ht="12.75" customHeight="1" x14ac:dyDescent="0.2">
      <c r="B898" s="267"/>
      <c r="C898" s="273" t="s">
        <v>276</v>
      </c>
      <c r="D898" s="241" t="s">
        <v>222</v>
      </c>
      <c r="F898" s="265" t="s">
        <v>829</v>
      </c>
      <c r="G898" s="268">
        <f>50*0.9*12</f>
        <v>540</v>
      </c>
      <c r="H898" s="418">
        <v>300</v>
      </c>
      <c r="I898" s="418">
        <f t="shared" si="325"/>
        <v>162000</v>
      </c>
      <c r="J898" s="268">
        <f t="shared" ref="J898" si="330">50*0.9*12</f>
        <v>540</v>
      </c>
      <c r="K898" s="459">
        <v>325</v>
      </c>
      <c r="L898" s="418">
        <f t="shared" si="327"/>
        <v>175500</v>
      </c>
      <c r="M898" s="268">
        <f t="shared" ref="M898" si="331">50*0.9*12</f>
        <v>540</v>
      </c>
      <c r="N898" s="418">
        <v>400</v>
      </c>
      <c r="O898" s="418">
        <f t="shared" si="329"/>
        <v>216000</v>
      </c>
      <c r="P898" s="460">
        <f t="shared" ref="P898:P927" si="332">K898-N898</f>
        <v>-75</v>
      </c>
      <c r="Q898" s="460">
        <f t="shared" ref="Q898:Q927" si="333">L898-O898</f>
        <v>-40500</v>
      </c>
      <c r="T898" s="234"/>
      <c r="U898" s="234"/>
      <c r="V898" s="234"/>
      <c r="W898" s="234"/>
      <c r="X898" s="234"/>
    </row>
    <row r="899" spans="2:24" ht="12.75" customHeight="1" x14ac:dyDescent="0.2">
      <c r="B899" s="267"/>
      <c r="F899" s="265"/>
      <c r="G899" s="268"/>
      <c r="H899" s="418"/>
      <c r="I899" s="418" t="str">
        <f t="shared" si="325"/>
        <v xml:space="preserve"> </v>
      </c>
      <c r="J899" s="268"/>
      <c r="K899" s="459"/>
      <c r="L899" s="418" t="str">
        <f t="shared" si="327"/>
        <v xml:space="preserve"> </v>
      </c>
      <c r="M899" s="268"/>
      <c r="N899" s="418"/>
      <c r="O899" s="418" t="str">
        <f t="shared" si="329"/>
        <v xml:space="preserve"> </v>
      </c>
      <c r="P899" s="418"/>
      <c r="Q899" s="418"/>
      <c r="T899" s="234"/>
      <c r="U899" s="234"/>
      <c r="V899" s="234"/>
      <c r="W899" s="234"/>
      <c r="X899" s="234"/>
    </row>
    <row r="900" spans="2:24" ht="12.75" customHeight="1" x14ac:dyDescent="0.2">
      <c r="B900" s="267">
        <v>33.03</v>
      </c>
      <c r="C900" s="273" t="s">
        <v>223</v>
      </c>
      <c r="F900" s="265"/>
      <c r="G900" s="268"/>
      <c r="H900" s="418"/>
      <c r="I900" s="418" t="str">
        <f t="shared" si="325"/>
        <v xml:space="preserve"> </v>
      </c>
      <c r="J900" s="268"/>
      <c r="K900" s="459"/>
      <c r="L900" s="418" t="str">
        <f t="shared" si="327"/>
        <v xml:space="preserve"> </v>
      </c>
      <c r="M900" s="268"/>
      <c r="N900" s="418"/>
      <c r="O900" s="418" t="str">
        <f t="shared" si="329"/>
        <v xml:space="preserve"> </v>
      </c>
      <c r="P900" s="418"/>
      <c r="Q900" s="418"/>
      <c r="T900" s="234"/>
      <c r="U900" s="234"/>
      <c r="V900" s="234"/>
      <c r="W900" s="234"/>
      <c r="X900" s="234"/>
    </row>
    <row r="901" spans="2:24" ht="12.75" customHeight="1" x14ac:dyDescent="0.2">
      <c r="B901" s="267"/>
      <c r="C901" s="273" t="s">
        <v>224</v>
      </c>
      <c r="F901" s="265"/>
      <c r="G901" s="268"/>
      <c r="H901" s="418"/>
      <c r="I901" s="418" t="str">
        <f t="shared" si="325"/>
        <v xml:space="preserve"> </v>
      </c>
      <c r="J901" s="268"/>
      <c r="K901" s="459"/>
      <c r="L901" s="418" t="str">
        <f t="shared" si="327"/>
        <v xml:space="preserve"> </v>
      </c>
      <c r="M901" s="268"/>
      <c r="N901" s="418"/>
      <c r="O901" s="418" t="str">
        <f t="shared" si="329"/>
        <v xml:space="preserve"> </v>
      </c>
      <c r="P901" s="418"/>
      <c r="Q901" s="418"/>
      <c r="T901" s="234"/>
      <c r="U901" s="234"/>
      <c r="V901" s="234"/>
      <c r="W901" s="234"/>
      <c r="X901" s="234"/>
    </row>
    <row r="902" spans="2:24" ht="12.75" customHeight="1" x14ac:dyDescent="0.2">
      <c r="B902" s="267"/>
      <c r="C902" s="37" t="s">
        <v>279</v>
      </c>
      <c r="D902" s="36" t="s">
        <v>225</v>
      </c>
      <c r="E902" s="38"/>
      <c r="F902" s="39" t="s">
        <v>829</v>
      </c>
      <c r="G902" s="64">
        <v>120</v>
      </c>
      <c r="H902" s="445">
        <v>200</v>
      </c>
      <c r="I902" s="418">
        <f t="shared" si="325"/>
        <v>24000</v>
      </c>
      <c r="J902" s="64">
        <v>120</v>
      </c>
      <c r="K902" s="459">
        <v>850</v>
      </c>
      <c r="L902" s="418">
        <f t="shared" si="327"/>
        <v>102000</v>
      </c>
      <c r="M902" s="64">
        <v>120</v>
      </c>
      <c r="N902" s="445">
        <v>450</v>
      </c>
      <c r="O902" s="418">
        <f t="shared" si="329"/>
        <v>54000</v>
      </c>
      <c r="P902" s="460">
        <f t="shared" si="332"/>
        <v>400</v>
      </c>
      <c r="Q902" s="460">
        <f t="shared" si="333"/>
        <v>48000</v>
      </c>
      <c r="T902" s="234"/>
      <c r="U902" s="234"/>
      <c r="V902" s="234"/>
      <c r="W902" s="234"/>
      <c r="X902" s="234"/>
    </row>
    <row r="903" spans="2:24" ht="12.75" customHeight="1" x14ac:dyDescent="0.2">
      <c r="B903" s="267"/>
      <c r="F903" s="265"/>
      <c r="G903" s="268"/>
      <c r="H903" s="418"/>
      <c r="I903" s="418" t="str">
        <f t="shared" si="325"/>
        <v xml:space="preserve"> </v>
      </c>
      <c r="J903" s="268"/>
      <c r="K903" s="459"/>
      <c r="L903" s="418" t="str">
        <f t="shared" si="327"/>
        <v xml:space="preserve"> </v>
      </c>
      <c r="M903" s="268"/>
      <c r="N903" s="418"/>
      <c r="O903" s="418" t="str">
        <f t="shared" si="329"/>
        <v xml:space="preserve"> </v>
      </c>
      <c r="P903" s="418"/>
      <c r="Q903" s="418"/>
      <c r="T903" s="234"/>
      <c r="U903" s="234"/>
      <c r="V903" s="234"/>
      <c r="W903" s="234"/>
      <c r="X903" s="234"/>
    </row>
    <row r="904" spans="2:24" ht="12.75" customHeight="1" x14ac:dyDescent="0.2">
      <c r="B904" s="267" t="s">
        <v>672</v>
      </c>
      <c r="C904" s="273" t="s">
        <v>670</v>
      </c>
      <c r="F904" s="265"/>
      <c r="G904" s="268"/>
      <c r="H904" s="418"/>
      <c r="I904" s="418" t="str">
        <f t="shared" si="325"/>
        <v xml:space="preserve"> </v>
      </c>
      <c r="J904" s="268"/>
      <c r="K904" s="459"/>
      <c r="L904" s="418" t="str">
        <f t="shared" si="327"/>
        <v xml:space="preserve"> </v>
      </c>
      <c r="M904" s="268"/>
      <c r="N904" s="418"/>
      <c r="O904" s="418" t="str">
        <f t="shared" si="329"/>
        <v xml:space="preserve"> </v>
      </c>
      <c r="P904" s="418"/>
      <c r="Q904" s="418"/>
      <c r="T904" s="234"/>
      <c r="U904" s="234"/>
      <c r="V904" s="234"/>
      <c r="W904" s="234"/>
      <c r="X904" s="234"/>
    </row>
    <row r="905" spans="2:24" ht="12.75" customHeight="1" x14ac:dyDescent="0.2">
      <c r="B905" s="267"/>
      <c r="C905" s="273" t="s">
        <v>447</v>
      </c>
      <c r="F905" s="265"/>
      <c r="G905" s="268"/>
      <c r="H905" s="418"/>
      <c r="I905" s="418" t="str">
        <f t="shared" si="325"/>
        <v xml:space="preserve"> </v>
      </c>
      <c r="J905" s="268"/>
      <c r="K905" s="459"/>
      <c r="L905" s="418" t="str">
        <f t="shared" si="327"/>
        <v xml:space="preserve"> </v>
      </c>
      <c r="M905" s="268"/>
      <c r="N905" s="418"/>
      <c r="O905" s="418" t="str">
        <f t="shared" si="329"/>
        <v xml:space="preserve"> </v>
      </c>
      <c r="P905" s="418"/>
      <c r="Q905" s="418"/>
      <c r="T905" s="234"/>
      <c r="U905" s="234"/>
      <c r="V905" s="234"/>
      <c r="W905" s="234"/>
      <c r="X905" s="234"/>
    </row>
    <row r="906" spans="2:24" ht="12.75" customHeight="1" x14ac:dyDescent="0.2">
      <c r="B906" s="267"/>
      <c r="C906" s="273" t="s">
        <v>278</v>
      </c>
      <c r="D906" s="241" t="s">
        <v>226</v>
      </c>
      <c r="F906" s="265" t="s">
        <v>829</v>
      </c>
      <c r="G906" s="268">
        <f>23*12*12</f>
        <v>3312</v>
      </c>
      <c r="H906" s="418">
        <v>40</v>
      </c>
      <c r="I906" s="418">
        <f t="shared" si="325"/>
        <v>132480</v>
      </c>
      <c r="J906" s="268">
        <f t="shared" ref="J906" si="334">23*12*12</f>
        <v>3312</v>
      </c>
      <c r="K906" s="459">
        <v>60</v>
      </c>
      <c r="L906" s="418">
        <f t="shared" si="327"/>
        <v>198720</v>
      </c>
      <c r="M906" s="268">
        <f t="shared" ref="M906" si="335">23*12*12</f>
        <v>3312</v>
      </c>
      <c r="N906" s="418">
        <v>60</v>
      </c>
      <c r="O906" s="418">
        <f t="shared" si="329"/>
        <v>198720</v>
      </c>
      <c r="P906" s="418">
        <f t="shared" si="332"/>
        <v>0</v>
      </c>
      <c r="Q906" s="418">
        <f t="shared" si="333"/>
        <v>0</v>
      </c>
      <c r="T906" s="234"/>
      <c r="U906" s="234"/>
      <c r="V906" s="234"/>
      <c r="W906" s="234"/>
      <c r="X906" s="234"/>
    </row>
    <row r="907" spans="2:24" ht="12.75" customHeight="1" x14ac:dyDescent="0.2">
      <c r="B907" s="267"/>
      <c r="F907" s="265"/>
      <c r="G907" s="268"/>
      <c r="H907" s="418"/>
      <c r="I907" s="418" t="str">
        <f t="shared" si="325"/>
        <v xml:space="preserve"> </v>
      </c>
      <c r="J907" s="268"/>
      <c r="K907" s="459"/>
      <c r="L907" s="418" t="str">
        <f t="shared" si="327"/>
        <v xml:space="preserve"> </v>
      </c>
      <c r="M907" s="268"/>
      <c r="N907" s="418"/>
      <c r="O907" s="418" t="str">
        <f t="shared" si="329"/>
        <v xml:space="preserve"> </v>
      </c>
      <c r="P907" s="418"/>
      <c r="Q907" s="418"/>
      <c r="T907" s="234"/>
      <c r="U907" s="234"/>
      <c r="V907" s="234"/>
      <c r="W907" s="234"/>
      <c r="X907" s="234"/>
    </row>
    <row r="908" spans="2:24" ht="12.75" customHeight="1" x14ac:dyDescent="0.2">
      <c r="B908" s="267"/>
      <c r="C908" s="273" t="s">
        <v>276</v>
      </c>
      <c r="D908" s="241" t="s">
        <v>225</v>
      </c>
      <c r="F908" s="265" t="s">
        <v>829</v>
      </c>
      <c r="G908" s="268">
        <v>20</v>
      </c>
      <c r="H908" s="418">
        <v>400</v>
      </c>
      <c r="I908" s="418">
        <f t="shared" si="325"/>
        <v>8000</v>
      </c>
      <c r="J908" s="268">
        <v>20</v>
      </c>
      <c r="K908" s="456">
        <v>850</v>
      </c>
      <c r="L908" s="418">
        <f t="shared" si="327"/>
        <v>17000</v>
      </c>
      <c r="M908" s="268">
        <v>20</v>
      </c>
      <c r="N908" s="418">
        <v>850</v>
      </c>
      <c r="O908" s="418">
        <f t="shared" si="329"/>
        <v>17000</v>
      </c>
      <c r="P908" s="418">
        <f t="shared" si="332"/>
        <v>0</v>
      </c>
      <c r="Q908" s="418">
        <f t="shared" si="333"/>
        <v>0</v>
      </c>
    </row>
    <row r="909" spans="2:24" ht="12.75" customHeight="1" x14ac:dyDescent="0.2">
      <c r="B909" s="267"/>
      <c r="F909" s="265"/>
      <c r="G909" s="268"/>
      <c r="H909" s="418"/>
      <c r="I909" s="418" t="str">
        <f t="shared" si="325"/>
        <v xml:space="preserve"> </v>
      </c>
      <c r="J909" s="268"/>
      <c r="K909" s="456"/>
      <c r="L909" s="418" t="str">
        <f t="shared" si="327"/>
        <v xml:space="preserve"> </v>
      </c>
      <c r="M909" s="268"/>
      <c r="N909" s="418"/>
      <c r="O909" s="418" t="str">
        <f t="shared" si="329"/>
        <v xml:space="preserve"> </v>
      </c>
      <c r="P909" s="418"/>
      <c r="Q909" s="418"/>
    </row>
    <row r="910" spans="2:24" ht="12.75" customHeight="1" x14ac:dyDescent="0.2">
      <c r="B910" s="267"/>
      <c r="C910" s="273" t="s">
        <v>281</v>
      </c>
      <c r="D910" s="241" t="s">
        <v>227</v>
      </c>
      <c r="F910" s="265" t="s">
        <v>829</v>
      </c>
      <c r="G910" s="268">
        <v>60</v>
      </c>
      <c r="H910" s="418">
        <v>150</v>
      </c>
      <c r="I910" s="418">
        <f t="shared" si="325"/>
        <v>9000</v>
      </c>
      <c r="J910" s="268">
        <v>60</v>
      </c>
      <c r="K910" s="456">
        <v>600</v>
      </c>
      <c r="L910" s="418">
        <f t="shared" si="327"/>
        <v>36000</v>
      </c>
      <c r="M910" s="268">
        <v>60</v>
      </c>
      <c r="N910" s="418">
        <v>600</v>
      </c>
      <c r="O910" s="418">
        <f t="shared" si="329"/>
        <v>36000</v>
      </c>
      <c r="P910" s="418">
        <f t="shared" si="332"/>
        <v>0</v>
      </c>
      <c r="Q910" s="418">
        <f t="shared" si="333"/>
        <v>0</v>
      </c>
    </row>
    <row r="911" spans="2:24" ht="12.75" customHeight="1" x14ac:dyDescent="0.2">
      <c r="B911" s="267"/>
      <c r="F911" s="265"/>
      <c r="G911" s="268"/>
      <c r="H911" s="418"/>
      <c r="I911" s="418" t="str">
        <f t="shared" si="325"/>
        <v xml:space="preserve"> </v>
      </c>
      <c r="J911" s="268"/>
      <c r="K911" s="456"/>
      <c r="L911" s="418" t="str">
        <f t="shared" si="327"/>
        <v xml:space="preserve"> </v>
      </c>
      <c r="M911" s="268"/>
      <c r="N911" s="418"/>
      <c r="O911" s="418" t="str">
        <f t="shared" si="329"/>
        <v xml:space="preserve"> </v>
      </c>
      <c r="P911" s="418"/>
      <c r="Q911" s="418"/>
    </row>
    <row r="912" spans="2:24" ht="12.75" customHeight="1" x14ac:dyDescent="0.2">
      <c r="B912" s="267"/>
      <c r="C912" s="273" t="s">
        <v>282</v>
      </c>
      <c r="D912" s="241" t="s">
        <v>228</v>
      </c>
      <c r="F912" s="265" t="s">
        <v>829</v>
      </c>
      <c r="G912" s="268">
        <v>50</v>
      </c>
      <c r="H912" s="418">
        <v>150</v>
      </c>
      <c r="I912" s="418">
        <f t="shared" si="325"/>
        <v>7500</v>
      </c>
      <c r="J912" s="268">
        <v>50</v>
      </c>
      <c r="K912" s="456">
        <v>600</v>
      </c>
      <c r="L912" s="418">
        <f t="shared" si="327"/>
        <v>30000</v>
      </c>
      <c r="M912" s="268">
        <v>50</v>
      </c>
      <c r="N912" s="418">
        <v>600</v>
      </c>
      <c r="O912" s="418">
        <f t="shared" si="329"/>
        <v>30000</v>
      </c>
      <c r="P912" s="418">
        <f t="shared" si="332"/>
        <v>0</v>
      </c>
      <c r="Q912" s="418">
        <f t="shared" si="333"/>
        <v>0</v>
      </c>
    </row>
    <row r="913" spans="2:17" ht="12.75" customHeight="1" x14ac:dyDescent="0.2">
      <c r="B913" s="267"/>
      <c r="F913" s="265"/>
      <c r="G913" s="268"/>
      <c r="H913" s="418"/>
      <c r="I913" s="418" t="str">
        <f t="shared" si="325"/>
        <v xml:space="preserve"> </v>
      </c>
      <c r="J913" s="268"/>
      <c r="K913" s="456"/>
      <c r="L913" s="418" t="str">
        <f t="shared" si="327"/>
        <v xml:space="preserve"> </v>
      </c>
      <c r="M913" s="268"/>
      <c r="N913" s="418"/>
      <c r="O913" s="418" t="str">
        <f t="shared" si="329"/>
        <v xml:space="preserve"> </v>
      </c>
      <c r="P913" s="418"/>
      <c r="Q913" s="418"/>
    </row>
    <row r="914" spans="2:17" ht="12.75" customHeight="1" x14ac:dyDescent="0.2">
      <c r="B914" s="331" t="s">
        <v>327</v>
      </c>
      <c r="C914" s="273" t="s">
        <v>328</v>
      </c>
      <c r="F914" s="265"/>
      <c r="G914" s="268"/>
      <c r="H914" s="418"/>
      <c r="I914" s="418" t="str">
        <f t="shared" si="325"/>
        <v xml:space="preserve"> </v>
      </c>
      <c r="J914" s="268"/>
      <c r="K914" s="456"/>
      <c r="L914" s="418" t="str">
        <f t="shared" si="327"/>
        <v xml:space="preserve"> </v>
      </c>
      <c r="M914" s="268"/>
      <c r="N914" s="418"/>
      <c r="O914" s="418" t="str">
        <f t="shared" si="329"/>
        <v xml:space="preserve"> </v>
      </c>
      <c r="P914" s="418"/>
      <c r="Q914" s="418"/>
    </row>
    <row r="915" spans="2:17" ht="12.75" customHeight="1" x14ac:dyDescent="0.2">
      <c r="B915" s="267"/>
      <c r="C915" s="273" t="s">
        <v>278</v>
      </c>
      <c r="D915" s="241" t="s">
        <v>229</v>
      </c>
      <c r="F915" s="265" t="s">
        <v>829</v>
      </c>
      <c r="G915" s="268">
        <f>(700*14*0.15)</f>
        <v>1470</v>
      </c>
      <c r="H915" s="418">
        <v>60</v>
      </c>
      <c r="I915" s="418">
        <f t="shared" si="325"/>
        <v>88200</v>
      </c>
      <c r="J915" s="268">
        <f t="shared" ref="J915" si="336">(700*14*0.15)</f>
        <v>1470</v>
      </c>
      <c r="K915" s="456">
        <v>45</v>
      </c>
      <c r="L915" s="418">
        <f t="shared" si="327"/>
        <v>66150</v>
      </c>
      <c r="M915" s="268">
        <f t="shared" ref="M915" si="337">(700*14*0.15)</f>
        <v>1470</v>
      </c>
      <c r="N915" s="418">
        <v>45</v>
      </c>
      <c r="O915" s="418">
        <f t="shared" si="329"/>
        <v>66150</v>
      </c>
      <c r="P915" s="418">
        <f t="shared" si="332"/>
        <v>0</v>
      </c>
      <c r="Q915" s="418">
        <f t="shared" si="333"/>
        <v>0</v>
      </c>
    </row>
    <row r="916" spans="2:17" ht="12.75" customHeight="1" x14ac:dyDescent="0.2">
      <c r="B916" s="267"/>
      <c r="F916" s="265"/>
      <c r="G916" s="268"/>
      <c r="H916" s="418"/>
      <c r="I916" s="418" t="str">
        <f t="shared" si="325"/>
        <v xml:space="preserve"> </v>
      </c>
      <c r="J916" s="268"/>
      <c r="K916" s="456"/>
      <c r="L916" s="418" t="str">
        <f t="shared" si="327"/>
        <v xml:space="preserve"> </v>
      </c>
      <c r="M916" s="268"/>
      <c r="N916" s="418"/>
      <c r="O916" s="418" t="str">
        <f t="shared" si="329"/>
        <v xml:space="preserve"> </v>
      </c>
      <c r="P916" s="418"/>
      <c r="Q916" s="418"/>
    </row>
    <row r="917" spans="2:17" ht="12.75" customHeight="1" x14ac:dyDescent="0.2">
      <c r="B917" s="267"/>
      <c r="C917" s="273" t="s">
        <v>279</v>
      </c>
      <c r="D917" s="241" t="s">
        <v>230</v>
      </c>
      <c r="F917" s="265" t="s">
        <v>829</v>
      </c>
      <c r="G917" s="65" t="s">
        <v>596</v>
      </c>
      <c r="H917" s="418">
        <v>80</v>
      </c>
      <c r="I917" s="418"/>
      <c r="J917" s="65" t="s">
        <v>596</v>
      </c>
      <c r="K917" s="456">
        <v>85</v>
      </c>
      <c r="L917" s="418"/>
      <c r="M917" s="65" t="s">
        <v>596</v>
      </c>
      <c r="N917" s="418">
        <v>85</v>
      </c>
      <c r="O917" s="418"/>
      <c r="P917" s="418">
        <f t="shared" si="332"/>
        <v>0</v>
      </c>
      <c r="Q917" s="418">
        <f t="shared" si="333"/>
        <v>0</v>
      </c>
    </row>
    <row r="918" spans="2:17" ht="12.75" customHeight="1" x14ac:dyDescent="0.2">
      <c r="B918" s="267"/>
      <c r="F918" s="265"/>
      <c r="G918" s="268"/>
      <c r="H918" s="418"/>
      <c r="I918" s="418" t="str">
        <f t="shared" si="325"/>
        <v xml:space="preserve"> </v>
      </c>
      <c r="J918" s="268"/>
      <c r="K918" s="456"/>
      <c r="L918" s="418" t="str">
        <f t="shared" ref="L918:L919" si="338">IF(J918=0," ",J918*K918)</f>
        <v xml:space="preserve"> </v>
      </c>
      <c r="M918" s="268"/>
      <c r="N918" s="418"/>
      <c r="O918" s="418" t="str">
        <f t="shared" ref="O918:O919" si="339">IF(M918=0," ",M918*N918)</f>
        <v xml:space="preserve"> </v>
      </c>
      <c r="P918" s="418"/>
      <c r="Q918" s="418"/>
    </row>
    <row r="919" spans="2:17" ht="12.75" customHeight="1" x14ac:dyDescent="0.2">
      <c r="B919" s="331" t="s">
        <v>329</v>
      </c>
      <c r="C919" s="273" t="s">
        <v>330</v>
      </c>
      <c r="F919" s="265"/>
      <c r="G919" s="268"/>
      <c r="H919" s="418"/>
      <c r="I919" s="418" t="str">
        <f t="shared" si="325"/>
        <v xml:space="preserve"> </v>
      </c>
      <c r="J919" s="268"/>
      <c r="K919" s="456"/>
      <c r="L919" s="418" t="str">
        <f t="shared" si="338"/>
        <v xml:space="preserve"> </v>
      </c>
      <c r="M919" s="268"/>
      <c r="N919" s="418"/>
      <c r="O919" s="418" t="str">
        <f t="shared" si="339"/>
        <v xml:space="preserve"> </v>
      </c>
      <c r="P919" s="418"/>
      <c r="Q919" s="418"/>
    </row>
    <row r="920" spans="2:17" ht="12.75" customHeight="1" x14ac:dyDescent="0.2">
      <c r="B920" s="267"/>
      <c r="C920" s="273" t="s">
        <v>279</v>
      </c>
      <c r="D920" s="241" t="s">
        <v>231</v>
      </c>
      <c r="F920" s="265" t="s">
        <v>829</v>
      </c>
      <c r="G920" s="268" t="s">
        <v>596</v>
      </c>
      <c r="H920" s="421">
        <v>300</v>
      </c>
      <c r="I920" s="418"/>
      <c r="J920" s="268" t="s">
        <v>596</v>
      </c>
      <c r="K920" s="456">
        <v>1500</v>
      </c>
      <c r="L920" s="418"/>
      <c r="M920" s="268" t="s">
        <v>596</v>
      </c>
      <c r="N920" s="421">
        <v>1500</v>
      </c>
      <c r="O920" s="418"/>
      <c r="P920" s="418">
        <f t="shared" si="332"/>
        <v>0</v>
      </c>
      <c r="Q920" s="418">
        <f t="shared" si="333"/>
        <v>0</v>
      </c>
    </row>
    <row r="921" spans="2:17" ht="12.75" customHeight="1" x14ac:dyDescent="0.2">
      <c r="B921" s="267"/>
      <c r="F921" s="265"/>
      <c r="G921" s="275"/>
      <c r="H921" s="418"/>
      <c r="I921" s="418" t="str">
        <f t="shared" si="325"/>
        <v xml:space="preserve"> </v>
      </c>
      <c r="J921" s="275"/>
      <c r="K921" s="456"/>
      <c r="L921" s="418" t="str">
        <f t="shared" ref="L921:L941" si="340">IF(J921=0," ",J921*K921)</f>
        <v xml:space="preserve"> </v>
      </c>
      <c r="M921" s="275"/>
      <c r="N921" s="418"/>
      <c r="O921" s="418" t="str">
        <f t="shared" ref="O921:O941" si="341">IF(M921=0," ",M921*N921)</f>
        <v xml:space="preserve"> </v>
      </c>
      <c r="P921" s="418"/>
      <c r="Q921" s="418"/>
    </row>
    <row r="922" spans="2:17" ht="12.75" customHeight="1" x14ac:dyDescent="0.2">
      <c r="B922" s="267" t="s">
        <v>10</v>
      </c>
      <c r="C922" s="273" t="s">
        <v>331</v>
      </c>
      <c r="F922" s="265"/>
      <c r="G922" s="268"/>
      <c r="H922" s="418" t="str">
        <f>IF(F691=0," ",F691*G922)</f>
        <v xml:space="preserve"> </v>
      </c>
      <c r="I922" s="418" t="str">
        <f t="shared" si="325"/>
        <v xml:space="preserve"> </v>
      </c>
      <c r="J922" s="268"/>
      <c r="K922" s="456" t="s">
        <v>849</v>
      </c>
      <c r="L922" s="418" t="str">
        <f t="shared" si="340"/>
        <v xml:space="preserve"> </v>
      </c>
      <c r="M922" s="268"/>
      <c r="N922" s="418"/>
      <c r="O922" s="418" t="str">
        <f t="shared" si="341"/>
        <v xml:space="preserve"> </v>
      </c>
      <c r="P922" s="418"/>
      <c r="Q922" s="418"/>
    </row>
    <row r="923" spans="2:17" ht="12.75" customHeight="1" x14ac:dyDescent="0.2">
      <c r="B923" s="267"/>
      <c r="C923" s="273" t="s">
        <v>278</v>
      </c>
      <c r="D923" s="241" t="s">
        <v>232</v>
      </c>
      <c r="F923" s="265" t="s">
        <v>275</v>
      </c>
      <c r="G923" s="268">
        <f>1800*6</f>
        <v>10800</v>
      </c>
      <c r="H923" s="418">
        <v>11</v>
      </c>
      <c r="I923" s="418">
        <f t="shared" si="325"/>
        <v>118800</v>
      </c>
      <c r="J923" s="268">
        <f t="shared" ref="J923" si="342">1800*6</f>
        <v>10800</v>
      </c>
      <c r="K923" s="456">
        <v>40</v>
      </c>
      <c r="L923" s="418">
        <f t="shared" si="340"/>
        <v>432000</v>
      </c>
      <c r="M923" s="268">
        <f t="shared" ref="M923" si="343">1800*6</f>
        <v>10800</v>
      </c>
      <c r="N923" s="418">
        <v>8</v>
      </c>
      <c r="O923" s="418">
        <f t="shared" si="341"/>
        <v>86400</v>
      </c>
      <c r="P923" s="460">
        <f t="shared" si="332"/>
        <v>32</v>
      </c>
      <c r="Q923" s="460">
        <f t="shared" si="333"/>
        <v>345600</v>
      </c>
    </row>
    <row r="924" spans="2:17" ht="12.75" customHeight="1" x14ac:dyDescent="0.2">
      <c r="B924" s="267"/>
      <c r="F924" s="265"/>
      <c r="G924" s="268"/>
      <c r="H924" s="418"/>
      <c r="I924" s="418" t="str">
        <f t="shared" si="325"/>
        <v xml:space="preserve"> </v>
      </c>
      <c r="J924" s="268"/>
      <c r="K924" s="456"/>
      <c r="L924" s="418" t="str">
        <f t="shared" si="340"/>
        <v xml:space="preserve"> </v>
      </c>
      <c r="M924" s="268"/>
      <c r="N924" s="418"/>
      <c r="O924" s="418" t="str">
        <f t="shared" si="341"/>
        <v xml:space="preserve"> </v>
      </c>
      <c r="P924" s="460"/>
      <c r="Q924" s="460"/>
    </row>
    <row r="925" spans="2:17" ht="12.75" customHeight="1" x14ac:dyDescent="0.2">
      <c r="B925" s="267"/>
      <c r="C925" s="273" t="s">
        <v>279</v>
      </c>
      <c r="D925" s="241" t="s">
        <v>233</v>
      </c>
      <c r="F925" s="265" t="s">
        <v>275</v>
      </c>
      <c r="G925" s="268">
        <v>15000</v>
      </c>
      <c r="H925" s="418">
        <v>11</v>
      </c>
      <c r="I925" s="418">
        <f t="shared" si="325"/>
        <v>165000</v>
      </c>
      <c r="J925" s="268">
        <v>15000</v>
      </c>
      <c r="K925" s="456">
        <v>40</v>
      </c>
      <c r="L925" s="418">
        <f t="shared" si="340"/>
        <v>600000</v>
      </c>
      <c r="M925" s="268">
        <v>15000</v>
      </c>
      <c r="N925" s="418">
        <v>8</v>
      </c>
      <c r="O925" s="418">
        <f t="shared" si="341"/>
        <v>120000</v>
      </c>
      <c r="P925" s="460">
        <f t="shared" si="332"/>
        <v>32</v>
      </c>
      <c r="Q925" s="460">
        <f t="shared" si="333"/>
        <v>480000</v>
      </c>
    </row>
    <row r="926" spans="2:17" ht="12.75" customHeight="1" x14ac:dyDescent="0.2">
      <c r="B926" s="267"/>
      <c r="F926" s="265"/>
      <c r="G926" s="268"/>
      <c r="H926" s="418"/>
      <c r="I926" s="418" t="str">
        <f t="shared" si="325"/>
        <v xml:space="preserve"> </v>
      </c>
      <c r="J926" s="268"/>
      <c r="K926" s="456"/>
      <c r="L926" s="418" t="str">
        <f t="shared" si="340"/>
        <v xml:space="preserve"> </v>
      </c>
      <c r="M926" s="268"/>
      <c r="N926" s="418"/>
      <c r="O926" s="418" t="str">
        <f t="shared" si="341"/>
        <v xml:space="preserve"> </v>
      </c>
      <c r="P926" s="418"/>
      <c r="Q926" s="418"/>
    </row>
    <row r="927" spans="2:17" ht="12.75" customHeight="1" x14ac:dyDescent="0.2">
      <c r="B927" s="267" t="s">
        <v>332</v>
      </c>
      <c r="C927" s="273" t="s">
        <v>671</v>
      </c>
      <c r="F927" s="265" t="s">
        <v>831</v>
      </c>
      <c r="G927" s="268">
        <f>G925+G923</f>
        <v>25800</v>
      </c>
      <c r="H927" s="418">
        <v>5</v>
      </c>
      <c r="I927" s="418">
        <f t="shared" si="325"/>
        <v>129000</v>
      </c>
      <c r="J927" s="268">
        <f t="shared" ref="J927" si="344">J925+J923</f>
        <v>25800</v>
      </c>
      <c r="K927" s="456">
        <v>18.5</v>
      </c>
      <c r="L927" s="418">
        <f t="shared" si="340"/>
        <v>477300</v>
      </c>
      <c r="M927" s="268">
        <f t="shared" ref="M927" si="345">M925+M923</f>
        <v>25800</v>
      </c>
      <c r="N927" s="418">
        <v>18.5</v>
      </c>
      <c r="O927" s="418">
        <f t="shared" si="341"/>
        <v>477300</v>
      </c>
      <c r="P927" s="418">
        <f t="shared" si="332"/>
        <v>0</v>
      </c>
      <c r="Q927" s="418">
        <f t="shared" si="333"/>
        <v>0</v>
      </c>
    </row>
    <row r="928" spans="2:17" ht="12.75" customHeight="1" x14ac:dyDescent="0.2">
      <c r="B928" s="267"/>
      <c r="C928" s="273" t="s">
        <v>385</v>
      </c>
      <c r="F928" s="265"/>
      <c r="G928" s="268"/>
      <c r="H928" s="317"/>
      <c r="I928" s="418" t="str">
        <f t="shared" si="325"/>
        <v xml:space="preserve"> </v>
      </c>
      <c r="J928" s="268"/>
      <c r="K928" s="456"/>
      <c r="L928" s="418" t="str">
        <f t="shared" si="340"/>
        <v xml:space="preserve"> </v>
      </c>
      <c r="M928" s="268"/>
      <c r="N928" s="317"/>
      <c r="O928" s="418" t="str">
        <f t="shared" si="341"/>
        <v xml:space="preserve"> </v>
      </c>
      <c r="P928" s="418" t="str">
        <f t="shared" ref="P928:P941" si="346">IF(N928=0," ",N928*O928)</f>
        <v xml:space="preserve"> </v>
      </c>
      <c r="Q928" s="418"/>
    </row>
    <row r="929" spans="2:17" ht="12.75" customHeight="1" x14ac:dyDescent="0.2">
      <c r="B929" s="267"/>
      <c r="F929" s="265"/>
      <c r="G929" s="268"/>
      <c r="H929" s="317"/>
      <c r="I929" s="418" t="str">
        <f t="shared" si="325"/>
        <v xml:space="preserve"> </v>
      </c>
      <c r="J929" s="268"/>
      <c r="K929" s="456"/>
      <c r="L929" s="418" t="str">
        <f t="shared" si="340"/>
        <v xml:space="preserve"> </v>
      </c>
      <c r="M929" s="268"/>
      <c r="N929" s="317"/>
      <c r="O929" s="418" t="str">
        <f t="shared" si="341"/>
        <v xml:space="preserve"> </v>
      </c>
      <c r="P929" s="418" t="str">
        <f t="shared" si="346"/>
        <v xml:space="preserve"> </v>
      </c>
      <c r="Q929" s="418"/>
    </row>
    <row r="930" spans="2:17" ht="12.75" customHeight="1" x14ac:dyDescent="0.2">
      <c r="B930" s="267"/>
      <c r="F930" s="265"/>
      <c r="G930" s="275"/>
      <c r="H930" s="317"/>
      <c r="I930" s="418" t="str">
        <f t="shared" si="325"/>
        <v xml:space="preserve"> </v>
      </c>
      <c r="J930" s="275"/>
      <c r="K930" s="456"/>
      <c r="L930" s="418" t="str">
        <f t="shared" si="340"/>
        <v xml:space="preserve"> </v>
      </c>
      <c r="M930" s="275"/>
      <c r="N930" s="317"/>
      <c r="O930" s="418" t="str">
        <f t="shared" si="341"/>
        <v xml:space="preserve"> </v>
      </c>
      <c r="P930" s="418" t="str">
        <f t="shared" si="346"/>
        <v xml:space="preserve"> </v>
      </c>
      <c r="Q930" s="418"/>
    </row>
    <row r="931" spans="2:17" ht="12.75" customHeight="1" x14ac:dyDescent="0.2">
      <c r="B931" s="267"/>
      <c r="F931" s="265"/>
      <c r="G931" s="268"/>
      <c r="H931" s="317"/>
      <c r="I931" s="418" t="str">
        <f t="shared" si="325"/>
        <v xml:space="preserve"> </v>
      </c>
      <c r="J931" s="268"/>
      <c r="K931" s="456"/>
      <c r="L931" s="418" t="str">
        <f t="shared" si="340"/>
        <v xml:space="preserve"> </v>
      </c>
      <c r="M931" s="268"/>
      <c r="N931" s="317"/>
      <c r="O931" s="418" t="str">
        <f t="shared" si="341"/>
        <v xml:space="preserve"> </v>
      </c>
      <c r="P931" s="418" t="str">
        <f t="shared" si="346"/>
        <v xml:space="preserve"> </v>
      </c>
      <c r="Q931" s="418"/>
    </row>
    <row r="932" spans="2:17" ht="12.75" customHeight="1" x14ac:dyDescent="0.2">
      <c r="B932" s="267"/>
      <c r="F932" s="265"/>
      <c r="G932" s="268"/>
      <c r="H932" s="317"/>
      <c r="I932" s="418" t="str">
        <f t="shared" si="325"/>
        <v xml:space="preserve"> </v>
      </c>
      <c r="J932" s="268"/>
      <c r="K932" s="456"/>
      <c r="L932" s="418" t="str">
        <f t="shared" si="340"/>
        <v xml:space="preserve"> </v>
      </c>
      <c r="M932" s="268"/>
      <c r="N932" s="317"/>
      <c r="O932" s="418" t="str">
        <f t="shared" si="341"/>
        <v xml:space="preserve"> </v>
      </c>
      <c r="P932" s="418" t="str">
        <f t="shared" si="346"/>
        <v xml:space="preserve"> </v>
      </c>
      <c r="Q932" s="418"/>
    </row>
    <row r="933" spans="2:17" ht="12.75" customHeight="1" x14ac:dyDescent="0.2">
      <c r="B933" s="267"/>
      <c r="F933" s="265"/>
      <c r="G933" s="275"/>
      <c r="H933" s="317"/>
      <c r="I933" s="418" t="str">
        <f t="shared" si="325"/>
        <v xml:space="preserve"> </v>
      </c>
      <c r="J933" s="275"/>
      <c r="K933" s="456"/>
      <c r="L933" s="418" t="str">
        <f t="shared" si="340"/>
        <v xml:space="preserve"> </v>
      </c>
      <c r="M933" s="275"/>
      <c r="N933" s="317"/>
      <c r="O933" s="418" t="str">
        <f t="shared" si="341"/>
        <v xml:space="preserve"> </v>
      </c>
      <c r="P933" s="418" t="str">
        <f t="shared" si="346"/>
        <v xml:space="preserve"> </v>
      </c>
      <c r="Q933" s="418"/>
    </row>
    <row r="934" spans="2:17" ht="12.75" customHeight="1" x14ac:dyDescent="0.2">
      <c r="B934" s="267"/>
      <c r="F934" s="265"/>
      <c r="G934" s="275"/>
      <c r="H934" s="317"/>
      <c r="I934" s="418" t="str">
        <f t="shared" si="325"/>
        <v xml:space="preserve"> </v>
      </c>
      <c r="J934" s="275"/>
      <c r="K934" s="456"/>
      <c r="L934" s="418" t="str">
        <f t="shared" si="340"/>
        <v xml:space="preserve"> </v>
      </c>
      <c r="M934" s="275"/>
      <c r="N934" s="317"/>
      <c r="O934" s="418" t="str">
        <f t="shared" si="341"/>
        <v xml:space="preserve"> </v>
      </c>
      <c r="P934" s="418" t="str">
        <f t="shared" si="346"/>
        <v xml:space="preserve"> </v>
      </c>
      <c r="Q934" s="418"/>
    </row>
    <row r="935" spans="2:17" ht="12.75" customHeight="1" x14ac:dyDescent="0.2">
      <c r="B935" s="267"/>
      <c r="F935" s="265"/>
      <c r="G935" s="275"/>
      <c r="H935" s="317"/>
      <c r="I935" s="418" t="str">
        <f t="shared" si="325"/>
        <v xml:space="preserve"> </v>
      </c>
      <c r="J935" s="275"/>
      <c r="K935" s="456"/>
      <c r="L935" s="418" t="str">
        <f t="shared" si="340"/>
        <v xml:space="preserve"> </v>
      </c>
      <c r="M935" s="275"/>
      <c r="N935" s="317"/>
      <c r="O935" s="418" t="str">
        <f t="shared" si="341"/>
        <v xml:space="preserve"> </v>
      </c>
      <c r="P935" s="418" t="str">
        <f t="shared" si="346"/>
        <v xml:space="preserve"> </v>
      </c>
      <c r="Q935" s="418"/>
    </row>
    <row r="936" spans="2:17" ht="12.75" customHeight="1" x14ac:dyDescent="0.2">
      <c r="B936" s="267"/>
      <c r="F936" s="265"/>
      <c r="G936" s="275"/>
      <c r="H936" s="317"/>
      <c r="I936" s="418" t="str">
        <f t="shared" si="325"/>
        <v xml:space="preserve"> </v>
      </c>
      <c r="J936" s="275"/>
      <c r="K936" s="456"/>
      <c r="L936" s="418" t="str">
        <f t="shared" si="340"/>
        <v xml:space="preserve"> </v>
      </c>
      <c r="M936" s="275"/>
      <c r="N936" s="317"/>
      <c r="O936" s="418" t="str">
        <f t="shared" si="341"/>
        <v xml:space="preserve"> </v>
      </c>
      <c r="P936" s="418" t="str">
        <f t="shared" si="346"/>
        <v xml:space="preserve"> </v>
      </c>
      <c r="Q936" s="418"/>
    </row>
    <row r="937" spans="2:17" ht="12.75" customHeight="1" x14ac:dyDescent="0.2">
      <c r="B937" s="267"/>
      <c r="F937" s="265"/>
      <c r="G937" s="275"/>
      <c r="H937" s="317"/>
      <c r="I937" s="418" t="str">
        <f t="shared" si="325"/>
        <v xml:space="preserve"> </v>
      </c>
      <c r="J937" s="275"/>
      <c r="K937" s="456"/>
      <c r="L937" s="418" t="str">
        <f t="shared" si="340"/>
        <v xml:space="preserve"> </v>
      </c>
      <c r="M937" s="275"/>
      <c r="N937" s="317"/>
      <c r="O937" s="418" t="str">
        <f t="shared" si="341"/>
        <v xml:space="preserve"> </v>
      </c>
      <c r="P937" s="418" t="str">
        <f t="shared" si="346"/>
        <v xml:space="preserve"> </v>
      </c>
      <c r="Q937" s="418"/>
    </row>
    <row r="938" spans="2:17" ht="12.75" customHeight="1" x14ac:dyDescent="0.2">
      <c r="B938" s="267"/>
      <c r="F938" s="265"/>
      <c r="G938" s="275"/>
      <c r="H938" s="317"/>
      <c r="I938" s="418" t="str">
        <f t="shared" si="325"/>
        <v xml:space="preserve"> </v>
      </c>
      <c r="J938" s="275"/>
      <c r="K938" s="456"/>
      <c r="L938" s="418" t="str">
        <f t="shared" si="340"/>
        <v xml:space="preserve"> </v>
      </c>
      <c r="M938" s="275"/>
      <c r="N938" s="317"/>
      <c r="O938" s="418" t="str">
        <f t="shared" si="341"/>
        <v xml:space="preserve"> </v>
      </c>
      <c r="P938" s="418" t="str">
        <f t="shared" si="346"/>
        <v xml:space="preserve"> </v>
      </c>
      <c r="Q938" s="418"/>
    </row>
    <row r="939" spans="2:17" ht="12.75" customHeight="1" x14ac:dyDescent="0.2">
      <c r="B939" s="267"/>
      <c r="F939" s="265"/>
      <c r="G939" s="275"/>
      <c r="H939" s="317"/>
      <c r="I939" s="418" t="str">
        <f t="shared" si="325"/>
        <v xml:space="preserve"> </v>
      </c>
      <c r="J939" s="275"/>
      <c r="K939" s="456"/>
      <c r="L939" s="418" t="str">
        <f t="shared" si="340"/>
        <v xml:space="preserve"> </v>
      </c>
      <c r="M939" s="275"/>
      <c r="N939" s="317"/>
      <c r="O939" s="418" t="str">
        <f t="shared" si="341"/>
        <v xml:space="preserve"> </v>
      </c>
      <c r="P939" s="418" t="str">
        <f t="shared" si="346"/>
        <v xml:space="preserve"> </v>
      </c>
      <c r="Q939" s="418"/>
    </row>
    <row r="940" spans="2:17" ht="12.75" customHeight="1" x14ac:dyDescent="0.2">
      <c r="B940" s="267"/>
      <c r="F940" s="265"/>
      <c r="G940" s="275"/>
      <c r="H940" s="317"/>
      <c r="I940" s="418" t="str">
        <f t="shared" si="325"/>
        <v xml:space="preserve"> </v>
      </c>
      <c r="J940" s="275"/>
      <c r="K940" s="456"/>
      <c r="L940" s="418" t="str">
        <f t="shared" si="340"/>
        <v xml:space="preserve"> </v>
      </c>
      <c r="M940" s="275"/>
      <c r="N940" s="317"/>
      <c r="O940" s="418" t="str">
        <f t="shared" si="341"/>
        <v xml:space="preserve"> </v>
      </c>
      <c r="P940" s="418" t="str">
        <f t="shared" si="346"/>
        <v xml:space="preserve"> </v>
      </c>
      <c r="Q940" s="418"/>
    </row>
    <row r="941" spans="2:17" ht="12.75" customHeight="1" x14ac:dyDescent="0.2">
      <c r="B941" s="267"/>
      <c r="F941" s="265"/>
      <c r="G941" s="275"/>
      <c r="H941" s="317"/>
      <c r="I941" s="418" t="str">
        <f t="shared" si="325"/>
        <v xml:space="preserve"> </v>
      </c>
      <c r="J941" s="275"/>
      <c r="K941" s="456"/>
      <c r="L941" s="418" t="str">
        <f t="shared" si="340"/>
        <v xml:space="preserve"> </v>
      </c>
      <c r="M941" s="275"/>
      <c r="N941" s="317"/>
      <c r="O941" s="418" t="str">
        <f t="shared" si="341"/>
        <v xml:space="preserve"> </v>
      </c>
      <c r="P941" s="418" t="str">
        <f t="shared" si="346"/>
        <v xml:space="preserve"> </v>
      </c>
      <c r="Q941" s="418"/>
    </row>
    <row r="942" spans="2:17" ht="12.75" customHeight="1" x14ac:dyDescent="0.2">
      <c r="B942" s="267"/>
      <c r="F942" s="265"/>
      <c r="G942" s="275"/>
      <c r="H942" s="317"/>
      <c r="I942" s="418"/>
      <c r="J942" s="275"/>
      <c r="K942" s="456"/>
      <c r="L942" s="418"/>
      <c r="M942" s="275"/>
      <c r="N942" s="317"/>
      <c r="O942" s="418"/>
      <c r="P942" s="418"/>
      <c r="Q942" s="418"/>
    </row>
    <row r="943" spans="2:17" ht="12.75" customHeight="1" x14ac:dyDescent="0.2">
      <c r="B943" s="267"/>
      <c r="F943" s="265"/>
      <c r="G943" s="275"/>
      <c r="H943" s="317"/>
      <c r="I943" s="418"/>
      <c r="J943" s="275"/>
      <c r="K943" s="456"/>
      <c r="L943" s="418"/>
      <c r="M943" s="275"/>
      <c r="N943" s="317"/>
      <c r="O943" s="418"/>
      <c r="P943" s="418"/>
      <c r="Q943" s="418"/>
    </row>
    <row r="944" spans="2:17" ht="12.75" customHeight="1" x14ac:dyDescent="0.2">
      <c r="B944" s="267"/>
      <c r="F944" s="265"/>
      <c r="G944" s="275"/>
      <c r="H944" s="317"/>
      <c r="I944" s="418"/>
      <c r="J944" s="275"/>
      <c r="K944" s="456"/>
      <c r="L944" s="418"/>
      <c r="M944" s="275"/>
      <c r="N944" s="317"/>
      <c r="O944" s="418"/>
      <c r="P944" s="418"/>
      <c r="Q944" s="418"/>
    </row>
    <row r="945" spans="2:17" ht="12.75" customHeight="1" x14ac:dyDescent="0.2">
      <c r="B945" s="267"/>
      <c r="F945" s="265"/>
      <c r="G945" s="275"/>
      <c r="H945" s="317"/>
      <c r="I945" s="418"/>
      <c r="J945" s="275"/>
      <c r="K945" s="456"/>
      <c r="L945" s="418"/>
      <c r="M945" s="275"/>
      <c r="N945" s="317"/>
      <c r="O945" s="418"/>
      <c r="P945" s="418"/>
      <c r="Q945" s="418"/>
    </row>
    <row r="946" spans="2:17" ht="12.75" customHeight="1" x14ac:dyDescent="0.2">
      <c r="B946" s="267"/>
      <c r="F946" s="265"/>
      <c r="G946" s="275"/>
      <c r="H946" s="317"/>
      <c r="I946" s="418"/>
      <c r="J946" s="275"/>
      <c r="K946" s="456"/>
      <c r="L946" s="418"/>
      <c r="M946" s="275"/>
      <c r="N946" s="317"/>
      <c r="O946" s="418"/>
      <c r="P946" s="418"/>
      <c r="Q946" s="418"/>
    </row>
    <row r="947" spans="2:17" ht="12.75" customHeight="1" x14ac:dyDescent="0.2">
      <c r="B947" s="267"/>
      <c r="F947" s="265"/>
      <c r="G947" s="268"/>
      <c r="H947" s="317"/>
      <c r="I947" s="418"/>
      <c r="J947" s="268"/>
      <c r="K947" s="456"/>
      <c r="L947" s="418"/>
      <c r="M947" s="268"/>
      <c r="N947" s="317"/>
      <c r="O947" s="418"/>
      <c r="P947" s="418"/>
      <c r="Q947" s="418"/>
    </row>
    <row r="948" spans="2:17" ht="12.75" customHeight="1" x14ac:dyDescent="0.2">
      <c r="B948" s="267"/>
      <c r="F948" s="265"/>
      <c r="G948" s="268"/>
      <c r="H948" s="317"/>
      <c r="I948" s="418"/>
      <c r="J948" s="268"/>
      <c r="K948" s="456"/>
      <c r="L948" s="418"/>
      <c r="M948" s="268"/>
      <c r="N948" s="317"/>
      <c r="O948" s="418"/>
      <c r="P948" s="418"/>
      <c r="Q948" s="418"/>
    </row>
    <row r="949" spans="2:17" ht="12.75" customHeight="1" x14ac:dyDescent="0.2">
      <c r="B949" s="267"/>
      <c r="F949" s="265"/>
      <c r="G949" s="268"/>
      <c r="H949" s="317"/>
      <c r="I949" s="418"/>
      <c r="J949" s="268"/>
      <c r="K949" s="456"/>
      <c r="L949" s="418"/>
      <c r="M949" s="268"/>
      <c r="N949" s="317"/>
      <c r="O949" s="418"/>
      <c r="P949" s="418"/>
      <c r="Q949" s="418"/>
    </row>
    <row r="950" spans="2:17" ht="12.75" customHeight="1" x14ac:dyDescent="0.2">
      <c r="B950" s="267"/>
      <c r="F950" s="265"/>
      <c r="G950" s="268"/>
      <c r="H950" s="317"/>
      <c r="I950" s="318" t="str">
        <f>IF(G681=0," ",G681*H950)</f>
        <v xml:space="preserve"> </v>
      </c>
      <c r="J950" s="268"/>
      <c r="K950" s="456"/>
      <c r="L950" s="318" t="str">
        <f t="shared" ref="L950" si="347">IF(J681=0," ",J681*K950)</f>
        <v xml:space="preserve"> </v>
      </c>
      <c r="M950" s="268"/>
      <c r="N950" s="317"/>
      <c r="O950" s="318" t="str">
        <f t="shared" ref="O950" si="348">IF(M681=0," ",M681*N950)</f>
        <v xml:space="preserve"> </v>
      </c>
      <c r="P950" s="318" t="str">
        <f t="shared" ref="P950" si="349">IF(N681=0," ",N681*O950)</f>
        <v xml:space="preserve"> </v>
      </c>
      <c r="Q950" s="318" t="str">
        <f t="shared" ref="Q950" si="350">IF(O681=0," ",O681*P950)</f>
        <v xml:space="preserve"> </v>
      </c>
    </row>
    <row r="951" spans="2:17" ht="12.75" customHeight="1" x14ac:dyDescent="0.2">
      <c r="B951" s="287">
        <v>3300</v>
      </c>
      <c r="C951" s="288" t="s">
        <v>268</v>
      </c>
      <c r="D951" s="289"/>
      <c r="E951" s="290"/>
      <c r="F951" s="291"/>
      <c r="G951" s="291"/>
      <c r="H951" s="422"/>
      <c r="I951" s="423">
        <f>SUM(I894:I950)</f>
        <v>1181480</v>
      </c>
      <c r="J951" s="412"/>
      <c r="K951" s="457"/>
      <c r="L951" s="423">
        <f t="shared" ref="L951" si="351">SUM(L894:L950)</f>
        <v>2528420</v>
      </c>
      <c r="M951" s="291"/>
      <c r="N951" s="422"/>
      <c r="O951" s="423">
        <f>SUM(O894:O950)</f>
        <v>1807820</v>
      </c>
      <c r="P951" s="423"/>
      <c r="Q951" s="423">
        <f t="shared" ref="Q951" si="352">SUM(Q894:Q950)</f>
        <v>720600</v>
      </c>
    </row>
    <row r="952" spans="2:17" ht="12.75" customHeight="1" x14ac:dyDescent="0.2">
      <c r="B952" s="239" t="s">
        <v>79</v>
      </c>
      <c r="C952" s="239"/>
      <c r="D952" s="263"/>
      <c r="E952" s="297"/>
      <c r="H952" s="426"/>
      <c r="I952" s="427"/>
      <c r="K952" s="456"/>
      <c r="L952" s="427"/>
      <c r="N952" s="426"/>
      <c r="O952" s="427"/>
      <c r="P952" s="427"/>
      <c r="Q952" s="427"/>
    </row>
    <row r="953" spans="2:17" ht="12.75" customHeight="1" x14ac:dyDescent="0.2">
      <c r="B953" s="239" t="s">
        <v>267</v>
      </c>
      <c r="C953" s="240"/>
      <c r="E953" s="238"/>
      <c r="H953" s="426"/>
      <c r="I953" s="427"/>
      <c r="K953" s="456"/>
      <c r="L953" s="427"/>
      <c r="N953" s="426"/>
      <c r="O953" s="427"/>
      <c r="P953" s="427"/>
      <c r="Q953" s="427"/>
    </row>
    <row r="954" spans="2:17" ht="12.75" customHeight="1" x14ac:dyDescent="0.2">
      <c r="B954" s="243"/>
      <c r="C954" s="243"/>
      <c r="D954" s="244"/>
      <c r="E954" s="245"/>
      <c r="F954" s="246"/>
      <c r="H954" s="428"/>
      <c r="I954" s="429" t="str">
        <f>IF(G891=0," ",G891*H954)</f>
        <v xml:space="preserve"> </v>
      </c>
      <c r="K954" s="456"/>
      <c r="L954" s="429" t="str">
        <f t="shared" ref="L954" si="353">IF(J891=0," ",J891*K954)</f>
        <v xml:space="preserve"> </v>
      </c>
      <c r="N954" s="428"/>
      <c r="O954" s="429" t="str">
        <f t="shared" ref="O954" si="354">IF(M891=0," ",M891*N954)</f>
        <v xml:space="preserve"> </v>
      </c>
      <c r="P954" s="429" t="str">
        <f t="shared" ref="P954" si="355">IF(N891=0," ",N891*O954)</f>
        <v xml:space="preserve"> </v>
      </c>
      <c r="Q954" s="429" t="str">
        <f t="shared" ref="Q954" si="356">IF(O891=0," ",O891*P954)</f>
        <v xml:space="preserve"> </v>
      </c>
    </row>
    <row r="955" spans="2:17" ht="12.75" customHeight="1" x14ac:dyDescent="0.2">
      <c r="B955" s="247" t="s">
        <v>263</v>
      </c>
      <c r="C955" s="248" t="s">
        <v>264</v>
      </c>
      <c r="D955" s="249"/>
      <c r="E955" s="250"/>
      <c r="F955" s="250" t="s">
        <v>265</v>
      </c>
      <c r="G955" s="356" t="s">
        <v>68</v>
      </c>
      <c r="H955" s="251" t="s">
        <v>849</v>
      </c>
      <c r="I955" s="252" t="s">
        <v>849</v>
      </c>
      <c r="J955" s="356" t="s">
        <v>68</v>
      </c>
      <c r="K955" s="457" t="s">
        <v>849</v>
      </c>
      <c r="L955" s="252" t="s">
        <v>849</v>
      </c>
      <c r="M955" s="356" t="s">
        <v>68</v>
      </c>
      <c r="N955" s="251" t="s">
        <v>849</v>
      </c>
      <c r="O955" s="252" t="s">
        <v>849</v>
      </c>
      <c r="P955" s="252" t="s">
        <v>849</v>
      </c>
      <c r="Q955" s="252" t="s">
        <v>849</v>
      </c>
    </row>
    <row r="956" spans="2:17" ht="12.75" customHeight="1" x14ac:dyDescent="0.2">
      <c r="B956" s="253" t="s">
        <v>266</v>
      </c>
      <c r="C956" s="254"/>
      <c r="D956" s="255"/>
      <c r="E956" s="256"/>
      <c r="F956" s="256"/>
      <c r="G956" s="357" t="s">
        <v>69</v>
      </c>
      <c r="H956" s="257" t="s">
        <v>262</v>
      </c>
      <c r="I956" s="258" t="s">
        <v>70</v>
      </c>
      <c r="J956" s="357" t="s">
        <v>69</v>
      </c>
      <c r="K956" s="457" t="s">
        <v>262</v>
      </c>
      <c r="L956" s="258" t="s">
        <v>70</v>
      </c>
      <c r="M956" s="357" t="s">
        <v>69</v>
      </c>
      <c r="N956" s="257" t="s">
        <v>262</v>
      </c>
      <c r="O956" s="258" t="s">
        <v>70</v>
      </c>
      <c r="P956" s="258" t="s">
        <v>70</v>
      </c>
      <c r="Q956" s="258" t="s">
        <v>70</v>
      </c>
    </row>
    <row r="957" spans="2:17" ht="12.75" customHeight="1" x14ac:dyDescent="0.2">
      <c r="B957" s="273"/>
      <c r="F957" s="265"/>
      <c r="G957" s="268"/>
      <c r="H957" s="317"/>
      <c r="I957" s="318"/>
      <c r="J957" s="268"/>
      <c r="K957" s="456"/>
      <c r="L957" s="318"/>
      <c r="M957" s="268"/>
      <c r="N957" s="317"/>
      <c r="O957" s="318"/>
      <c r="P957" s="318"/>
      <c r="Q957" s="318"/>
    </row>
    <row r="958" spans="2:17" ht="12.75" customHeight="1" x14ac:dyDescent="0.2">
      <c r="B958" s="261">
        <v>3400</v>
      </c>
      <c r="C958" s="262" t="s">
        <v>453</v>
      </c>
      <c r="D958" s="263"/>
      <c r="E958" s="264"/>
      <c r="F958" s="265"/>
      <c r="G958" s="268"/>
      <c r="H958" s="317"/>
      <c r="I958" s="418" t="str">
        <f>IF(G894=0," ",G894*H958)</f>
        <v xml:space="preserve"> </v>
      </c>
      <c r="J958" s="268"/>
      <c r="K958" s="456"/>
      <c r="L958" s="418" t="str">
        <f t="shared" ref="L958" si="357">IF(J894=0," ",J894*K958)</f>
        <v xml:space="preserve"> </v>
      </c>
      <c r="M958" s="268"/>
      <c r="N958" s="317"/>
      <c r="O958" s="418" t="str">
        <f t="shared" ref="O958" si="358">IF(M894=0," ",M894*N958)</f>
        <v xml:space="preserve"> </v>
      </c>
      <c r="P958" s="418" t="str">
        <f t="shared" ref="P958" si="359">IF(N894=0," ",N894*O958)</f>
        <v xml:space="preserve"> </v>
      </c>
      <c r="Q958" s="418" t="str">
        <f t="shared" ref="Q958" si="360">IF(O894=0," ",O894*P958)</f>
        <v xml:space="preserve"> </v>
      </c>
    </row>
    <row r="959" spans="2:17" ht="12.75" customHeight="1" x14ac:dyDescent="0.2">
      <c r="B959" s="267"/>
      <c r="F959" s="265"/>
      <c r="G959" s="268"/>
      <c r="H959" s="317"/>
      <c r="I959" s="418"/>
      <c r="J959" s="268"/>
      <c r="K959" s="456"/>
      <c r="L959" s="418"/>
      <c r="M959" s="268"/>
      <c r="N959" s="317"/>
      <c r="O959" s="418"/>
      <c r="P959" s="418"/>
      <c r="Q959" s="418"/>
    </row>
    <row r="960" spans="2:17" ht="12.75" customHeight="1" x14ac:dyDescent="0.2">
      <c r="B960" s="267">
        <v>34.01</v>
      </c>
      <c r="C960" s="273" t="s">
        <v>234</v>
      </c>
      <c r="D960" s="285"/>
      <c r="E960" s="286"/>
      <c r="F960" s="265"/>
      <c r="G960" s="268"/>
      <c r="H960" s="317"/>
      <c r="I960" s="418"/>
      <c r="J960" s="268"/>
      <c r="K960" s="456"/>
      <c r="L960" s="418"/>
      <c r="M960" s="268"/>
      <c r="N960" s="317"/>
      <c r="O960" s="418"/>
      <c r="P960" s="418"/>
      <c r="Q960" s="418"/>
    </row>
    <row r="961" spans="2:20" ht="12.75" customHeight="1" x14ac:dyDescent="0.2">
      <c r="B961" s="267"/>
      <c r="C961" s="273" t="s">
        <v>717</v>
      </c>
      <c r="D961" s="285"/>
      <c r="E961" s="286"/>
      <c r="F961" s="265"/>
      <c r="G961" s="268"/>
      <c r="H961" s="317"/>
      <c r="I961" s="418"/>
      <c r="J961" s="268"/>
      <c r="K961" s="456"/>
      <c r="L961" s="418"/>
      <c r="M961" s="268"/>
      <c r="N961" s="317"/>
      <c r="O961" s="418"/>
      <c r="P961" s="418"/>
      <c r="Q961" s="418"/>
    </row>
    <row r="962" spans="2:20" ht="12.75" customHeight="1" x14ac:dyDescent="0.2">
      <c r="B962" s="267"/>
      <c r="C962" s="273" t="s">
        <v>278</v>
      </c>
      <c r="D962" s="285" t="s">
        <v>235</v>
      </c>
      <c r="E962" s="286"/>
      <c r="F962" s="265"/>
      <c r="G962" s="268"/>
      <c r="H962" s="317"/>
      <c r="I962" s="418"/>
      <c r="J962" s="268"/>
      <c r="K962" s="456"/>
      <c r="L962" s="418"/>
      <c r="M962" s="268"/>
      <c r="N962" s="317"/>
      <c r="O962" s="418"/>
      <c r="P962" s="418"/>
      <c r="Q962" s="418"/>
    </row>
    <row r="963" spans="2:20" ht="12.75" customHeight="1" x14ac:dyDescent="0.2">
      <c r="B963" s="267"/>
      <c r="D963" s="241" t="s">
        <v>277</v>
      </c>
      <c r="E963" s="274" t="s">
        <v>236</v>
      </c>
      <c r="F963" s="265" t="s">
        <v>829</v>
      </c>
      <c r="G963" s="268">
        <f>700*0.15*12</f>
        <v>1260</v>
      </c>
      <c r="H963" s="418">
        <v>40</v>
      </c>
      <c r="I963" s="418">
        <f t="shared" ref="I963:I981" si="361">IF(G963=0," ",G963*H963)</f>
        <v>50400</v>
      </c>
      <c r="J963" s="268">
        <f t="shared" ref="J963" si="362">700*0.15*12</f>
        <v>1260</v>
      </c>
      <c r="K963" s="456">
        <v>65</v>
      </c>
      <c r="L963" s="418">
        <f t="shared" ref="L963:L964" si="363">IF(J963=0," ",J963*K963)</f>
        <v>81900</v>
      </c>
      <c r="M963" s="268">
        <f t="shared" ref="M963" si="364">700*0.15*12</f>
        <v>1260</v>
      </c>
      <c r="N963" s="418">
        <v>65</v>
      </c>
      <c r="O963" s="418">
        <f t="shared" ref="O963:O964" si="365">IF(M963=0," ",M963*N963)</f>
        <v>81900</v>
      </c>
      <c r="P963" s="418">
        <f>K963-N963</f>
        <v>0</v>
      </c>
      <c r="Q963" s="418">
        <f>L963-O963</f>
        <v>0</v>
      </c>
    </row>
    <row r="964" spans="2:20" ht="12.75" customHeight="1" x14ac:dyDescent="0.2">
      <c r="B964" s="267"/>
      <c r="F964" s="265"/>
      <c r="G964" s="268"/>
      <c r="H964" s="418"/>
      <c r="I964" s="418" t="str">
        <f t="shared" si="361"/>
        <v xml:space="preserve"> </v>
      </c>
      <c r="J964" s="268"/>
      <c r="K964" s="456"/>
      <c r="L964" s="418" t="str">
        <f t="shared" si="363"/>
        <v xml:space="preserve"> </v>
      </c>
      <c r="M964" s="268"/>
      <c r="N964" s="418"/>
      <c r="O964" s="418" t="str">
        <f t="shared" si="365"/>
        <v xml:space="preserve"> </v>
      </c>
      <c r="P964" s="418"/>
      <c r="Q964" s="418"/>
    </row>
    <row r="965" spans="2:20" ht="12.75" customHeight="1" x14ac:dyDescent="0.2">
      <c r="B965" s="267"/>
      <c r="D965" s="241" t="s">
        <v>124</v>
      </c>
      <c r="E965" s="274" t="s">
        <v>718</v>
      </c>
      <c r="F965" s="265" t="s">
        <v>829</v>
      </c>
      <c r="G965" s="65" t="s">
        <v>596</v>
      </c>
      <c r="H965" s="418">
        <v>100</v>
      </c>
      <c r="I965" s="418"/>
      <c r="J965" s="65" t="s">
        <v>596</v>
      </c>
      <c r="K965" s="456">
        <v>75</v>
      </c>
      <c r="L965" s="418"/>
      <c r="M965" s="65" t="s">
        <v>596</v>
      </c>
      <c r="N965" s="418">
        <v>75</v>
      </c>
      <c r="O965" s="418"/>
      <c r="P965" s="418">
        <f t="shared" ref="P965:P980" si="366">K965-N965</f>
        <v>0</v>
      </c>
      <c r="Q965" s="418">
        <f t="shared" ref="Q965:Q980" si="367">L965-O965</f>
        <v>0</v>
      </c>
    </row>
    <row r="966" spans="2:20" ht="12.75" customHeight="1" x14ac:dyDescent="0.2">
      <c r="B966" s="267"/>
      <c r="E966" s="274" t="s">
        <v>770</v>
      </c>
      <c r="F966" s="265"/>
      <c r="G966" s="268"/>
      <c r="H966" s="418"/>
      <c r="I966" s="418" t="str">
        <f t="shared" si="361"/>
        <v xml:space="preserve"> </v>
      </c>
      <c r="J966" s="268"/>
      <c r="K966" s="456"/>
      <c r="L966" s="418" t="str">
        <f t="shared" ref="L966:L972" si="368">IF(J966=0," ",J966*K966)</f>
        <v xml:space="preserve"> </v>
      </c>
      <c r="M966" s="268"/>
      <c r="N966" s="418"/>
      <c r="O966" s="418" t="str">
        <f t="shared" ref="O966:O972" si="369">IF(M966=0," ",M966*N966)</f>
        <v xml:space="preserve"> </v>
      </c>
      <c r="P966" s="418"/>
      <c r="Q966" s="418"/>
    </row>
    <row r="967" spans="2:20" ht="12.75" customHeight="1" x14ac:dyDescent="0.2">
      <c r="B967" s="267"/>
      <c r="D967" s="241" t="s">
        <v>125</v>
      </c>
      <c r="E967" s="274" t="s">
        <v>659</v>
      </c>
      <c r="F967" s="265" t="s">
        <v>829</v>
      </c>
      <c r="G967" s="268">
        <f>700*12.3*0.15</f>
        <v>1291.5</v>
      </c>
      <c r="H967" s="418">
        <v>50</v>
      </c>
      <c r="I967" s="418">
        <f t="shared" si="361"/>
        <v>64575</v>
      </c>
      <c r="J967" s="268">
        <f t="shared" ref="J967" si="370">700*12.3*0.15</f>
        <v>1291.5</v>
      </c>
      <c r="K967" s="456">
        <v>60</v>
      </c>
      <c r="L967" s="418">
        <f t="shared" si="368"/>
        <v>77490</v>
      </c>
      <c r="M967" s="268">
        <f t="shared" ref="M967" si="371">700*12.3*0.15</f>
        <v>1291.5</v>
      </c>
      <c r="N967" s="418">
        <v>60</v>
      </c>
      <c r="O967" s="418">
        <f t="shared" si="369"/>
        <v>77490</v>
      </c>
      <c r="P967" s="418">
        <f t="shared" si="366"/>
        <v>0</v>
      </c>
      <c r="Q967" s="418">
        <f t="shared" si="367"/>
        <v>0</v>
      </c>
    </row>
    <row r="968" spans="2:20" ht="12.75" customHeight="1" x14ac:dyDescent="0.2">
      <c r="B968" s="267"/>
      <c r="D968" s="285"/>
      <c r="E968" s="286"/>
      <c r="F968" s="265"/>
      <c r="G968" s="268"/>
      <c r="H968" s="418"/>
      <c r="I968" s="418" t="str">
        <f t="shared" si="361"/>
        <v xml:space="preserve"> </v>
      </c>
      <c r="J968" s="268"/>
      <c r="K968" s="456"/>
      <c r="L968" s="418" t="str">
        <f t="shared" si="368"/>
        <v xml:space="preserve"> </v>
      </c>
      <c r="M968" s="268"/>
      <c r="N968" s="418"/>
      <c r="O968" s="418" t="str">
        <f t="shared" si="369"/>
        <v xml:space="preserve"> </v>
      </c>
      <c r="P968" s="418"/>
      <c r="Q968" s="418"/>
    </row>
    <row r="969" spans="2:20" ht="12.75" customHeight="1" x14ac:dyDescent="0.2">
      <c r="B969" s="267"/>
      <c r="C969" s="273" t="s">
        <v>281</v>
      </c>
      <c r="D969" s="241" t="s">
        <v>848</v>
      </c>
      <c r="E969" s="286"/>
      <c r="F969" s="265"/>
      <c r="G969" s="268"/>
      <c r="H969" s="418" t="str">
        <f t="shared" ref="H969:H979" si="372">IF(F969=0," ",F969*G969)</f>
        <v xml:space="preserve"> </v>
      </c>
      <c r="I969" s="418" t="str">
        <f t="shared" si="361"/>
        <v xml:space="preserve"> </v>
      </c>
      <c r="J969" s="268"/>
      <c r="K969" s="456" t="s">
        <v>849</v>
      </c>
      <c r="L969" s="418" t="str">
        <f t="shared" si="368"/>
        <v xml:space="preserve"> </v>
      </c>
      <c r="M969" s="268"/>
      <c r="N969" s="418"/>
      <c r="O969" s="418" t="str">
        <f t="shared" si="369"/>
        <v xml:space="preserve"> </v>
      </c>
      <c r="P969" s="418"/>
      <c r="Q969" s="418"/>
    </row>
    <row r="970" spans="2:20" ht="12.75" customHeight="1" x14ac:dyDescent="0.2">
      <c r="B970" s="267"/>
      <c r="D970" s="241" t="s">
        <v>277</v>
      </c>
      <c r="E970" s="274" t="s">
        <v>685</v>
      </c>
      <c r="F970" s="265" t="s">
        <v>829</v>
      </c>
      <c r="G970" s="268">
        <f>700*11.9*0.2</f>
        <v>1666</v>
      </c>
      <c r="H970" s="418">
        <v>80</v>
      </c>
      <c r="I970" s="418">
        <f t="shared" si="361"/>
        <v>133280</v>
      </c>
      <c r="J970" s="268">
        <f t="shared" ref="J970" si="373">700*11.9*0.2</f>
        <v>1666</v>
      </c>
      <c r="K970" s="456">
        <v>400</v>
      </c>
      <c r="L970" s="418">
        <f t="shared" si="368"/>
        <v>666400</v>
      </c>
      <c r="M970" s="268">
        <f t="shared" ref="M970" si="374">700*11.9*0.2</f>
        <v>1666</v>
      </c>
      <c r="N970" s="418">
        <v>300</v>
      </c>
      <c r="O970" s="418">
        <f t="shared" si="369"/>
        <v>499800</v>
      </c>
      <c r="P970" s="460">
        <f t="shared" si="366"/>
        <v>100</v>
      </c>
      <c r="Q970" s="460">
        <f t="shared" si="367"/>
        <v>166600</v>
      </c>
      <c r="T970" s="234"/>
    </row>
    <row r="971" spans="2:20" ht="12.75" customHeight="1" x14ac:dyDescent="0.2">
      <c r="B971" s="267"/>
      <c r="F971" s="265"/>
      <c r="G971" s="268"/>
      <c r="H971" s="418"/>
      <c r="I971" s="418" t="str">
        <f t="shared" si="361"/>
        <v xml:space="preserve"> </v>
      </c>
      <c r="J971" s="268"/>
      <c r="K971" s="456"/>
      <c r="L971" s="418" t="str">
        <f t="shared" si="368"/>
        <v xml:space="preserve"> </v>
      </c>
      <c r="M971" s="268"/>
      <c r="N971" s="418"/>
      <c r="O971" s="418" t="str">
        <f t="shared" si="369"/>
        <v xml:space="preserve"> </v>
      </c>
      <c r="P971" s="418"/>
      <c r="Q971" s="418"/>
      <c r="T971" s="234"/>
    </row>
    <row r="972" spans="2:20" ht="12.75" customHeight="1" x14ac:dyDescent="0.2">
      <c r="B972" s="267"/>
      <c r="C972" s="273" t="s">
        <v>121</v>
      </c>
      <c r="D972" s="241" t="s">
        <v>838</v>
      </c>
      <c r="E972" s="286"/>
      <c r="F972" s="265"/>
      <c r="G972" s="268"/>
      <c r="H972" s="418" t="str">
        <f t="shared" ref="H972" si="375">IF(F972=0," ",F972*G972)</f>
        <v xml:space="preserve"> </v>
      </c>
      <c r="I972" s="418" t="str">
        <f t="shared" si="361"/>
        <v xml:space="preserve"> </v>
      </c>
      <c r="J972" s="268"/>
      <c r="K972" s="456" t="s">
        <v>849</v>
      </c>
      <c r="L972" s="418" t="str">
        <f t="shared" si="368"/>
        <v xml:space="preserve"> </v>
      </c>
      <c r="M972" s="268"/>
      <c r="N972" s="418"/>
      <c r="O972" s="418" t="str">
        <f t="shared" si="369"/>
        <v xml:space="preserve"> </v>
      </c>
      <c r="P972" s="418"/>
      <c r="Q972" s="418"/>
      <c r="T972" s="234"/>
    </row>
    <row r="973" spans="2:20" ht="12.75" customHeight="1" x14ac:dyDescent="0.2">
      <c r="B973" s="267"/>
      <c r="D973" s="241" t="s">
        <v>277</v>
      </c>
      <c r="E973" s="274" t="s">
        <v>769</v>
      </c>
      <c r="F973" s="265" t="s">
        <v>829</v>
      </c>
      <c r="G973" s="65" t="s">
        <v>596</v>
      </c>
      <c r="H973" s="418">
        <v>100</v>
      </c>
      <c r="I973" s="418"/>
      <c r="J973" s="65" t="s">
        <v>596</v>
      </c>
      <c r="K973" s="456">
        <v>85</v>
      </c>
      <c r="L973" s="418"/>
      <c r="M973" s="65" t="s">
        <v>596</v>
      </c>
      <c r="N973" s="418">
        <v>85</v>
      </c>
      <c r="O973" s="418"/>
      <c r="P973" s="418">
        <f t="shared" si="366"/>
        <v>0</v>
      </c>
      <c r="Q973" s="418">
        <f t="shared" si="367"/>
        <v>0</v>
      </c>
      <c r="T973" s="234"/>
    </row>
    <row r="974" spans="2:20" ht="12.75" customHeight="1" x14ac:dyDescent="0.2">
      <c r="B974" s="267"/>
      <c r="F974" s="265"/>
      <c r="G974" s="268"/>
      <c r="H974" s="418"/>
      <c r="I974" s="418" t="str">
        <f t="shared" si="361"/>
        <v xml:space="preserve"> </v>
      </c>
      <c r="J974" s="268"/>
      <c r="K974" s="456"/>
      <c r="L974" s="418" t="str">
        <f t="shared" ref="L974:L982" si="376">IF(J974=0," ",J974*K974)</f>
        <v xml:space="preserve"> </v>
      </c>
      <c r="M974" s="268"/>
      <c r="N974" s="418"/>
      <c r="O974" s="418" t="str">
        <f t="shared" ref="O974:O982" si="377">IF(M974=0," ",M974*N974)</f>
        <v xml:space="preserve"> </v>
      </c>
      <c r="P974" s="418"/>
      <c r="Q974" s="418"/>
    </row>
    <row r="975" spans="2:20" ht="12.75" customHeight="1" x14ac:dyDescent="0.2">
      <c r="B975" s="267"/>
      <c r="C975" s="273" t="s">
        <v>123</v>
      </c>
      <c r="D975" s="285" t="s">
        <v>473</v>
      </c>
      <c r="E975" s="286"/>
      <c r="F975" s="265"/>
      <c r="G975" s="268"/>
      <c r="H975" s="418" t="str">
        <f t="shared" si="372"/>
        <v xml:space="preserve"> </v>
      </c>
      <c r="I975" s="418" t="str">
        <f t="shared" si="361"/>
        <v xml:space="preserve"> </v>
      </c>
      <c r="J975" s="268"/>
      <c r="K975" s="456" t="s">
        <v>849</v>
      </c>
      <c r="L975" s="418" t="str">
        <f t="shared" si="376"/>
        <v xml:space="preserve"> </v>
      </c>
      <c r="M975" s="268"/>
      <c r="N975" s="418"/>
      <c r="O975" s="418" t="str">
        <f t="shared" si="377"/>
        <v xml:space="preserve"> </v>
      </c>
      <c r="P975" s="418"/>
      <c r="Q975" s="418"/>
    </row>
    <row r="976" spans="2:20" ht="12.75" customHeight="1" x14ac:dyDescent="0.2">
      <c r="B976" s="267"/>
      <c r="D976" s="241" t="s">
        <v>277</v>
      </c>
      <c r="E976" s="274" t="s">
        <v>236</v>
      </c>
      <c r="F976" s="265" t="s">
        <v>829</v>
      </c>
      <c r="G976" s="268">
        <f>3600*0.9*0.15</f>
        <v>486</v>
      </c>
      <c r="H976" s="418">
        <v>40</v>
      </c>
      <c r="I976" s="418">
        <f t="shared" si="361"/>
        <v>19440</v>
      </c>
      <c r="J976" s="268">
        <f t="shared" ref="J976" si="378">3600*0.9*0.15</f>
        <v>486</v>
      </c>
      <c r="K976" s="456">
        <v>65</v>
      </c>
      <c r="L976" s="418">
        <f t="shared" si="376"/>
        <v>31590</v>
      </c>
      <c r="M976" s="268">
        <f t="shared" ref="M976" si="379">3600*0.9*0.15</f>
        <v>486</v>
      </c>
      <c r="N976" s="418">
        <v>65</v>
      </c>
      <c r="O976" s="418">
        <f t="shared" si="377"/>
        <v>31590</v>
      </c>
      <c r="P976" s="418">
        <f t="shared" si="366"/>
        <v>0</v>
      </c>
      <c r="Q976" s="418">
        <f t="shared" si="367"/>
        <v>0</v>
      </c>
    </row>
    <row r="977" spans="2:17" ht="12.75" customHeight="1" x14ac:dyDescent="0.2">
      <c r="B977" s="267"/>
      <c r="F977" s="265"/>
      <c r="G977" s="268"/>
      <c r="H977" s="418"/>
      <c r="I977" s="418" t="str">
        <f t="shared" si="361"/>
        <v xml:space="preserve"> </v>
      </c>
      <c r="J977" s="268"/>
      <c r="K977" s="456"/>
      <c r="L977" s="418" t="str">
        <f t="shared" si="376"/>
        <v xml:space="preserve"> </v>
      </c>
      <c r="M977" s="268"/>
      <c r="N977" s="418"/>
      <c r="O977" s="418" t="str">
        <f t="shared" si="377"/>
        <v xml:space="preserve"> </v>
      </c>
      <c r="P977" s="418"/>
      <c r="Q977" s="418"/>
    </row>
    <row r="978" spans="2:17" ht="12.75" customHeight="1" x14ac:dyDescent="0.2">
      <c r="B978" s="267"/>
      <c r="D978" s="285" t="s">
        <v>124</v>
      </c>
      <c r="E978" s="274" t="s">
        <v>718</v>
      </c>
      <c r="F978" s="265" t="s">
        <v>829</v>
      </c>
      <c r="G978" s="268">
        <f>3600*0.9*0.15</f>
        <v>486</v>
      </c>
      <c r="H978" s="418">
        <v>45</v>
      </c>
      <c r="I978" s="418">
        <f t="shared" si="361"/>
        <v>21870</v>
      </c>
      <c r="J978" s="268">
        <f t="shared" ref="J978" si="380">3600*0.9*0.15</f>
        <v>486</v>
      </c>
      <c r="K978" s="456">
        <v>65</v>
      </c>
      <c r="L978" s="418">
        <f t="shared" si="376"/>
        <v>31590</v>
      </c>
      <c r="M978" s="268">
        <f t="shared" ref="M978" si="381">3600*0.9*0.15</f>
        <v>486</v>
      </c>
      <c r="N978" s="418">
        <v>65</v>
      </c>
      <c r="O978" s="418">
        <f t="shared" si="377"/>
        <v>31590</v>
      </c>
      <c r="P978" s="418">
        <f t="shared" si="366"/>
        <v>0</v>
      </c>
      <c r="Q978" s="418">
        <f t="shared" si="367"/>
        <v>0</v>
      </c>
    </row>
    <row r="979" spans="2:17" ht="12.75" customHeight="1" x14ac:dyDescent="0.2">
      <c r="B979" s="267"/>
      <c r="E979" s="286"/>
      <c r="F979" s="265"/>
      <c r="G979" s="268"/>
      <c r="H979" s="418" t="str">
        <f t="shared" si="372"/>
        <v xml:space="preserve"> </v>
      </c>
      <c r="I979" s="418" t="str">
        <f t="shared" si="361"/>
        <v xml:space="preserve"> </v>
      </c>
      <c r="J979" s="268"/>
      <c r="K979" s="456" t="s">
        <v>849</v>
      </c>
      <c r="L979" s="418" t="str">
        <f t="shared" si="376"/>
        <v xml:space="preserve"> </v>
      </c>
      <c r="M979" s="268"/>
      <c r="N979" s="418"/>
      <c r="O979" s="418" t="str">
        <f t="shared" si="377"/>
        <v xml:space="preserve"> </v>
      </c>
      <c r="P979" s="418"/>
      <c r="Q979" s="418"/>
    </row>
    <row r="980" spans="2:17" ht="12.75" customHeight="1" x14ac:dyDescent="0.2">
      <c r="B980" s="267" t="s">
        <v>19</v>
      </c>
      <c r="C980" s="273" t="s">
        <v>474</v>
      </c>
      <c r="F980" s="265" t="s">
        <v>831</v>
      </c>
      <c r="G980" s="268">
        <f>(G978+G976+G970+G967+G963)*2</f>
        <v>10379</v>
      </c>
      <c r="H980" s="418">
        <v>5</v>
      </c>
      <c r="I980" s="418">
        <f t="shared" si="361"/>
        <v>51895</v>
      </c>
      <c r="J980" s="268">
        <f t="shared" ref="J980" si="382">(J978+J976+J970+J967+J963)*2</f>
        <v>10379</v>
      </c>
      <c r="K980" s="456">
        <v>18.5</v>
      </c>
      <c r="L980" s="418">
        <f t="shared" si="376"/>
        <v>192011.5</v>
      </c>
      <c r="M980" s="268">
        <f t="shared" ref="M980" si="383">(M978+M976+M970+M967+M963)*2</f>
        <v>10379</v>
      </c>
      <c r="N980" s="418">
        <v>18.5</v>
      </c>
      <c r="O980" s="418">
        <f t="shared" si="377"/>
        <v>192011.5</v>
      </c>
      <c r="P980" s="418">
        <f t="shared" si="366"/>
        <v>0</v>
      </c>
      <c r="Q980" s="418">
        <f t="shared" si="367"/>
        <v>0</v>
      </c>
    </row>
    <row r="981" spans="2:17" ht="12.75" customHeight="1" x14ac:dyDescent="0.2">
      <c r="B981" s="267"/>
      <c r="C981" s="273" t="s">
        <v>20</v>
      </c>
      <c r="F981" s="265"/>
      <c r="G981" s="268"/>
      <c r="H981" s="317"/>
      <c r="I981" s="418" t="str">
        <f t="shared" si="361"/>
        <v xml:space="preserve"> </v>
      </c>
      <c r="J981" s="268"/>
      <c r="K981" s="456"/>
      <c r="L981" s="418" t="str">
        <f t="shared" si="376"/>
        <v xml:space="preserve"> </v>
      </c>
      <c r="M981" s="268"/>
      <c r="N981" s="317"/>
      <c r="O981" s="418" t="str">
        <f t="shared" si="377"/>
        <v xml:space="preserve"> </v>
      </c>
      <c r="P981" s="418" t="str">
        <f t="shared" ref="P981:P982" si="384">IF(N981=0," ",N981*O981)</f>
        <v xml:space="preserve"> </v>
      </c>
      <c r="Q981" s="418"/>
    </row>
    <row r="982" spans="2:17" ht="12.75" customHeight="1" x14ac:dyDescent="0.2">
      <c r="B982" s="267"/>
      <c r="F982" s="265"/>
      <c r="G982" s="268"/>
      <c r="H982" s="317"/>
      <c r="I982" s="418" t="str">
        <f>IF(G982=0," ",G982*H982)</f>
        <v xml:space="preserve"> </v>
      </c>
      <c r="J982" s="268"/>
      <c r="K982" s="456"/>
      <c r="L982" s="418" t="str">
        <f t="shared" si="376"/>
        <v xml:space="preserve"> </v>
      </c>
      <c r="M982" s="268"/>
      <c r="N982" s="317"/>
      <c r="O982" s="418" t="str">
        <f t="shared" si="377"/>
        <v xml:space="preserve"> </v>
      </c>
      <c r="P982" s="418" t="str">
        <f t="shared" si="384"/>
        <v xml:space="preserve"> </v>
      </c>
      <c r="Q982" s="418"/>
    </row>
    <row r="983" spans="2:17" ht="12.75" customHeight="1" x14ac:dyDescent="0.2">
      <c r="B983" s="267"/>
      <c r="F983" s="265"/>
      <c r="G983" s="268"/>
      <c r="H983" s="317"/>
      <c r="I983" s="439"/>
      <c r="J983" s="268"/>
      <c r="K983" s="456"/>
      <c r="L983" s="439"/>
      <c r="M983" s="268"/>
      <c r="N983" s="317"/>
      <c r="O983" s="439"/>
      <c r="P983" s="439"/>
      <c r="Q983" s="439"/>
    </row>
    <row r="984" spans="2:17" ht="12.75" customHeight="1" x14ac:dyDescent="0.2">
      <c r="B984" s="267"/>
      <c r="F984" s="265"/>
      <c r="G984" s="268"/>
      <c r="H984" s="317"/>
      <c r="I984" s="439"/>
      <c r="J984" s="268"/>
      <c r="K984" s="456"/>
      <c r="L984" s="439"/>
      <c r="M984" s="268"/>
      <c r="N984" s="317"/>
      <c r="O984" s="439"/>
      <c r="P984" s="439"/>
      <c r="Q984" s="439"/>
    </row>
    <row r="985" spans="2:17" ht="12.75" customHeight="1" x14ac:dyDescent="0.2">
      <c r="B985" s="267"/>
      <c r="E985" s="286"/>
      <c r="F985" s="265"/>
      <c r="G985" s="268"/>
      <c r="H985" s="317"/>
      <c r="I985" s="439"/>
      <c r="J985" s="268"/>
      <c r="K985" s="456"/>
      <c r="L985" s="439"/>
      <c r="M985" s="268"/>
      <c r="N985" s="317"/>
      <c r="O985" s="439"/>
      <c r="P985" s="439"/>
      <c r="Q985" s="439"/>
    </row>
    <row r="986" spans="2:17" ht="12.75" customHeight="1" x14ac:dyDescent="0.2">
      <c r="B986" s="267"/>
      <c r="E986" s="286"/>
      <c r="F986" s="265"/>
      <c r="G986" s="268"/>
      <c r="H986" s="317"/>
      <c r="I986" s="439"/>
      <c r="J986" s="268"/>
      <c r="K986" s="456"/>
      <c r="L986" s="439"/>
      <c r="M986" s="268"/>
      <c r="N986" s="317"/>
      <c r="O986" s="439"/>
      <c r="P986" s="439"/>
      <c r="Q986" s="439"/>
    </row>
    <row r="987" spans="2:17" ht="12.75" customHeight="1" x14ac:dyDescent="0.2">
      <c r="B987" s="267"/>
      <c r="F987" s="265"/>
      <c r="G987" s="268"/>
      <c r="H987" s="317"/>
      <c r="I987" s="439"/>
      <c r="J987" s="268"/>
      <c r="K987" s="456"/>
      <c r="L987" s="439"/>
      <c r="M987" s="268"/>
      <c r="N987" s="317"/>
      <c r="O987" s="439"/>
      <c r="P987" s="439"/>
      <c r="Q987" s="439"/>
    </row>
    <row r="988" spans="2:17" ht="12.75" customHeight="1" x14ac:dyDescent="0.2">
      <c r="B988" s="267"/>
      <c r="D988" s="285"/>
      <c r="E988" s="286"/>
      <c r="F988" s="265"/>
      <c r="G988" s="268"/>
      <c r="H988" s="317"/>
      <c r="I988" s="318"/>
      <c r="J988" s="268"/>
      <c r="K988" s="456"/>
      <c r="L988" s="318"/>
      <c r="M988" s="268"/>
      <c r="N988" s="317"/>
      <c r="O988" s="318"/>
      <c r="P988" s="318"/>
      <c r="Q988" s="318"/>
    </row>
    <row r="989" spans="2:17" ht="12.75" customHeight="1" x14ac:dyDescent="0.2">
      <c r="B989" s="267"/>
      <c r="E989" s="286"/>
      <c r="F989" s="265"/>
      <c r="G989" s="268"/>
      <c r="H989" s="317"/>
      <c r="I989" s="439"/>
      <c r="J989" s="268"/>
      <c r="K989" s="456"/>
      <c r="L989" s="439"/>
      <c r="M989" s="268"/>
      <c r="N989" s="317"/>
      <c r="O989" s="439"/>
      <c r="P989" s="439"/>
      <c r="Q989" s="439"/>
    </row>
    <row r="990" spans="2:17" ht="12.75" customHeight="1" x14ac:dyDescent="0.2">
      <c r="B990" s="267"/>
      <c r="F990" s="265"/>
      <c r="G990" s="268"/>
      <c r="H990" s="317"/>
      <c r="I990" s="439"/>
      <c r="J990" s="268"/>
      <c r="K990" s="456"/>
      <c r="L990" s="439"/>
      <c r="M990" s="268"/>
      <c r="N990" s="317"/>
      <c r="O990" s="439"/>
      <c r="P990" s="439"/>
      <c r="Q990" s="439"/>
    </row>
    <row r="991" spans="2:17" ht="12.75" customHeight="1" x14ac:dyDescent="0.2">
      <c r="B991" s="267"/>
      <c r="D991" s="285"/>
      <c r="E991" s="286"/>
      <c r="F991" s="265"/>
      <c r="G991" s="268"/>
      <c r="H991" s="317"/>
      <c r="I991" s="318"/>
      <c r="J991" s="268"/>
      <c r="K991" s="456"/>
      <c r="L991" s="318"/>
      <c r="M991" s="268"/>
      <c r="N991" s="317"/>
      <c r="O991" s="318"/>
      <c r="P991" s="318"/>
      <c r="Q991" s="318"/>
    </row>
    <row r="992" spans="2:17" ht="12.75" customHeight="1" x14ac:dyDescent="0.2">
      <c r="B992" s="267"/>
      <c r="E992" s="286"/>
      <c r="F992" s="265"/>
      <c r="G992" s="268"/>
      <c r="H992" s="317"/>
      <c r="I992" s="439"/>
      <c r="J992" s="268"/>
      <c r="K992" s="456"/>
      <c r="L992" s="439"/>
      <c r="M992" s="268"/>
      <c r="N992" s="317"/>
      <c r="O992" s="439"/>
      <c r="P992" s="439"/>
      <c r="Q992" s="439"/>
    </row>
    <row r="993" spans="2:17" ht="12.75" customHeight="1" x14ac:dyDescent="0.2">
      <c r="B993" s="267"/>
      <c r="E993" s="286"/>
      <c r="F993" s="265"/>
      <c r="G993" s="268"/>
      <c r="H993" s="317"/>
      <c r="I993" s="439"/>
      <c r="J993" s="268"/>
      <c r="K993" s="456"/>
      <c r="L993" s="439"/>
      <c r="M993" s="268"/>
      <c r="N993" s="317"/>
      <c r="O993" s="439"/>
      <c r="P993" s="439"/>
      <c r="Q993" s="439"/>
    </row>
    <row r="994" spans="2:17" ht="12.75" customHeight="1" x14ac:dyDescent="0.2">
      <c r="B994" s="267"/>
      <c r="F994" s="265"/>
      <c r="G994" s="268"/>
      <c r="H994" s="317"/>
      <c r="I994" s="439"/>
      <c r="J994" s="268"/>
      <c r="K994" s="456"/>
      <c r="L994" s="439"/>
      <c r="M994" s="268"/>
      <c r="N994" s="317"/>
      <c r="O994" s="439"/>
      <c r="P994" s="439"/>
      <c r="Q994" s="439"/>
    </row>
    <row r="995" spans="2:17" ht="12.75" customHeight="1" x14ac:dyDescent="0.2">
      <c r="B995" s="267"/>
      <c r="F995" s="265"/>
      <c r="G995" s="268"/>
      <c r="H995" s="317"/>
      <c r="I995" s="439"/>
      <c r="J995" s="268"/>
      <c r="K995" s="456"/>
      <c r="L995" s="439"/>
      <c r="M995" s="268"/>
      <c r="N995" s="317"/>
      <c r="O995" s="439"/>
      <c r="P995" s="439"/>
      <c r="Q995" s="439"/>
    </row>
    <row r="996" spans="2:17" ht="12.75" customHeight="1" x14ac:dyDescent="0.2">
      <c r="B996" s="267"/>
      <c r="F996" s="265"/>
      <c r="G996" s="268"/>
      <c r="H996" s="317"/>
      <c r="I996" s="439"/>
      <c r="J996" s="268"/>
      <c r="K996" s="456"/>
      <c r="L996" s="439"/>
      <c r="M996" s="268"/>
      <c r="N996" s="317"/>
      <c r="O996" s="439"/>
      <c r="P996" s="439"/>
      <c r="Q996" s="439"/>
    </row>
    <row r="997" spans="2:17" ht="12.75" customHeight="1" x14ac:dyDescent="0.2">
      <c r="B997" s="267"/>
      <c r="E997" s="286"/>
      <c r="F997" s="265"/>
      <c r="G997" s="268"/>
      <c r="H997" s="317"/>
      <c r="I997" s="439"/>
      <c r="J997" s="268"/>
      <c r="K997" s="456"/>
      <c r="L997" s="439"/>
      <c r="M997" s="268"/>
      <c r="N997" s="317"/>
      <c r="O997" s="439"/>
      <c r="P997" s="439"/>
      <c r="Q997" s="439"/>
    </row>
    <row r="998" spans="2:17" ht="12.75" customHeight="1" x14ac:dyDescent="0.2">
      <c r="B998" s="267"/>
      <c r="E998" s="286"/>
      <c r="F998" s="265"/>
      <c r="G998" s="268"/>
      <c r="H998" s="317"/>
      <c r="I998" s="439"/>
      <c r="J998" s="268"/>
      <c r="K998" s="456"/>
      <c r="L998" s="439"/>
      <c r="M998" s="268"/>
      <c r="N998" s="317"/>
      <c r="O998" s="439"/>
      <c r="P998" s="439"/>
      <c r="Q998" s="439"/>
    </row>
    <row r="999" spans="2:17" ht="12.75" customHeight="1" x14ac:dyDescent="0.2">
      <c r="B999" s="267"/>
      <c r="E999" s="286"/>
      <c r="F999" s="265"/>
      <c r="G999" s="268"/>
      <c r="H999" s="317"/>
      <c r="I999" s="439"/>
      <c r="J999" s="268"/>
      <c r="K999" s="456"/>
      <c r="L999" s="439"/>
      <c r="M999" s="268"/>
      <c r="N999" s="317"/>
      <c r="O999" s="439"/>
      <c r="P999" s="439"/>
      <c r="Q999" s="439"/>
    </row>
    <row r="1000" spans="2:17" ht="12.75" customHeight="1" x14ac:dyDescent="0.2">
      <c r="B1000" s="267"/>
      <c r="F1000" s="265"/>
      <c r="G1000" s="268"/>
      <c r="H1000" s="317"/>
      <c r="I1000" s="439"/>
      <c r="J1000" s="268"/>
      <c r="K1000" s="456"/>
      <c r="L1000" s="439"/>
      <c r="M1000" s="268"/>
      <c r="N1000" s="317"/>
      <c r="O1000" s="439"/>
      <c r="P1000" s="439"/>
      <c r="Q1000" s="439"/>
    </row>
    <row r="1001" spans="2:17" ht="12.75" customHeight="1" x14ac:dyDescent="0.2">
      <c r="B1001" s="267"/>
      <c r="F1001" s="265"/>
      <c r="G1001" s="268"/>
      <c r="H1001" s="317"/>
      <c r="I1001" s="439"/>
      <c r="J1001" s="268"/>
      <c r="K1001" s="456"/>
      <c r="L1001" s="439"/>
      <c r="M1001" s="268"/>
      <c r="N1001" s="317"/>
      <c r="O1001" s="439"/>
      <c r="P1001" s="439"/>
      <c r="Q1001" s="439"/>
    </row>
    <row r="1002" spans="2:17" ht="12.75" customHeight="1" x14ac:dyDescent="0.2">
      <c r="B1002" s="267"/>
      <c r="F1002" s="265"/>
      <c r="G1002" s="268"/>
      <c r="H1002" s="317"/>
      <c r="I1002" s="439"/>
      <c r="J1002" s="268"/>
      <c r="K1002" s="456"/>
      <c r="L1002" s="439"/>
      <c r="M1002" s="268"/>
      <c r="N1002" s="317"/>
      <c r="O1002" s="439"/>
      <c r="P1002" s="439"/>
      <c r="Q1002" s="439"/>
    </row>
    <row r="1003" spans="2:17" ht="12.75" customHeight="1" x14ac:dyDescent="0.2">
      <c r="B1003" s="267"/>
      <c r="F1003" s="265"/>
      <c r="G1003" s="268"/>
      <c r="H1003" s="317"/>
      <c r="I1003" s="439"/>
      <c r="J1003" s="268"/>
      <c r="K1003" s="456"/>
      <c r="L1003" s="439"/>
      <c r="M1003" s="268"/>
      <c r="N1003" s="317"/>
      <c r="O1003" s="439"/>
      <c r="P1003" s="439"/>
      <c r="Q1003" s="439"/>
    </row>
    <row r="1004" spans="2:17" ht="12.75" customHeight="1" x14ac:dyDescent="0.2">
      <c r="B1004" s="267"/>
      <c r="F1004" s="265"/>
      <c r="G1004" s="268"/>
      <c r="H1004" s="317"/>
      <c r="I1004" s="318"/>
      <c r="J1004" s="268"/>
      <c r="K1004" s="456"/>
      <c r="L1004" s="318"/>
      <c r="M1004" s="268"/>
      <c r="N1004" s="317"/>
      <c r="O1004" s="318"/>
      <c r="P1004" s="318"/>
      <c r="Q1004" s="318"/>
    </row>
    <row r="1005" spans="2:17" ht="12.75" customHeight="1" x14ac:dyDescent="0.2">
      <c r="B1005" s="267"/>
      <c r="F1005" s="265"/>
      <c r="G1005" s="268"/>
      <c r="H1005" s="317"/>
      <c r="I1005" s="318"/>
      <c r="J1005" s="268"/>
      <c r="K1005" s="456"/>
      <c r="L1005" s="318"/>
      <c r="M1005" s="268"/>
      <c r="N1005" s="317"/>
      <c r="O1005" s="318"/>
      <c r="P1005" s="318"/>
      <c r="Q1005" s="318"/>
    </row>
    <row r="1006" spans="2:17" ht="12.75" customHeight="1" x14ac:dyDescent="0.2">
      <c r="B1006" s="267"/>
      <c r="F1006" s="265"/>
      <c r="G1006" s="268"/>
      <c r="H1006" s="317"/>
      <c r="I1006" s="318"/>
      <c r="J1006" s="268"/>
      <c r="K1006" s="456"/>
      <c r="L1006" s="318"/>
      <c r="M1006" s="268"/>
      <c r="N1006" s="317"/>
      <c r="O1006" s="318"/>
      <c r="P1006" s="318"/>
      <c r="Q1006" s="318"/>
    </row>
    <row r="1007" spans="2:17" ht="12.75" customHeight="1" x14ac:dyDescent="0.2">
      <c r="B1007" s="267"/>
      <c r="F1007" s="265"/>
      <c r="G1007" s="268"/>
      <c r="H1007" s="317"/>
      <c r="I1007" s="318"/>
      <c r="J1007" s="268"/>
      <c r="K1007" s="456"/>
      <c r="L1007" s="318"/>
      <c r="M1007" s="268"/>
      <c r="N1007" s="317"/>
      <c r="O1007" s="318"/>
      <c r="P1007" s="318"/>
      <c r="Q1007" s="318"/>
    </row>
    <row r="1008" spans="2:17" ht="12.75" customHeight="1" x14ac:dyDescent="0.2">
      <c r="B1008" s="267"/>
      <c r="F1008" s="265"/>
      <c r="G1008" s="268"/>
      <c r="H1008" s="317"/>
      <c r="I1008" s="318"/>
      <c r="J1008" s="268"/>
      <c r="K1008" s="456"/>
      <c r="L1008" s="318"/>
      <c r="M1008" s="268"/>
      <c r="N1008" s="317"/>
      <c r="O1008" s="318"/>
      <c r="P1008" s="318"/>
      <c r="Q1008" s="318"/>
    </row>
    <row r="1009" spans="2:17" ht="12.75" customHeight="1" x14ac:dyDescent="0.2">
      <c r="B1009" s="267"/>
      <c r="F1009" s="265"/>
      <c r="G1009" s="268"/>
      <c r="H1009" s="317"/>
      <c r="I1009" s="318"/>
      <c r="J1009" s="268"/>
      <c r="K1009" s="456"/>
      <c r="L1009" s="318"/>
      <c r="M1009" s="268"/>
      <c r="N1009" s="317"/>
      <c r="O1009" s="318"/>
      <c r="P1009" s="318"/>
      <c r="Q1009" s="318"/>
    </row>
    <row r="1010" spans="2:17" ht="12.75" customHeight="1" x14ac:dyDescent="0.2">
      <c r="B1010" s="267"/>
      <c r="F1010" s="265"/>
      <c r="G1010" s="268"/>
      <c r="H1010" s="317"/>
      <c r="I1010" s="318"/>
      <c r="J1010" s="268"/>
      <c r="K1010" s="456"/>
      <c r="L1010" s="318"/>
      <c r="M1010" s="268"/>
      <c r="N1010" s="317"/>
      <c r="O1010" s="318"/>
      <c r="P1010" s="318"/>
      <c r="Q1010" s="318"/>
    </row>
    <row r="1011" spans="2:17" ht="12.75" customHeight="1" x14ac:dyDescent="0.2">
      <c r="B1011" s="267"/>
      <c r="F1011" s="265"/>
      <c r="G1011" s="268"/>
      <c r="H1011" s="317"/>
      <c r="I1011" s="318"/>
      <c r="J1011" s="268"/>
      <c r="K1011" s="456"/>
      <c r="L1011" s="318"/>
      <c r="M1011" s="268"/>
      <c r="N1011" s="317"/>
      <c r="O1011" s="318"/>
      <c r="P1011" s="318"/>
      <c r="Q1011" s="318"/>
    </row>
    <row r="1012" spans="2:17" ht="12.75" customHeight="1" x14ac:dyDescent="0.2">
      <c r="B1012" s="267"/>
      <c r="F1012" s="265"/>
      <c r="G1012" s="268"/>
      <c r="H1012" s="317"/>
      <c r="I1012" s="318"/>
      <c r="J1012" s="268"/>
      <c r="K1012" s="456"/>
      <c r="L1012" s="318"/>
      <c r="M1012" s="268"/>
      <c r="N1012" s="317"/>
      <c r="O1012" s="318"/>
      <c r="P1012" s="318"/>
      <c r="Q1012" s="318"/>
    </row>
    <row r="1013" spans="2:17" ht="12.75" customHeight="1" x14ac:dyDescent="0.2">
      <c r="B1013" s="267"/>
      <c r="F1013" s="265"/>
      <c r="G1013" s="268"/>
      <c r="H1013" s="317"/>
      <c r="I1013" s="318"/>
      <c r="J1013" s="268"/>
      <c r="K1013" s="456"/>
      <c r="L1013" s="318"/>
      <c r="M1013" s="268"/>
      <c r="N1013" s="317"/>
      <c r="O1013" s="318"/>
      <c r="P1013" s="318"/>
      <c r="Q1013" s="318"/>
    </row>
    <row r="1014" spans="2:17" ht="12.75" customHeight="1" x14ac:dyDescent="0.2">
      <c r="B1014" s="267"/>
      <c r="F1014" s="265"/>
      <c r="G1014" s="268"/>
      <c r="H1014" s="317"/>
      <c r="I1014" s="318"/>
      <c r="J1014" s="268"/>
      <c r="K1014" s="456"/>
      <c r="L1014" s="318"/>
      <c r="M1014" s="268"/>
      <c r="N1014" s="317"/>
      <c r="O1014" s="318"/>
      <c r="P1014" s="318"/>
      <c r="Q1014" s="318"/>
    </row>
    <row r="1015" spans="2:17" ht="12.75" customHeight="1" x14ac:dyDescent="0.2">
      <c r="B1015" s="267"/>
      <c r="F1015" s="265"/>
      <c r="G1015" s="268"/>
      <c r="H1015" s="317"/>
      <c r="I1015" s="439"/>
      <c r="J1015" s="268"/>
      <c r="K1015" s="456"/>
      <c r="L1015" s="439"/>
      <c r="M1015" s="268"/>
      <c r="N1015" s="317"/>
      <c r="O1015" s="439"/>
      <c r="P1015" s="439"/>
      <c r="Q1015" s="439"/>
    </row>
    <row r="1016" spans="2:17" ht="12.75" customHeight="1" x14ac:dyDescent="0.2">
      <c r="B1016" s="267"/>
      <c r="F1016" s="265"/>
      <c r="G1016" s="268"/>
      <c r="H1016" s="444"/>
      <c r="I1016" s="318"/>
      <c r="J1016" s="268"/>
      <c r="K1016" s="456"/>
      <c r="L1016" s="318"/>
      <c r="M1016" s="268"/>
      <c r="N1016" s="444"/>
      <c r="O1016" s="318"/>
      <c r="P1016" s="318"/>
      <c r="Q1016" s="318"/>
    </row>
    <row r="1017" spans="2:17" ht="12.75" customHeight="1" x14ac:dyDescent="0.2">
      <c r="B1017" s="267"/>
      <c r="F1017" s="265"/>
      <c r="G1017" s="268"/>
      <c r="H1017" s="444"/>
      <c r="I1017" s="318"/>
      <c r="J1017" s="268"/>
      <c r="K1017" s="456"/>
      <c r="L1017" s="318"/>
      <c r="M1017" s="268"/>
      <c r="N1017" s="444"/>
      <c r="O1017" s="318"/>
      <c r="P1017" s="318"/>
      <c r="Q1017" s="318"/>
    </row>
    <row r="1018" spans="2:17" ht="12.75" customHeight="1" x14ac:dyDescent="0.2">
      <c r="B1018" s="253"/>
      <c r="C1018" s="254"/>
      <c r="D1018" s="244"/>
      <c r="E1018" s="338"/>
      <c r="F1018" s="256"/>
      <c r="G1018" s="357"/>
      <c r="H1018" s="444"/>
      <c r="I1018" s="439"/>
      <c r="J1018" s="268"/>
      <c r="K1018" s="456"/>
      <c r="L1018" s="439"/>
      <c r="M1018" s="357"/>
      <c r="N1018" s="444"/>
      <c r="O1018" s="439"/>
      <c r="P1018" s="439"/>
      <c r="Q1018" s="439"/>
    </row>
    <row r="1019" spans="2:17" ht="12.75" customHeight="1" x14ac:dyDescent="0.2">
      <c r="B1019" s="287">
        <v>3400</v>
      </c>
      <c r="C1019" s="288" t="s">
        <v>268</v>
      </c>
      <c r="D1019" s="289"/>
      <c r="E1019" s="290"/>
      <c r="F1019" s="291"/>
      <c r="G1019" s="291"/>
      <c r="H1019" s="422"/>
      <c r="I1019" s="423">
        <f>SUM(I962:I1018)</f>
        <v>341460</v>
      </c>
      <c r="J1019" s="412"/>
      <c r="K1019" s="457"/>
      <c r="L1019" s="423">
        <f t="shared" ref="L1019" si="385">SUM(L962:L1018)</f>
        <v>1080981.5</v>
      </c>
      <c r="M1019" s="291"/>
      <c r="N1019" s="422"/>
      <c r="O1019" s="423">
        <f t="shared" ref="O1019:Q1019" si="386">SUM(O962:O1018)</f>
        <v>914381.5</v>
      </c>
      <c r="P1019" s="423"/>
      <c r="Q1019" s="423">
        <f t="shared" si="386"/>
        <v>166600</v>
      </c>
    </row>
    <row r="1020" spans="2:17" ht="12.75" customHeight="1" x14ac:dyDescent="0.2">
      <c r="B1020" s="239" t="s">
        <v>79</v>
      </c>
      <c r="C1020" s="239"/>
      <c r="D1020" s="263"/>
      <c r="E1020" s="297"/>
      <c r="H1020" s="426"/>
      <c r="I1020" s="427"/>
      <c r="K1020" s="456"/>
      <c r="L1020" s="427"/>
      <c r="N1020" s="426"/>
      <c r="O1020" s="427"/>
      <c r="P1020" s="427"/>
      <c r="Q1020" s="427"/>
    </row>
    <row r="1021" spans="2:17" ht="12.75" customHeight="1" x14ac:dyDescent="0.2">
      <c r="B1021" s="239" t="s">
        <v>267</v>
      </c>
      <c r="C1021" s="240"/>
      <c r="E1021" s="238"/>
      <c r="H1021" s="426"/>
      <c r="I1021" s="427"/>
      <c r="K1021" s="456"/>
      <c r="L1021" s="427"/>
      <c r="N1021" s="426"/>
      <c r="O1021" s="427"/>
      <c r="P1021" s="427"/>
      <c r="Q1021" s="427"/>
    </row>
    <row r="1022" spans="2:17" ht="12.75" customHeight="1" x14ac:dyDescent="0.2">
      <c r="B1022" s="243"/>
      <c r="C1022" s="243"/>
      <c r="D1022" s="244"/>
      <c r="E1022" s="245"/>
      <c r="F1022" s="246"/>
      <c r="H1022" s="428"/>
      <c r="I1022" s="429" t="str">
        <f>IF(G929=0," ",G929*H1023)</f>
        <v xml:space="preserve"> </v>
      </c>
      <c r="K1022" s="456"/>
      <c r="L1022" s="429" t="str">
        <f t="shared" ref="L1022" si="387">IF(J929=0," ",J929*K1023)</f>
        <v xml:space="preserve"> </v>
      </c>
      <c r="N1022" s="428"/>
      <c r="O1022" s="429" t="str">
        <f t="shared" ref="O1022" si="388">IF(M929=0," ",M929*N1023)</f>
        <v xml:space="preserve"> </v>
      </c>
      <c r="P1022" s="429" t="str">
        <f t="shared" ref="P1022" si="389">IF(N929=0," ",N929*O1023)</f>
        <v xml:space="preserve"> </v>
      </c>
      <c r="Q1022" s="429"/>
    </row>
    <row r="1023" spans="2:17" ht="12.75" customHeight="1" x14ac:dyDescent="0.2">
      <c r="B1023" s="247" t="s">
        <v>263</v>
      </c>
      <c r="C1023" s="248" t="s">
        <v>264</v>
      </c>
      <c r="D1023" s="249"/>
      <c r="E1023" s="250"/>
      <c r="F1023" s="250" t="s">
        <v>265</v>
      </c>
      <c r="G1023" s="356" t="s">
        <v>68</v>
      </c>
      <c r="H1023" s="251" t="s">
        <v>849</v>
      </c>
      <c r="I1023" s="252" t="s">
        <v>849</v>
      </c>
      <c r="J1023" s="356" t="s">
        <v>68</v>
      </c>
      <c r="K1023" s="457" t="s">
        <v>849</v>
      </c>
      <c r="L1023" s="252" t="s">
        <v>849</v>
      </c>
      <c r="M1023" s="356" t="s">
        <v>68</v>
      </c>
      <c r="N1023" s="251" t="s">
        <v>849</v>
      </c>
      <c r="O1023" s="252" t="s">
        <v>849</v>
      </c>
      <c r="P1023" s="252" t="s">
        <v>849</v>
      </c>
      <c r="Q1023" s="252" t="s">
        <v>849</v>
      </c>
    </row>
    <row r="1024" spans="2:17" ht="12.75" customHeight="1" x14ac:dyDescent="0.2">
      <c r="B1024" s="253" t="s">
        <v>266</v>
      </c>
      <c r="C1024" s="254"/>
      <c r="D1024" s="255"/>
      <c r="E1024" s="256"/>
      <c r="F1024" s="256"/>
      <c r="G1024" s="357" t="s">
        <v>69</v>
      </c>
      <c r="H1024" s="257" t="s">
        <v>262</v>
      </c>
      <c r="I1024" s="258" t="s">
        <v>70</v>
      </c>
      <c r="J1024" s="357" t="s">
        <v>69</v>
      </c>
      <c r="K1024" s="457" t="s">
        <v>262</v>
      </c>
      <c r="L1024" s="258" t="s">
        <v>70</v>
      </c>
      <c r="M1024" s="357" t="s">
        <v>69</v>
      </c>
      <c r="N1024" s="257" t="s">
        <v>262</v>
      </c>
      <c r="O1024" s="258" t="s">
        <v>70</v>
      </c>
      <c r="P1024" s="258" t="s">
        <v>70</v>
      </c>
      <c r="Q1024" s="258" t="s">
        <v>70</v>
      </c>
    </row>
    <row r="1025" spans="2:20" ht="12.75" customHeight="1" x14ac:dyDescent="0.2">
      <c r="B1025" s="339"/>
      <c r="F1025" s="265"/>
      <c r="G1025" s="268"/>
      <c r="H1025" s="317"/>
      <c r="I1025" s="318"/>
      <c r="J1025" s="268"/>
      <c r="K1025" s="456"/>
      <c r="L1025" s="318"/>
      <c r="M1025" s="268"/>
      <c r="N1025" s="317"/>
      <c r="O1025" s="318"/>
      <c r="P1025" s="318"/>
      <c r="Q1025" s="318"/>
    </row>
    <row r="1026" spans="2:20" ht="12.75" customHeight="1" x14ac:dyDescent="0.2">
      <c r="B1026" s="340">
        <v>3500</v>
      </c>
      <c r="C1026" s="262" t="s">
        <v>255</v>
      </c>
      <c r="D1026" s="263"/>
      <c r="E1026" s="264"/>
      <c r="F1026" s="265"/>
      <c r="G1026" s="268"/>
      <c r="H1026" s="317"/>
      <c r="I1026" s="418"/>
      <c r="J1026" s="268"/>
      <c r="K1026" s="456"/>
      <c r="L1026" s="418"/>
      <c r="M1026" s="268"/>
      <c r="N1026" s="317"/>
      <c r="O1026" s="418"/>
      <c r="P1026" s="418"/>
      <c r="Q1026" s="418"/>
    </row>
    <row r="1027" spans="2:20" ht="12.75" customHeight="1" x14ac:dyDescent="0.2">
      <c r="B1027" s="268"/>
      <c r="F1027" s="265"/>
      <c r="G1027" s="268"/>
      <c r="H1027" s="317"/>
      <c r="I1027" s="418"/>
      <c r="J1027" s="268"/>
      <c r="K1027" s="456"/>
      <c r="L1027" s="418"/>
      <c r="M1027" s="268"/>
      <c r="N1027" s="317"/>
      <c r="O1027" s="418"/>
      <c r="P1027" s="418"/>
      <c r="Q1027" s="418"/>
    </row>
    <row r="1028" spans="2:20" ht="12.75" customHeight="1" x14ac:dyDescent="0.2">
      <c r="B1028" s="268" t="s">
        <v>723</v>
      </c>
      <c r="C1028" s="273" t="s">
        <v>724</v>
      </c>
      <c r="F1028" s="265"/>
      <c r="G1028" s="268"/>
      <c r="H1028" s="317"/>
      <c r="I1028" s="418"/>
      <c r="J1028" s="268"/>
      <c r="K1028" s="456"/>
      <c r="L1028" s="418"/>
      <c r="M1028" s="268"/>
      <c r="N1028" s="317"/>
      <c r="O1028" s="418"/>
      <c r="P1028" s="418"/>
      <c r="Q1028" s="418"/>
    </row>
    <row r="1029" spans="2:20" ht="12.75" customHeight="1" x14ac:dyDescent="0.2">
      <c r="B1029" s="268"/>
      <c r="C1029" s="273" t="s">
        <v>21</v>
      </c>
      <c r="F1029" s="265"/>
      <c r="G1029" s="268"/>
      <c r="H1029" s="317"/>
      <c r="I1029" s="418"/>
      <c r="J1029" s="268"/>
      <c r="K1029" s="456"/>
      <c r="L1029" s="418"/>
      <c r="M1029" s="268"/>
      <c r="N1029" s="317"/>
      <c r="O1029" s="418"/>
      <c r="P1029" s="418"/>
      <c r="Q1029" s="418"/>
    </row>
    <row r="1030" spans="2:20" ht="12.75" customHeight="1" x14ac:dyDescent="0.2">
      <c r="B1030" s="268"/>
      <c r="C1030" s="273" t="s">
        <v>278</v>
      </c>
      <c r="D1030" s="241" t="s">
        <v>771</v>
      </c>
      <c r="F1030" s="265" t="s">
        <v>829</v>
      </c>
      <c r="G1030" s="268" t="s">
        <v>596</v>
      </c>
      <c r="H1030" s="421">
        <v>50</v>
      </c>
      <c r="I1030" s="418">
        <v>0</v>
      </c>
      <c r="J1030" s="268" t="s">
        <v>596</v>
      </c>
      <c r="K1030" s="456">
        <v>185</v>
      </c>
      <c r="L1030" s="418">
        <v>0</v>
      </c>
      <c r="M1030" s="268" t="s">
        <v>596</v>
      </c>
      <c r="N1030" s="421">
        <v>185</v>
      </c>
      <c r="O1030" s="418">
        <v>0</v>
      </c>
      <c r="P1030" s="418">
        <f>K1030-N1030</f>
        <v>0</v>
      </c>
      <c r="Q1030" s="418">
        <f>L1030-O1030</f>
        <v>0</v>
      </c>
    </row>
    <row r="1031" spans="2:20" ht="12.75" customHeight="1" x14ac:dyDescent="0.2">
      <c r="B1031" s="341"/>
      <c r="F1031" s="265"/>
      <c r="G1031" s="268"/>
      <c r="H1031" s="317"/>
      <c r="I1031" s="418" t="str">
        <f t="shared" ref="I1031:I1040" si="390">IF(G1031=0," ",G1031*H1031)</f>
        <v xml:space="preserve"> </v>
      </c>
      <c r="J1031" s="268"/>
      <c r="K1031" s="456"/>
      <c r="L1031" s="418" t="str">
        <f t="shared" ref="L1031:L1034" si="391">IF(J1031=0," ",J1031*K1031)</f>
        <v xml:space="preserve"> </v>
      </c>
      <c r="M1031" s="268"/>
      <c r="N1031" s="317"/>
      <c r="O1031" s="418" t="str">
        <f t="shared" ref="O1031:O1034" si="392">IF(M1031=0," ",M1031*N1031)</f>
        <v xml:space="preserve"> </v>
      </c>
      <c r="P1031" s="418"/>
      <c r="Q1031" s="418"/>
    </row>
    <row r="1032" spans="2:20" ht="12.75" customHeight="1" x14ac:dyDescent="0.2">
      <c r="B1032" s="341"/>
      <c r="C1032" s="273" t="s">
        <v>279</v>
      </c>
      <c r="D1032" s="241" t="s">
        <v>694</v>
      </c>
      <c r="F1032" s="265" t="s">
        <v>829</v>
      </c>
      <c r="G1032" s="268">
        <f>G970</f>
        <v>1666</v>
      </c>
      <c r="H1032" s="418">
        <v>55</v>
      </c>
      <c r="I1032" s="418">
        <f t="shared" si="390"/>
        <v>91630</v>
      </c>
      <c r="J1032" s="268">
        <f t="shared" ref="J1032" si="393">J970</f>
        <v>1666</v>
      </c>
      <c r="K1032" s="456">
        <v>70</v>
      </c>
      <c r="L1032" s="418">
        <f t="shared" si="391"/>
        <v>116620</v>
      </c>
      <c r="M1032" s="268">
        <f t="shared" ref="M1032" si="394">M970</f>
        <v>1666</v>
      </c>
      <c r="N1032" s="418">
        <v>70</v>
      </c>
      <c r="O1032" s="418">
        <f t="shared" si="392"/>
        <v>116620</v>
      </c>
      <c r="P1032" s="418">
        <f t="shared" ref="P1032:P1037" si="395">K1032-N1032</f>
        <v>0</v>
      </c>
      <c r="Q1032" s="418">
        <f t="shared" ref="Q1032:Q1037" si="396">L1032-O1032</f>
        <v>0</v>
      </c>
      <c r="T1032" s="237"/>
    </row>
    <row r="1033" spans="2:20" ht="12.75" customHeight="1" x14ac:dyDescent="0.2">
      <c r="B1033" s="268"/>
      <c r="F1033" s="265"/>
      <c r="G1033" s="268"/>
      <c r="H1033" s="418" t="str">
        <f t="shared" ref="H1033:H1034" si="397">IF(F1033=0," ",F1033*G1033)</f>
        <v xml:space="preserve"> </v>
      </c>
      <c r="I1033" s="418" t="str">
        <f t="shared" si="390"/>
        <v xml:space="preserve"> </v>
      </c>
      <c r="J1033" s="268"/>
      <c r="K1033" s="456" t="s">
        <v>849</v>
      </c>
      <c r="L1033" s="418" t="str">
        <f t="shared" si="391"/>
        <v xml:space="preserve"> </v>
      </c>
      <c r="M1033" s="268"/>
      <c r="N1033" s="418"/>
      <c r="O1033" s="418" t="str">
        <f t="shared" si="392"/>
        <v xml:space="preserve"> </v>
      </c>
      <c r="P1033" s="418"/>
      <c r="Q1033" s="418"/>
    </row>
    <row r="1034" spans="2:20" ht="12.75" customHeight="1" x14ac:dyDescent="0.2">
      <c r="B1034" s="268">
        <v>35.020000000000003</v>
      </c>
      <c r="C1034" s="273" t="s">
        <v>455</v>
      </c>
      <c r="F1034" s="265"/>
      <c r="G1034" s="268"/>
      <c r="H1034" s="418" t="str">
        <f t="shared" si="397"/>
        <v xml:space="preserve"> </v>
      </c>
      <c r="I1034" s="418" t="str">
        <f t="shared" si="390"/>
        <v xml:space="preserve"> </v>
      </c>
      <c r="J1034" s="268"/>
      <c r="K1034" s="456" t="s">
        <v>849</v>
      </c>
      <c r="L1034" s="418" t="str">
        <f t="shared" si="391"/>
        <v xml:space="preserve"> </v>
      </c>
      <c r="M1034" s="268"/>
      <c r="N1034" s="418"/>
      <c r="O1034" s="418" t="str">
        <f t="shared" si="392"/>
        <v xml:space="preserve"> </v>
      </c>
      <c r="P1034" s="418"/>
      <c r="Q1034" s="418"/>
    </row>
    <row r="1035" spans="2:20" ht="12.75" customHeight="1" x14ac:dyDescent="0.2">
      <c r="B1035" s="268"/>
      <c r="C1035" s="273" t="s">
        <v>281</v>
      </c>
      <c r="D1035" s="241" t="s">
        <v>237</v>
      </c>
      <c r="F1035" s="265" t="s">
        <v>317</v>
      </c>
      <c r="G1035" s="65" t="s">
        <v>596</v>
      </c>
      <c r="H1035" s="418">
        <v>2500</v>
      </c>
      <c r="I1035" s="418"/>
      <c r="J1035" s="65" t="s">
        <v>596</v>
      </c>
      <c r="K1035" s="456">
        <v>3500</v>
      </c>
      <c r="L1035" s="418"/>
      <c r="M1035" s="65" t="s">
        <v>596</v>
      </c>
      <c r="N1035" s="418">
        <v>3500</v>
      </c>
      <c r="O1035" s="418"/>
      <c r="P1035" s="418">
        <f t="shared" si="395"/>
        <v>0</v>
      </c>
      <c r="Q1035" s="418">
        <f t="shared" si="396"/>
        <v>0</v>
      </c>
    </row>
    <row r="1036" spans="2:20" ht="12.75" customHeight="1" x14ac:dyDescent="0.2">
      <c r="B1036" s="268"/>
      <c r="F1036" s="265"/>
      <c r="G1036" s="268"/>
      <c r="H1036" s="418"/>
      <c r="I1036" s="418" t="str">
        <f t="shared" si="390"/>
        <v xml:space="preserve"> </v>
      </c>
      <c r="J1036" s="268"/>
      <c r="K1036" s="456"/>
      <c r="L1036" s="418" t="str">
        <f t="shared" ref="L1036:L1040" si="398">IF(J1036=0," ",J1036*K1036)</f>
        <v xml:space="preserve"> </v>
      </c>
      <c r="M1036" s="268"/>
      <c r="N1036" s="418"/>
      <c r="O1036" s="418" t="str">
        <f t="shared" ref="O1036:O1040" si="399">IF(M1036=0," ",M1036*N1036)</f>
        <v xml:space="preserve"> </v>
      </c>
      <c r="P1036" s="418"/>
      <c r="Q1036" s="418"/>
    </row>
    <row r="1037" spans="2:20" ht="12.75" customHeight="1" x14ac:dyDescent="0.2">
      <c r="B1037" s="268"/>
      <c r="C1037" s="273" t="s">
        <v>122</v>
      </c>
      <c r="D1037" s="241" t="s">
        <v>238</v>
      </c>
      <c r="F1037" s="265" t="s">
        <v>317</v>
      </c>
      <c r="G1037" s="268">
        <f>G1032*0.03*1</f>
        <v>49.98</v>
      </c>
      <c r="H1037" s="418">
        <v>2500</v>
      </c>
      <c r="I1037" s="418">
        <f t="shared" si="390"/>
        <v>124949.99999999999</v>
      </c>
      <c r="J1037" s="268">
        <f t="shared" ref="J1037" si="400">J1032*0.03*1</f>
        <v>49.98</v>
      </c>
      <c r="K1037" s="456">
        <v>3000</v>
      </c>
      <c r="L1037" s="418">
        <f t="shared" si="398"/>
        <v>149940</v>
      </c>
      <c r="M1037" s="268">
        <f t="shared" ref="M1037" si="401">M1032*0.03*1</f>
        <v>49.98</v>
      </c>
      <c r="N1037" s="418">
        <v>2500</v>
      </c>
      <c r="O1037" s="418">
        <f t="shared" si="399"/>
        <v>124949.99999999999</v>
      </c>
      <c r="P1037" s="460">
        <f t="shared" si="395"/>
        <v>500</v>
      </c>
      <c r="Q1037" s="460">
        <f t="shared" si="396"/>
        <v>24990.000000000015</v>
      </c>
    </row>
    <row r="1038" spans="2:20" ht="12.75" customHeight="1" x14ac:dyDescent="0.2">
      <c r="B1038" s="268"/>
      <c r="F1038" s="265"/>
      <c r="G1038" s="268"/>
      <c r="H1038" s="317"/>
      <c r="I1038" s="418" t="str">
        <f t="shared" si="390"/>
        <v xml:space="preserve"> </v>
      </c>
      <c r="J1038" s="268"/>
      <c r="K1038" s="456"/>
      <c r="L1038" s="418" t="str">
        <f t="shared" si="398"/>
        <v xml:space="preserve"> </v>
      </c>
      <c r="M1038" s="268"/>
      <c r="N1038" s="317"/>
      <c r="O1038" s="418" t="str">
        <f t="shared" si="399"/>
        <v xml:space="preserve"> </v>
      </c>
      <c r="P1038" s="418" t="str">
        <f t="shared" ref="P1038:P1040" si="402">IF(N1038=0," ",N1038*O1038)</f>
        <v xml:space="preserve"> </v>
      </c>
      <c r="Q1038" s="418"/>
    </row>
    <row r="1039" spans="2:20" ht="12.75" customHeight="1" x14ac:dyDescent="0.2">
      <c r="B1039" s="268"/>
      <c r="F1039" s="265"/>
      <c r="G1039" s="268"/>
      <c r="H1039" s="317"/>
      <c r="I1039" s="418" t="str">
        <f t="shared" si="390"/>
        <v xml:space="preserve"> </v>
      </c>
      <c r="J1039" s="268"/>
      <c r="K1039" s="456"/>
      <c r="L1039" s="418" t="str">
        <f t="shared" si="398"/>
        <v xml:space="preserve"> </v>
      </c>
      <c r="M1039" s="268"/>
      <c r="N1039" s="317"/>
      <c r="O1039" s="418" t="str">
        <f t="shared" si="399"/>
        <v xml:space="preserve"> </v>
      </c>
      <c r="P1039" s="418" t="str">
        <f t="shared" si="402"/>
        <v xml:space="preserve"> </v>
      </c>
      <c r="Q1039" s="418"/>
    </row>
    <row r="1040" spans="2:20" ht="12.75" customHeight="1" x14ac:dyDescent="0.2">
      <c r="B1040" s="268"/>
      <c r="F1040" s="265"/>
      <c r="G1040" s="268"/>
      <c r="H1040" s="317"/>
      <c r="I1040" s="418" t="str">
        <f t="shared" si="390"/>
        <v xml:space="preserve"> </v>
      </c>
      <c r="J1040" s="268"/>
      <c r="K1040" s="456"/>
      <c r="L1040" s="418" t="str">
        <f t="shared" si="398"/>
        <v xml:space="preserve"> </v>
      </c>
      <c r="M1040" s="268"/>
      <c r="N1040" s="317"/>
      <c r="O1040" s="418" t="str">
        <f t="shared" si="399"/>
        <v xml:space="preserve"> </v>
      </c>
      <c r="P1040" s="418" t="str">
        <f t="shared" si="402"/>
        <v xml:space="preserve"> </v>
      </c>
      <c r="Q1040" s="418"/>
    </row>
    <row r="1041" spans="2:17" ht="12.75" customHeight="1" x14ac:dyDescent="0.2">
      <c r="B1041" s="268"/>
      <c r="F1041" s="265"/>
      <c r="G1041" s="268"/>
      <c r="H1041" s="317"/>
      <c r="I1041" s="439"/>
      <c r="J1041" s="268"/>
      <c r="K1041" s="456"/>
      <c r="L1041" s="439"/>
      <c r="M1041" s="268"/>
      <c r="N1041" s="317"/>
      <c r="O1041" s="439"/>
      <c r="P1041" s="439"/>
      <c r="Q1041" s="439"/>
    </row>
    <row r="1042" spans="2:17" ht="12.75" customHeight="1" x14ac:dyDescent="0.2">
      <c r="B1042" s="268"/>
      <c r="F1042" s="265"/>
      <c r="G1042" s="268"/>
      <c r="H1042" s="317"/>
      <c r="I1042" s="439"/>
      <c r="J1042" s="268"/>
      <c r="K1042" s="456"/>
      <c r="L1042" s="439"/>
      <c r="M1042" s="268"/>
      <c r="N1042" s="317"/>
      <c r="O1042" s="439"/>
      <c r="P1042" s="439"/>
      <c r="Q1042" s="439"/>
    </row>
    <row r="1043" spans="2:17" ht="12.75" customHeight="1" x14ac:dyDescent="0.2">
      <c r="B1043" s="268"/>
      <c r="F1043" s="265"/>
      <c r="G1043" s="268"/>
      <c r="H1043" s="317"/>
      <c r="I1043" s="439"/>
      <c r="J1043" s="268"/>
      <c r="K1043" s="456"/>
      <c r="L1043" s="439"/>
      <c r="M1043" s="268"/>
      <c r="N1043" s="317"/>
      <c r="O1043" s="439"/>
      <c r="P1043" s="439"/>
      <c r="Q1043" s="439"/>
    </row>
    <row r="1044" spans="2:17" ht="12.75" customHeight="1" x14ac:dyDescent="0.2">
      <c r="B1044" s="268"/>
      <c r="F1044" s="265"/>
      <c r="G1044" s="268"/>
      <c r="H1044" s="317"/>
      <c r="I1044" s="439"/>
      <c r="J1044" s="268"/>
      <c r="K1044" s="456"/>
      <c r="L1044" s="439"/>
      <c r="M1044" s="268"/>
      <c r="N1044" s="317"/>
      <c r="O1044" s="439"/>
      <c r="P1044" s="439"/>
      <c r="Q1044" s="439"/>
    </row>
    <row r="1045" spans="2:17" ht="12.75" customHeight="1" x14ac:dyDescent="0.2">
      <c r="B1045" s="268"/>
      <c r="F1045" s="265"/>
      <c r="G1045" s="268"/>
      <c r="H1045" s="317"/>
      <c r="I1045" s="439"/>
      <c r="J1045" s="268"/>
      <c r="K1045" s="456"/>
      <c r="L1045" s="439"/>
      <c r="M1045" s="268"/>
      <c r="N1045" s="317"/>
      <c r="O1045" s="439"/>
      <c r="P1045" s="439"/>
      <c r="Q1045" s="439"/>
    </row>
    <row r="1046" spans="2:17" ht="12.75" customHeight="1" x14ac:dyDescent="0.2">
      <c r="B1046" s="268"/>
      <c r="F1046" s="265"/>
      <c r="G1046" s="268"/>
      <c r="H1046" s="317"/>
      <c r="I1046" s="439"/>
      <c r="J1046" s="268"/>
      <c r="K1046" s="456"/>
      <c r="L1046" s="439"/>
      <c r="M1046" s="268"/>
      <c r="N1046" s="317"/>
      <c r="O1046" s="439"/>
      <c r="P1046" s="439"/>
      <c r="Q1046" s="439"/>
    </row>
    <row r="1047" spans="2:17" ht="12.75" customHeight="1" x14ac:dyDescent="0.2">
      <c r="B1047" s="341"/>
      <c r="F1047" s="265"/>
      <c r="G1047" s="268"/>
      <c r="H1047" s="317"/>
      <c r="I1047" s="439"/>
      <c r="J1047" s="268"/>
      <c r="K1047" s="456"/>
      <c r="L1047" s="439"/>
      <c r="M1047" s="268"/>
      <c r="N1047" s="317"/>
      <c r="O1047" s="439"/>
      <c r="P1047" s="439"/>
      <c r="Q1047" s="439"/>
    </row>
    <row r="1048" spans="2:17" ht="12.75" customHeight="1" x14ac:dyDescent="0.2">
      <c r="B1048" s="268"/>
      <c r="F1048" s="265"/>
      <c r="G1048" s="268"/>
      <c r="H1048" s="317"/>
      <c r="I1048" s="439"/>
      <c r="J1048" s="268"/>
      <c r="K1048" s="456"/>
      <c r="L1048" s="439"/>
      <c r="M1048" s="268"/>
      <c r="N1048" s="317"/>
      <c r="O1048" s="439"/>
      <c r="P1048" s="439"/>
      <c r="Q1048" s="439"/>
    </row>
    <row r="1049" spans="2:17" ht="12.75" customHeight="1" x14ac:dyDescent="0.2">
      <c r="B1049" s="268"/>
      <c r="F1049" s="265"/>
      <c r="G1049" s="268"/>
      <c r="H1049" s="317"/>
      <c r="I1049" s="439"/>
      <c r="J1049" s="268"/>
      <c r="K1049" s="456"/>
      <c r="L1049" s="439"/>
      <c r="M1049" s="268"/>
      <c r="N1049" s="317"/>
      <c r="O1049" s="439"/>
      <c r="P1049" s="439"/>
      <c r="Q1049" s="439"/>
    </row>
    <row r="1050" spans="2:17" ht="12.75" customHeight="1" x14ac:dyDescent="0.2">
      <c r="B1050" s="268"/>
      <c r="F1050" s="265"/>
      <c r="G1050" s="268"/>
      <c r="H1050" s="317"/>
      <c r="I1050" s="439"/>
      <c r="J1050" s="268"/>
      <c r="K1050" s="456"/>
      <c r="L1050" s="439"/>
      <c r="M1050" s="268"/>
      <c r="N1050" s="317"/>
      <c r="O1050" s="439"/>
      <c r="P1050" s="439"/>
      <c r="Q1050" s="439"/>
    </row>
    <row r="1051" spans="2:17" ht="12.75" customHeight="1" x14ac:dyDescent="0.2">
      <c r="B1051" s="268"/>
      <c r="F1051" s="265"/>
      <c r="G1051" s="268"/>
      <c r="H1051" s="317"/>
      <c r="I1051" s="439"/>
      <c r="J1051" s="268"/>
      <c r="K1051" s="456"/>
      <c r="L1051" s="439"/>
      <c r="M1051" s="268"/>
      <c r="N1051" s="317"/>
      <c r="O1051" s="439"/>
      <c r="P1051" s="439"/>
      <c r="Q1051" s="439"/>
    </row>
    <row r="1052" spans="2:17" ht="12.75" customHeight="1" x14ac:dyDescent="0.2">
      <c r="B1052" s="268"/>
      <c r="F1052" s="265"/>
      <c r="G1052" s="268"/>
      <c r="H1052" s="317"/>
      <c r="I1052" s="439"/>
      <c r="J1052" s="268"/>
      <c r="K1052" s="456"/>
      <c r="L1052" s="439"/>
      <c r="M1052" s="268"/>
      <c r="N1052" s="317"/>
      <c r="O1052" s="439"/>
      <c r="P1052" s="439"/>
      <c r="Q1052" s="439"/>
    </row>
    <row r="1053" spans="2:17" ht="12.75" customHeight="1" x14ac:dyDescent="0.2">
      <c r="B1053" s="268"/>
      <c r="F1053" s="265"/>
      <c r="G1053" s="268"/>
      <c r="H1053" s="317"/>
      <c r="I1053" s="439"/>
      <c r="J1053" s="268"/>
      <c r="K1053" s="456"/>
      <c r="L1053" s="439"/>
      <c r="M1053" s="268"/>
      <c r="N1053" s="317"/>
      <c r="O1053" s="439"/>
      <c r="P1053" s="439"/>
      <c r="Q1053" s="439"/>
    </row>
    <row r="1054" spans="2:17" ht="12.75" customHeight="1" x14ac:dyDescent="0.2">
      <c r="B1054" s="268"/>
      <c r="F1054" s="265"/>
      <c r="G1054" s="268"/>
      <c r="H1054" s="317"/>
      <c r="I1054" s="439"/>
      <c r="J1054" s="268"/>
      <c r="K1054" s="456"/>
      <c r="L1054" s="439"/>
      <c r="M1054" s="268"/>
      <c r="N1054" s="317"/>
      <c r="O1054" s="439"/>
      <c r="P1054" s="439"/>
      <c r="Q1054" s="439"/>
    </row>
    <row r="1055" spans="2:17" ht="12.75" customHeight="1" x14ac:dyDescent="0.2">
      <c r="B1055" s="268"/>
      <c r="F1055" s="265"/>
      <c r="G1055" s="268"/>
      <c r="H1055" s="317"/>
      <c r="I1055" s="439"/>
      <c r="J1055" s="268"/>
      <c r="K1055" s="456"/>
      <c r="L1055" s="439"/>
      <c r="M1055" s="268"/>
      <c r="N1055" s="317"/>
      <c r="O1055" s="439"/>
      <c r="P1055" s="439"/>
      <c r="Q1055" s="439"/>
    </row>
    <row r="1056" spans="2:17" ht="12.75" customHeight="1" x14ac:dyDescent="0.2">
      <c r="B1056" s="268"/>
      <c r="F1056" s="265"/>
      <c r="G1056" s="268"/>
      <c r="H1056" s="317"/>
      <c r="I1056" s="439"/>
      <c r="J1056" s="268"/>
      <c r="K1056" s="456"/>
      <c r="L1056" s="439"/>
      <c r="M1056" s="268"/>
      <c r="N1056" s="317"/>
      <c r="O1056" s="439"/>
      <c r="P1056" s="439"/>
      <c r="Q1056" s="439"/>
    </row>
    <row r="1057" spans="2:17" ht="12.75" customHeight="1" x14ac:dyDescent="0.2">
      <c r="B1057" s="268"/>
      <c r="F1057" s="265"/>
      <c r="G1057" s="268"/>
      <c r="H1057" s="317"/>
      <c r="I1057" s="439"/>
      <c r="J1057" s="268"/>
      <c r="K1057" s="456"/>
      <c r="L1057" s="439"/>
      <c r="M1057" s="268"/>
      <c r="N1057" s="317"/>
      <c r="O1057" s="439"/>
      <c r="P1057" s="439"/>
      <c r="Q1057" s="439"/>
    </row>
    <row r="1058" spans="2:17" ht="12.75" customHeight="1" x14ac:dyDescent="0.2">
      <c r="B1058" s="267"/>
      <c r="F1058" s="265"/>
      <c r="G1058" s="268"/>
      <c r="H1058" s="317"/>
      <c r="I1058" s="439"/>
      <c r="J1058" s="268"/>
      <c r="K1058" s="456"/>
      <c r="L1058" s="439"/>
      <c r="M1058" s="268"/>
      <c r="N1058" s="317"/>
      <c r="O1058" s="439"/>
      <c r="P1058" s="439"/>
      <c r="Q1058" s="439"/>
    </row>
    <row r="1059" spans="2:17" ht="12.75" customHeight="1" x14ac:dyDescent="0.2">
      <c r="B1059" s="267"/>
      <c r="F1059" s="265"/>
      <c r="G1059" s="268"/>
      <c r="H1059" s="317"/>
      <c r="I1059" s="439"/>
      <c r="J1059" s="268"/>
      <c r="K1059" s="456"/>
      <c r="L1059" s="439"/>
      <c r="M1059" s="268"/>
      <c r="N1059" s="317"/>
      <c r="O1059" s="439"/>
      <c r="P1059" s="439"/>
      <c r="Q1059" s="439"/>
    </row>
    <row r="1060" spans="2:17" ht="12.75" customHeight="1" x14ac:dyDescent="0.2">
      <c r="B1060" s="267"/>
      <c r="F1060" s="265"/>
      <c r="G1060" s="268"/>
      <c r="H1060" s="317"/>
      <c r="I1060" s="439"/>
      <c r="J1060" s="268"/>
      <c r="K1060" s="456"/>
      <c r="L1060" s="439"/>
      <c r="M1060" s="268"/>
      <c r="N1060" s="317"/>
      <c r="O1060" s="439"/>
      <c r="P1060" s="439"/>
      <c r="Q1060" s="439"/>
    </row>
    <row r="1061" spans="2:17" ht="12.75" customHeight="1" x14ac:dyDescent="0.2">
      <c r="B1061" s="267"/>
      <c r="F1061" s="265"/>
      <c r="G1061" s="268"/>
      <c r="H1061" s="317"/>
      <c r="I1061" s="439"/>
      <c r="J1061" s="268"/>
      <c r="K1061" s="456"/>
      <c r="L1061" s="439"/>
      <c r="M1061" s="268"/>
      <c r="N1061" s="317"/>
      <c r="O1061" s="439"/>
      <c r="P1061" s="439"/>
      <c r="Q1061" s="439"/>
    </row>
    <row r="1062" spans="2:17" ht="12.75" customHeight="1" x14ac:dyDescent="0.2">
      <c r="B1062" s="267"/>
      <c r="F1062" s="265"/>
      <c r="G1062" s="268"/>
      <c r="H1062" s="317"/>
      <c r="I1062" s="439"/>
      <c r="J1062" s="268"/>
      <c r="K1062" s="456"/>
      <c r="L1062" s="439"/>
      <c r="M1062" s="268"/>
      <c r="N1062" s="317"/>
      <c r="O1062" s="439"/>
      <c r="P1062" s="439"/>
      <c r="Q1062" s="439"/>
    </row>
    <row r="1063" spans="2:17" ht="12.75" customHeight="1" x14ac:dyDescent="0.2">
      <c r="B1063" s="267"/>
      <c r="F1063" s="265"/>
      <c r="G1063" s="268"/>
      <c r="H1063" s="317"/>
      <c r="I1063" s="439"/>
      <c r="J1063" s="268"/>
      <c r="K1063" s="456"/>
      <c r="L1063" s="439"/>
      <c r="M1063" s="268"/>
      <c r="N1063" s="317"/>
      <c r="O1063" s="439"/>
      <c r="P1063" s="439"/>
      <c r="Q1063" s="439"/>
    </row>
    <row r="1064" spans="2:17" ht="12.75" customHeight="1" x14ac:dyDescent="0.2">
      <c r="B1064" s="267"/>
      <c r="F1064" s="265"/>
      <c r="G1064" s="268"/>
      <c r="H1064" s="317"/>
      <c r="I1064" s="439"/>
      <c r="J1064" s="268"/>
      <c r="K1064" s="456"/>
      <c r="L1064" s="439"/>
      <c r="M1064" s="268"/>
      <c r="N1064" s="317"/>
      <c r="O1064" s="439"/>
      <c r="P1064" s="439"/>
      <c r="Q1064" s="439"/>
    </row>
    <row r="1065" spans="2:17" ht="12.75" customHeight="1" x14ac:dyDescent="0.2">
      <c r="B1065" s="267"/>
      <c r="F1065" s="265"/>
      <c r="G1065" s="268"/>
      <c r="H1065" s="317"/>
      <c r="I1065" s="439"/>
      <c r="J1065" s="268"/>
      <c r="K1065" s="456"/>
      <c r="L1065" s="439"/>
      <c r="M1065" s="268"/>
      <c r="N1065" s="317"/>
      <c r="O1065" s="439"/>
      <c r="P1065" s="439"/>
      <c r="Q1065" s="439"/>
    </row>
    <row r="1066" spans="2:17" ht="12.75" customHeight="1" x14ac:dyDescent="0.2">
      <c r="B1066" s="267"/>
      <c r="F1066" s="265"/>
      <c r="G1066" s="268"/>
      <c r="H1066" s="317"/>
      <c r="I1066" s="439"/>
      <c r="J1066" s="268"/>
      <c r="K1066" s="456"/>
      <c r="L1066" s="439"/>
      <c r="M1066" s="268"/>
      <c r="N1066" s="317"/>
      <c r="O1066" s="439"/>
      <c r="P1066" s="439"/>
      <c r="Q1066" s="439"/>
    </row>
    <row r="1067" spans="2:17" ht="12.75" customHeight="1" x14ac:dyDescent="0.2">
      <c r="B1067" s="267"/>
      <c r="F1067" s="265"/>
      <c r="G1067" s="268"/>
      <c r="H1067" s="317"/>
      <c r="I1067" s="439"/>
      <c r="J1067" s="268"/>
      <c r="K1067" s="456"/>
      <c r="L1067" s="439"/>
      <c r="M1067" s="268"/>
      <c r="N1067" s="317"/>
      <c r="O1067" s="439"/>
      <c r="P1067" s="439"/>
      <c r="Q1067" s="439"/>
    </row>
    <row r="1068" spans="2:17" ht="12.75" customHeight="1" x14ac:dyDescent="0.2">
      <c r="B1068" s="267"/>
      <c r="F1068" s="265"/>
      <c r="G1068" s="268"/>
      <c r="H1068" s="317"/>
      <c r="I1068" s="439"/>
      <c r="J1068" s="268"/>
      <c r="K1068" s="456"/>
      <c r="L1068" s="439"/>
      <c r="M1068" s="268"/>
      <c r="N1068" s="317"/>
      <c r="O1068" s="439"/>
      <c r="P1068" s="439"/>
      <c r="Q1068" s="439"/>
    </row>
    <row r="1069" spans="2:17" ht="12.75" customHeight="1" x14ac:dyDescent="0.2">
      <c r="B1069" s="267"/>
      <c r="F1069" s="265"/>
      <c r="G1069" s="268"/>
      <c r="H1069" s="317"/>
      <c r="I1069" s="439"/>
      <c r="J1069" s="268"/>
      <c r="K1069" s="456"/>
      <c r="L1069" s="439"/>
      <c r="M1069" s="268"/>
      <c r="N1069" s="317"/>
      <c r="O1069" s="439"/>
      <c r="P1069" s="439"/>
      <c r="Q1069" s="439"/>
    </row>
    <row r="1070" spans="2:17" ht="12.75" customHeight="1" x14ac:dyDescent="0.2">
      <c r="B1070" s="267"/>
      <c r="F1070" s="265"/>
      <c r="G1070" s="268"/>
      <c r="H1070" s="317"/>
      <c r="I1070" s="439"/>
      <c r="J1070" s="268"/>
      <c r="K1070" s="456"/>
      <c r="L1070" s="439"/>
      <c r="M1070" s="268"/>
      <c r="N1070" s="317"/>
      <c r="O1070" s="439"/>
      <c r="P1070" s="439"/>
      <c r="Q1070" s="439"/>
    </row>
    <row r="1071" spans="2:17" ht="12.75" customHeight="1" x14ac:dyDescent="0.2">
      <c r="B1071" s="267"/>
      <c r="F1071" s="265"/>
      <c r="G1071" s="268"/>
      <c r="H1071" s="317"/>
      <c r="I1071" s="439"/>
      <c r="J1071" s="268"/>
      <c r="K1071" s="456"/>
      <c r="L1071" s="439"/>
      <c r="M1071" s="268"/>
      <c r="N1071" s="317"/>
      <c r="O1071" s="439"/>
      <c r="P1071" s="439"/>
      <c r="Q1071" s="439"/>
    </row>
    <row r="1072" spans="2:17" ht="12.75" customHeight="1" x14ac:dyDescent="0.2">
      <c r="B1072" s="267"/>
      <c r="F1072" s="265"/>
      <c r="G1072" s="268"/>
      <c r="H1072" s="317"/>
      <c r="I1072" s="439"/>
      <c r="J1072" s="268"/>
      <c r="K1072" s="456"/>
      <c r="L1072" s="439"/>
      <c r="M1072" s="268"/>
      <c r="N1072" s="317"/>
      <c r="O1072" s="439"/>
      <c r="P1072" s="439"/>
      <c r="Q1072" s="439"/>
    </row>
    <row r="1073" spans="2:17" ht="12.75" customHeight="1" x14ac:dyDescent="0.2">
      <c r="B1073" s="267"/>
      <c r="F1073" s="265"/>
      <c r="G1073" s="268"/>
      <c r="H1073" s="317"/>
      <c r="I1073" s="439"/>
      <c r="J1073" s="268"/>
      <c r="K1073" s="456"/>
      <c r="L1073" s="439"/>
      <c r="M1073" s="268"/>
      <c r="N1073" s="317"/>
      <c r="O1073" s="439"/>
      <c r="P1073" s="439"/>
      <c r="Q1073" s="439"/>
    </row>
    <row r="1074" spans="2:17" ht="12.75" customHeight="1" x14ac:dyDescent="0.2">
      <c r="B1074" s="267"/>
      <c r="F1074" s="265"/>
      <c r="G1074" s="268"/>
      <c r="H1074" s="317"/>
      <c r="I1074" s="439"/>
      <c r="J1074" s="268"/>
      <c r="K1074" s="456"/>
      <c r="L1074" s="439"/>
      <c r="M1074" s="268"/>
      <c r="N1074" s="317"/>
      <c r="O1074" s="439"/>
      <c r="P1074" s="439"/>
      <c r="Q1074" s="439"/>
    </row>
    <row r="1075" spans="2:17" ht="12.75" customHeight="1" x14ac:dyDescent="0.2">
      <c r="B1075" s="267"/>
      <c r="F1075" s="265"/>
      <c r="G1075" s="268"/>
      <c r="H1075" s="317"/>
      <c r="I1075" s="439"/>
      <c r="J1075" s="268"/>
      <c r="K1075" s="456"/>
      <c r="L1075" s="439"/>
      <c r="M1075" s="268"/>
      <c r="N1075" s="317"/>
      <c r="O1075" s="439"/>
      <c r="P1075" s="439"/>
      <c r="Q1075" s="439"/>
    </row>
    <row r="1076" spans="2:17" ht="12.75" customHeight="1" x14ac:dyDescent="0.2">
      <c r="B1076" s="267"/>
      <c r="F1076" s="265"/>
      <c r="G1076" s="268"/>
      <c r="H1076" s="317"/>
      <c r="I1076" s="439"/>
      <c r="J1076" s="268"/>
      <c r="K1076" s="456"/>
      <c r="L1076" s="439"/>
      <c r="M1076" s="268"/>
      <c r="N1076" s="317"/>
      <c r="O1076" s="439"/>
      <c r="P1076" s="439"/>
      <c r="Q1076" s="439"/>
    </row>
    <row r="1077" spans="2:17" ht="12.75" customHeight="1" x14ac:dyDescent="0.2">
      <c r="B1077" s="267"/>
      <c r="F1077" s="265"/>
      <c r="G1077" s="268"/>
      <c r="H1077" s="317"/>
      <c r="I1077" s="439"/>
      <c r="J1077" s="268"/>
      <c r="K1077" s="456"/>
      <c r="L1077" s="439"/>
      <c r="M1077" s="268"/>
      <c r="N1077" s="317"/>
      <c r="O1077" s="439"/>
      <c r="P1077" s="439"/>
      <c r="Q1077" s="439"/>
    </row>
    <row r="1078" spans="2:17" ht="12.75" customHeight="1" x14ac:dyDescent="0.2">
      <c r="B1078" s="267"/>
      <c r="F1078" s="265"/>
      <c r="G1078" s="268"/>
      <c r="H1078" s="317"/>
      <c r="I1078" s="439"/>
      <c r="J1078" s="268"/>
      <c r="K1078" s="456"/>
      <c r="L1078" s="439"/>
      <c r="M1078" s="268"/>
      <c r="N1078" s="317"/>
      <c r="O1078" s="439"/>
      <c r="P1078" s="439"/>
      <c r="Q1078" s="439"/>
    </row>
    <row r="1079" spans="2:17" ht="12.75" customHeight="1" x14ac:dyDescent="0.2">
      <c r="B1079" s="267"/>
      <c r="F1079" s="265"/>
      <c r="G1079" s="268"/>
      <c r="H1079" s="317"/>
      <c r="I1079" s="439"/>
      <c r="J1079" s="268"/>
      <c r="K1079" s="456"/>
      <c r="L1079" s="439"/>
      <c r="M1079" s="268"/>
      <c r="N1079" s="317"/>
      <c r="O1079" s="439"/>
      <c r="P1079" s="439"/>
      <c r="Q1079" s="439"/>
    </row>
    <row r="1080" spans="2:17" ht="12.75" customHeight="1" x14ac:dyDescent="0.2">
      <c r="B1080" s="267"/>
      <c r="F1080" s="265"/>
      <c r="G1080" s="268"/>
      <c r="H1080" s="317"/>
      <c r="I1080" s="439"/>
      <c r="J1080" s="268"/>
      <c r="K1080" s="456"/>
      <c r="L1080" s="439"/>
      <c r="M1080" s="268"/>
      <c r="N1080" s="317"/>
      <c r="O1080" s="439"/>
      <c r="P1080" s="439"/>
      <c r="Q1080" s="439"/>
    </row>
    <row r="1081" spans="2:17" ht="12.75" customHeight="1" x14ac:dyDescent="0.2">
      <c r="B1081" s="267"/>
      <c r="F1081" s="265"/>
      <c r="G1081" s="268"/>
      <c r="H1081" s="317"/>
      <c r="I1081" s="439"/>
      <c r="J1081" s="268"/>
      <c r="K1081" s="456"/>
      <c r="L1081" s="439"/>
      <c r="M1081" s="268"/>
      <c r="N1081" s="317"/>
      <c r="O1081" s="439"/>
      <c r="P1081" s="439"/>
      <c r="Q1081" s="439"/>
    </row>
    <row r="1082" spans="2:17" ht="12.75" customHeight="1" x14ac:dyDescent="0.2">
      <c r="B1082" s="267"/>
      <c r="F1082" s="265"/>
      <c r="G1082" s="268"/>
      <c r="H1082" s="317"/>
      <c r="I1082" s="439"/>
      <c r="J1082" s="268"/>
      <c r="K1082" s="456"/>
      <c r="L1082" s="439"/>
      <c r="M1082" s="268"/>
      <c r="N1082" s="317"/>
      <c r="O1082" s="439"/>
      <c r="P1082" s="439"/>
      <c r="Q1082" s="439"/>
    </row>
    <row r="1083" spans="2:17" ht="12.75" customHeight="1" x14ac:dyDescent="0.2">
      <c r="B1083" s="267"/>
      <c r="F1083" s="265"/>
      <c r="G1083" s="268"/>
      <c r="H1083" s="317"/>
      <c r="I1083" s="439"/>
      <c r="J1083" s="268"/>
      <c r="K1083" s="456"/>
      <c r="L1083" s="439"/>
      <c r="M1083" s="268"/>
      <c r="N1083" s="317"/>
      <c r="O1083" s="439"/>
      <c r="P1083" s="439"/>
      <c r="Q1083" s="439"/>
    </row>
    <row r="1084" spans="2:17" ht="12.75" customHeight="1" x14ac:dyDescent="0.2">
      <c r="B1084" s="267"/>
      <c r="F1084" s="265"/>
      <c r="G1084" s="268"/>
      <c r="H1084" s="317"/>
      <c r="I1084" s="439"/>
      <c r="J1084" s="268"/>
      <c r="K1084" s="456"/>
      <c r="L1084" s="439"/>
      <c r="M1084" s="268"/>
      <c r="N1084" s="317"/>
      <c r="O1084" s="439"/>
      <c r="P1084" s="439"/>
      <c r="Q1084" s="439"/>
    </row>
    <row r="1085" spans="2:17" ht="12.75" customHeight="1" x14ac:dyDescent="0.2">
      <c r="B1085" s="267"/>
      <c r="F1085" s="265"/>
      <c r="G1085" s="268"/>
      <c r="H1085" s="317"/>
      <c r="I1085" s="439"/>
      <c r="J1085" s="268"/>
      <c r="K1085" s="456"/>
      <c r="L1085" s="439"/>
      <c r="M1085" s="268"/>
      <c r="N1085" s="317"/>
      <c r="O1085" s="439"/>
      <c r="P1085" s="439"/>
      <c r="Q1085" s="439"/>
    </row>
    <row r="1086" spans="2:17" ht="12.75" customHeight="1" x14ac:dyDescent="0.2">
      <c r="B1086" s="253"/>
      <c r="C1086" s="254"/>
      <c r="D1086" s="244"/>
      <c r="E1086" s="338"/>
      <c r="F1086" s="256"/>
      <c r="G1086" s="357"/>
      <c r="H1086" s="444"/>
      <c r="I1086" s="439"/>
      <c r="J1086" s="268"/>
      <c r="K1086" s="456"/>
      <c r="L1086" s="439"/>
      <c r="M1086" s="357"/>
      <c r="N1086" s="444"/>
      <c r="O1086" s="439"/>
      <c r="P1086" s="439"/>
      <c r="Q1086" s="439"/>
    </row>
    <row r="1087" spans="2:17" ht="12.75" customHeight="1" x14ac:dyDescent="0.2">
      <c r="B1087" s="287">
        <v>3500</v>
      </c>
      <c r="C1087" s="288" t="s">
        <v>268</v>
      </c>
      <c r="D1087" s="289"/>
      <c r="E1087" s="290"/>
      <c r="F1087" s="291"/>
      <c r="G1087" s="291"/>
      <c r="H1087" s="422"/>
      <c r="I1087" s="423">
        <f>SUM(I1030:I1086)</f>
        <v>216580</v>
      </c>
      <c r="J1087" s="412"/>
      <c r="K1087" s="457"/>
      <c r="L1087" s="423">
        <f t="shared" ref="L1087" si="403">SUM(L1030:L1086)</f>
        <v>266560</v>
      </c>
      <c r="M1087" s="291"/>
      <c r="N1087" s="422"/>
      <c r="O1087" s="423">
        <f>SUM(O1030:O1086)</f>
        <v>241570</v>
      </c>
      <c r="P1087" s="423"/>
      <c r="Q1087" s="423">
        <f t="shared" ref="Q1087" si="404">SUM(Q1030:Q1086)</f>
        <v>24990.000000000015</v>
      </c>
    </row>
    <row r="1088" spans="2:17" ht="12.75" customHeight="1" x14ac:dyDescent="0.2">
      <c r="B1088" s="239" t="s">
        <v>79</v>
      </c>
      <c r="C1088" s="239"/>
      <c r="D1088" s="263"/>
      <c r="E1088" s="297"/>
      <c r="H1088" s="426"/>
      <c r="I1088" s="427"/>
      <c r="K1088" s="456"/>
      <c r="L1088" s="427"/>
      <c r="N1088" s="426"/>
      <c r="O1088" s="427"/>
      <c r="P1088" s="427"/>
      <c r="Q1088" s="427"/>
    </row>
    <row r="1089" spans="2:17" ht="12.75" customHeight="1" x14ac:dyDescent="0.2">
      <c r="B1089" s="239" t="s">
        <v>267</v>
      </c>
      <c r="C1089" s="240"/>
      <c r="E1089" s="238"/>
      <c r="H1089" s="426"/>
      <c r="I1089" s="427"/>
      <c r="K1089" s="456"/>
      <c r="L1089" s="427"/>
      <c r="N1089" s="426"/>
      <c r="O1089" s="427"/>
      <c r="P1089" s="427"/>
      <c r="Q1089" s="427"/>
    </row>
    <row r="1090" spans="2:17" ht="12.75" customHeight="1" x14ac:dyDescent="0.2">
      <c r="B1090" s="243"/>
      <c r="C1090" s="243"/>
      <c r="D1090" s="244"/>
      <c r="E1090" s="245"/>
      <c r="F1090" s="246"/>
      <c r="H1090" s="428"/>
      <c r="I1090" s="429" t="str">
        <f>IF(G998=0," ",G998*H1091)</f>
        <v xml:space="preserve"> </v>
      </c>
      <c r="K1090" s="456"/>
      <c r="L1090" s="429" t="str">
        <f t="shared" ref="L1090" si="405">IF(J998=0," ",J998*K1091)</f>
        <v xml:space="preserve"> </v>
      </c>
      <c r="N1090" s="428"/>
      <c r="O1090" s="429" t="str">
        <f t="shared" ref="O1090" si="406">IF(M998=0," ",M998*N1091)</f>
        <v xml:space="preserve"> </v>
      </c>
      <c r="P1090" s="429" t="str">
        <f t="shared" ref="P1090" si="407">IF(N998=0," ",N998*O1091)</f>
        <v xml:space="preserve"> </v>
      </c>
      <c r="Q1090" s="429" t="str">
        <f t="shared" ref="Q1090" si="408">IF(O998=0," ",O998*P1091)</f>
        <v xml:space="preserve"> </v>
      </c>
    </row>
    <row r="1091" spans="2:17" ht="12.75" customHeight="1" x14ac:dyDescent="0.2">
      <c r="B1091" s="247" t="s">
        <v>263</v>
      </c>
      <c r="C1091" s="248" t="s">
        <v>264</v>
      </c>
      <c r="D1091" s="249"/>
      <c r="E1091" s="250"/>
      <c r="F1091" s="250" t="s">
        <v>265</v>
      </c>
      <c r="G1091" s="356" t="s">
        <v>68</v>
      </c>
      <c r="H1091" s="251" t="s">
        <v>849</v>
      </c>
      <c r="I1091" s="252" t="s">
        <v>849</v>
      </c>
      <c r="J1091" s="356" t="s">
        <v>68</v>
      </c>
      <c r="K1091" s="457" t="s">
        <v>849</v>
      </c>
      <c r="L1091" s="252" t="s">
        <v>849</v>
      </c>
      <c r="M1091" s="356" t="s">
        <v>68</v>
      </c>
      <c r="N1091" s="251" t="s">
        <v>849</v>
      </c>
      <c r="O1091" s="252" t="s">
        <v>849</v>
      </c>
      <c r="P1091" s="252" t="s">
        <v>849</v>
      </c>
      <c r="Q1091" s="252" t="s">
        <v>849</v>
      </c>
    </row>
    <row r="1092" spans="2:17" ht="12.75" customHeight="1" x14ac:dyDescent="0.2">
      <c r="B1092" s="253" t="s">
        <v>266</v>
      </c>
      <c r="C1092" s="254"/>
      <c r="D1092" s="255"/>
      <c r="E1092" s="256"/>
      <c r="F1092" s="256"/>
      <c r="G1092" s="357" t="s">
        <v>69</v>
      </c>
      <c r="H1092" s="257" t="s">
        <v>262</v>
      </c>
      <c r="I1092" s="258" t="s">
        <v>70</v>
      </c>
      <c r="J1092" s="357" t="s">
        <v>69</v>
      </c>
      <c r="K1092" s="457" t="s">
        <v>262</v>
      </c>
      <c r="L1092" s="258" t="s">
        <v>70</v>
      </c>
      <c r="M1092" s="357" t="s">
        <v>69</v>
      </c>
      <c r="N1092" s="257" t="s">
        <v>262</v>
      </c>
      <c r="O1092" s="258" t="s">
        <v>70</v>
      </c>
      <c r="P1092" s="258" t="s">
        <v>70</v>
      </c>
      <c r="Q1092" s="258" t="s">
        <v>70</v>
      </c>
    </row>
    <row r="1093" spans="2:17" ht="12.75" customHeight="1" x14ac:dyDescent="0.2">
      <c r="B1093" s="339"/>
      <c r="F1093" s="265"/>
      <c r="G1093" s="268"/>
      <c r="H1093" s="317"/>
      <c r="I1093" s="318"/>
      <c r="J1093" s="268"/>
      <c r="K1093" s="456"/>
      <c r="L1093" s="318"/>
      <c r="M1093" s="268"/>
      <c r="N1093" s="317"/>
      <c r="O1093" s="318"/>
      <c r="P1093" s="318"/>
      <c r="Q1093" s="318"/>
    </row>
    <row r="1094" spans="2:17" ht="12.75" customHeight="1" x14ac:dyDescent="0.2">
      <c r="B1094" s="340">
        <v>3600</v>
      </c>
      <c r="C1094" s="262" t="s">
        <v>768</v>
      </c>
      <c r="D1094" s="263"/>
      <c r="E1094" s="264"/>
      <c r="F1094" s="265"/>
      <c r="G1094" s="268"/>
      <c r="H1094" s="317"/>
      <c r="I1094" s="418"/>
      <c r="J1094" s="268"/>
      <c r="K1094" s="456"/>
      <c r="L1094" s="418"/>
      <c r="M1094" s="268"/>
      <c r="N1094" s="317"/>
      <c r="O1094" s="418"/>
      <c r="P1094" s="418"/>
      <c r="Q1094" s="418"/>
    </row>
    <row r="1095" spans="2:17" ht="12.75" customHeight="1" x14ac:dyDescent="0.2">
      <c r="B1095" s="268"/>
      <c r="F1095" s="265"/>
      <c r="G1095" s="268"/>
      <c r="H1095" s="317"/>
      <c r="I1095" s="418"/>
      <c r="J1095" s="268"/>
      <c r="K1095" s="456"/>
      <c r="L1095" s="418"/>
      <c r="M1095" s="268"/>
      <c r="N1095" s="317"/>
      <c r="O1095" s="418"/>
      <c r="P1095" s="418"/>
      <c r="Q1095" s="418"/>
    </row>
    <row r="1096" spans="2:17" ht="12.75" customHeight="1" x14ac:dyDescent="0.2">
      <c r="B1096" s="267">
        <v>36.01</v>
      </c>
      <c r="C1096" s="273" t="s">
        <v>692</v>
      </c>
      <c r="F1096" s="265"/>
      <c r="G1096" s="268"/>
      <c r="H1096" s="317"/>
      <c r="I1096" s="418"/>
      <c r="J1096" s="268"/>
      <c r="K1096" s="456"/>
      <c r="L1096" s="418"/>
      <c r="M1096" s="268"/>
      <c r="N1096" s="317"/>
      <c r="O1096" s="418"/>
      <c r="P1096" s="418"/>
      <c r="Q1096" s="418"/>
    </row>
    <row r="1097" spans="2:17" ht="12.75" customHeight="1" x14ac:dyDescent="0.2">
      <c r="B1097" s="267"/>
      <c r="C1097" s="273" t="s">
        <v>276</v>
      </c>
      <c r="D1097" s="241" t="s">
        <v>827</v>
      </c>
      <c r="F1097" s="265"/>
      <c r="G1097" s="268"/>
      <c r="H1097" s="317"/>
      <c r="I1097" s="418"/>
      <c r="J1097" s="268"/>
      <c r="K1097" s="456"/>
      <c r="L1097" s="418"/>
      <c r="M1097" s="268"/>
      <c r="N1097" s="317"/>
      <c r="O1097" s="418"/>
      <c r="P1097" s="418"/>
      <c r="Q1097" s="418"/>
    </row>
    <row r="1098" spans="2:17" ht="12.75" customHeight="1" x14ac:dyDescent="0.2">
      <c r="B1098" s="267"/>
      <c r="D1098" s="241" t="s">
        <v>828</v>
      </c>
      <c r="F1098" s="265"/>
      <c r="G1098" s="268"/>
      <c r="H1098" s="317"/>
      <c r="I1098" s="418"/>
      <c r="J1098" s="268"/>
      <c r="K1098" s="456"/>
      <c r="L1098" s="418"/>
      <c r="M1098" s="268"/>
      <c r="N1098" s="317"/>
      <c r="O1098" s="418"/>
      <c r="P1098" s="418"/>
      <c r="Q1098" s="418"/>
    </row>
    <row r="1099" spans="2:17" ht="12.75" customHeight="1" x14ac:dyDescent="0.2">
      <c r="B1099" s="267"/>
      <c r="D1099" s="241" t="s">
        <v>693</v>
      </c>
      <c r="F1099" s="265" t="s">
        <v>829</v>
      </c>
      <c r="G1099" s="268">
        <f>(700*0.15*10.6)</f>
        <v>1113</v>
      </c>
      <c r="H1099" s="418">
        <v>800</v>
      </c>
      <c r="I1099" s="418">
        <f t="shared" ref="I1099:I1100" si="409">IF(G1099=0," ",G1099*H1099)</f>
        <v>890400</v>
      </c>
      <c r="J1099" s="268">
        <f t="shared" ref="J1099" si="410">(700*0.15*10.6)</f>
        <v>1113</v>
      </c>
      <c r="K1099" s="456">
        <v>400</v>
      </c>
      <c r="L1099" s="418">
        <f t="shared" ref="L1099:L1100" si="411">IF(J1099=0," ",J1099*K1099)</f>
        <v>445200</v>
      </c>
      <c r="M1099" s="268">
        <f t="shared" ref="M1099" si="412">(700*0.15*10.6)</f>
        <v>1113</v>
      </c>
      <c r="N1099" s="418">
        <v>846.76</v>
      </c>
      <c r="O1099" s="418">
        <f t="shared" ref="O1099:O1100" si="413">IF(M1099=0," ",M1099*N1099)</f>
        <v>942443.88</v>
      </c>
      <c r="P1099" s="418">
        <f>K1099-N1099</f>
        <v>-446.76</v>
      </c>
      <c r="Q1099" s="418">
        <f>L1099-O1099</f>
        <v>-497243.88</v>
      </c>
    </row>
    <row r="1100" spans="2:17" ht="12.75" customHeight="1" x14ac:dyDescent="0.2">
      <c r="B1100" s="268"/>
      <c r="F1100" s="265"/>
      <c r="G1100" s="268"/>
      <c r="H1100" s="317"/>
      <c r="I1100" s="418" t="str">
        <f t="shared" si="409"/>
        <v xml:space="preserve"> </v>
      </c>
      <c r="J1100" s="268"/>
      <c r="K1100" s="456"/>
      <c r="L1100" s="418" t="str">
        <f t="shared" si="411"/>
        <v xml:space="preserve"> </v>
      </c>
      <c r="M1100" s="268"/>
      <c r="N1100" s="317"/>
      <c r="O1100" s="418" t="str">
        <f t="shared" si="413"/>
        <v xml:space="preserve"> </v>
      </c>
      <c r="P1100" s="418"/>
      <c r="Q1100" s="418"/>
    </row>
    <row r="1101" spans="2:17" ht="12.75" customHeight="1" x14ac:dyDescent="0.2">
      <c r="B1101" s="268"/>
      <c r="C1101" s="273" t="s">
        <v>281</v>
      </c>
      <c r="D1101" s="241" t="s">
        <v>827</v>
      </c>
      <c r="F1101" s="265"/>
      <c r="G1101" s="268"/>
      <c r="H1101" s="317"/>
      <c r="I1101" s="418"/>
      <c r="J1101" s="268"/>
      <c r="K1101" s="456"/>
      <c r="L1101" s="418"/>
      <c r="M1101" s="268"/>
      <c r="N1101" s="317"/>
      <c r="O1101" s="418"/>
      <c r="P1101" s="418"/>
      <c r="Q1101" s="418"/>
    </row>
    <row r="1102" spans="2:17" ht="12.75" customHeight="1" x14ac:dyDescent="0.2">
      <c r="B1102" s="268"/>
      <c r="D1102" s="241" t="s">
        <v>857</v>
      </c>
      <c r="F1102" s="265"/>
      <c r="G1102" s="268"/>
      <c r="H1102" s="317"/>
      <c r="I1102" s="418"/>
      <c r="J1102" s="268"/>
      <c r="K1102" s="456"/>
      <c r="L1102" s="418"/>
      <c r="M1102" s="268"/>
      <c r="N1102" s="317"/>
      <c r="O1102" s="418"/>
      <c r="P1102" s="418"/>
      <c r="Q1102" s="418"/>
    </row>
    <row r="1103" spans="2:17" ht="12.75" customHeight="1" x14ac:dyDescent="0.2">
      <c r="B1103" s="268"/>
      <c r="D1103" s="241" t="s">
        <v>856</v>
      </c>
      <c r="F1103" s="265"/>
      <c r="G1103" s="268"/>
      <c r="H1103" s="317"/>
      <c r="I1103" s="418"/>
      <c r="J1103" s="268"/>
      <c r="K1103" s="456"/>
      <c r="L1103" s="418"/>
      <c r="M1103" s="268"/>
      <c r="N1103" s="317"/>
      <c r="O1103" s="418"/>
      <c r="P1103" s="418"/>
      <c r="Q1103" s="418"/>
    </row>
    <row r="1104" spans="2:17" ht="12.75" customHeight="1" x14ac:dyDescent="0.2">
      <c r="B1104" s="268"/>
      <c r="D1104" s="241" t="s">
        <v>865</v>
      </c>
      <c r="F1104" s="265" t="s">
        <v>829</v>
      </c>
      <c r="G1104" s="268">
        <f>2800*0.15*10.6*0.1</f>
        <v>445.20000000000005</v>
      </c>
      <c r="H1104" s="317">
        <v>600</v>
      </c>
      <c r="I1104" s="418">
        <f t="shared" ref="I1104" si="414">IF(G1104=0," ",G1104*H1104)</f>
        <v>267120</v>
      </c>
      <c r="J1104" s="268">
        <f t="shared" ref="J1104" si="415">2800*0.15*10.6*0.1</f>
        <v>445.20000000000005</v>
      </c>
      <c r="K1104" s="456">
        <v>400</v>
      </c>
      <c r="L1104" s="418">
        <f t="shared" ref="L1104" si="416">IF(J1104=0," ",J1104*K1104)</f>
        <v>178080.00000000003</v>
      </c>
      <c r="M1104" s="268">
        <f t="shared" ref="M1104" si="417">2800*0.15*10.6*0.1</f>
        <v>445.20000000000005</v>
      </c>
      <c r="N1104" s="317">
        <v>400</v>
      </c>
      <c r="O1104" s="418">
        <f t="shared" ref="O1104" si="418">IF(M1104=0," ",M1104*N1104)</f>
        <v>178080.00000000003</v>
      </c>
      <c r="P1104" s="418">
        <f t="shared" ref="P1104:P1112" si="419">K1104-N1104</f>
        <v>0</v>
      </c>
      <c r="Q1104" s="418">
        <f t="shared" ref="Q1104:Q1112" si="420">L1104-O1104</f>
        <v>0</v>
      </c>
    </row>
    <row r="1105" spans="2:17" ht="12.75" customHeight="1" x14ac:dyDescent="0.2">
      <c r="B1105" s="268"/>
      <c r="D1105" s="241" t="s">
        <v>858</v>
      </c>
      <c r="F1105" s="265"/>
      <c r="G1105" s="268"/>
      <c r="H1105" s="317"/>
      <c r="I1105" s="439"/>
      <c r="J1105" s="268"/>
      <c r="K1105" s="456"/>
      <c r="L1105" s="439"/>
      <c r="M1105" s="268"/>
      <c r="N1105" s="317"/>
      <c r="O1105" s="439"/>
      <c r="P1105" s="418"/>
      <c r="Q1105" s="418"/>
    </row>
    <row r="1106" spans="2:17" ht="12.75" customHeight="1" x14ac:dyDescent="0.2">
      <c r="B1106" s="268"/>
      <c r="D1106" s="241" t="s">
        <v>859</v>
      </c>
      <c r="F1106" s="265"/>
      <c r="G1106" s="268"/>
      <c r="H1106" s="317"/>
      <c r="I1106" s="439"/>
      <c r="J1106" s="268"/>
      <c r="K1106" s="456"/>
      <c r="L1106" s="439"/>
      <c r="M1106" s="268"/>
      <c r="N1106" s="317"/>
      <c r="O1106" s="439"/>
      <c r="P1106" s="418"/>
      <c r="Q1106" s="418"/>
    </row>
    <row r="1107" spans="2:17" ht="12.75" customHeight="1" x14ac:dyDescent="0.2">
      <c r="B1107" s="341"/>
      <c r="F1107" s="265"/>
      <c r="G1107" s="268"/>
      <c r="H1107" s="317"/>
      <c r="I1107" s="439"/>
      <c r="J1107" s="268"/>
      <c r="K1107" s="456"/>
      <c r="L1107" s="439"/>
      <c r="M1107" s="268"/>
      <c r="N1107" s="317"/>
      <c r="O1107" s="439"/>
      <c r="P1107" s="418"/>
      <c r="Q1107" s="418"/>
    </row>
    <row r="1108" spans="2:17" ht="12.75" customHeight="1" x14ac:dyDescent="0.2">
      <c r="B1108" s="268" t="s">
        <v>866</v>
      </c>
      <c r="C1108" s="241" t="s">
        <v>867</v>
      </c>
      <c r="D1108" s="274"/>
      <c r="F1108" s="265" t="s">
        <v>829</v>
      </c>
      <c r="G1108" s="268">
        <f>2900*10.6*0.15</f>
        <v>4611</v>
      </c>
      <c r="H1108" s="317">
        <v>300</v>
      </c>
      <c r="I1108" s="418">
        <f t="shared" ref="I1108" si="421">IF(G1108=0," ",G1108*H1108)</f>
        <v>1383300</v>
      </c>
      <c r="J1108" s="268">
        <f t="shared" ref="J1108" si="422">2900*10.6*0.15</f>
        <v>4611</v>
      </c>
      <c r="K1108" s="456">
        <v>60</v>
      </c>
      <c r="L1108" s="418">
        <f t="shared" ref="L1108" si="423">IF(J1108=0," ",J1108*K1108)</f>
        <v>276660</v>
      </c>
      <c r="M1108" s="268">
        <f t="shared" ref="M1108" si="424">2900*10.6*0.15</f>
        <v>4611</v>
      </c>
      <c r="N1108" s="317">
        <v>60</v>
      </c>
      <c r="O1108" s="418">
        <f t="shared" ref="O1108" si="425">IF(M1108=0," ",M1108*N1108)</f>
        <v>276660</v>
      </c>
      <c r="P1108" s="418">
        <f t="shared" si="419"/>
        <v>0</v>
      </c>
      <c r="Q1108" s="418">
        <f t="shared" si="420"/>
        <v>0</v>
      </c>
    </row>
    <row r="1109" spans="2:17" ht="12.75" customHeight="1" x14ac:dyDescent="0.2">
      <c r="B1109" s="268"/>
      <c r="C1109" s="241" t="s">
        <v>868</v>
      </c>
      <c r="D1109" s="274"/>
      <c r="F1109" s="265"/>
      <c r="G1109" s="268"/>
      <c r="H1109" s="317"/>
      <c r="I1109" s="439"/>
      <c r="J1109" s="268"/>
      <c r="K1109" s="456"/>
      <c r="L1109" s="439"/>
      <c r="M1109" s="268"/>
      <c r="N1109" s="317"/>
      <c r="O1109" s="439"/>
      <c r="P1109" s="418"/>
      <c r="Q1109" s="418"/>
    </row>
    <row r="1110" spans="2:17" ht="12.75" customHeight="1" x14ac:dyDescent="0.2">
      <c r="B1110" s="268"/>
      <c r="C1110" s="241"/>
      <c r="D1110" s="274"/>
      <c r="F1110" s="265"/>
      <c r="G1110" s="268"/>
      <c r="H1110" s="317"/>
      <c r="I1110" s="418"/>
      <c r="J1110" s="268"/>
      <c r="K1110" s="456"/>
      <c r="L1110" s="418"/>
      <c r="M1110" s="268"/>
      <c r="N1110" s="317"/>
      <c r="O1110" s="418"/>
      <c r="P1110" s="418"/>
      <c r="Q1110" s="418"/>
    </row>
    <row r="1111" spans="2:17" ht="12.75" customHeight="1" x14ac:dyDescent="0.2">
      <c r="B1111" s="268"/>
      <c r="F1111" s="265"/>
      <c r="G1111" s="268"/>
      <c r="H1111" s="317"/>
      <c r="I1111" s="418"/>
      <c r="J1111" s="268"/>
      <c r="K1111" s="456"/>
      <c r="L1111" s="418"/>
      <c r="M1111" s="268"/>
      <c r="N1111" s="317"/>
      <c r="O1111" s="418"/>
      <c r="P1111" s="418"/>
      <c r="Q1111" s="418"/>
    </row>
    <row r="1112" spans="2:17" ht="12.75" customHeight="1" x14ac:dyDescent="0.2">
      <c r="B1112" s="268" t="s">
        <v>851</v>
      </c>
      <c r="C1112" s="273" t="s">
        <v>852</v>
      </c>
      <c r="F1112" s="265" t="s">
        <v>829</v>
      </c>
      <c r="G1112" s="268">
        <f>150*10.6*0.15</f>
        <v>238.5</v>
      </c>
      <c r="H1112" s="317">
        <v>450</v>
      </c>
      <c r="I1112" s="418">
        <f t="shared" ref="I1112" si="426">IF(G1112=0," ",G1112*H1112)</f>
        <v>107325</v>
      </c>
      <c r="J1112" s="268">
        <f t="shared" ref="J1112" si="427">150*10.6*0.15</f>
        <v>238.5</v>
      </c>
      <c r="K1112" s="456">
        <v>400</v>
      </c>
      <c r="L1112" s="418">
        <f t="shared" ref="L1112" si="428">IF(J1112=0," ",J1112*K1112)</f>
        <v>95400</v>
      </c>
      <c r="M1112" s="268">
        <f t="shared" ref="M1112" si="429">150*10.6*0.15</f>
        <v>238.5</v>
      </c>
      <c r="N1112" s="317">
        <v>200</v>
      </c>
      <c r="O1112" s="418">
        <f t="shared" ref="O1112" si="430">IF(M1112=0," ",M1112*N1112)</f>
        <v>47700</v>
      </c>
      <c r="P1112" s="460">
        <f t="shared" si="419"/>
        <v>200</v>
      </c>
      <c r="Q1112" s="460">
        <f t="shared" si="420"/>
        <v>47700</v>
      </c>
    </row>
    <row r="1113" spans="2:17" ht="12.75" customHeight="1" x14ac:dyDescent="0.2">
      <c r="B1113" s="268"/>
      <c r="F1113" s="265"/>
      <c r="G1113" s="268"/>
      <c r="H1113" s="317"/>
      <c r="I1113" s="439"/>
      <c r="J1113" s="268"/>
      <c r="K1113" s="456"/>
      <c r="L1113" s="439"/>
      <c r="M1113" s="268"/>
      <c r="N1113" s="317"/>
      <c r="O1113" s="439"/>
      <c r="P1113" s="439"/>
      <c r="Q1113" s="439"/>
    </row>
    <row r="1114" spans="2:17" ht="12.75" customHeight="1" x14ac:dyDescent="0.2">
      <c r="B1114" s="268"/>
      <c r="F1114" s="265"/>
      <c r="G1114" s="268"/>
      <c r="H1114" s="317"/>
      <c r="I1114" s="439"/>
      <c r="J1114" s="268"/>
      <c r="K1114" s="456"/>
      <c r="L1114" s="439"/>
      <c r="M1114" s="268"/>
      <c r="N1114" s="317"/>
      <c r="O1114" s="439"/>
      <c r="P1114" s="439"/>
      <c r="Q1114" s="439"/>
    </row>
    <row r="1115" spans="2:17" ht="12.75" customHeight="1" x14ac:dyDescent="0.2">
      <c r="B1115" s="268"/>
      <c r="F1115" s="265"/>
      <c r="G1115" s="268"/>
      <c r="H1115" s="317"/>
      <c r="I1115" s="439"/>
      <c r="J1115" s="268"/>
      <c r="K1115" s="456"/>
      <c r="L1115" s="439"/>
      <c r="M1115" s="268"/>
      <c r="N1115" s="317"/>
      <c r="O1115" s="439"/>
      <c r="P1115" s="439"/>
      <c r="Q1115" s="439"/>
    </row>
    <row r="1116" spans="2:17" ht="12.75" customHeight="1" x14ac:dyDescent="0.2">
      <c r="B1116" s="341"/>
      <c r="F1116" s="265"/>
      <c r="G1116" s="268"/>
      <c r="H1116" s="317"/>
      <c r="I1116" s="439"/>
      <c r="J1116" s="268"/>
      <c r="K1116" s="456"/>
      <c r="L1116" s="439"/>
      <c r="M1116" s="268"/>
      <c r="N1116" s="317"/>
      <c r="O1116" s="439"/>
      <c r="P1116" s="439"/>
      <c r="Q1116" s="439"/>
    </row>
    <row r="1117" spans="2:17" ht="12.75" customHeight="1" x14ac:dyDescent="0.2">
      <c r="B1117" s="268"/>
      <c r="F1117" s="265"/>
      <c r="G1117" s="268"/>
      <c r="H1117" s="317"/>
      <c r="I1117" s="439"/>
      <c r="J1117" s="268"/>
      <c r="K1117" s="456"/>
      <c r="L1117" s="439"/>
      <c r="M1117" s="268"/>
      <c r="N1117" s="317"/>
      <c r="O1117" s="439"/>
      <c r="P1117" s="439"/>
      <c r="Q1117" s="439"/>
    </row>
    <row r="1118" spans="2:17" ht="12.75" customHeight="1" x14ac:dyDescent="0.2">
      <c r="B1118" s="268"/>
      <c r="F1118" s="265"/>
      <c r="G1118" s="268"/>
      <c r="H1118" s="317"/>
      <c r="I1118" s="418"/>
      <c r="J1118" s="268"/>
      <c r="K1118" s="456"/>
      <c r="L1118" s="418"/>
      <c r="M1118" s="268"/>
      <c r="N1118" s="317"/>
      <c r="O1118" s="418"/>
      <c r="P1118" s="418"/>
      <c r="Q1118" s="418"/>
    </row>
    <row r="1119" spans="2:17" ht="12.75" customHeight="1" x14ac:dyDescent="0.2">
      <c r="B1119" s="268"/>
      <c r="F1119" s="265"/>
      <c r="G1119" s="268"/>
      <c r="H1119" s="317"/>
      <c r="I1119" s="439"/>
      <c r="J1119" s="268"/>
      <c r="K1119" s="456"/>
      <c r="L1119" s="439"/>
      <c r="M1119" s="268"/>
      <c r="N1119" s="317"/>
      <c r="O1119" s="439"/>
      <c r="P1119" s="439"/>
      <c r="Q1119" s="439"/>
    </row>
    <row r="1120" spans="2:17" ht="12.75" customHeight="1" x14ac:dyDescent="0.2">
      <c r="B1120" s="268"/>
      <c r="F1120" s="265"/>
      <c r="G1120" s="268"/>
      <c r="H1120" s="317"/>
      <c r="I1120" s="439"/>
      <c r="J1120" s="268"/>
      <c r="K1120" s="456"/>
      <c r="L1120" s="439"/>
      <c r="M1120" s="268"/>
      <c r="N1120" s="317"/>
      <c r="O1120" s="439"/>
      <c r="P1120" s="439"/>
      <c r="Q1120" s="439"/>
    </row>
    <row r="1121" spans="2:17" ht="12.75" customHeight="1" x14ac:dyDescent="0.2">
      <c r="B1121" s="268"/>
      <c r="F1121" s="265"/>
      <c r="G1121" s="268"/>
      <c r="H1121" s="317"/>
      <c r="I1121" s="439"/>
      <c r="J1121" s="268"/>
      <c r="K1121" s="456"/>
      <c r="L1121" s="439"/>
      <c r="M1121" s="268"/>
      <c r="N1121" s="317"/>
      <c r="O1121" s="439"/>
      <c r="P1121" s="439"/>
      <c r="Q1121" s="439"/>
    </row>
    <row r="1122" spans="2:17" ht="12.75" customHeight="1" x14ac:dyDescent="0.2">
      <c r="B1122" s="268"/>
      <c r="F1122" s="265"/>
      <c r="G1122" s="268"/>
      <c r="H1122" s="317"/>
      <c r="I1122" s="439"/>
      <c r="J1122" s="268"/>
      <c r="K1122" s="456"/>
      <c r="L1122" s="439"/>
      <c r="M1122" s="268"/>
      <c r="N1122" s="317"/>
      <c r="O1122" s="439"/>
      <c r="P1122" s="439"/>
      <c r="Q1122" s="439"/>
    </row>
    <row r="1123" spans="2:17" ht="12.75" customHeight="1" x14ac:dyDescent="0.2">
      <c r="B1123" s="268"/>
      <c r="F1123" s="265"/>
      <c r="G1123" s="268"/>
      <c r="H1123" s="317"/>
      <c r="I1123" s="439"/>
      <c r="J1123" s="268"/>
      <c r="K1123" s="456"/>
      <c r="L1123" s="439"/>
      <c r="M1123" s="268"/>
      <c r="N1123" s="317"/>
      <c r="O1123" s="439"/>
      <c r="P1123" s="439"/>
      <c r="Q1123" s="439"/>
    </row>
    <row r="1124" spans="2:17" ht="12.75" customHeight="1" x14ac:dyDescent="0.2">
      <c r="B1124" s="268"/>
      <c r="F1124" s="265"/>
      <c r="G1124" s="268"/>
      <c r="H1124" s="317"/>
      <c r="I1124" s="439"/>
      <c r="J1124" s="268"/>
      <c r="K1124" s="456"/>
      <c r="L1124" s="439"/>
      <c r="M1124" s="268"/>
      <c r="N1124" s="317"/>
      <c r="O1124" s="439"/>
      <c r="P1124" s="439"/>
      <c r="Q1124" s="439"/>
    </row>
    <row r="1125" spans="2:17" ht="12.75" customHeight="1" x14ac:dyDescent="0.2">
      <c r="B1125" s="268"/>
      <c r="F1125" s="265"/>
      <c r="G1125" s="268"/>
      <c r="H1125" s="317"/>
      <c r="I1125" s="439"/>
      <c r="J1125" s="268"/>
      <c r="K1125" s="456"/>
      <c r="L1125" s="439"/>
      <c r="M1125" s="268"/>
      <c r="N1125" s="317"/>
      <c r="O1125" s="439"/>
      <c r="P1125" s="439"/>
      <c r="Q1125" s="439"/>
    </row>
    <row r="1126" spans="2:17" ht="12.75" customHeight="1" x14ac:dyDescent="0.2">
      <c r="B1126" s="268"/>
      <c r="F1126" s="265"/>
      <c r="G1126" s="268"/>
      <c r="H1126" s="317"/>
      <c r="I1126" s="439"/>
      <c r="J1126" s="268"/>
      <c r="K1126" s="456"/>
      <c r="L1126" s="439"/>
      <c r="M1126" s="268"/>
      <c r="N1126" s="317"/>
      <c r="O1126" s="439"/>
      <c r="P1126" s="439"/>
      <c r="Q1126" s="439"/>
    </row>
    <row r="1127" spans="2:17" ht="12.75" customHeight="1" x14ac:dyDescent="0.2">
      <c r="B1127" s="267"/>
      <c r="F1127" s="265"/>
      <c r="G1127" s="268"/>
      <c r="H1127" s="317"/>
      <c r="I1127" s="439"/>
      <c r="J1127" s="268"/>
      <c r="K1127" s="456"/>
      <c r="L1127" s="439"/>
      <c r="M1127" s="268"/>
      <c r="N1127" s="317"/>
      <c r="O1127" s="439"/>
      <c r="P1127" s="439"/>
      <c r="Q1127" s="439"/>
    </row>
    <row r="1128" spans="2:17" ht="12.75" customHeight="1" x14ac:dyDescent="0.2">
      <c r="B1128" s="267"/>
      <c r="F1128" s="265"/>
      <c r="G1128" s="268"/>
      <c r="H1128" s="317"/>
      <c r="I1128" s="439"/>
      <c r="J1128" s="268"/>
      <c r="K1128" s="456"/>
      <c r="L1128" s="439"/>
      <c r="M1128" s="268"/>
      <c r="N1128" s="317"/>
      <c r="O1128" s="439"/>
      <c r="P1128" s="439"/>
      <c r="Q1128" s="439"/>
    </row>
    <row r="1129" spans="2:17" ht="12.75" customHeight="1" x14ac:dyDescent="0.2">
      <c r="B1129" s="267"/>
      <c r="F1129" s="265"/>
      <c r="G1129" s="268"/>
      <c r="H1129" s="317"/>
      <c r="I1129" s="439"/>
      <c r="J1129" s="268"/>
      <c r="K1129" s="456"/>
      <c r="L1129" s="439"/>
      <c r="M1129" s="268"/>
      <c r="N1129" s="317"/>
      <c r="O1129" s="439"/>
      <c r="P1129" s="439"/>
      <c r="Q1129" s="439"/>
    </row>
    <row r="1130" spans="2:17" ht="12.75" customHeight="1" x14ac:dyDescent="0.2">
      <c r="B1130" s="267"/>
      <c r="F1130" s="265"/>
      <c r="G1130" s="268"/>
      <c r="H1130" s="317"/>
      <c r="I1130" s="439"/>
      <c r="J1130" s="268"/>
      <c r="K1130" s="456"/>
      <c r="L1130" s="439"/>
      <c r="M1130" s="268"/>
      <c r="N1130" s="317"/>
      <c r="O1130" s="439"/>
      <c r="P1130" s="439"/>
      <c r="Q1130" s="439"/>
    </row>
    <row r="1131" spans="2:17" ht="12.75" customHeight="1" x14ac:dyDescent="0.2">
      <c r="B1131" s="267"/>
      <c r="F1131" s="265"/>
      <c r="G1131" s="268"/>
      <c r="H1131" s="317"/>
      <c r="I1131" s="439"/>
      <c r="J1131" s="268"/>
      <c r="K1131" s="456"/>
      <c r="L1131" s="439"/>
      <c r="M1131" s="268"/>
      <c r="N1131" s="317"/>
      <c r="O1131" s="439"/>
      <c r="P1131" s="439"/>
      <c r="Q1131" s="439"/>
    </row>
    <row r="1132" spans="2:17" ht="12.75" customHeight="1" x14ac:dyDescent="0.2">
      <c r="B1132" s="267"/>
      <c r="F1132" s="265"/>
      <c r="G1132" s="268"/>
      <c r="H1132" s="317"/>
      <c r="I1132" s="439"/>
      <c r="J1132" s="268"/>
      <c r="K1132" s="456"/>
      <c r="L1132" s="439"/>
      <c r="M1132" s="268"/>
      <c r="N1132" s="317"/>
      <c r="O1132" s="439"/>
      <c r="P1132" s="439"/>
      <c r="Q1132" s="439"/>
    </row>
    <row r="1133" spans="2:17" ht="12.75" customHeight="1" x14ac:dyDescent="0.2">
      <c r="B1133" s="267"/>
      <c r="F1133" s="265"/>
      <c r="G1133" s="268"/>
      <c r="H1133" s="317"/>
      <c r="I1133" s="439"/>
      <c r="J1133" s="268"/>
      <c r="K1133" s="456"/>
      <c r="L1133" s="439"/>
      <c r="M1133" s="268"/>
      <c r="N1133" s="317"/>
      <c r="O1133" s="439"/>
      <c r="P1133" s="439"/>
      <c r="Q1133" s="439"/>
    </row>
    <row r="1134" spans="2:17" ht="12.75" customHeight="1" x14ac:dyDescent="0.2">
      <c r="B1134" s="267"/>
      <c r="F1134" s="265"/>
      <c r="G1134" s="268"/>
      <c r="H1134" s="317"/>
      <c r="I1134" s="439"/>
      <c r="J1134" s="268"/>
      <c r="K1134" s="456"/>
      <c r="L1134" s="439"/>
      <c r="M1134" s="268"/>
      <c r="N1134" s="317"/>
      <c r="O1134" s="439"/>
      <c r="P1134" s="439"/>
      <c r="Q1134" s="439"/>
    </row>
    <row r="1135" spans="2:17" ht="12.75" customHeight="1" x14ac:dyDescent="0.2">
      <c r="B1135" s="267"/>
      <c r="F1135" s="265"/>
      <c r="G1135" s="268"/>
      <c r="H1135" s="317"/>
      <c r="I1135" s="439"/>
      <c r="J1135" s="268"/>
      <c r="K1135" s="456"/>
      <c r="L1135" s="439"/>
      <c r="M1135" s="268"/>
      <c r="N1135" s="317"/>
      <c r="O1135" s="439"/>
      <c r="P1135" s="439"/>
      <c r="Q1135" s="439"/>
    </row>
    <row r="1136" spans="2:17" ht="12.75" customHeight="1" x14ac:dyDescent="0.2">
      <c r="B1136" s="267"/>
      <c r="F1136" s="265"/>
      <c r="G1136" s="268"/>
      <c r="H1136" s="317"/>
      <c r="I1136" s="439"/>
      <c r="J1136" s="268"/>
      <c r="K1136" s="456"/>
      <c r="L1136" s="439"/>
      <c r="M1136" s="268"/>
      <c r="N1136" s="317"/>
      <c r="O1136" s="439"/>
      <c r="P1136" s="439"/>
      <c r="Q1136" s="439"/>
    </row>
    <row r="1137" spans="2:17" ht="12.75" customHeight="1" x14ac:dyDescent="0.2">
      <c r="B1137" s="267"/>
      <c r="F1137" s="265"/>
      <c r="G1137" s="268"/>
      <c r="H1137" s="317"/>
      <c r="I1137" s="439"/>
      <c r="J1137" s="268"/>
      <c r="K1137" s="456"/>
      <c r="L1137" s="439"/>
      <c r="M1137" s="268"/>
      <c r="N1137" s="317"/>
      <c r="O1137" s="439"/>
      <c r="P1137" s="439"/>
      <c r="Q1137" s="439"/>
    </row>
    <row r="1138" spans="2:17" ht="12.75" customHeight="1" x14ac:dyDescent="0.2">
      <c r="B1138" s="267"/>
      <c r="F1138" s="265"/>
      <c r="G1138" s="268"/>
      <c r="H1138" s="317"/>
      <c r="I1138" s="439"/>
      <c r="J1138" s="268"/>
      <c r="K1138" s="456"/>
      <c r="L1138" s="439"/>
      <c r="M1138" s="268"/>
      <c r="N1138" s="317"/>
      <c r="O1138" s="439"/>
      <c r="P1138" s="439"/>
      <c r="Q1138" s="439"/>
    </row>
    <row r="1139" spans="2:17" ht="12.75" customHeight="1" x14ac:dyDescent="0.2">
      <c r="B1139" s="267"/>
      <c r="F1139" s="265"/>
      <c r="G1139" s="268"/>
      <c r="H1139" s="317"/>
      <c r="I1139" s="439"/>
      <c r="J1139" s="268"/>
      <c r="K1139" s="456"/>
      <c r="L1139" s="439"/>
      <c r="M1139" s="268"/>
      <c r="N1139" s="317"/>
      <c r="O1139" s="439"/>
      <c r="P1139" s="439"/>
      <c r="Q1139" s="439"/>
    </row>
    <row r="1140" spans="2:17" ht="12.75" customHeight="1" x14ac:dyDescent="0.2">
      <c r="B1140" s="267"/>
      <c r="F1140" s="265"/>
      <c r="G1140" s="268"/>
      <c r="H1140" s="317"/>
      <c r="I1140" s="439"/>
      <c r="J1140" s="268"/>
      <c r="K1140" s="456"/>
      <c r="L1140" s="439"/>
      <c r="M1140" s="268"/>
      <c r="N1140" s="317"/>
      <c r="O1140" s="439"/>
      <c r="P1140" s="439"/>
      <c r="Q1140" s="439"/>
    </row>
    <row r="1141" spans="2:17" ht="12.75" customHeight="1" x14ac:dyDescent="0.2">
      <c r="B1141" s="267"/>
      <c r="F1141" s="265"/>
      <c r="G1141" s="268"/>
      <c r="H1141" s="317"/>
      <c r="I1141" s="439"/>
      <c r="J1141" s="268"/>
      <c r="K1141" s="456"/>
      <c r="L1141" s="439"/>
      <c r="M1141" s="268"/>
      <c r="N1141" s="317"/>
      <c r="O1141" s="439"/>
      <c r="P1141" s="439"/>
      <c r="Q1141" s="439"/>
    </row>
    <row r="1142" spans="2:17" ht="12.75" customHeight="1" x14ac:dyDescent="0.2">
      <c r="B1142" s="267"/>
      <c r="F1142" s="265"/>
      <c r="G1142" s="268"/>
      <c r="H1142" s="317"/>
      <c r="I1142" s="439"/>
      <c r="J1142" s="268"/>
      <c r="K1142" s="456"/>
      <c r="L1142" s="439"/>
      <c r="M1142" s="268"/>
      <c r="N1142" s="317"/>
      <c r="O1142" s="439"/>
      <c r="P1142" s="439"/>
      <c r="Q1142" s="439"/>
    </row>
    <row r="1143" spans="2:17" ht="12.75" customHeight="1" x14ac:dyDescent="0.2">
      <c r="B1143" s="267"/>
      <c r="F1143" s="265"/>
      <c r="G1143" s="268"/>
      <c r="H1143" s="317"/>
      <c r="I1143" s="439"/>
      <c r="J1143" s="268"/>
      <c r="K1143" s="456"/>
      <c r="L1143" s="439"/>
      <c r="M1143" s="268"/>
      <c r="N1143" s="317"/>
      <c r="O1143" s="439"/>
      <c r="P1143" s="439"/>
      <c r="Q1143" s="439"/>
    </row>
    <row r="1144" spans="2:17" ht="12.75" customHeight="1" x14ac:dyDescent="0.2">
      <c r="B1144" s="267"/>
      <c r="F1144" s="265"/>
      <c r="G1144" s="268"/>
      <c r="H1144" s="317"/>
      <c r="I1144" s="439"/>
      <c r="J1144" s="268"/>
      <c r="K1144" s="456"/>
      <c r="L1144" s="439"/>
      <c r="M1144" s="268"/>
      <c r="N1144" s="317"/>
      <c r="O1144" s="439"/>
      <c r="P1144" s="439"/>
      <c r="Q1144" s="439"/>
    </row>
    <row r="1145" spans="2:17" ht="12.75" customHeight="1" x14ac:dyDescent="0.2">
      <c r="B1145" s="267"/>
      <c r="F1145" s="265"/>
      <c r="G1145" s="268"/>
      <c r="H1145" s="317"/>
      <c r="I1145" s="439"/>
      <c r="J1145" s="268"/>
      <c r="K1145" s="456"/>
      <c r="L1145" s="439"/>
      <c r="M1145" s="268"/>
      <c r="N1145" s="317"/>
      <c r="O1145" s="439"/>
      <c r="P1145" s="439"/>
      <c r="Q1145" s="439"/>
    </row>
    <row r="1146" spans="2:17" ht="12.75" customHeight="1" x14ac:dyDescent="0.2">
      <c r="B1146" s="267"/>
      <c r="F1146" s="265"/>
      <c r="G1146" s="268"/>
      <c r="H1146" s="317"/>
      <c r="I1146" s="439"/>
      <c r="J1146" s="268"/>
      <c r="K1146" s="456"/>
      <c r="L1146" s="439"/>
      <c r="M1146" s="268"/>
      <c r="N1146" s="317"/>
      <c r="O1146" s="439"/>
      <c r="P1146" s="439"/>
      <c r="Q1146" s="439"/>
    </row>
    <row r="1147" spans="2:17" ht="12.75" customHeight="1" x14ac:dyDescent="0.2">
      <c r="B1147" s="267"/>
      <c r="F1147" s="265"/>
      <c r="G1147" s="268"/>
      <c r="H1147" s="317"/>
      <c r="I1147" s="439"/>
      <c r="J1147" s="268"/>
      <c r="K1147" s="456"/>
      <c r="L1147" s="439"/>
      <c r="M1147" s="268"/>
      <c r="N1147" s="317"/>
      <c r="O1147" s="439"/>
      <c r="P1147" s="439"/>
      <c r="Q1147" s="439"/>
    </row>
    <row r="1148" spans="2:17" ht="12.6" customHeight="1" x14ac:dyDescent="0.2">
      <c r="B1148" s="267"/>
      <c r="F1148" s="265"/>
      <c r="G1148" s="268"/>
      <c r="H1148" s="317"/>
      <c r="I1148" s="439"/>
      <c r="J1148" s="268"/>
      <c r="K1148" s="456"/>
      <c r="L1148" s="439"/>
      <c r="M1148" s="268"/>
      <c r="N1148" s="317"/>
      <c r="O1148" s="439"/>
      <c r="P1148" s="439"/>
      <c r="Q1148" s="439"/>
    </row>
    <row r="1149" spans="2:17" ht="12.75" customHeight="1" x14ac:dyDescent="0.2">
      <c r="B1149" s="267"/>
      <c r="F1149" s="265"/>
      <c r="G1149" s="268"/>
      <c r="H1149" s="317"/>
      <c r="I1149" s="439"/>
      <c r="J1149" s="268"/>
      <c r="K1149" s="456"/>
      <c r="L1149" s="439"/>
      <c r="M1149" s="268"/>
      <c r="N1149" s="317"/>
      <c r="O1149" s="439"/>
      <c r="P1149" s="439"/>
      <c r="Q1149" s="439"/>
    </row>
    <row r="1150" spans="2:17" ht="12.75" customHeight="1" x14ac:dyDescent="0.2">
      <c r="B1150" s="267"/>
      <c r="F1150" s="265"/>
      <c r="G1150" s="268"/>
      <c r="H1150" s="317"/>
      <c r="I1150" s="439"/>
      <c r="J1150" s="268"/>
      <c r="K1150" s="456"/>
      <c r="L1150" s="439"/>
      <c r="M1150" s="268"/>
      <c r="N1150" s="317"/>
      <c r="O1150" s="439"/>
      <c r="P1150" s="439"/>
      <c r="Q1150" s="439"/>
    </row>
    <row r="1151" spans="2:17" ht="12.75" customHeight="1" x14ac:dyDescent="0.2">
      <c r="B1151" s="267"/>
      <c r="F1151" s="265"/>
      <c r="G1151" s="268"/>
      <c r="H1151" s="317"/>
      <c r="I1151" s="439"/>
      <c r="J1151" s="268"/>
      <c r="K1151" s="456"/>
      <c r="L1151" s="439"/>
      <c r="M1151" s="268"/>
      <c r="N1151" s="317"/>
      <c r="O1151" s="439"/>
      <c r="P1151" s="439"/>
      <c r="Q1151" s="439"/>
    </row>
    <row r="1152" spans="2:17" ht="12.75" customHeight="1" x14ac:dyDescent="0.2">
      <c r="B1152" s="267"/>
      <c r="F1152" s="265"/>
      <c r="G1152" s="268"/>
      <c r="H1152" s="317"/>
      <c r="I1152" s="439"/>
      <c r="J1152" s="268"/>
      <c r="K1152" s="456"/>
      <c r="L1152" s="439"/>
      <c r="M1152" s="268"/>
      <c r="N1152" s="317"/>
      <c r="O1152" s="439"/>
      <c r="P1152" s="439"/>
      <c r="Q1152" s="439"/>
    </row>
    <row r="1153" spans="2:26" ht="12.75" customHeight="1" x14ac:dyDescent="0.2">
      <c r="B1153" s="267"/>
      <c r="F1153" s="265"/>
      <c r="G1153" s="268"/>
      <c r="H1153" s="317"/>
      <c r="I1153" s="439"/>
      <c r="J1153" s="268"/>
      <c r="K1153" s="456"/>
      <c r="L1153" s="439"/>
      <c r="M1153" s="268"/>
      <c r="N1153" s="317"/>
      <c r="O1153" s="439"/>
      <c r="P1153" s="439"/>
      <c r="Q1153" s="439"/>
    </row>
    <row r="1154" spans="2:26" ht="12.75" customHeight="1" x14ac:dyDescent="0.2">
      <c r="B1154" s="253"/>
      <c r="C1154" s="254"/>
      <c r="D1154" s="244"/>
      <c r="E1154" s="338"/>
      <c r="F1154" s="256"/>
      <c r="G1154" s="357"/>
      <c r="H1154" s="444"/>
      <c r="I1154" s="439"/>
      <c r="J1154" s="268"/>
      <c r="K1154" s="456"/>
      <c r="L1154" s="439"/>
      <c r="M1154" s="357"/>
      <c r="N1154" s="444"/>
      <c r="O1154" s="439"/>
      <c r="P1154" s="439"/>
      <c r="Q1154" s="439"/>
    </row>
    <row r="1155" spans="2:26" ht="12.75" customHeight="1" x14ac:dyDescent="0.2">
      <c r="B1155" s="287">
        <v>3600</v>
      </c>
      <c r="C1155" s="288" t="s">
        <v>268</v>
      </c>
      <c r="D1155" s="289"/>
      <c r="E1155" s="290"/>
      <c r="F1155" s="291"/>
      <c r="G1155" s="291"/>
      <c r="H1155" s="422"/>
      <c r="I1155" s="423">
        <f>SUM(I1097:I1154)</f>
        <v>2648145</v>
      </c>
      <c r="J1155" s="412"/>
      <c r="K1155" s="457"/>
      <c r="L1155" s="423">
        <f t="shared" ref="L1155" si="431">SUM(L1097:L1154)</f>
        <v>995340</v>
      </c>
      <c r="M1155" s="291"/>
      <c r="N1155" s="422"/>
      <c r="O1155" s="423">
        <f>SUM(O1097:O1154)</f>
        <v>1444883.8800000001</v>
      </c>
      <c r="P1155" s="423"/>
      <c r="Q1155" s="423">
        <f t="shared" ref="Q1155" si="432">SUM(Q1097:Q1154)</f>
        <v>-449543.88</v>
      </c>
    </row>
    <row r="1156" spans="2:26" ht="12.75" customHeight="1" x14ac:dyDescent="0.2">
      <c r="B1156" s="239" t="s">
        <v>79</v>
      </c>
      <c r="C1156" s="239"/>
      <c r="D1156" s="263"/>
      <c r="E1156" s="297"/>
      <c r="H1156" s="426"/>
      <c r="I1156" s="427"/>
      <c r="K1156" s="456"/>
      <c r="L1156" s="427"/>
      <c r="N1156" s="426"/>
      <c r="O1156" s="427"/>
      <c r="P1156" s="427"/>
      <c r="Q1156" s="427"/>
    </row>
    <row r="1157" spans="2:26" ht="12.75" customHeight="1" x14ac:dyDescent="0.2">
      <c r="B1157" s="239" t="s">
        <v>267</v>
      </c>
      <c r="C1157" s="240"/>
      <c r="E1157" s="238"/>
      <c r="H1157" s="426"/>
      <c r="I1157" s="427"/>
      <c r="K1157" s="456"/>
      <c r="L1157" s="427"/>
      <c r="N1157" s="426"/>
      <c r="O1157" s="427"/>
      <c r="P1157" s="427"/>
      <c r="Q1157" s="427"/>
    </row>
    <row r="1158" spans="2:26" ht="12.75" customHeight="1" x14ac:dyDescent="0.2">
      <c r="B1158" s="243"/>
      <c r="C1158" s="243"/>
      <c r="D1158" s="244"/>
      <c r="E1158" s="245"/>
      <c r="F1158" s="246"/>
      <c r="H1158" s="428"/>
      <c r="I1158" s="429"/>
      <c r="K1158" s="456"/>
      <c r="L1158" s="429"/>
      <c r="N1158" s="428"/>
      <c r="O1158" s="429"/>
      <c r="P1158" s="429"/>
      <c r="Q1158" s="429"/>
    </row>
    <row r="1159" spans="2:26" ht="12.75" customHeight="1" x14ac:dyDescent="0.2">
      <c r="B1159" s="247" t="s">
        <v>263</v>
      </c>
      <c r="C1159" s="248" t="s">
        <v>264</v>
      </c>
      <c r="D1159" s="249"/>
      <c r="E1159" s="250"/>
      <c r="F1159" s="250" t="s">
        <v>265</v>
      </c>
      <c r="G1159" s="356" t="s">
        <v>68</v>
      </c>
      <c r="H1159" s="251" t="s">
        <v>849</v>
      </c>
      <c r="I1159" s="252" t="s">
        <v>849</v>
      </c>
      <c r="J1159" s="356" t="s">
        <v>68</v>
      </c>
      <c r="K1159" s="457" t="s">
        <v>849</v>
      </c>
      <c r="L1159" s="252" t="s">
        <v>849</v>
      </c>
      <c r="M1159" s="356" t="s">
        <v>68</v>
      </c>
      <c r="N1159" s="251" t="s">
        <v>849</v>
      </c>
      <c r="O1159" s="252" t="s">
        <v>849</v>
      </c>
      <c r="P1159" s="252" t="s">
        <v>849</v>
      </c>
      <c r="Q1159" s="252" t="s">
        <v>849</v>
      </c>
    </row>
    <row r="1160" spans="2:26" ht="12.75" customHeight="1" x14ac:dyDescent="0.2">
      <c r="B1160" s="253" t="s">
        <v>266</v>
      </c>
      <c r="C1160" s="254"/>
      <c r="D1160" s="255"/>
      <c r="E1160" s="256"/>
      <c r="F1160" s="256"/>
      <c r="G1160" s="357" t="s">
        <v>69</v>
      </c>
      <c r="H1160" s="257" t="s">
        <v>262</v>
      </c>
      <c r="I1160" s="258" t="s">
        <v>70</v>
      </c>
      <c r="J1160" s="357" t="s">
        <v>69</v>
      </c>
      <c r="K1160" s="457" t="s">
        <v>262</v>
      </c>
      <c r="L1160" s="258" t="s">
        <v>70</v>
      </c>
      <c r="M1160" s="357" t="s">
        <v>69</v>
      </c>
      <c r="N1160" s="257" t="s">
        <v>262</v>
      </c>
      <c r="O1160" s="258" t="s">
        <v>70</v>
      </c>
      <c r="P1160" s="258" t="s">
        <v>70</v>
      </c>
      <c r="Q1160" s="258" t="s">
        <v>70</v>
      </c>
    </row>
    <row r="1161" spans="2:26" ht="12.75" customHeight="1" x14ac:dyDescent="0.2">
      <c r="B1161" s="273"/>
      <c r="F1161" s="265"/>
      <c r="G1161" s="268"/>
      <c r="H1161" s="317"/>
      <c r="I1161" s="318"/>
      <c r="J1161" s="268"/>
      <c r="K1161" s="456"/>
      <c r="L1161" s="318"/>
      <c r="M1161" s="268"/>
      <c r="N1161" s="317"/>
      <c r="O1161" s="318"/>
      <c r="P1161" s="318"/>
      <c r="Q1161" s="318"/>
    </row>
    <row r="1162" spans="2:26" ht="12.75" customHeight="1" x14ac:dyDescent="0.2">
      <c r="B1162" s="261">
        <v>4100</v>
      </c>
      <c r="C1162" s="262" t="s">
        <v>457</v>
      </c>
      <c r="D1162" s="263"/>
      <c r="E1162" s="264"/>
      <c r="F1162" s="265"/>
      <c r="G1162" s="268"/>
      <c r="H1162" s="317"/>
      <c r="I1162" s="418"/>
      <c r="J1162" s="268"/>
      <c r="K1162" s="456"/>
      <c r="L1162" s="418"/>
      <c r="M1162" s="268"/>
      <c r="N1162" s="317"/>
      <c r="O1162" s="418"/>
      <c r="P1162" s="418"/>
      <c r="Q1162" s="418"/>
    </row>
    <row r="1163" spans="2:26" ht="12.75" customHeight="1" x14ac:dyDescent="0.2">
      <c r="B1163" s="267"/>
      <c r="C1163" s="262"/>
      <c r="D1163" s="263"/>
      <c r="E1163" s="264"/>
      <c r="F1163" s="265"/>
      <c r="G1163" s="268"/>
      <c r="H1163" s="317"/>
      <c r="I1163" s="418"/>
      <c r="J1163" s="268"/>
      <c r="K1163" s="456"/>
      <c r="L1163" s="418"/>
      <c r="M1163" s="268"/>
      <c r="N1163" s="317"/>
      <c r="O1163" s="418"/>
      <c r="P1163" s="418"/>
      <c r="Q1163" s="418"/>
    </row>
    <row r="1164" spans="2:26" ht="12.75" customHeight="1" x14ac:dyDescent="0.2">
      <c r="B1164" s="267">
        <v>41.01</v>
      </c>
      <c r="C1164" s="273" t="s">
        <v>458</v>
      </c>
      <c r="F1164" s="265"/>
      <c r="G1164" s="268"/>
      <c r="H1164" s="317"/>
      <c r="I1164" s="418"/>
      <c r="J1164" s="268"/>
      <c r="K1164" s="456"/>
      <c r="L1164" s="418"/>
      <c r="M1164" s="268"/>
      <c r="N1164" s="317"/>
      <c r="O1164" s="418"/>
      <c r="P1164" s="418"/>
      <c r="Q1164" s="418"/>
    </row>
    <row r="1165" spans="2:26" ht="12.75" customHeight="1" x14ac:dyDescent="0.2">
      <c r="B1165" s="267"/>
      <c r="C1165" s="273" t="s">
        <v>276</v>
      </c>
      <c r="D1165" s="241" t="s">
        <v>239</v>
      </c>
      <c r="F1165" s="265" t="s">
        <v>456</v>
      </c>
      <c r="G1165" s="268">
        <f>(3600*10.6*0.8)</f>
        <v>30528</v>
      </c>
      <c r="H1165" s="418">
        <v>11</v>
      </c>
      <c r="I1165" s="418">
        <f t="shared" ref="I1165:I1171" si="433">IF(G1165=0," ",G1165*H1165)</f>
        <v>335808</v>
      </c>
      <c r="J1165" s="268">
        <v>30528</v>
      </c>
      <c r="K1165" s="459">
        <v>21.38</v>
      </c>
      <c r="L1165" s="418">
        <f>IF(J1165=0," ",J1165*K1165)</f>
        <v>652688.64000000001</v>
      </c>
      <c r="M1165" s="268">
        <v>30528</v>
      </c>
      <c r="N1165" s="418">
        <v>21.38</v>
      </c>
      <c r="O1165" s="418">
        <f t="shared" ref="O1165:O1166" si="434">IF(M1165=0," ",M1165*N1165)</f>
        <v>652688.64000000001</v>
      </c>
      <c r="P1165" s="418">
        <f>K1165-N1165</f>
        <v>0</v>
      </c>
      <c r="Q1165" s="418">
        <f>L1165-O1165</f>
        <v>0</v>
      </c>
      <c r="U1165" s="234"/>
      <c r="V1165" s="234"/>
      <c r="W1165" s="234"/>
      <c r="X1165" s="234"/>
      <c r="Y1165" s="234"/>
      <c r="Z1165" s="234"/>
    </row>
    <row r="1166" spans="2:26" ht="12.75" customHeight="1" x14ac:dyDescent="0.2">
      <c r="B1166" s="267"/>
      <c r="F1166" s="265"/>
      <c r="G1166" s="268"/>
      <c r="H1166" s="418"/>
      <c r="I1166" s="418" t="str">
        <f t="shared" si="433"/>
        <v xml:space="preserve"> </v>
      </c>
      <c r="J1166" s="268"/>
      <c r="K1166" s="459"/>
      <c r="L1166" s="418" t="str">
        <f t="shared" ref="L1166" si="435">IF(J1166=0," ",J1166*K1166)</f>
        <v xml:space="preserve"> </v>
      </c>
      <c r="M1166" s="268"/>
      <c r="N1166" s="418"/>
      <c r="O1166" s="418" t="str">
        <f t="shared" si="434"/>
        <v xml:space="preserve"> </v>
      </c>
      <c r="P1166" s="418"/>
      <c r="Q1166" s="418"/>
      <c r="U1166" s="234"/>
      <c r="V1166" s="234"/>
      <c r="W1166" s="234"/>
      <c r="X1166" s="234"/>
      <c r="Y1166" s="234"/>
      <c r="Z1166" s="234"/>
    </row>
    <row r="1167" spans="2:26" ht="12.75" customHeight="1" x14ac:dyDescent="0.2">
      <c r="B1167" s="267"/>
      <c r="C1167" s="273" t="s">
        <v>121</v>
      </c>
      <c r="D1167" s="241" t="s">
        <v>57</v>
      </c>
      <c r="E1167" s="241"/>
      <c r="F1167" s="268" t="s">
        <v>456</v>
      </c>
      <c r="G1167" s="65" t="s">
        <v>596</v>
      </c>
      <c r="H1167" s="418">
        <v>11</v>
      </c>
      <c r="I1167" s="418"/>
      <c r="J1167" s="65" t="s">
        <v>596</v>
      </c>
      <c r="K1167" s="456">
        <v>19.579999999999998</v>
      </c>
      <c r="L1167" s="418"/>
      <c r="M1167" s="65" t="s">
        <v>596</v>
      </c>
      <c r="N1167" s="418">
        <v>19.579999999999998</v>
      </c>
      <c r="O1167" s="418"/>
      <c r="P1167" s="418">
        <f t="shared" ref="P1167:P1171" si="436">K1167-N1167</f>
        <v>0</v>
      </c>
      <c r="Q1167" s="418">
        <f t="shared" ref="Q1167:Q1171" si="437">L1167-O1167</f>
        <v>0</v>
      </c>
    </row>
    <row r="1168" spans="2:26" ht="12.75" customHeight="1" x14ac:dyDescent="0.2">
      <c r="B1168" s="267"/>
      <c r="F1168" s="265"/>
      <c r="G1168" s="268"/>
      <c r="H1168" s="418" t="str">
        <f t="shared" ref="H1168:H1170" si="438">IF(F1168=0," ",F1168*G1168)</f>
        <v xml:space="preserve"> </v>
      </c>
      <c r="I1168" s="418" t="str">
        <f t="shared" si="433"/>
        <v xml:space="preserve"> </v>
      </c>
      <c r="J1168" s="268"/>
      <c r="K1168" s="456" t="s">
        <v>849</v>
      </c>
      <c r="L1168" s="418" t="str">
        <f t="shared" ref="L1168:L1171" si="439">IF(J1168=0," ",J1168*K1168)</f>
        <v xml:space="preserve"> </v>
      </c>
      <c r="M1168" s="268"/>
      <c r="N1168" s="418"/>
      <c r="O1168" s="418" t="str">
        <f t="shared" ref="O1168:O1171" si="440">IF(M1168=0," ",M1168*N1168)</f>
        <v xml:space="preserve"> </v>
      </c>
      <c r="P1168" s="418"/>
      <c r="Q1168" s="418"/>
    </row>
    <row r="1169" spans="2:17" ht="12.75" customHeight="1" x14ac:dyDescent="0.2">
      <c r="B1169" s="267">
        <v>41.02</v>
      </c>
      <c r="C1169" s="273" t="s">
        <v>459</v>
      </c>
      <c r="F1169" s="265" t="s">
        <v>275</v>
      </c>
      <c r="G1169" s="268">
        <v>800</v>
      </c>
      <c r="H1169" s="418">
        <v>10</v>
      </c>
      <c r="I1169" s="418">
        <f t="shared" si="433"/>
        <v>8000</v>
      </c>
      <c r="J1169" s="268">
        <v>800</v>
      </c>
      <c r="K1169" s="456">
        <v>35</v>
      </c>
      <c r="L1169" s="418">
        <f t="shared" si="439"/>
        <v>28000</v>
      </c>
      <c r="M1169" s="268">
        <v>800</v>
      </c>
      <c r="N1169" s="418">
        <v>12</v>
      </c>
      <c r="O1169" s="418">
        <f t="shared" si="440"/>
        <v>9600</v>
      </c>
      <c r="P1169" s="460">
        <f t="shared" si="436"/>
        <v>23</v>
      </c>
      <c r="Q1169" s="460">
        <f t="shared" si="437"/>
        <v>18400</v>
      </c>
    </row>
    <row r="1170" spans="2:17" ht="12.75" customHeight="1" x14ac:dyDescent="0.2">
      <c r="B1170" s="267"/>
      <c r="F1170" s="265"/>
      <c r="G1170" s="275"/>
      <c r="H1170" s="418" t="str">
        <f t="shared" si="438"/>
        <v xml:space="preserve"> </v>
      </c>
      <c r="I1170" s="418" t="str">
        <f t="shared" si="433"/>
        <v xml:space="preserve"> </v>
      </c>
      <c r="J1170" s="275"/>
      <c r="K1170" s="456" t="s">
        <v>849</v>
      </c>
      <c r="L1170" s="418" t="str">
        <f t="shared" si="439"/>
        <v xml:space="preserve"> </v>
      </c>
      <c r="M1170" s="275"/>
      <c r="N1170" s="418"/>
      <c r="O1170" s="418" t="str">
        <f t="shared" si="440"/>
        <v xml:space="preserve"> </v>
      </c>
      <c r="P1170" s="418"/>
      <c r="Q1170" s="418"/>
    </row>
    <row r="1171" spans="2:17" ht="12.75" customHeight="1" x14ac:dyDescent="0.2">
      <c r="B1171" s="283" t="s">
        <v>426</v>
      </c>
      <c r="C1171" s="273" t="s">
        <v>240</v>
      </c>
      <c r="F1171" s="265" t="s">
        <v>456</v>
      </c>
      <c r="G1171" s="358">
        <v>1200</v>
      </c>
      <c r="H1171" s="418">
        <v>15</v>
      </c>
      <c r="I1171" s="418">
        <f t="shared" si="433"/>
        <v>18000</v>
      </c>
      <c r="J1171" s="358">
        <v>1200</v>
      </c>
      <c r="K1171" s="456">
        <v>18</v>
      </c>
      <c r="L1171" s="418">
        <f t="shared" si="439"/>
        <v>21600</v>
      </c>
      <c r="M1171" s="358">
        <v>1200</v>
      </c>
      <c r="N1171" s="418">
        <v>18</v>
      </c>
      <c r="O1171" s="418">
        <f t="shared" si="440"/>
        <v>21600</v>
      </c>
      <c r="P1171" s="418">
        <f t="shared" si="436"/>
        <v>0</v>
      </c>
      <c r="Q1171" s="418">
        <f t="shared" si="437"/>
        <v>0</v>
      </c>
    </row>
    <row r="1172" spans="2:17" ht="12.75" customHeight="1" x14ac:dyDescent="0.2">
      <c r="B1172" s="267"/>
      <c r="C1172" s="273" t="s">
        <v>241</v>
      </c>
      <c r="F1172" s="265"/>
      <c r="G1172" s="275"/>
      <c r="H1172" s="317"/>
      <c r="I1172" s="418"/>
      <c r="J1172" s="275"/>
      <c r="K1172" s="456"/>
      <c r="L1172" s="418"/>
      <c r="M1172" s="275"/>
      <c r="N1172" s="317"/>
      <c r="O1172" s="418"/>
      <c r="P1172" s="418"/>
      <c r="Q1172" s="418"/>
    </row>
    <row r="1173" spans="2:17" ht="12.75" customHeight="1" x14ac:dyDescent="0.2">
      <c r="B1173" s="267"/>
      <c r="F1173" s="265"/>
      <c r="G1173" s="275"/>
      <c r="H1173" s="317"/>
      <c r="I1173" s="418"/>
      <c r="J1173" s="275"/>
      <c r="K1173" s="456"/>
      <c r="L1173" s="418"/>
      <c r="M1173" s="275"/>
      <c r="N1173" s="317"/>
      <c r="O1173" s="418"/>
      <c r="P1173" s="418"/>
      <c r="Q1173" s="418"/>
    </row>
    <row r="1174" spans="2:17" ht="12.75" customHeight="1" x14ac:dyDescent="0.2">
      <c r="B1174" s="267"/>
      <c r="F1174" s="265"/>
      <c r="G1174" s="275"/>
      <c r="H1174" s="317"/>
      <c r="I1174" s="418"/>
      <c r="J1174" s="275"/>
      <c r="K1174" s="456"/>
      <c r="L1174" s="418"/>
      <c r="M1174" s="275"/>
      <c r="N1174" s="317"/>
      <c r="O1174" s="418"/>
      <c r="P1174" s="418"/>
      <c r="Q1174" s="418"/>
    </row>
    <row r="1175" spans="2:17" ht="12.75" customHeight="1" x14ac:dyDescent="0.2">
      <c r="B1175" s="267"/>
      <c r="F1175" s="265"/>
      <c r="G1175" s="268"/>
      <c r="H1175" s="317"/>
      <c r="I1175" s="418"/>
      <c r="J1175" s="268"/>
      <c r="K1175" s="456"/>
      <c r="L1175" s="418"/>
      <c r="M1175" s="268"/>
      <c r="N1175" s="317"/>
      <c r="O1175" s="418"/>
      <c r="P1175" s="418"/>
      <c r="Q1175" s="418"/>
    </row>
    <row r="1176" spans="2:17" ht="12.75" customHeight="1" x14ac:dyDescent="0.2">
      <c r="B1176" s="267"/>
      <c r="F1176" s="265"/>
      <c r="G1176" s="268"/>
      <c r="H1176" s="317"/>
      <c r="I1176" s="418"/>
      <c r="J1176" s="268"/>
      <c r="K1176" s="456"/>
      <c r="L1176" s="418"/>
      <c r="M1176" s="268"/>
      <c r="N1176" s="317"/>
      <c r="O1176" s="418"/>
      <c r="P1176" s="418"/>
      <c r="Q1176" s="418"/>
    </row>
    <row r="1177" spans="2:17" ht="12.75" customHeight="1" x14ac:dyDescent="0.2">
      <c r="B1177" s="267"/>
      <c r="F1177" s="265"/>
      <c r="G1177" s="268"/>
      <c r="H1177" s="317"/>
      <c r="I1177" s="418"/>
      <c r="J1177" s="268"/>
      <c r="K1177" s="456"/>
      <c r="L1177" s="418"/>
      <c r="M1177" s="268"/>
      <c r="N1177" s="317"/>
      <c r="O1177" s="418"/>
      <c r="P1177" s="418"/>
      <c r="Q1177" s="418"/>
    </row>
    <row r="1178" spans="2:17" ht="12.75" customHeight="1" x14ac:dyDescent="0.2">
      <c r="B1178" s="267"/>
      <c r="F1178" s="265"/>
      <c r="G1178" s="268"/>
      <c r="H1178" s="317"/>
      <c r="I1178" s="418"/>
      <c r="J1178" s="268"/>
      <c r="K1178" s="456"/>
      <c r="L1178" s="418"/>
      <c r="M1178" s="268"/>
      <c r="N1178" s="317"/>
      <c r="O1178" s="418"/>
      <c r="P1178" s="418"/>
      <c r="Q1178" s="418"/>
    </row>
    <row r="1179" spans="2:17" ht="12.75" customHeight="1" x14ac:dyDescent="0.2">
      <c r="B1179" s="267"/>
      <c r="F1179" s="265"/>
      <c r="G1179" s="268"/>
      <c r="H1179" s="317"/>
      <c r="I1179" s="418"/>
      <c r="J1179" s="268"/>
      <c r="K1179" s="456"/>
      <c r="L1179" s="418"/>
      <c r="M1179" s="268"/>
      <c r="N1179" s="317"/>
      <c r="O1179" s="418"/>
      <c r="P1179" s="418"/>
      <c r="Q1179" s="418"/>
    </row>
    <row r="1180" spans="2:17" ht="12.75" customHeight="1" x14ac:dyDescent="0.2">
      <c r="B1180" s="267"/>
      <c r="F1180" s="265"/>
      <c r="G1180" s="268"/>
      <c r="H1180" s="317"/>
      <c r="I1180" s="418"/>
      <c r="J1180" s="268"/>
      <c r="K1180" s="456"/>
      <c r="L1180" s="418"/>
      <c r="M1180" s="268"/>
      <c r="N1180" s="317"/>
      <c r="O1180" s="418"/>
      <c r="P1180" s="418"/>
      <c r="Q1180" s="418"/>
    </row>
    <row r="1181" spans="2:17" ht="12.75" customHeight="1" x14ac:dyDescent="0.2">
      <c r="B1181" s="267"/>
      <c r="F1181" s="265"/>
      <c r="G1181" s="268"/>
      <c r="H1181" s="317"/>
      <c r="I1181" s="418"/>
      <c r="J1181" s="268"/>
      <c r="K1181" s="456"/>
      <c r="L1181" s="418"/>
      <c r="M1181" s="268"/>
      <c r="N1181" s="317"/>
      <c r="O1181" s="418"/>
      <c r="P1181" s="418"/>
      <c r="Q1181" s="418"/>
    </row>
    <row r="1182" spans="2:17" ht="12.75" customHeight="1" x14ac:dyDescent="0.2">
      <c r="B1182" s="267"/>
      <c r="F1182" s="265"/>
      <c r="G1182" s="268"/>
      <c r="H1182" s="317"/>
      <c r="I1182" s="418"/>
      <c r="J1182" s="268"/>
      <c r="K1182" s="456"/>
      <c r="L1182" s="418"/>
      <c r="M1182" s="268"/>
      <c r="N1182" s="317"/>
      <c r="O1182" s="418"/>
      <c r="P1182" s="418"/>
      <c r="Q1182" s="418"/>
    </row>
    <row r="1183" spans="2:17" ht="12.75" customHeight="1" x14ac:dyDescent="0.2">
      <c r="B1183" s="267"/>
      <c r="F1183" s="265"/>
      <c r="G1183" s="268"/>
      <c r="H1183" s="317"/>
      <c r="I1183" s="418"/>
      <c r="J1183" s="268"/>
      <c r="K1183" s="456"/>
      <c r="L1183" s="418"/>
      <c r="M1183" s="268"/>
      <c r="N1183" s="317"/>
      <c r="O1183" s="418"/>
      <c r="P1183" s="418"/>
      <c r="Q1183" s="418"/>
    </row>
    <row r="1184" spans="2:17" ht="12.75" customHeight="1" x14ac:dyDescent="0.2">
      <c r="B1184" s="267"/>
      <c r="F1184" s="265"/>
      <c r="G1184" s="268"/>
      <c r="H1184" s="317"/>
      <c r="I1184" s="418"/>
      <c r="J1184" s="268"/>
      <c r="K1184" s="456"/>
      <c r="L1184" s="418"/>
      <c r="M1184" s="268"/>
      <c r="N1184" s="317"/>
      <c r="O1184" s="418"/>
      <c r="P1184" s="418"/>
      <c r="Q1184" s="418"/>
    </row>
    <row r="1185" spans="2:17" ht="12.75" customHeight="1" x14ac:dyDescent="0.2">
      <c r="B1185" s="267"/>
      <c r="F1185" s="265"/>
      <c r="G1185" s="268"/>
      <c r="H1185" s="317"/>
      <c r="I1185" s="418"/>
      <c r="J1185" s="268"/>
      <c r="K1185" s="456"/>
      <c r="L1185" s="418"/>
      <c r="M1185" s="268"/>
      <c r="N1185" s="317"/>
      <c r="O1185" s="418"/>
      <c r="P1185" s="418"/>
      <c r="Q1185" s="418"/>
    </row>
    <row r="1186" spans="2:17" ht="12.75" customHeight="1" x14ac:dyDescent="0.2">
      <c r="B1186" s="267"/>
      <c r="F1186" s="265"/>
      <c r="G1186" s="268"/>
      <c r="H1186" s="317"/>
      <c r="I1186" s="418"/>
      <c r="J1186" s="268"/>
      <c r="K1186" s="456"/>
      <c r="L1186" s="418"/>
      <c r="M1186" s="268"/>
      <c r="N1186" s="317"/>
      <c r="O1186" s="418"/>
      <c r="P1186" s="418"/>
      <c r="Q1186" s="418"/>
    </row>
    <row r="1187" spans="2:17" ht="12.75" customHeight="1" x14ac:dyDescent="0.2">
      <c r="B1187" s="267"/>
      <c r="F1187" s="265"/>
      <c r="G1187" s="268"/>
      <c r="H1187" s="317"/>
      <c r="I1187" s="418"/>
      <c r="J1187" s="268"/>
      <c r="K1187" s="456"/>
      <c r="L1187" s="418"/>
      <c r="M1187" s="268"/>
      <c r="N1187" s="317"/>
      <c r="O1187" s="418"/>
      <c r="P1187" s="418"/>
      <c r="Q1187" s="418"/>
    </row>
    <row r="1188" spans="2:17" ht="12.75" customHeight="1" x14ac:dyDescent="0.2">
      <c r="B1188" s="267"/>
      <c r="F1188" s="265"/>
      <c r="G1188" s="268"/>
      <c r="H1188" s="317"/>
      <c r="I1188" s="418"/>
      <c r="J1188" s="268"/>
      <c r="K1188" s="456"/>
      <c r="L1188" s="418"/>
      <c r="M1188" s="268"/>
      <c r="N1188" s="317"/>
      <c r="O1188" s="418"/>
      <c r="P1188" s="418"/>
      <c r="Q1188" s="418"/>
    </row>
    <row r="1189" spans="2:17" ht="12.75" customHeight="1" x14ac:dyDescent="0.2">
      <c r="B1189" s="267"/>
      <c r="F1189" s="265"/>
      <c r="G1189" s="275"/>
      <c r="H1189" s="317"/>
      <c r="I1189" s="418"/>
      <c r="J1189" s="275"/>
      <c r="K1189" s="456"/>
      <c r="L1189" s="418"/>
      <c r="M1189" s="275"/>
      <c r="N1189" s="317"/>
      <c r="O1189" s="418"/>
      <c r="P1189" s="418"/>
      <c r="Q1189" s="418"/>
    </row>
    <row r="1190" spans="2:17" ht="12.75" customHeight="1" x14ac:dyDescent="0.2">
      <c r="B1190" s="267"/>
      <c r="F1190" s="265"/>
      <c r="G1190" s="275"/>
      <c r="H1190" s="317"/>
      <c r="I1190" s="418"/>
      <c r="J1190" s="275"/>
      <c r="K1190" s="456"/>
      <c r="L1190" s="418"/>
      <c r="M1190" s="275"/>
      <c r="N1190" s="317"/>
      <c r="O1190" s="418"/>
      <c r="P1190" s="418"/>
      <c r="Q1190" s="418"/>
    </row>
    <row r="1191" spans="2:17" ht="12.75" customHeight="1" x14ac:dyDescent="0.2">
      <c r="B1191" s="267"/>
      <c r="F1191" s="265"/>
      <c r="G1191" s="268"/>
      <c r="H1191" s="317"/>
      <c r="I1191" s="418"/>
      <c r="J1191" s="268"/>
      <c r="K1191" s="456"/>
      <c r="L1191" s="418"/>
      <c r="M1191" s="268"/>
      <c r="N1191" s="317"/>
      <c r="O1191" s="418"/>
      <c r="P1191" s="418"/>
      <c r="Q1191" s="418"/>
    </row>
    <row r="1192" spans="2:17" ht="12.75" customHeight="1" x14ac:dyDescent="0.2">
      <c r="B1192" s="267"/>
      <c r="F1192" s="265"/>
      <c r="G1192" s="268"/>
      <c r="H1192" s="317"/>
      <c r="I1192" s="418"/>
      <c r="J1192" s="268"/>
      <c r="K1192" s="456"/>
      <c r="L1192" s="418"/>
      <c r="M1192" s="268"/>
      <c r="N1192" s="317"/>
      <c r="O1192" s="418"/>
      <c r="P1192" s="418"/>
      <c r="Q1192" s="418"/>
    </row>
    <row r="1193" spans="2:17" ht="12.75" customHeight="1" x14ac:dyDescent="0.2">
      <c r="B1193" s="267"/>
      <c r="F1193" s="265"/>
      <c r="G1193" s="268"/>
      <c r="H1193" s="317"/>
      <c r="I1193" s="418"/>
      <c r="J1193" s="268"/>
      <c r="K1193" s="456"/>
      <c r="L1193" s="418"/>
      <c r="M1193" s="268"/>
      <c r="N1193" s="317"/>
      <c r="O1193" s="418"/>
      <c r="P1193" s="418"/>
      <c r="Q1193" s="418"/>
    </row>
    <row r="1194" spans="2:17" ht="12.75" customHeight="1" x14ac:dyDescent="0.2">
      <c r="B1194" s="267"/>
      <c r="F1194" s="265"/>
      <c r="G1194" s="268"/>
      <c r="H1194" s="317"/>
      <c r="I1194" s="418"/>
      <c r="J1194" s="268"/>
      <c r="K1194" s="456"/>
      <c r="L1194" s="418"/>
      <c r="M1194" s="268"/>
      <c r="N1194" s="317"/>
      <c r="O1194" s="418"/>
      <c r="P1194" s="418"/>
      <c r="Q1194" s="418"/>
    </row>
    <row r="1195" spans="2:17" ht="12.75" customHeight="1" x14ac:dyDescent="0.2">
      <c r="B1195" s="267"/>
      <c r="F1195" s="265"/>
      <c r="G1195" s="268"/>
      <c r="H1195" s="317"/>
      <c r="I1195" s="418"/>
      <c r="J1195" s="268"/>
      <c r="K1195" s="456"/>
      <c r="L1195" s="418"/>
      <c r="M1195" s="268"/>
      <c r="N1195" s="317"/>
      <c r="O1195" s="418"/>
      <c r="P1195" s="418"/>
      <c r="Q1195" s="418"/>
    </row>
    <row r="1196" spans="2:17" ht="12.75" customHeight="1" x14ac:dyDescent="0.2">
      <c r="B1196" s="267"/>
      <c r="F1196" s="265"/>
      <c r="G1196" s="268"/>
      <c r="H1196" s="317"/>
      <c r="I1196" s="418"/>
      <c r="J1196" s="268"/>
      <c r="K1196" s="456"/>
      <c r="L1196" s="418"/>
      <c r="M1196" s="268"/>
      <c r="N1196" s="317"/>
      <c r="O1196" s="418"/>
      <c r="P1196" s="418"/>
      <c r="Q1196" s="418"/>
    </row>
    <row r="1197" spans="2:17" ht="12.75" customHeight="1" x14ac:dyDescent="0.2">
      <c r="B1197" s="267"/>
      <c r="F1197" s="265"/>
      <c r="G1197" s="268"/>
      <c r="H1197" s="317"/>
      <c r="I1197" s="418"/>
      <c r="J1197" s="268"/>
      <c r="K1197" s="456"/>
      <c r="L1197" s="418"/>
      <c r="M1197" s="268"/>
      <c r="N1197" s="317"/>
      <c r="O1197" s="418"/>
      <c r="P1197" s="418"/>
      <c r="Q1197" s="418"/>
    </row>
    <row r="1198" spans="2:17" ht="12.75" customHeight="1" x14ac:dyDescent="0.2">
      <c r="B1198" s="267"/>
      <c r="F1198" s="265"/>
      <c r="G1198" s="268"/>
      <c r="H1198" s="317"/>
      <c r="I1198" s="418"/>
      <c r="J1198" s="268"/>
      <c r="K1198" s="456"/>
      <c r="L1198" s="418"/>
      <c r="M1198" s="268"/>
      <c r="N1198" s="317"/>
      <c r="O1198" s="418"/>
      <c r="P1198" s="418"/>
      <c r="Q1198" s="418"/>
    </row>
    <row r="1199" spans="2:17" ht="12.75" customHeight="1" x14ac:dyDescent="0.2">
      <c r="B1199" s="267"/>
      <c r="F1199" s="265"/>
      <c r="G1199" s="268"/>
      <c r="H1199" s="317"/>
      <c r="I1199" s="418"/>
      <c r="J1199" s="268"/>
      <c r="K1199" s="456"/>
      <c r="L1199" s="418"/>
      <c r="M1199" s="268"/>
      <c r="N1199" s="317"/>
      <c r="O1199" s="418"/>
      <c r="P1199" s="418"/>
      <c r="Q1199" s="418"/>
    </row>
    <row r="1200" spans="2:17" ht="12.75" customHeight="1" x14ac:dyDescent="0.2">
      <c r="B1200" s="267"/>
      <c r="F1200" s="265"/>
      <c r="G1200" s="268"/>
      <c r="H1200" s="317"/>
      <c r="I1200" s="418"/>
      <c r="J1200" s="268"/>
      <c r="K1200" s="456"/>
      <c r="L1200" s="418"/>
      <c r="M1200" s="268"/>
      <c r="N1200" s="317"/>
      <c r="O1200" s="418"/>
      <c r="P1200" s="418"/>
      <c r="Q1200" s="418"/>
    </row>
    <row r="1201" spans="2:17" ht="12.75" customHeight="1" x14ac:dyDescent="0.2">
      <c r="B1201" s="267"/>
      <c r="F1201" s="265"/>
      <c r="G1201" s="268"/>
      <c r="H1201" s="317"/>
      <c r="I1201" s="418"/>
      <c r="J1201" s="268"/>
      <c r="K1201" s="456"/>
      <c r="L1201" s="418"/>
      <c r="M1201" s="268"/>
      <c r="N1201" s="317"/>
      <c r="O1201" s="418"/>
      <c r="P1201" s="418"/>
      <c r="Q1201" s="418"/>
    </row>
    <row r="1202" spans="2:17" ht="12.75" customHeight="1" x14ac:dyDescent="0.2">
      <c r="B1202" s="267"/>
      <c r="F1202" s="265"/>
      <c r="G1202" s="268"/>
      <c r="H1202" s="317"/>
      <c r="I1202" s="418"/>
      <c r="J1202" s="268"/>
      <c r="K1202" s="456"/>
      <c r="L1202" s="418"/>
      <c r="M1202" s="268"/>
      <c r="N1202" s="317"/>
      <c r="O1202" s="418"/>
      <c r="P1202" s="418"/>
      <c r="Q1202" s="418"/>
    </row>
    <row r="1203" spans="2:17" ht="12.75" customHeight="1" x14ac:dyDescent="0.2">
      <c r="B1203" s="267"/>
      <c r="F1203" s="265"/>
      <c r="G1203" s="268"/>
      <c r="H1203" s="317"/>
      <c r="I1203" s="418"/>
      <c r="J1203" s="268"/>
      <c r="K1203" s="456"/>
      <c r="L1203" s="418"/>
      <c r="M1203" s="268"/>
      <c r="N1203" s="317"/>
      <c r="O1203" s="418"/>
      <c r="P1203" s="418"/>
      <c r="Q1203" s="418"/>
    </row>
    <row r="1204" spans="2:17" ht="12.75" customHeight="1" x14ac:dyDescent="0.2">
      <c r="B1204" s="267"/>
      <c r="F1204" s="265"/>
      <c r="G1204" s="268"/>
      <c r="H1204" s="317"/>
      <c r="I1204" s="418"/>
      <c r="J1204" s="268"/>
      <c r="K1204" s="456"/>
      <c r="L1204" s="418"/>
      <c r="M1204" s="268"/>
      <c r="N1204" s="317"/>
      <c r="O1204" s="418"/>
      <c r="P1204" s="418"/>
      <c r="Q1204" s="418"/>
    </row>
    <row r="1205" spans="2:17" ht="12.75" customHeight="1" x14ac:dyDescent="0.2">
      <c r="B1205" s="267"/>
      <c r="F1205" s="265"/>
      <c r="G1205" s="268"/>
      <c r="H1205" s="317"/>
      <c r="I1205" s="418"/>
      <c r="J1205" s="268"/>
      <c r="K1205" s="456"/>
      <c r="L1205" s="418"/>
      <c r="M1205" s="268"/>
      <c r="N1205" s="317"/>
      <c r="O1205" s="418"/>
      <c r="P1205" s="418"/>
      <c r="Q1205" s="418"/>
    </row>
    <row r="1206" spans="2:17" ht="12.75" customHeight="1" x14ac:dyDescent="0.2">
      <c r="B1206" s="267"/>
      <c r="F1206" s="265"/>
      <c r="G1206" s="268"/>
      <c r="H1206" s="317"/>
      <c r="I1206" s="418"/>
      <c r="J1206" s="268"/>
      <c r="K1206" s="456"/>
      <c r="L1206" s="418"/>
      <c r="M1206" s="268"/>
      <c r="N1206" s="317"/>
      <c r="O1206" s="418"/>
      <c r="P1206" s="418"/>
      <c r="Q1206" s="418"/>
    </row>
    <row r="1207" spans="2:17" ht="12.75" customHeight="1" x14ac:dyDescent="0.2">
      <c r="B1207" s="267"/>
      <c r="F1207" s="265"/>
      <c r="G1207" s="268"/>
      <c r="H1207" s="317"/>
      <c r="I1207" s="418"/>
      <c r="J1207" s="268"/>
      <c r="K1207" s="456"/>
      <c r="L1207" s="418"/>
      <c r="M1207" s="268"/>
      <c r="N1207" s="317"/>
      <c r="O1207" s="418"/>
      <c r="P1207" s="418"/>
      <c r="Q1207" s="418"/>
    </row>
    <row r="1208" spans="2:17" ht="12.75" customHeight="1" x14ac:dyDescent="0.2">
      <c r="B1208" s="267"/>
      <c r="F1208" s="265"/>
      <c r="G1208" s="268"/>
      <c r="H1208" s="317"/>
      <c r="I1208" s="418"/>
      <c r="J1208" s="268"/>
      <c r="K1208" s="456"/>
      <c r="L1208" s="418"/>
      <c r="M1208" s="268"/>
      <c r="N1208" s="317"/>
      <c r="O1208" s="418"/>
      <c r="P1208" s="418"/>
      <c r="Q1208" s="418"/>
    </row>
    <row r="1209" spans="2:17" ht="12.75" customHeight="1" x14ac:dyDescent="0.2">
      <c r="B1209" s="267"/>
      <c r="F1209" s="265"/>
      <c r="G1209" s="268"/>
      <c r="H1209" s="317"/>
      <c r="I1209" s="418"/>
      <c r="J1209" s="268"/>
      <c r="K1209" s="456"/>
      <c r="L1209" s="418"/>
      <c r="M1209" s="268"/>
      <c r="N1209" s="317"/>
      <c r="O1209" s="418"/>
      <c r="P1209" s="418"/>
      <c r="Q1209" s="418"/>
    </row>
    <row r="1210" spans="2:17" ht="12.75" customHeight="1" x14ac:dyDescent="0.2">
      <c r="B1210" s="267"/>
      <c r="F1210" s="265"/>
      <c r="G1210" s="268"/>
      <c r="H1210" s="317"/>
      <c r="I1210" s="418"/>
      <c r="J1210" s="268"/>
      <c r="K1210" s="456"/>
      <c r="L1210" s="418"/>
      <c r="M1210" s="268"/>
      <c r="N1210" s="317"/>
      <c r="O1210" s="418"/>
      <c r="P1210" s="418"/>
      <c r="Q1210" s="418"/>
    </row>
    <row r="1211" spans="2:17" ht="12.75" customHeight="1" x14ac:dyDescent="0.2">
      <c r="B1211" s="267"/>
      <c r="F1211" s="265"/>
      <c r="G1211" s="268"/>
      <c r="H1211" s="317"/>
      <c r="I1211" s="418"/>
      <c r="J1211" s="268"/>
      <c r="K1211" s="456"/>
      <c r="L1211" s="418"/>
      <c r="M1211" s="268"/>
      <c r="N1211" s="317"/>
      <c r="O1211" s="418"/>
      <c r="P1211" s="418"/>
      <c r="Q1211" s="418"/>
    </row>
    <row r="1212" spans="2:17" ht="12.75" customHeight="1" x14ac:dyDescent="0.2">
      <c r="B1212" s="267"/>
      <c r="F1212" s="265"/>
      <c r="G1212" s="268"/>
      <c r="H1212" s="317"/>
      <c r="I1212" s="418"/>
      <c r="J1212" s="268"/>
      <c r="K1212" s="456"/>
      <c r="L1212" s="418"/>
      <c r="M1212" s="268"/>
      <c r="N1212" s="317"/>
      <c r="O1212" s="418"/>
      <c r="P1212" s="418"/>
      <c r="Q1212" s="418"/>
    </row>
    <row r="1213" spans="2:17" ht="12.75" customHeight="1" x14ac:dyDescent="0.2">
      <c r="B1213" s="267"/>
      <c r="F1213" s="265"/>
      <c r="G1213" s="268"/>
      <c r="H1213" s="317"/>
      <c r="I1213" s="418"/>
      <c r="J1213" s="268"/>
      <c r="K1213" s="456"/>
      <c r="L1213" s="418"/>
      <c r="M1213" s="268"/>
      <c r="N1213" s="317"/>
      <c r="O1213" s="418"/>
      <c r="P1213" s="418"/>
      <c r="Q1213" s="418"/>
    </row>
    <row r="1214" spans="2:17" ht="12.75" customHeight="1" x14ac:dyDescent="0.2">
      <c r="B1214" s="267"/>
      <c r="F1214" s="265"/>
      <c r="G1214" s="268"/>
      <c r="H1214" s="317"/>
      <c r="I1214" s="418"/>
      <c r="J1214" s="268"/>
      <c r="K1214" s="456"/>
      <c r="L1214" s="418"/>
      <c r="M1214" s="268"/>
      <c r="N1214" s="317"/>
      <c r="O1214" s="418"/>
      <c r="P1214" s="418"/>
      <c r="Q1214" s="418"/>
    </row>
    <row r="1215" spans="2:17" ht="12.75" customHeight="1" x14ac:dyDescent="0.2">
      <c r="B1215" s="267"/>
      <c r="F1215" s="265"/>
      <c r="G1215" s="268"/>
      <c r="H1215" s="317"/>
      <c r="I1215" s="418"/>
      <c r="J1215" s="268"/>
      <c r="K1215" s="456"/>
      <c r="L1215" s="418"/>
      <c r="M1215" s="268"/>
      <c r="N1215" s="317"/>
      <c r="O1215" s="418"/>
      <c r="P1215" s="418"/>
      <c r="Q1215" s="418"/>
    </row>
    <row r="1216" spans="2:17" ht="12.75" customHeight="1" x14ac:dyDescent="0.2">
      <c r="B1216" s="267"/>
      <c r="F1216" s="265"/>
      <c r="G1216" s="268"/>
      <c r="H1216" s="317"/>
      <c r="I1216" s="418"/>
      <c r="J1216" s="268"/>
      <c r="K1216" s="456"/>
      <c r="L1216" s="418"/>
      <c r="M1216" s="268"/>
      <c r="N1216" s="317"/>
      <c r="O1216" s="418"/>
      <c r="P1216" s="418"/>
      <c r="Q1216" s="418"/>
    </row>
    <row r="1217" spans="2:17" ht="12.75" customHeight="1" x14ac:dyDescent="0.2">
      <c r="B1217" s="267"/>
      <c r="F1217" s="265"/>
      <c r="G1217" s="268"/>
      <c r="H1217" s="317"/>
      <c r="I1217" s="418"/>
      <c r="J1217" s="268"/>
      <c r="K1217" s="456"/>
      <c r="L1217" s="418"/>
      <c r="M1217" s="268"/>
      <c r="N1217" s="317"/>
      <c r="O1217" s="418"/>
      <c r="P1217" s="418"/>
      <c r="Q1217" s="418"/>
    </row>
    <row r="1218" spans="2:17" ht="12.75" customHeight="1" x14ac:dyDescent="0.2">
      <c r="B1218" s="267"/>
      <c r="F1218" s="265"/>
      <c r="G1218" s="268"/>
      <c r="H1218" s="317"/>
      <c r="I1218" s="418"/>
      <c r="J1218" s="268"/>
      <c r="K1218" s="456"/>
      <c r="L1218" s="418"/>
      <c r="M1218" s="268"/>
      <c r="N1218" s="317"/>
      <c r="O1218" s="418"/>
      <c r="P1218" s="418"/>
      <c r="Q1218" s="418"/>
    </row>
    <row r="1219" spans="2:17" ht="12.75" customHeight="1" x14ac:dyDescent="0.2">
      <c r="B1219" s="267"/>
      <c r="F1219" s="265"/>
      <c r="G1219" s="268"/>
      <c r="H1219" s="317"/>
      <c r="I1219" s="418"/>
      <c r="J1219" s="268"/>
      <c r="K1219" s="456"/>
      <c r="L1219" s="418"/>
      <c r="M1219" s="268"/>
      <c r="N1219" s="317"/>
      <c r="O1219" s="418"/>
      <c r="P1219" s="418"/>
      <c r="Q1219" s="418"/>
    </row>
    <row r="1220" spans="2:17" ht="12.75" customHeight="1" x14ac:dyDescent="0.2">
      <c r="B1220" s="267"/>
      <c r="F1220" s="265"/>
      <c r="G1220" s="268"/>
      <c r="H1220" s="317"/>
      <c r="I1220" s="418"/>
      <c r="J1220" s="268"/>
      <c r="K1220" s="456"/>
      <c r="L1220" s="418"/>
      <c r="M1220" s="268"/>
      <c r="N1220" s="317"/>
      <c r="O1220" s="418"/>
      <c r="P1220" s="418"/>
      <c r="Q1220" s="418"/>
    </row>
    <row r="1221" spans="2:17" ht="12.75" customHeight="1" x14ac:dyDescent="0.2">
      <c r="B1221" s="267"/>
      <c r="F1221" s="265"/>
      <c r="G1221" s="268"/>
      <c r="H1221" s="317"/>
      <c r="I1221" s="418"/>
      <c r="J1221" s="268"/>
      <c r="K1221" s="456"/>
      <c r="L1221" s="418"/>
      <c r="M1221" s="268"/>
      <c r="N1221" s="317"/>
      <c r="O1221" s="418"/>
      <c r="P1221" s="418"/>
      <c r="Q1221" s="418"/>
    </row>
    <row r="1222" spans="2:17" ht="12.75" customHeight="1" x14ac:dyDescent="0.2">
      <c r="B1222" s="273"/>
      <c r="F1222" s="265"/>
      <c r="G1222" s="268"/>
      <c r="H1222" s="317"/>
      <c r="I1222" s="318"/>
      <c r="J1222" s="268"/>
      <c r="K1222" s="456"/>
      <c r="L1222" s="318"/>
      <c r="M1222" s="268"/>
      <c r="N1222" s="317"/>
      <c r="O1222" s="318"/>
      <c r="P1222" s="318"/>
      <c r="Q1222" s="318"/>
    </row>
    <row r="1223" spans="2:17" ht="12.75" customHeight="1" x14ac:dyDescent="0.2">
      <c r="B1223" s="287">
        <v>4100</v>
      </c>
      <c r="C1223" s="288" t="s">
        <v>268</v>
      </c>
      <c r="D1223" s="289"/>
      <c r="E1223" s="290"/>
      <c r="F1223" s="291"/>
      <c r="G1223" s="291"/>
      <c r="H1223" s="422"/>
      <c r="I1223" s="423">
        <f>SUM(I1161:I1222)</f>
        <v>361808</v>
      </c>
      <c r="J1223" s="412"/>
      <c r="K1223" s="457"/>
      <c r="L1223" s="423">
        <f>SUM(L1165:L1222)</f>
        <v>702288.64</v>
      </c>
      <c r="M1223" s="291"/>
      <c r="N1223" s="422"/>
      <c r="O1223" s="423">
        <f>SUM(O1165:O1222)</f>
        <v>683888.64000000001</v>
      </c>
      <c r="P1223" s="423"/>
      <c r="Q1223" s="423">
        <f t="shared" ref="Q1223" si="441">SUM(Q1166:Q1222)</f>
        <v>18400</v>
      </c>
    </row>
    <row r="1224" spans="2:17" ht="12.75" customHeight="1" x14ac:dyDescent="0.2">
      <c r="B1224" s="239" t="s">
        <v>79</v>
      </c>
      <c r="C1224" s="239"/>
      <c r="D1224" s="263"/>
      <c r="E1224" s="297"/>
      <c r="H1224" s="426"/>
      <c r="I1224" s="427"/>
      <c r="K1224" s="456"/>
      <c r="L1224" s="427"/>
      <c r="N1224" s="426"/>
      <c r="O1224" s="427"/>
      <c r="P1224" s="427"/>
      <c r="Q1224" s="427"/>
    </row>
    <row r="1225" spans="2:17" ht="12.75" customHeight="1" x14ac:dyDescent="0.2">
      <c r="B1225" s="239" t="s">
        <v>267</v>
      </c>
      <c r="C1225" s="240"/>
      <c r="E1225" s="238"/>
      <c r="H1225" s="426"/>
      <c r="I1225" s="429" t="str">
        <f>IF(G1031=0," ",G1031*H1226)</f>
        <v xml:space="preserve"> </v>
      </c>
      <c r="K1225" s="456"/>
      <c r="L1225" s="429" t="str">
        <f t="shared" ref="L1225" si="442">IF(J1031=0," ",J1031*K1226)</f>
        <v xml:space="preserve"> </v>
      </c>
      <c r="N1225" s="426"/>
      <c r="O1225" s="429" t="str">
        <f t="shared" ref="O1225" si="443">IF(M1031=0," ",M1031*N1226)</f>
        <v xml:space="preserve"> </v>
      </c>
      <c r="P1225" s="429" t="str">
        <f t="shared" ref="P1225" si="444">IF(N1031=0," ",N1031*O1226)</f>
        <v xml:space="preserve"> </v>
      </c>
      <c r="Q1225" s="429"/>
    </row>
    <row r="1226" spans="2:17" ht="12.75" customHeight="1" x14ac:dyDescent="0.2">
      <c r="B1226" s="243"/>
      <c r="C1226" s="243"/>
      <c r="D1226" s="244"/>
      <c r="E1226" s="245"/>
      <c r="F1226" s="246"/>
      <c r="K1226" s="456"/>
    </row>
    <row r="1227" spans="2:17" ht="12.75" customHeight="1" x14ac:dyDescent="0.2">
      <c r="B1227" s="247" t="s">
        <v>263</v>
      </c>
      <c r="C1227" s="248" t="s">
        <v>264</v>
      </c>
      <c r="D1227" s="249"/>
      <c r="E1227" s="250"/>
      <c r="F1227" s="250" t="s">
        <v>265</v>
      </c>
      <c r="G1227" s="356" t="s">
        <v>68</v>
      </c>
      <c r="H1227" s="251" t="s">
        <v>849</v>
      </c>
      <c r="I1227" s="252" t="s">
        <v>849</v>
      </c>
      <c r="J1227" s="356" t="s">
        <v>68</v>
      </c>
      <c r="K1227" s="457" t="s">
        <v>849</v>
      </c>
      <c r="L1227" s="252" t="s">
        <v>849</v>
      </c>
      <c r="M1227" s="356" t="s">
        <v>68</v>
      </c>
      <c r="N1227" s="251" t="s">
        <v>849</v>
      </c>
      <c r="O1227" s="252" t="s">
        <v>849</v>
      </c>
      <c r="P1227" s="252" t="s">
        <v>849</v>
      </c>
      <c r="Q1227" s="252" t="s">
        <v>849</v>
      </c>
    </row>
    <row r="1228" spans="2:17" ht="12.75" customHeight="1" x14ac:dyDescent="0.2">
      <c r="B1228" s="253" t="s">
        <v>266</v>
      </c>
      <c r="C1228" s="254"/>
      <c r="D1228" s="255"/>
      <c r="E1228" s="256"/>
      <c r="F1228" s="256"/>
      <c r="G1228" s="357" t="s">
        <v>69</v>
      </c>
      <c r="H1228" s="257" t="s">
        <v>262</v>
      </c>
      <c r="I1228" s="258" t="s">
        <v>70</v>
      </c>
      <c r="J1228" s="357" t="s">
        <v>69</v>
      </c>
      <c r="K1228" s="457" t="s">
        <v>262</v>
      </c>
      <c r="L1228" s="258" t="s">
        <v>70</v>
      </c>
      <c r="M1228" s="357" t="s">
        <v>69</v>
      </c>
      <c r="N1228" s="257" t="s">
        <v>262</v>
      </c>
      <c r="O1228" s="258" t="s">
        <v>70</v>
      </c>
      <c r="P1228" s="258" t="s">
        <v>70</v>
      </c>
      <c r="Q1228" s="258" t="s">
        <v>70</v>
      </c>
    </row>
    <row r="1229" spans="2:17" ht="12.75" customHeight="1" x14ac:dyDescent="0.2">
      <c r="B1229" s="248"/>
      <c r="C1229" s="248"/>
      <c r="D1229" s="259"/>
      <c r="E1229" s="260"/>
      <c r="F1229" s="250"/>
      <c r="G1229" s="356"/>
      <c r="H1229" s="251"/>
      <c r="I1229" s="252"/>
      <c r="J1229" s="356"/>
      <c r="K1229" s="456"/>
      <c r="L1229" s="252"/>
      <c r="M1229" s="356"/>
      <c r="N1229" s="251"/>
      <c r="O1229" s="252"/>
      <c r="P1229" s="252"/>
      <c r="Q1229" s="252"/>
    </row>
    <row r="1230" spans="2:17" ht="12.75" customHeight="1" x14ac:dyDescent="0.2">
      <c r="B1230" s="261">
        <v>4200</v>
      </c>
      <c r="C1230" s="262" t="s">
        <v>696</v>
      </c>
      <c r="D1230" s="263"/>
      <c r="E1230" s="264"/>
      <c r="F1230" s="265"/>
      <c r="G1230" s="268"/>
      <c r="H1230" s="317"/>
      <c r="I1230" s="446"/>
      <c r="J1230" s="268"/>
      <c r="K1230" s="456"/>
      <c r="L1230" s="318"/>
      <c r="M1230" s="268"/>
      <c r="N1230" s="317"/>
      <c r="O1230" s="446"/>
      <c r="P1230" s="446"/>
      <c r="Q1230" s="446"/>
    </row>
    <row r="1231" spans="2:17" ht="12.75" customHeight="1" x14ac:dyDescent="0.2">
      <c r="B1231" s="267"/>
      <c r="C1231" s="262"/>
      <c r="D1231" s="263"/>
      <c r="E1231" s="264"/>
      <c r="F1231" s="265"/>
      <c r="G1231" s="268"/>
      <c r="H1231" s="317"/>
      <c r="I1231" s="447" t="str">
        <f t="shared" ref="H1231:I1256" si="445">IF(G1231=0," ",G1231*H1231)</f>
        <v xml:space="preserve"> </v>
      </c>
      <c r="J1231" s="268"/>
      <c r="K1231" s="456"/>
      <c r="L1231" s="439" t="str">
        <f t="shared" ref="L1231:L1241" si="446">IF(J1231=0," ",J1231*K1231)</f>
        <v xml:space="preserve"> </v>
      </c>
      <c r="M1231" s="268"/>
      <c r="N1231" s="317"/>
      <c r="O1231" s="447" t="str">
        <f t="shared" ref="O1231:O1241" si="447">IF(M1231=0," ",M1231*N1231)</f>
        <v xml:space="preserve"> </v>
      </c>
      <c r="P1231" s="447" t="str">
        <f t="shared" ref="P1231:P1235" si="448">IF(N1231=0," ",N1231*O1231)</f>
        <v xml:space="preserve"> </v>
      </c>
      <c r="Q1231" s="447"/>
    </row>
    <row r="1232" spans="2:17" ht="12.75" customHeight="1" x14ac:dyDescent="0.2">
      <c r="B1232" s="268">
        <v>42.02</v>
      </c>
      <c r="C1232" s="269" t="s">
        <v>697</v>
      </c>
      <c r="D1232" s="238"/>
      <c r="E1232" s="238"/>
      <c r="F1232" s="268"/>
      <c r="G1232" s="268"/>
      <c r="H1232" s="448"/>
      <c r="I1232" s="447" t="str">
        <f t="shared" si="445"/>
        <v xml:space="preserve"> </v>
      </c>
      <c r="J1232" s="268"/>
      <c r="K1232" s="456"/>
      <c r="L1232" s="439" t="str">
        <f t="shared" si="446"/>
        <v xml:space="preserve"> </v>
      </c>
      <c r="M1232" s="268"/>
      <c r="N1232" s="448"/>
      <c r="O1232" s="447" t="str">
        <f t="shared" si="447"/>
        <v xml:space="preserve"> </v>
      </c>
      <c r="P1232" s="447" t="str">
        <f t="shared" si="448"/>
        <v xml:space="preserve"> </v>
      </c>
      <c r="Q1232" s="447"/>
    </row>
    <row r="1233" spans="2:24" ht="12.75" customHeight="1" x14ac:dyDescent="0.2">
      <c r="B1233" s="268"/>
      <c r="C1233" s="269" t="s">
        <v>278</v>
      </c>
      <c r="D1233" s="238" t="s">
        <v>698</v>
      </c>
      <c r="E1233" s="238"/>
      <c r="F1233" s="268"/>
      <c r="G1233" s="268"/>
      <c r="H1233" s="448"/>
      <c r="I1233" s="447" t="str">
        <f t="shared" si="445"/>
        <v xml:space="preserve"> </v>
      </c>
      <c r="J1233" s="268"/>
      <c r="K1233" s="456"/>
      <c r="L1233" s="439" t="str">
        <f t="shared" si="446"/>
        <v xml:space="preserve"> </v>
      </c>
      <c r="M1233" s="268"/>
      <c r="N1233" s="448"/>
      <c r="O1233" s="447" t="str">
        <f t="shared" si="447"/>
        <v xml:space="preserve"> </v>
      </c>
      <c r="P1233" s="447" t="str">
        <f t="shared" si="448"/>
        <v xml:space="preserve"> </v>
      </c>
      <c r="Q1233" s="447"/>
    </row>
    <row r="1234" spans="2:24" ht="12.75" customHeight="1" x14ac:dyDescent="0.2">
      <c r="B1234" s="268"/>
      <c r="C1234" s="269"/>
      <c r="D1234" s="238" t="s">
        <v>699</v>
      </c>
      <c r="E1234" s="270"/>
      <c r="F1234" s="267"/>
      <c r="G1234" s="268"/>
      <c r="H1234" s="448"/>
      <c r="I1234" s="447" t="str">
        <f t="shared" si="445"/>
        <v xml:space="preserve"> </v>
      </c>
      <c r="J1234" s="268"/>
      <c r="K1234" s="456"/>
      <c r="L1234" s="439" t="str">
        <f t="shared" si="446"/>
        <v xml:space="preserve"> </v>
      </c>
      <c r="M1234" s="268"/>
      <c r="N1234" s="448"/>
      <c r="O1234" s="447" t="str">
        <f t="shared" si="447"/>
        <v xml:space="preserve"> </v>
      </c>
      <c r="P1234" s="447" t="str">
        <f t="shared" si="448"/>
        <v xml:space="preserve"> </v>
      </c>
      <c r="Q1234" s="447"/>
    </row>
    <row r="1235" spans="2:24" ht="12.75" customHeight="1" x14ac:dyDescent="0.2">
      <c r="B1235" s="268"/>
      <c r="C1235" s="269"/>
      <c r="D1235" s="240" t="s">
        <v>700</v>
      </c>
      <c r="E1235" s="271"/>
      <c r="F1235" s="267"/>
      <c r="G1235" s="268"/>
      <c r="H1235" s="448"/>
      <c r="I1235" s="447" t="str">
        <f t="shared" si="445"/>
        <v xml:space="preserve"> </v>
      </c>
      <c r="J1235" s="268"/>
      <c r="K1235" s="456"/>
      <c r="L1235" s="439" t="str">
        <f t="shared" si="446"/>
        <v xml:space="preserve"> </v>
      </c>
      <c r="M1235" s="268"/>
      <c r="N1235" s="448"/>
      <c r="O1235" s="447" t="str">
        <f t="shared" si="447"/>
        <v xml:space="preserve"> </v>
      </c>
      <c r="P1235" s="447" t="str">
        <f t="shared" si="448"/>
        <v xml:space="preserve"> </v>
      </c>
      <c r="Q1235" s="447"/>
    </row>
    <row r="1236" spans="2:24" ht="12.75" customHeight="1" x14ac:dyDescent="0.2">
      <c r="B1236" s="268"/>
      <c r="C1236" s="269"/>
      <c r="D1236" s="240" t="s">
        <v>711</v>
      </c>
      <c r="E1236" s="238"/>
      <c r="F1236" s="268" t="s">
        <v>275</v>
      </c>
      <c r="G1236" s="268">
        <f>(3600*10)</f>
        <v>36000</v>
      </c>
      <c r="H1236" s="418">
        <v>330</v>
      </c>
      <c r="I1236" s="418">
        <f t="shared" si="445"/>
        <v>11880000</v>
      </c>
      <c r="J1236" s="268">
        <f t="shared" ref="J1236" si="449">(3600*10)</f>
        <v>36000</v>
      </c>
      <c r="K1236" s="459">
        <v>140</v>
      </c>
      <c r="L1236" s="418">
        <f t="shared" si="446"/>
        <v>5040000</v>
      </c>
      <c r="M1236" s="268">
        <f t="shared" ref="M1236" si="450">(3600*10)</f>
        <v>36000</v>
      </c>
      <c r="N1236" s="418">
        <v>250</v>
      </c>
      <c r="O1236" s="418">
        <f t="shared" si="447"/>
        <v>9000000</v>
      </c>
      <c r="P1236" s="460">
        <f>K1236-N1236</f>
        <v>-110</v>
      </c>
      <c r="Q1236" s="460">
        <f>L1236-O1236</f>
        <v>-3960000</v>
      </c>
      <c r="T1236" s="234"/>
      <c r="U1236" s="234"/>
      <c r="V1236" s="234"/>
      <c r="W1236" s="234"/>
      <c r="X1236" s="234"/>
    </row>
    <row r="1237" spans="2:24" ht="12.75" customHeight="1" x14ac:dyDescent="0.2">
      <c r="B1237" s="267"/>
      <c r="F1237" s="265"/>
      <c r="G1237" s="268"/>
      <c r="H1237" s="418" t="str">
        <f t="shared" si="445"/>
        <v xml:space="preserve"> </v>
      </c>
      <c r="I1237" s="418" t="str">
        <f t="shared" si="445"/>
        <v xml:space="preserve"> </v>
      </c>
      <c r="J1237" s="268"/>
      <c r="K1237" s="459" t="s">
        <v>849</v>
      </c>
      <c r="L1237" s="418" t="str">
        <f t="shared" si="446"/>
        <v xml:space="preserve"> </v>
      </c>
      <c r="M1237" s="268"/>
      <c r="N1237" s="418"/>
      <c r="O1237" s="418" t="str">
        <f t="shared" si="447"/>
        <v xml:space="preserve"> </v>
      </c>
      <c r="P1237" s="418"/>
      <c r="Q1237" s="418"/>
      <c r="T1237" s="234"/>
      <c r="U1237" s="234"/>
      <c r="V1237" s="234"/>
      <c r="W1237" s="234"/>
      <c r="X1237" s="234"/>
    </row>
    <row r="1238" spans="2:24" ht="12.75" customHeight="1" x14ac:dyDescent="0.2">
      <c r="B1238" s="268">
        <v>42.04</v>
      </c>
      <c r="C1238" s="269" t="s">
        <v>701</v>
      </c>
      <c r="D1238" s="238"/>
      <c r="E1238" s="238"/>
      <c r="F1238" s="275" t="s">
        <v>456</v>
      </c>
      <c r="G1238" s="268">
        <f>(G1236*0.55)</f>
        <v>19800</v>
      </c>
      <c r="H1238" s="418">
        <v>12</v>
      </c>
      <c r="I1238" s="418">
        <f t="shared" si="445"/>
        <v>237600</v>
      </c>
      <c r="J1238" s="268">
        <f t="shared" ref="J1238" si="451">(J1236*0.55)</f>
        <v>19800</v>
      </c>
      <c r="K1238" s="459">
        <v>14.86</v>
      </c>
      <c r="L1238" s="418">
        <f t="shared" si="446"/>
        <v>294228</v>
      </c>
      <c r="M1238" s="268">
        <f t="shared" ref="M1238" si="452">(M1236*0.55)</f>
        <v>19800</v>
      </c>
      <c r="N1238" s="418">
        <v>14.86</v>
      </c>
      <c r="O1238" s="418">
        <f t="shared" si="447"/>
        <v>294228</v>
      </c>
      <c r="P1238" s="418">
        <f t="shared" ref="P1238:P1259" si="453">K1238-N1238</f>
        <v>0</v>
      </c>
      <c r="Q1238" s="418">
        <f t="shared" ref="Q1238:Q1259" si="454">L1238-O1238</f>
        <v>0</v>
      </c>
      <c r="T1238" s="234"/>
      <c r="U1238" s="234"/>
      <c r="V1238" s="234"/>
      <c r="W1238" s="234"/>
      <c r="X1238" s="234"/>
    </row>
    <row r="1239" spans="2:24" ht="12.75" customHeight="1" x14ac:dyDescent="0.2">
      <c r="B1239" s="268"/>
      <c r="C1239" s="269"/>
      <c r="D1239" s="238"/>
      <c r="E1239" s="238"/>
      <c r="F1239" s="268"/>
      <c r="G1239" s="268"/>
      <c r="H1239" s="448"/>
      <c r="I1239" s="418" t="str">
        <f t="shared" si="445"/>
        <v xml:space="preserve"> </v>
      </c>
      <c r="J1239" s="268"/>
      <c r="K1239" s="459"/>
      <c r="L1239" s="418" t="str">
        <f t="shared" si="446"/>
        <v xml:space="preserve"> </v>
      </c>
      <c r="M1239" s="268"/>
      <c r="N1239" s="448"/>
      <c r="O1239" s="418" t="str">
        <f t="shared" si="447"/>
        <v xml:space="preserve"> </v>
      </c>
      <c r="P1239" s="418"/>
      <c r="Q1239" s="418"/>
      <c r="T1239" s="234"/>
      <c r="U1239" s="234"/>
      <c r="V1239" s="234"/>
      <c r="W1239" s="234"/>
      <c r="X1239" s="234"/>
    </row>
    <row r="1240" spans="2:24" ht="12.75" customHeight="1" x14ac:dyDescent="0.2">
      <c r="B1240" s="268">
        <v>42.05</v>
      </c>
      <c r="C1240" s="269" t="s">
        <v>116</v>
      </c>
      <c r="D1240" s="238"/>
      <c r="E1240" s="238"/>
      <c r="F1240" s="268" t="s">
        <v>538</v>
      </c>
      <c r="G1240" s="268"/>
      <c r="H1240" s="448"/>
      <c r="I1240" s="418" t="str">
        <f t="shared" si="445"/>
        <v xml:space="preserve"> </v>
      </c>
      <c r="J1240" s="268"/>
      <c r="K1240" s="456"/>
      <c r="L1240" s="418" t="str">
        <f t="shared" si="446"/>
        <v xml:space="preserve"> </v>
      </c>
      <c r="M1240" s="268"/>
      <c r="N1240" s="448"/>
      <c r="O1240" s="418" t="str">
        <f t="shared" si="447"/>
        <v xml:space="preserve"> </v>
      </c>
      <c r="P1240" s="418"/>
      <c r="Q1240" s="418"/>
    </row>
    <row r="1241" spans="2:24" ht="12.75" customHeight="1" x14ac:dyDescent="0.2">
      <c r="B1241" s="268"/>
      <c r="C1241" s="269"/>
      <c r="D1241" s="238"/>
      <c r="E1241" s="238"/>
      <c r="F1241" s="268"/>
      <c r="G1241" s="268"/>
      <c r="H1241" s="448"/>
      <c r="I1241" s="418" t="str">
        <f t="shared" si="445"/>
        <v xml:space="preserve"> </v>
      </c>
      <c r="J1241" s="268"/>
      <c r="K1241" s="456"/>
      <c r="L1241" s="418" t="str">
        <f t="shared" si="446"/>
        <v xml:space="preserve"> </v>
      </c>
      <c r="M1241" s="268"/>
      <c r="N1241" s="448"/>
      <c r="O1241" s="418" t="str">
        <f t="shared" si="447"/>
        <v xml:space="preserve"> </v>
      </c>
      <c r="P1241" s="418"/>
      <c r="Q1241" s="418"/>
    </row>
    <row r="1242" spans="2:24" ht="12.75" customHeight="1" x14ac:dyDescent="0.2">
      <c r="B1242" s="268"/>
      <c r="C1242" s="269" t="s">
        <v>702</v>
      </c>
      <c r="D1242" s="238" t="s">
        <v>703</v>
      </c>
      <c r="E1242" s="238"/>
      <c r="F1242" s="268" t="s">
        <v>317</v>
      </c>
      <c r="G1242" s="363" t="s">
        <v>596</v>
      </c>
      <c r="H1242" s="448">
        <v>18000</v>
      </c>
      <c r="I1242" s="418"/>
      <c r="J1242" s="363" t="s">
        <v>596</v>
      </c>
      <c r="K1242" s="456">
        <v>3800</v>
      </c>
      <c r="L1242" s="418"/>
      <c r="M1242" s="363" t="s">
        <v>596</v>
      </c>
      <c r="N1242" s="448">
        <v>3800</v>
      </c>
      <c r="O1242" s="418"/>
      <c r="P1242" s="418">
        <f t="shared" si="453"/>
        <v>0</v>
      </c>
      <c r="Q1242" s="418">
        <f t="shared" si="454"/>
        <v>0</v>
      </c>
    </row>
    <row r="1243" spans="2:24" ht="12.75" customHeight="1" x14ac:dyDescent="0.2">
      <c r="B1243" s="268"/>
      <c r="C1243" s="269"/>
      <c r="D1243" s="238"/>
      <c r="E1243" s="238"/>
      <c r="F1243" s="268"/>
      <c r="G1243" s="363"/>
      <c r="H1243" s="448"/>
      <c r="I1243" s="418"/>
      <c r="J1243" s="363"/>
      <c r="K1243" s="456"/>
      <c r="L1243" s="418"/>
      <c r="M1243" s="363"/>
      <c r="N1243" s="448"/>
      <c r="O1243" s="418"/>
      <c r="P1243" s="418"/>
      <c r="Q1243" s="418"/>
    </row>
    <row r="1244" spans="2:24" ht="12.75" customHeight="1" x14ac:dyDescent="0.2">
      <c r="B1244" s="268"/>
      <c r="C1244" s="269" t="s">
        <v>276</v>
      </c>
      <c r="D1244" s="540" t="s">
        <v>704</v>
      </c>
      <c r="E1244" s="541"/>
      <c r="F1244" s="268" t="s">
        <v>317</v>
      </c>
      <c r="G1244" s="363" t="s">
        <v>596</v>
      </c>
      <c r="H1244" s="448">
        <v>18000</v>
      </c>
      <c r="I1244" s="418"/>
      <c r="J1244" s="363" t="s">
        <v>596</v>
      </c>
      <c r="K1244" s="456">
        <v>3800</v>
      </c>
      <c r="L1244" s="418"/>
      <c r="M1244" s="363" t="s">
        <v>596</v>
      </c>
      <c r="N1244" s="448">
        <v>3800</v>
      </c>
      <c r="O1244" s="418"/>
      <c r="P1244" s="418">
        <f t="shared" si="453"/>
        <v>0</v>
      </c>
      <c r="Q1244" s="418">
        <f t="shared" si="454"/>
        <v>0</v>
      </c>
    </row>
    <row r="1245" spans="2:24" ht="12.75" customHeight="1" x14ac:dyDescent="0.2">
      <c r="B1245" s="268"/>
      <c r="C1245" s="269"/>
      <c r="D1245" s="240"/>
      <c r="E1245" s="240"/>
      <c r="F1245" s="268"/>
      <c r="G1245" s="363"/>
      <c r="H1245" s="448"/>
      <c r="I1245" s="418"/>
      <c r="J1245" s="363"/>
      <c r="K1245" s="456"/>
      <c r="L1245" s="418"/>
      <c r="M1245" s="363"/>
      <c r="N1245" s="448"/>
      <c r="O1245" s="418"/>
      <c r="P1245" s="418"/>
      <c r="Q1245" s="418"/>
    </row>
    <row r="1246" spans="2:24" ht="12.75" customHeight="1" x14ac:dyDescent="0.2">
      <c r="B1246" s="268">
        <v>42.06</v>
      </c>
      <c r="C1246" s="269" t="s">
        <v>705</v>
      </c>
      <c r="D1246" s="240"/>
      <c r="E1246" s="240"/>
      <c r="F1246" s="268"/>
      <c r="G1246" s="363"/>
      <c r="H1246" s="448"/>
      <c r="I1246" s="418"/>
      <c r="J1246" s="363"/>
      <c r="K1246" s="456"/>
      <c r="L1246" s="418"/>
      <c r="M1246" s="363"/>
      <c r="N1246" s="448"/>
      <c r="O1246" s="418"/>
      <c r="P1246" s="418"/>
      <c r="Q1246" s="418"/>
    </row>
    <row r="1247" spans="2:24" ht="12.75" customHeight="1" x14ac:dyDescent="0.2">
      <c r="B1247" s="268"/>
      <c r="C1247" s="269"/>
      <c r="D1247" s="240"/>
      <c r="E1247" s="240"/>
      <c r="F1247" s="268"/>
      <c r="G1247" s="363"/>
      <c r="H1247" s="448"/>
      <c r="I1247" s="418"/>
      <c r="J1247" s="363"/>
      <c r="K1247" s="456"/>
      <c r="L1247" s="418"/>
      <c r="M1247" s="363"/>
      <c r="N1247" s="448"/>
      <c r="O1247" s="418"/>
      <c r="P1247" s="418"/>
      <c r="Q1247" s="418"/>
    </row>
    <row r="1248" spans="2:24" ht="12.75" customHeight="1" x14ac:dyDescent="0.2">
      <c r="B1248" s="268"/>
      <c r="C1248" s="269" t="s">
        <v>278</v>
      </c>
      <c r="D1248" s="540" t="s">
        <v>485</v>
      </c>
      <c r="E1248" s="541"/>
      <c r="F1248" s="268" t="s">
        <v>317</v>
      </c>
      <c r="G1248" s="363" t="s">
        <v>596</v>
      </c>
      <c r="H1248" s="448">
        <v>2500</v>
      </c>
      <c r="I1248" s="418"/>
      <c r="J1248" s="363" t="s">
        <v>596</v>
      </c>
      <c r="K1248" s="456">
        <v>3500</v>
      </c>
      <c r="L1248" s="418"/>
      <c r="M1248" s="363" t="s">
        <v>596</v>
      </c>
      <c r="N1248" s="448">
        <v>3500</v>
      </c>
      <c r="O1248" s="418"/>
      <c r="P1248" s="418">
        <f t="shared" si="453"/>
        <v>0</v>
      </c>
      <c r="Q1248" s="418">
        <f t="shared" si="454"/>
        <v>0</v>
      </c>
    </row>
    <row r="1249" spans="2:20" ht="12.75" customHeight="1" x14ac:dyDescent="0.2">
      <c r="B1249" s="268"/>
      <c r="C1249" s="269"/>
      <c r="D1249" s="240"/>
      <c r="E1249" s="240"/>
      <c r="F1249" s="268"/>
      <c r="G1249" s="363"/>
      <c r="H1249" s="448"/>
      <c r="I1249" s="418"/>
      <c r="J1249" s="363"/>
      <c r="K1249" s="456"/>
      <c r="L1249" s="418"/>
      <c r="M1249" s="363"/>
      <c r="N1249" s="448"/>
      <c r="O1249" s="418"/>
      <c r="P1249" s="418"/>
      <c r="Q1249" s="418"/>
    </row>
    <row r="1250" spans="2:20" ht="12.75" customHeight="1" x14ac:dyDescent="0.2">
      <c r="B1250" s="268"/>
      <c r="C1250" s="269" t="s">
        <v>279</v>
      </c>
      <c r="D1250" s="540" t="s">
        <v>706</v>
      </c>
      <c r="E1250" s="541"/>
      <c r="F1250" s="268" t="s">
        <v>317</v>
      </c>
      <c r="G1250" s="363" t="s">
        <v>596</v>
      </c>
      <c r="H1250" s="448">
        <v>2500</v>
      </c>
      <c r="I1250" s="418"/>
      <c r="J1250" s="363" t="s">
        <v>596</v>
      </c>
      <c r="K1250" s="456">
        <v>3500</v>
      </c>
      <c r="L1250" s="418"/>
      <c r="M1250" s="363" t="s">
        <v>596</v>
      </c>
      <c r="N1250" s="448">
        <v>3500</v>
      </c>
      <c r="O1250" s="418"/>
      <c r="P1250" s="418">
        <f t="shared" si="453"/>
        <v>0</v>
      </c>
      <c r="Q1250" s="418">
        <f t="shared" si="454"/>
        <v>0</v>
      </c>
    </row>
    <row r="1251" spans="2:20" ht="12.75" customHeight="1" x14ac:dyDescent="0.2">
      <c r="B1251" s="268"/>
      <c r="C1251" s="269"/>
      <c r="D1251" s="238"/>
      <c r="E1251" s="238"/>
      <c r="F1251" s="268"/>
      <c r="G1251" s="268"/>
      <c r="H1251" s="448"/>
      <c r="I1251" s="418"/>
      <c r="J1251" s="268"/>
      <c r="K1251" s="456"/>
      <c r="L1251" s="418"/>
      <c r="M1251" s="268"/>
      <c r="N1251" s="448"/>
      <c r="O1251" s="418"/>
      <c r="P1251" s="418"/>
      <c r="Q1251" s="418"/>
    </row>
    <row r="1252" spans="2:20" ht="12.75" customHeight="1" x14ac:dyDescent="0.2">
      <c r="B1252" s="268">
        <v>42.07</v>
      </c>
      <c r="C1252" s="269" t="s">
        <v>707</v>
      </c>
      <c r="D1252" s="238"/>
      <c r="E1252" s="238"/>
      <c r="F1252" s="268"/>
      <c r="G1252" s="268"/>
      <c r="H1252" s="448"/>
      <c r="I1252" s="418"/>
      <c r="J1252" s="268"/>
      <c r="K1252" s="456"/>
      <c r="L1252" s="418"/>
      <c r="M1252" s="268"/>
      <c r="N1252" s="448"/>
      <c r="O1252" s="418"/>
      <c r="P1252" s="418"/>
      <c r="Q1252" s="418"/>
    </row>
    <row r="1253" spans="2:20" ht="12.75" customHeight="1" x14ac:dyDescent="0.2">
      <c r="B1253" s="268"/>
      <c r="C1253" s="269" t="s">
        <v>853</v>
      </c>
      <c r="D1253" s="238"/>
      <c r="E1253" s="238"/>
      <c r="F1253" s="268" t="s">
        <v>275</v>
      </c>
      <c r="G1253" s="268">
        <f>35*10</f>
        <v>350</v>
      </c>
      <c r="H1253" s="418">
        <v>380</v>
      </c>
      <c r="I1253" s="418">
        <f t="shared" si="445"/>
        <v>133000</v>
      </c>
      <c r="J1253" s="268">
        <f t="shared" ref="J1253" si="455">35*10</f>
        <v>350</v>
      </c>
      <c r="K1253" s="456">
        <v>165</v>
      </c>
      <c r="L1253" s="418">
        <f t="shared" ref="L1253:L1256" si="456">IF(J1253=0," ",J1253*K1253)</f>
        <v>57750</v>
      </c>
      <c r="M1253" s="268">
        <f t="shared" ref="M1253" si="457">35*10</f>
        <v>350</v>
      </c>
      <c r="N1253" s="418">
        <v>165</v>
      </c>
      <c r="O1253" s="418">
        <f t="shared" ref="O1253:O1256" si="458">IF(M1253=0," ",M1253*N1253)</f>
        <v>57750</v>
      </c>
      <c r="P1253" s="418">
        <f t="shared" si="453"/>
        <v>0</v>
      </c>
      <c r="Q1253" s="418">
        <f t="shared" si="454"/>
        <v>0</v>
      </c>
      <c r="T1253" s="234"/>
    </row>
    <row r="1254" spans="2:20" ht="12.75" customHeight="1" x14ac:dyDescent="0.2">
      <c r="B1254" s="268"/>
      <c r="C1254" s="269"/>
      <c r="D1254" s="238"/>
      <c r="E1254" s="238"/>
      <c r="F1254" s="268"/>
      <c r="G1254" s="268"/>
      <c r="H1254" s="418" t="str">
        <f t="shared" si="445"/>
        <v xml:space="preserve"> </v>
      </c>
      <c r="I1254" s="418" t="str">
        <f t="shared" si="445"/>
        <v xml:space="preserve"> </v>
      </c>
      <c r="J1254" s="268"/>
      <c r="K1254" s="456" t="s">
        <v>849</v>
      </c>
      <c r="L1254" s="418" t="str">
        <f t="shared" si="456"/>
        <v xml:space="preserve"> </v>
      </c>
      <c r="M1254" s="268"/>
      <c r="N1254" s="418"/>
      <c r="O1254" s="418" t="str">
        <f t="shared" si="458"/>
        <v xml:space="preserve"> </v>
      </c>
      <c r="P1254" s="418"/>
      <c r="Q1254" s="418"/>
    </row>
    <row r="1255" spans="2:20" ht="12.75" customHeight="1" x14ac:dyDescent="0.2">
      <c r="B1255" s="268" t="s">
        <v>708</v>
      </c>
      <c r="C1255" s="269" t="s">
        <v>719</v>
      </c>
      <c r="D1255" s="238"/>
      <c r="E1255" s="238"/>
      <c r="F1255" s="268" t="s">
        <v>254</v>
      </c>
      <c r="G1255" s="268">
        <v>140</v>
      </c>
      <c r="H1255" s="418">
        <v>100</v>
      </c>
      <c r="I1255" s="418">
        <f t="shared" si="445"/>
        <v>14000</v>
      </c>
      <c r="J1255" s="268">
        <v>140</v>
      </c>
      <c r="K1255" s="456">
        <v>180</v>
      </c>
      <c r="L1255" s="418">
        <f t="shared" si="456"/>
        <v>25200</v>
      </c>
      <c r="M1255" s="268">
        <v>140</v>
      </c>
      <c r="N1255" s="418">
        <v>180</v>
      </c>
      <c r="O1255" s="418">
        <f t="shared" si="458"/>
        <v>25200</v>
      </c>
      <c r="P1255" s="418">
        <f t="shared" si="453"/>
        <v>0</v>
      </c>
      <c r="Q1255" s="418">
        <f t="shared" si="454"/>
        <v>0</v>
      </c>
    </row>
    <row r="1256" spans="2:20" ht="12.75" customHeight="1" x14ac:dyDescent="0.2">
      <c r="B1256" s="268"/>
      <c r="C1256" s="269"/>
      <c r="D1256" s="238"/>
      <c r="E1256" s="238"/>
      <c r="F1256" s="268"/>
      <c r="G1256" s="268"/>
      <c r="H1256" s="448"/>
      <c r="I1256" s="418" t="str">
        <f t="shared" si="445"/>
        <v xml:space="preserve"> </v>
      </c>
      <c r="J1256" s="268"/>
      <c r="K1256" s="456"/>
      <c r="L1256" s="418" t="str">
        <f t="shared" si="456"/>
        <v xml:space="preserve"> </v>
      </c>
      <c r="M1256" s="268"/>
      <c r="N1256" s="448"/>
      <c r="O1256" s="418" t="str">
        <f t="shared" si="458"/>
        <v xml:space="preserve"> </v>
      </c>
      <c r="P1256" s="418"/>
      <c r="Q1256" s="418"/>
    </row>
    <row r="1257" spans="2:20" ht="12.75" customHeight="1" x14ac:dyDescent="0.2">
      <c r="B1257" s="342" t="s">
        <v>709</v>
      </c>
      <c r="C1257" s="343" t="s">
        <v>710</v>
      </c>
      <c r="D1257" s="344"/>
      <c r="E1257" s="344"/>
      <c r="F1257" s="268" t="s">
        <v>317</v>
      </c>
      <c r="G1257" s="363" t="s">
        <v>596</v>
      </c>
      <c r="H1257" s="448">
        <v>2000</v>
      </c>
      <c r="I1257" s="418"/>
      <c r="J1257" s="363" t="s">
        <v>596</v>
      </c>
      <c r="K1257" s="456">
        <v>3400</v>
      </c>
      <c r="L1257" s="418"/>
      <c r="M1257" s="363" t="s">
        <v>596</v>
      </c>
      <c r="N1257" s="448">
        <v>3400</v>
      </c>
      <c r="O1257" s="418"/>
      <c r="P1257" s="418">
        <f t="shared" si="453"/>
        <v>0</v>
      </c>
      <c r="Q1257" s="418">
        <f t="shared" si="454"/>
        <v>0</v>
      </c>
    </row>
    <row r="1258" spans="2:20" ht="12.75" customHeight="1" x14ac:dyDescent="0.2">
      <c r="B1258" s="267"/>
      <c r="F1258" s="268"/>
      <c r="G1258" s="268"/>
      <c r="H1258" s="448"/>
      <c r="I1258" s="418" t="str">
        <f t="shared" ref="I1258:I1283" si="459">IF(G1258=0," ",G1258*H1258)</f>
        <v xml:space="preserve"> </v>
      </c>
      <c r="J1258" s="268"/>
      <c r="K1258" s="456"/>
      <c r="L1258" s="418" t="str">
        <f t="shared" ref="L1258:L1283" si="460">IF(J1258=0," ",J1258*K1258)</f>
        <v xml:space="preserve"> </v>
      </c>
      <c r="M1258" s="268"/>
      <c r="N1258" s="448"/>
      <c r="O1258" s="418" t="str">
        <f t="shared" ref="O1258:O1283" si="461">IF(M1258=0," ",M1258*N1258)</f>
        <v xml:space="preserve"> </v>
      </c>
      <c r="P1258" s="418"/>
      <c r="Q1258" s="418"/>
    </row>
    <row r="1259" spans="2:20" ht="12.75" customHeight="1" x14ac:dyDescent="0.2">
      <c r="B1259" s="342" t="s">
        <v>775</v>
      </c>
      <c r="C1259" s="343" t="s">
        <v>776</v>
      </c>
      <c r="D1259" s="344"/>
      <c r="E1259" s="344"/>
      <c r="F1259" s="268" t="s">
        <v>254</v>
      </c>
      <c r="G1259" s="363">
        <v>2</v>
      </c>
      <c r="H1259" s="418">
        <v>15000</v>
      </c>
      <c r="I1259" s="418">
        <f t="shared" si="459"/>
        <v>30000</v>
      </c>
      <c r="J1259" s="363">
        <v>2</v>
      </c>
      <c r="K1259" s="456">
        <v>4500</v>
      </c>
      <c r="L1259" s="418">
        <f t="shared" si="460"/>
        <v>9000</v>
      </c>
      <c r="M1259" s="363">
        <v>2</v>
      </c>
      <c r="N1259" s="418">
        <v>4500</v>
      </c>
      <c r="O1259" s="418">
        <f t="shared" si="461"/>
        <v>9000</v>
      </c>
      <c r="P1259" s="418">
        <f t="shared" si="453"/>
        <v>0</v>
      </c>
      <c r="Q1259" s="418">
        <f t="shared" si="454"/>
        <v>0</v>
      </c>
    </row>
    <row r="1260" spans="2:20" ht="12.75" customHeight="1" x14ac:dyDescent="0.2">
      <c r="B1260" s="268"/>
      <c r="C1260" s="343" t="s">
        <v>777</v>
      </c>
      <c r="D1260" s="344"/>
      <c r="E1260" s="345"/>
      <c r="F1260" s="268"/>
      <c r="G1260" s="268"/>
      <c r="H1260" s="448"/>
      <c r="I1260" s="418" t="str">
        <f t="shared" si="459"/>
        <v xml:space="preserve"> </v>
      </c>
      <c r="J1260" s="268"/>
      <c r="K1260" s="456"/>
      <c r="L1260" s="418" t="str">
        <f t="shared" si="460"/>
        <v xml:space="preserve"> </v>
      </c>
      <c r="M1260" s="268"/>
      <c r="N1260" s="448"/>
      <c r="O1260" s="418" t="str">
        <f t="shared" si="461"/>
        <v xml:space="preserve"> </v>
      </c>
      <c r="P1260" s="418" t="str">
        <f t="shared" ref="P1260:P1283" si="462">IF(N1260=0," ",N1260*O1260)</f>
        <v xml:space="preserve"> </v>
      </c>
      <c r="Q1260" s="418"/>
    </row>
    <row r="1261" spans="2:20" ht="12.75" customHeight="1" x14ac:dyDescent="0.2">
      <c r="B1261" s="268"/>
      <c r="C1261" s="269"/>
      <c r="D1261" s="238"/>
      <c r="E1261" s="238"/>
      <c r="F1261" s="268"/>
      <c r="G1261" s="363"/>
      <c r="H1261" s="448"/>
      <c r="I1261" s="418" t="str">
        <f t="shared" si="459"/>
        <v xml:space="preserve"> </v>
      </c>
      <c r="J1261" s="363"/>
      <c r="K1261" s="456"/>
      <c r="L1261" s="418" t="str">
        <f t="shared" si="460"/>
        <v xml:space="preserve"> </v>
      </c>
      <c r="M1261" s="363"/>
      <c r="N1261" s="448"/>
      <c r="O1261" s="418" t="str">
        <f t="shared" si="461"/>
        <v xml:space="preserve"> </v>
      </c>
      <c r="P1261" s="418" t="str">
        <f t="shared" si="462"/>
        <v xml:space="preserve"> </v>
      </c>
      <c r="Q1261" s="418"/>
    </row>
    <row r="1262" spans="2:20" ht="12.75" customHeight="1" x14ac:dyDescent="0.2">
      <c r="B1262" s="267"/>
      <c r="F1262" s="268"/>
      <c r="G1262" s="358"/>
      <c r="H1262" s="449"/>
      <c r="I1262" s="418" t="str">
        <f t="shared" si="459"/>
        <v xml:space="preserve"> </v>
      </c>
      <c r="J1262" s="358"/>
      <c r="K1262" s="456"/>
      <c r="L1262" s="418" t="str">
        <f t="shared" si="460"/>
        <v xml:space="preserve"> </v>
      </c>
      <c r="M1262" s="358"/>
      <c r="N1262" s="449"/>
      <c r="O1262" s="418" t="str">
        <f t="shared" si="461"/>
        <v xml:space="preserve"> </v>
      </c>
      <c r="P1262" s="418" t="str">
        <f t="shared" si="462"/>
        <v xml:space="preserve"> </v>
      </c>
      <c r="Q1262" s="418"/>
    </row>
    <row r="1263" spans="2:20" ht="12.75" customHeight="1" x14ac:dyDescent="0.2">
      <c r="B1263" s="267"/>
      <c r="F1263" s="268"/>
      <c r="G1263" s="358"/>
      <c r="H1263" s="449"/>
      <c r="I1263" s="418" t="str">
        <f t="shared" si="459"/>
        <v xml:space="preserve"> </v>
      </c>
      <c r="J1263" s="358"/>
      <c r="K1263" s="456"/>
      <c r="L1263" s="418" t="str">
        <f t="shared" si="460"/>
        <v xml:space="preserve"> </v>
      </c>
      <c r="M1263" s="358"/>
      <c r="N1263" s="449"/>
      <c r="O1263" s="418" t="str">
        <f t="shared" si="461"/>
        <v xml:space="preserve"> </v>
      </c>
      <c r="P1263" s="418" t="str">
        <f t="shared" si="462"/>
        <v xml:space="preserve"> </v>
      </c>
      <c r="Q1263" s="418"/>
    </row>
    <row r="1264" spans="2:20" ht="12.75" customHeight="1" x14ac:dyDescent="0.2">
      <c r="B1264" s="267"/>
      <c r="F1264" s="268"/>
      <c r="G1264" s="275"/>
      <c r="H1264" s="317"/>
      <c r="I1264" s="418" t="str">
        <f t="shared" si="459"/>
        <v xml:space="preserve"> </v>
      </c>
      <c r="J1264" s="275"/>
      <c r="K1264" s="456"/>
      <c r="L1264" s="418" t="str">
        <f t="shared" si="460"/>
        <v xml:space="preserve"> </v>
      </c>
      <c r="M1264" s="275"/>
      <c r="N1264" s="317"/>
      <c r="O1264" s="418" t="str">
        <f t="shared" si="461"/>
        <v xml:space="preserve"> </v>
      </c>
      <c r="P1264" s="418" t="str">
        <f t="shared" si="462"/>
        <v xml:space="preserve"> </v>
      </c>
      <c r="Q1264" s="418"/>
    </row>
    <row r="1265" spans="2:17" ht="12.75" customHeight="1" x14ac:dyDescent="0.2">
      <c r="B1265" s="267"/>
      <c r="F1265" s="265"/>
      <c r="G1265" s="275"/>
      <c r="H1265" s="317"/>
      <c r="I1265" s="418" t="str">
        <f t="shared" si="459"/>
        <v xml:space="preserve"> </v>
      </c>
      <c r="J1265" s="275"/>
      <c r="K1265" s="456"/>
      <c r="L1265" s="418" t="str">
        <f t="shared" si="460"/>
        <v xml:space="preserve"> </v>
      </c>
      <c r="M1265" s="275"/>
      <c r="N1265" s="317"/>
      <c r="O1265" s="418" t="str">
        <f t="shared" si="461"/>
        <v xml:space="preserve"> </v>
      </c>
      <c r="P1265" s="418" t="str">
        <f t="shared" si="462"/>
        <v xml:space="preserve"> </v>
      </c>
      <c r="Q1265" s="418"/>
    </row>
    <row r="1266" spans="2:17" ht="12.75" customHeight="1" x14ac:dyDescent="0.2">
      <c r="B1266" s="267"/>
      <c r="F1266" s="265"/>
      <c r="G1266" s="275"/>
      <c r="H1266" s="317"/>
      <c r="I1266" s="418" t="str">
        <f t="shared" si="459"/>
        <v xml:space="preserve"> </v>
      </c>
      <c r="J1266" s="275"/>
      <c r="K1266" s="456"/>
      <c r="L1266" s="418" t="str">
        <f t="shared" si="460"/>
        <v xml:space="preserve"> </v>
      </c>
      <c r="M1266" s="275"/>
      <c r="N1266" s="317"/>
      <c r="O1266" s="418" t="str">
        <f t="shared" si="461"/>
        <v xml:space="preserve"> </v>
      </c>
      <c r="P1266" s="418" t="str">
        <f t="shared" si="462"/>
        <v xml:space="preserve"> </v>
      </c>
      <c r="Q1266" s="418"/>
    </row>
    <row r="1267" spans="2:17" ht="12.75" customHeight="1" x14ac:dyDescent="0.2">
      <c r="B1267" s="267"/>
      <c r="F1267" s="265"/>
      <c r="G1267" s="275"/>
      <c r="H1267" s="317"/>
      <c r="I1267" s="418" t="str">
        <f t="shared" si="459"/>
        <v xml:space="preserve"> </v>
      </c>
      <c r="J1267" s="275"/>
      <c r="K1267" s="456"/>
      <c r="L1267" s="418" t="str">
        <f t="shared" si="460"/>
        <v xml:space="preserve"> </v>
      </c>
      <c r="M1267" s="275"/>
      <c r="N1267" s="317"/>
      <c r="O1267" s="418" t="str">
        <f t="shared" si="461"/>
        <v xml:space="preserve"> </v>
      </c>
      <c r="P1267" s="418" t="str">
        <f t="shared" si="462"/>
        <v xml:space="preserve"> </v>
      </c>
      <c r="Q1267" s="418"/>
    </row>
    <row r="1268" spans="2:17" ht="12.75" customHeight="1" x14ac:dyDescent="0.2">
      <c r="B1268" s="267"/>
      <c r="F1268" s="265"/>
      <c r="G1268" s="275"/>
      <c r="H1268" s="317"/>
      <c r="I1268" s="418" t="str">
        <f t="shared" si="459"/>
        <v xml:space="preserve"> </v>
      </c>
      <c r="J1268" s="275"/>
      <c r="K1268" s="456"/>
      <c r="L1268" s="418" t="str">
        <f t="shared" si="460"/>
        <v xml:space="preserve"> </v>
      </c>
      <c r="M1268" s="275"/>
      <c r="N1268" s="317"/>
      <c r="O1268" s="418" t="str">
        <f t="shared" si="461"/>
        <v xml:space="preserve"> </v>
      </c>
      <c r="P1268" s="418" t="str">
        <f t="shared" si="462"/>
        <v xml:space="preserve"> </v>
      </c>
      <c r="Q1268" s="418"/>
    </row>
    <row r="1269" spans="2:17" ht="12.75" customHeight="1" x14ac:dyDescent="0.2">
      <c r="B1269" s="267"/>
      <c r="F1269" s="265"/>
      <c r="G1269" s="275"/>
      <c r="H1269" s="317"/>
      <c r="I1269" s="418" t="str">
        <f t="shared" si="459"/>
        <v xml:space="preserve"> </v>
      </c>
      <c r="J1269" s="275"/>
      <c r="K1269" s="456"/>
      <c r="L1269" s="418" t="str">
        <f t="shared" si="460"/>
        <v xml:space="preserve"> </v>
      </c>
      <c r="M1269" s="275"/>
      <c r="N1269" s="317"/>
      <c r="O1269" s="418" t="str">
        <f t="shared" si="461"/>
        <v xml:space="preserve"> </v>
      </c>
      <c r="P1269" s="418" t="str">
        <f t="shared" si="462"/>
        <v xml:space="preserve"> </v>
      </c>
      <c r="Q1269" s="418"/>
    </row>
    <row r="1270" spans="2:17" ht="12.75" customHeight="1" x14ac:dyDescent="0.2">
      <c r="B1270" s="267"/>
      <c r="F1270" s="265"/>
      <c r="G1270" s="275"/>
      <c r="H1270" s="317"/>
      <c r="I1270" s="418" t="str">
        <f t="shared" si="459"/>
        <v xml:space="preserve"> </v>
      </c>
      <c r="J1270" s="275"/>
      <c r="K1270" s="456"/>
      <c r="L1270" s="418" t="str">
        <f t="shared" si="460"/>
        <v xml:space="preserve"> </v>
      </c>
      <c r="M1270" s="275"/>
      <c r="N1270" s="317"/>
      <c r="O1270" s="418" t="str">
        <f t="shared" si="461"/>
        <v xml:space="preserve"> </v>
      </c>
      <c r="P1270" s="418" t="str">
        <f t="shared" si="462"/>
        <v xml:space="preserve"> </v>
      </c>
      <c r="Q1270" s="418"/>
    </row>
    <row r="1271" spans="2:17" ht="12.75" customHeight="1" x14ac:dyDescent="0.2">
      <c r="B1271" s="267"/>
      <c r="F1271" s="265"/>
      <c r="G1271" s="275"/>
      <c r="H1271" s="317"/>
      <c r="I1271" s="418" t="str">
        <f t="shared" si="459"/>
        <v xml:space="preserve"> </v>
      </c>
      <c r="J1271" s="275"/>
      <c r="K1271" s="456"/>
      <c r="L1271" s="418" t="str">
        <f t="shared" si="460"/>
        <v xml:space="preserve"> </v>
      </c>
      <c r="M1271" s="275"/>
      <c r="N1271" s="317"/>
      <c r="O1271" s="418" t="str">
        <f t="shared" si="461"/>
        <v xml:space="preserve"> </v>
      </c>
      <c r="P1271" s="418" t="str">
        <f t="shared" si="462"/>
        <v xml:space="preserve"> </v>
      </c>
      <c r="Q1271" s="418"/>
    </row>
    <row r="1272" spans="2:17" ht="12.75" customHeight="1" x14ac:dyDescent="0.2">
      <c r="B1272" s="267"/>
      <c r="F1272" s="265"/>
      <c r="G1272" s="275"/>
      <c r="H1272" s="317"/>
      <c r="I1272" s="418" t="str">
        <f t="shared" si="459"/>
        <v xml:space="preserve"> </v>
      </c>
      <c r="J1272" s="275"/>
      <c r="K1272" s="456"/>
      <c r="L1272" s="418" t="str">
        <f t="shared" si="460"/>
        <v xml:space="preserve"> </v>
      </c>
      <c r="M1272" s="275"/>
      <c r="N1272" s="317"/>
      <c r="O1272" s="418" t="str">
        <f t="shared" si="461"/>
        <v xml:space="preserve"> </v>
      </c>
      <c r="P1272" s="418" t="str">
        <f t="shared" si="462"/>
        <v xml:space="preserve"> </v>
      </c>
      <c r="Q1272" s="418"/>
    </row>
    <row r="1273" spans="2:17" ht="12.75" customHeight="1" x14ac:dyDescent="0.2">
      <c r="B1273" s="267"/>
      <c r="F1273" s="265"/>
      <c r="G1273" s="275"/>
      <c r="H1273" s="317"/>
      <c r="I1273" s="418" t="str">
        <f t="shared" si="459"/>
        <v xml:space="preserve"> </v>
      </c>
      <c r="J1273" s="275"/>
      <c r="K1273" s="456"/>
      <c r="L1273" s="418" t="str">
        <f t="shared" si="460"/>
        <v xml:space="preserve"> </v>
      </c>
      <c r="M1273" s="275"/>
      <c r="N1273" s="317"/>
      <c r="O1273" s="418" t="str">
        <f t="shared" si="461"/>
        <v xml:space="preserve"> </v>
      </c>
      <c r="P1273" s="418" t="str">
        <f t="shared" si="462"/>
        <v xml:space="preserve"> </v>
      </c>
      <c r="Q1273" s="418"/>
    </row>
    <row r="1274" spans="2:17" ht="12.75" customHeight="1" x14ac:dyDescent="0.2">
      <c r="B1274" s="267"/>
      <c r="F1274" s="265"/>
      <c r="G1274" s="275"/>
      <c r="H1274" s="317"/>
      <c r="I1274" s="418" t="str">
        <f t="shared" si="459"/>
        <v xml:space="preserve"> </v>
      </c>
      <c r="J1274" s="275"/>
      <c r="K1274" s="456"/>
      <c r="L1274" s="418" t="str">
        <f t="shared" si="460"/>
        <v xml:space="preserve"> </v>
      </c>
      <c r="M1274" s="275"/>
      <c r="N1274" s="317"/>
      <c r="O1274" s="418" t="str">
        <f t="shared" si="461"/>
        <v xml:space="preserve"> </v>
      </c>
      <c r="P1274" s="418" t="str">
        <f t="shared" si="462"/>
        <v xml:space="preserve"> </v>
      </c>
      <c r="Q1274" s="418"/>
    </row>
    <row r="1275" spans="2:17" ht="12.75" customHeight="1" x14ac:dyDescent="0.2">
      <c r="B1275" s="267"/>
      <c r="F1275" s="265"/>
      <c r="G1275" s="275"/>
      <c r="H1275" s="317"/>
      <c r="I1275" s="418" t="str">
        <f t="shared" si="459"/>
        <v xml:space="preserve"> </v>
      </c>
      <c r="J1275" s="275"/>
      <c r="K1275" s="456"/>
      <c r="L1275" s="418" t="str">
        <f t="shared" si="460"/>
        <v xml:space="preserve"> </v>
      </c>
      <c r="M1275" s="275"/>
      <c r="N1275" s="317"/>
      <c r="O1275" s="418" t="str">
        <f t="shared" si="461"/>
        <v xml:space="preserve"> </v>
      </c>
      <c r="P1275" s="418" t="str">
        <f t="shared" si="462"/>
        <v xml:space="preserve"> </v>
      </c>
      <c r="Q1275" s="418"/>
    </row>
    <row r="1276" spans="2:17" ht="12.75" customHeight="1" x14ac:dyDescent="0.2">
      <c r="B1276" s="267"/>
      <c r="F1276" s="265"/>
      <c r="G1276" s="275"/>
      <c r="H1276" s="317"/>
      <c r="I1276" s="418" t="str">
        <f t="shared" si="459"/>
        <v xml:space="preserve"> </v>
      </c>
      <c r="J1276" s="275"/>
      <c r="K1276" s="456"/>
      <c r="L1276" s="418" t="str">
        <f t="shared" si="460"/>
        <v xml:space="preserve"> </v>
      </c>
      <c r="M1276" s="275"/>
      <c r="N1276" s="317"/>
      <c r="O1276" s="418" t="str">
        <f t="shared" si="461"/>
        <v xml:space="preserve"> </v>
      </c>
      <c r="P1276" s="418" t="str">
        <f t="shared" si="462"/>
        <v xml:space="preserve"> </v>
      </c>
      <c r="Q1276" s="418"/>
    </row>
    <row r="1277" spans="2:17" ht="12.75" customHeight="1" x14ac:dyDescent="0.2">
      <c r="B1277" s="267"/>
      <c r="F1277" s="265"/>
      <c r="G1277" s="275"/>
      <c r="H1277" s="317"/>
      <c r="I1277" s="418" t="str">
        <f t="shared" si="459"/>
        <v xml:space="preserve"> </v>
      </c>
      <c r="J1277" s="275"/>
      <c r="K1277" s="456"/>
      <c r="L1277" s="418" t="str">
        <f t="shared" si="460"/>
        <v xml:space="preserve"> </v>
      </c>
      <c r="M1277" s="275"/>
      <c r="N1277" s="317"/>
      <c r="O1277" s="418" t="str">
        <f t="shared" si="461"/>
        <v xml:space="preserve"> </v>
      </c>
      <c r="P1277" s="418" t="str">
        <f t="shared" si="462"/>
        <v xml:space="preserve"> </v>
      </c>
      <c r="Q1277" s="418"/>
    </row>
    <row r="1278" spans="2:17" ht="12.75" customHeight="1" x14ac:dyDescent="0.2">
      <c r="B1278" s="267"/>
      <c r="F1278" s="265"/>
      <c r="G1278" s="275"/>
      <c r="H1278" s="317"/>
      <c r="I1278" s="418" t="str">
        <f t="shared" si="459"/>
        <v xml:space="preserve"> </v>
      </c>
      <c r="J1278" s="275"/>
      <c r="K1278" s="456"/>
      <c r="L1278" s="418" t="str">
        <f t="shared" si="460"/>
        <v xml:space="preserve"> </v>
      </c>
      <c r="M1278" s="275"/>
      <c r="N1278" s="317"/>
      <c r="O1278" s="418" t="str">
        <f t="shared" si="461"/>
        <v xml:space="preserve"> </v>
      </c>
      <c r="P1278" s="418" t="str">
        <f t="shared" si="462"/>
        <v xml:space="preserve"> </v>
      </c>
      <c r="Q1278" s="418"/>
    </row>
    <row r="1279" spans="2:17" ht="12.75" customHeight="1" x14ac:dyDescent="0.2">
      <c r="B1279" s="267"/>
      <c r="F1279" s="265"/>
      <c r="G1279" s="275"/>
      <c r="H1279" s="317"/>
      <c r="I1279" s="418" t="str">
        <f t="shared" si="459"/>
        <v xml:space="preserve"> </v>
      </c>
      <c r="J1279" s="275"/>
      <c r="K1279" s="456"/>
      <c r="L1279" s="418" t="str">
        <f t="shared" si="460"/>
        <v xml:space="preserve"> </v>
      </c>
      <c r="M1279" s="275"/>
      <c r="N1279" s="317"/>
      <c r="O1279" s="418" t="str">
        <f t="shared" si="461"/>
        <v xml:space="preserve"> </v>
      </c>
      <c r="P1279" s="418" t="str">
        <f t="shared" si="462"/>
        <v xml:space="preserve"> </v>
      </c>
      <c r="Q1279" s="418"/>
    </row>
    <row r="1280" spans="2:17" ht="12.75" customHeight="1" x14ac:dyDescent="0.2">
      <c r="B1280" s="267"/>
      <c r="F1280" s="265"/>
      <c r="G1280" s="275"/>
      <c r="H1280" s="317"/>
      <c r="I1280" s="418" t="str">
        <f t="shared" si="459"/>
        <v xml:space="preserve"> </v>
      </c>
      <c r="J1280" s="275"/>
      <c r="K1280" s="456"/>
      <c r="L1280" s="418" t="str">
        <f t="shared" si="460"/>
        <v xml:space="preserve"> </v>
      </c>
      <c r="M1280" s="275"/>
      <c r="N1280" s="317"/>
      <c r="O1280" s="418" t="str">
        <f t="shared" si="461"/>
        <v xml:space="preserve"> </v>
      </c>
      <c r="P1280" s="418" t="str">
        <f t="shared" si="462"/>
        <v xml:space="preserve"> </v>
      </c>
      <c r="Q1280" s="418"/>
    </row>
    <row r="1281" spans="2:17" ht="12.75" customHeight="1" x14ac:dyDescent="0.2">
      <c r="B1281" s="267"/>
      <c r="F1281" s="265"/>
      <c r="G1281" s="275"/>
      <c r="H1281" s="317"/>
      <c r="I1281" s="418" t="str">
        <f t="shared" si="459"/>
        <v xml:space="preserve"> </v>
      </c>
      <c r="J1281" s="275"/>
      <c r="K1281" s="456"/>
      <c r="L1281" s="418" t="str">
        <f t="shared" si="460"/>
        <v xml:space="preserve"> </v>
      </c>
      <c r="M1281" s="275"/>
      <c r="N1281" s="317"/>
      <c r="O1281" s="418" t="str">
        <f t="shared" si="461"/>
        <v xml:space="preserve"> </v>
      </c>
      <c r="P1281" s="418" t="str">
        <f t="shared" si="462"/>
        <v xml:space="preserve"> </v>
      </c>
      <c r="Q1281" s="418"/>
    </row>
    <row r="1282" spans="2:17" ht="12.75" customHeight="1" x14ac:dyDescent="0.2">
      <c r="B1282" s="267"/>
      <c r="F1282" s="265"/>
      <c r="G1282" s="275"/>
      <c r="H1282" s="317"/>
      <c r="I1282" s="418" t="str">
        <f t="shared" si="459"/>
        <v xml:space="preserve"> </v>
      </c>
      <c r="J1282" s="275"/>
      <c r="K1282" s="456"/>
      <c r="L1282" s="418" t="str">
        <f t="shared" si="460"/>
        <v xml:space="preserve"> </v>
      </c>
      <c r="M1282" s="275"/>
      <c r="N1282" s="317"/>
      <c r="O1282" s="418" t="str">
        <f t="shared" si="461"/>
        <v xml:space="preserve"> </v>
      </c>
      <c r="P1282" s="418" t="str">
        <f t="shared" si="462"/>
        <v xml:space="preserve"> </v>
      </c>
      <c r="Q1282" s="418"/>
    </row>
    <row r="1283" spans="2:17" ht="12.75" customHeight="1" x14ac:dyDescent="0.2">
      <c r="B1283" s="267"/>
      <c r="F1283" s="265"/>
      <c r="G1283" s="275"/>
      <c r="H1283" s="317"/>
      <c r="I1283" s="418" t="str">
        <f t="shared" si="459"/>
        <v xml:space="preserve"> </v>
      </c>
      <c r="J1283" s="275"/>
      <c r="K1283" s="456"/>
      <c r="L1283" s="418" t="str">
        <f t="shared" si="460"/>
        <v xml:space="preserve"> </v>
      </c>
      <c r="M1283" s="275"/>
      <c r="N1283" s="317"/>
      <c r="O1283" s="418" t="str">
        <f t="shared" si="461"/>
        <v xml:space="preserve"> </v>
      </c>
      <c r="P1283" s="418" t="str">
        <f t="shared" si="462"/>
        <v xml:space="preserve"> </v>
      </c>
      <c r="Q1283" s="418"/>
    </row>
    <row r="1284" spans="2:17" ht="12.75" customHeight="1" x14ac:dyDescent="0.2">
      <c r="B1284" s="267"/>
      <c r="F1284" s="265"/>
      <c r="G1284" s="275"/>
      <c r="H1284" s="317"/>
      <c r="I1284" s="418" t="str">
        <f t="shared" ref="I1284:I1288" si="463">IF(G1284=0," ",G1284*H1285)</f>
        <v xml:space="preserve"> </v>
      </c>
      <c r="J1284" s="275"/>
      <c r="K1284" s="456"/>
      <c r="L1284" s="418" t="str">
        <f t="shared" ref="L1284:L1288" si="464">IF(J1284=0," ",J1284*K1285)</f>
        <v xml:space="preserve"> </v>
      </c>
      <c r="M1284" s="275"/>
      <c r="N1284" s="317"/>
      <c r="O1284" s="418" t="str">
        <f t="shared" ref="O1284:O1288" si="465">IF(M1284=0," ",M1284*N1285)</f>
        <v xml:space="preserve"> </v>
      </c>
      <c r="P1284" s="418" t="str">
        <f t="shared" ref="P1284:P1288" si="466">IF(N1284=0," ",N1284*O1285)</f>
        <v xml:space="preserve"> </v>
      </c>
      <c r="Q1284" s="418"/>
    </row>
    <row r="1285" spans="2:17" ht="12.75" customHeight="1" x14ac:dyDescent="0.2">
      <c r="B1285" s="267"/>
      <c r="F1285" s="265"/>
      <c r="G1285" s="275"/>
      <c r="H1285" s="317"/>
      <c r="I1285" s="418" t="str">
        <f t="shared" si="463"/>
        <v xml:space="preserve"> </v>
      </c>
      <c r="J1285" s="275"/>
      <c r="K1285" s="456"/>
      <c r="L1285" s="418" t="str">
        <f t="shared" si="464"/>
        <v xml:space="preserve"> </v>
      </c>
      <c r="M1285" s="275"/>
      <c r="N1285" s="317"/>
      <c r="O1285" s="418" t="str">
        <f t="shared" si="465"/>
        <v xml:space="preserve"> </v>
      </c>
      <c r="P1285" s="418" t="str">
        <f t="shared" si="466"/>
        <v xml:space="preserve"> </v>
      </c>
      <c r="Q1285" s="418"/>
    </row>
    <row r="1286" spans="2:17" ht="12.75" customHeight="1" x14ac:dyDescent="0.2">
      <c r="B1286" s="267"/>
      <c r="F1286" s="265"/>
      <c r="G1286" s="275"/>
      <c r="H1286" s="317"/>
      <c r="I1286" s="418" t="str">
        <f t="shared" si="463"/>
        <v xml:space="preserve"> </v>
      </c>
      <c r="J1286" s="275"/>
      <c r="K1286" s="456"/>
      <c r="L1286" s="418" t="str">
        <f t="shared" si="464"/>
        <v xml:space="preserve"> </v>
      </c>
      <c r="M1286" s="275"/>
      <c r="N1286" s="317"/>
      <c r="O1286" s="418" t="str">
        <f t="shared" si="465"/>
        <v xml:space="preserve"> </v>
      </c>
      <c r="P1286" s="418" t="str">
        <f t="shared" si="466"/>
        <v xml:space="preserve"> </v>
      </c>
      <c r="Q1286" s="418"/>
    </row>
    <row r="1287" spans="2:17" ht="12.6" customHeight="1" x14ac:dyDescent="0.2">
      <c r="B1287" s="267"/>
      <c r="F1287" s="265"/>
      <c r="G1287" s="275"/>
      <c r="H1287" s="317"/>
      <c r="I1287" s="418" t="str">
        <f>IF(G1287=0," ",G1287*H1288)</f>
        <v xml:space="preserve"> </v>
      </c>
      <c r="J1287" s="275"/>
      <c r="K1287" s="456"/>
      <c r="L1287" s="418" t="str">
        <f t="shared" si="464"/>
        <v xml:space="preserve"> </v>
      </c>
      <c r="M1287" s="275"/>
      <c r="N1287" s="317"/>
      <c r="O1287" s="418" t="str">
        <f t="shared" si="465"/>
        <v xml:space="preserve"> </v>
      </c>
      <c r="P1287" s="418" t="str">
        <f t="shared" si="466"/>
        <v xml:space="preserve"> </v>
      </c>
      <c r="Q1287" s="418"/>
    </row>
    <row r="1288" spans="2:17" ht="12.6" customHeight="1" x14ac:dyDescent="0.2">
      <c r="B1288" s="267"/>
      <c r="F1288" s="265"/>
      <c r="G1288" s="275"/>
      <c r="H1288" s="317"/>
      <c r="I1288" s="418" t="str">
        <f t="shared" si="463"/>
        <v xml:space="preserve"> </v>
      </c>
      <c r="J1288" s="275"/>
      <c r="K1288" s="456"/>
      <c r="L1288" s="418" t="str">
        <f t="shared" si="464"/>
        <v xml:space="preserve"> </v>
      </c>
      <c r="M1288" s="275"/>
      <c r="N1288" s="317"/>
      <c r="O1288" s="418" t="str">
        <f t="shared" si="465"/>
        <v xml:space="preserve"> </v>
      </c>
      <c r="P1288" s="418" t="str">
        <f t="shared" si="466"/>
        <v xml:space="preserve"> </v>
      </c>
      <c r="Q1288" s="418"/>
    </row>
    <row r="1289" spans="2:17" ht="12.75" customHeight="1" x14ac:dyDescent="0.2">
      <c r="B1289" s="267"/>
      <c r="F1289" s="265"/>
      <c r="G1289" s="275"/>
      <c r="H1289" s="317"/>
      <c r="I1289" s="418" t="str">
        <f>IF(G1289=0," ",G1289*#REF!)</f>
        <v xml:space="preserve"> </v>
      </c>
      <c r="J1289" s="275"/>
      <c r="K1289" s="456"/>
      <c r="L1289" s="418" t="str">
        <f>IF(J1289=0," ",J1289*#REF!)</f>
        <v xml:space="preserve"> </v>
      </c>
      <c r="M1289" s="275"/>
      <c r="N1289" s="317"/>
      <c r="O1289" s="418" t="str">
        <f>IF(M1289=0," ",M1289*#REF!)</f>
        <v xml:space="preserve"> </v>
      </c>
      <c r="P1289" s="418" t="str">
        <f>IF(N1289=0," ",N1289*#REF!)</f>
        <v xml:space="preserve"> </v>
      </c>
      <c r="Q1289" s="418"/>
    </row>
    <row r="1290" spans="2:17" ht="12.75" customHeight="1" x14ac:dyDescent="0.2">
      <c r="B1290" s="287">
        <v>4200</v>
      </c>
      <c r="C1290" s="288" t="s">
        <v>268</v>
      </c>
      <c r="D1290" s="289"/>
      <c r="E1290" s="290"/>
      <c r="F1290" s="291"/>
      <c r="G1290" s="291"/>
      <c r="H1290" s="422"/>
      <c r="I1290" s="423">
        <f>SUM(I1233:I1289)</f>
        <v>12294600</v>
      </c>
      <c r="J1290" s="412"/>
      <c r="K1290" s="457"/>
      <c r="L1290" s="423">
        <f t="shared" ref="L1290" si="467">SUM(L1233:L1289)</f>
        <v>5426178</v>
      </c>
      <c r="M1290" s="291"/>
      <c r="N1290" s="422"/>
      <c r="O1290" s="423">
        <f>SUM(O1233:O1289)</f>
        <v>9386178</v>
      </c>
      <c r="P1290" s="423"/>
      <c r="Q1290" s="423">
        <f t="shared" ref="Q1290" si="468">SUM(Q1233:Q1289)</f>
        <v>-3960000</v>
      </c>
    </row>
    <row r="1291" spans="2:17" ht="12.75" customHeight="1" x14ac:dyDescent="0.2">
      <c r="B1291" s="239" t="s">
        <v>79</v>
      </c>
      <c r="C1291" s="239"/>
      <c r="D1291" s="263"/>
      <c r="E1291" s="297"/>
      <c r="H1291" s="426"/>
      <c r="I1291" s="427"/>
      <c r="K1291" s="456"/>
      <c r="L1291" s="427"/>
      <c r="N1291" s="426"/>
      <c r="O1291" s="427"/>
      <c r="P1291" s="427"/>
      <c r="Q1291" s="427"/>
    </row>
    <row r="1292" spans="2:17" ht="12.75" customHeight="1" x14ac:dyDescent="0.2">
      <c r="B1292" s="239" t="s">
        <v>267</v>
      </c>
      <c r="C1292" s="240"/>
      <c r="E1292" s="238"/>
      <c r="H1292" s="426"/>
      <c r="I1292" s="427"/>
      <c r="K1292" s="456"/>
      <c r="L1292" s="427"/>
      <c r="N1292" s="426"/>
      <c r="O1292" s="427"/>
      <c r="P1292" s="427"/>
      <c r="Q1292" s="427"/>
    </row>
    <row r="1293" spans="2:17" ht="12.75" customHeight="1" x14ac:dyDescent="0.2">
      <c r="B1293" s="243"/>
      <c r="C1293" s="243"/>
      <c r="D1293" s="244"/>
      <c r="E1293" s="245"/>
      <c r="F1293" s="246"/>
      <c r="H1293" s="428"/>
      <c r="I1293" s="429"/>
      <c r="K1293" s="456"/>
      <c r="L1293" s="429"/>
      <c r="N1293" s="428"/>
      <c r="O1293" s="429"/>
      <c r="P1293" s="429"/>
      <c r="Q1293" s="429"/>
    </row>
    <row r="1294" spans="2:17" ht="12.75" customHeight="1" x14ac:dyDescent="0.2">
      <c r="B1294" s="247" t="s">
        <v>263</v>
      </c>
      <c r="C1294" s="248" t="s">
        <v>264</v>
      </c>
      <c r="D1294" s="249"/>
      <c r="E1294" s="250"/>
      <c r="F1294" s="250" t="s">
        <v>265</v>
      </c>
      <c r="G1294" s="356" t="s">
        <v>68</v>
      </c>
      <c r="H1294" s="251" t="s">
        <v>849</v>
      </c>
      <c r="I1294" s="252" t="s">
        <v>849</v>
      </c>
      <c r="J1294" s="356" t="s">
        <v>68</v>
      </c>
      <c r="K1294" s="457" t="s">
        <v>849</v>
      </c>
      <c r="L1294" s="252" t="s">
        <v>849</v>
      </c>
      <c r="M1294" s="356" t="s">
        <v>68</v>
      </c>
      <c r="N1294" s="251" t="s">
        <v>849</v>
      </c>
      <c r="O1294" s="252" t="s">
        <v>849</v>
      </c>
      <c r="P1294" s="252" t="s">
        <v>849</v>
      </c>
      <c r="Q1294" s="252" t="s">
        <v>849</v>
      </c>
    </row>
    <row r="1295" spans="2:17" ht="12.75" customHeight="1" x14ac:dyDescent="0.2">
      <c r="B1295" s="253" t="s">
        <v>266</v>
      </c>
      <c r="C1295" s="254"/>
      <c r="D1295" s="255"/>
      <c r="E1295" s="256"/>
      <c r="F1295" s="256"/>
      <c r="G1295" s="357" t="s">
        <v>69</v>
      </c>
      <c r="H1295" s="257" t="s">
        <v>262</v>
      </c>
      <c r="I1295" s="258" t="s">
        <v>70</v>
      </c>
      <c r="J1295" s="357" t="s">
        <v>69</v>
      </c>
      <c r="K1295" s="457" t="s">
        <v>262</v>
      </c>
      <c r="L1295" s="258" t="s">
        <v>70</v>
      </c>
      <c r="M1295" s="357" t="s">
        <v>69</v>
      </c>
      <c r="N1295" s="257" t="s">
        <v>262</v>
      </c>
      <c r="O1295" s="258" t="s">
        <v>70</v>
      </c>
      <c r="P1295" s="258" t="s">
        <v>70</v>
      </c>
      <c r="Q1295" s="258" t="s">
        <v>70</v>
      </c>
    </row>
    <row r="1296" spans="2:17" ht="12.75" customHeight="1" x14ac:dyDescent="0.2">
      <c r="B1296" s="273"/>
      <c r="F1296" s="265"/>
      <c r="G1296" s="268"/>
      <c r="H1296" s="251"/>
      <c r="I1296" s="252"/>
      <c r="J1296" s="268"/>
      <c r="K1296" s="456"/>
      <c r="L1296" s="252"/>
      <c r="M1296" s="268"/>
      <c r="N1296" s="251"/>
      <c r="O1296" s="252"/>
      <c r="P1296" s="252"/>
      <c r="Q1296" s="252"/>
    </row>
    <row r="1297" spans="2:17" ht="12.75" customHeight="1" x14ac:dyDescent="0.2">
      <c r="B1297" s="346">
        <v>5100</v>
      </c>
      <c r="C1297" s="262" t="s">
        <v>460</v>
      </c>
      <c r="D1297" s="263"/>
      <c r="E1297" s="264"/>
      <c r="F1297" s="265"/>
      <c r="G1297" s="268"/>
      <c r="H1297" s="317"/>
      <c r="I1297" s="418"/>
      <c r="J1297" s="268"/>
      <c r="K1297" s="456"/>
      <c r="L1297" s="418"/>
      <c r="M1297" s="268"/>
      <c r="N1297" s="317"/>
      <c r="O1297" s="418"/>
      <c r="P1297" s="418"/>
      <c r="Q1297" s="418"/>
    </row>
    <row r="1298" spans="2:17" ht="12.75" customHeight="1" x14ac:dyDescent="0.2">
      <c r="B1298" s="273"/>
      <c r="C1298" s="262" t="s">
        <v>461</v>
      </c>
      <c r="D1298" s="263"/>
      <c r="E1298" s="264"/>
      <c r="F1298" s="265"/>
      <c r="G1298" s="268"/>
      <c r="H1298" s="317"/>
      <c r="I1298" s="418"/>
      <c r="J1298" s="268"/>
      <c r="K1298" s="456"/>
      <c r="L1298" s="418"/>
      <c r="M1298" s="268"/>
      <c r="N1298" s="317"/>
      <c r="O1298" s="418"/>
      <c r="P1298" s="418"/>
      <c r="Q1298" s="418"/>
    </row>
    <row r="1299" spans="2:17" ht="12.75" customHeight="1" x14ac:dyDescent="0.2">
      <c r="B1299" s="273"/>
      <c r="F1299" s="265"/>
      <c r="G1299" s="268"/>
      <c r="H1299" s="317"/>
      <c r="I1299" s="418"/>
      <c r="J1299" s="268"/>
      <c r="K1299" s="456"/>
      <c r="L1299" s="418"/>
      <c r="M1299" s="268"/>
      <c r="N1299" s="317"/>
      <c r="O1299" s="418"/>
      <c r="P1299" s="418"/>
      <c r="Q1299" s="418"/>
    </row>
    <row r="1300" spans="2:17" ht="12.75" customHeight="1" x14ac:dyDescent="0.2">
      <c r="B1300" s="267" t="s">
        <v>427</v>
      </c>
      <c r="C1300" s="273" t="s">
        <v>462</v>
      </c>
      <c r="F1300" s="265"/>
      <c r="G1300" s="268"/>
      <c r="H1300" s="317"/>
      <c r="I1300" s="418"/>
      <c r="J1300" s="268"/>
      <c r="K1300" s="456"/>
      <c r="L1300" s="418"/>
      <c r="M1300" s="268"/>
      <c r="N1300" s="317"/>
      <c r="O1300" s="418"/>
      <c r="P1300" s="418"/>
      <c r="Q1300" s="418"/>
    </row>
    <row r="1301" spans="2:17" ht="12.75" customHeight="1" x14ac:dyDescent="0.2">
      <c r="B1301" s="267"/>
      <c r="C1301" s="273" t="s">
        <v>278</v>
      </c>
      <c r="D1301" s="241" t="s">
        <v>242</v>
      </c>
      <c r="F1301" s="265"/>
      <c r="G1301" s="268"/>
      <c r="H1301" s="317"/>
      <c r="I1301" s="418" t="str">
        <f t="shared" ref="I1301:I1328" si="469">IF(G1301=0," ",G1301*H1301)</f>
        <v xml:space="preserve"> </v>
      </c>
      <c r="J1301" s="268"/>
      <c r="K1301" s="456"/>
      <c r="L1301" s="418" t="str">
        <f t="shared" ref="L1301" si="470">IF(J1301=0," ",J1301*K1301)</f>
        <v xml:space="preserve"> </v>
      </c>
      <c r="M1301" s="268"/>
      <c r="N1301" s="317"/>
      <c r="O1301" s="418" t="str">
        <f t="shared" ref="O1301" si="471">IF(M1301=0," ",M1301*N1301)</f>
        <v xml:space="preserve"> </v>
      </c>
      <c r="P1301" s="418" t="str">
        <f t="shared" ref="P1301" si="472">IF(N1301=0," ",N1301*O1301)</f>
        <v xml:space="preserve"> </v>
      </c>
      <c r="Q1301" s="418"/>
    </row>
    <row r="1302" spans="2:17" ht="12.75" customHeight="1" x14ac:dyDescent="0.2">
      <c r="B1302" s="267"/>
      <c r="D1302" s="241" t="s">
        <v>277</v>
      </c>
      <c r="E1302" s="274" t="s">
        <v>243</v>
      </c>
      <c r="F1302" s="265" t="s">
        <v>275</v>
      </c>
      <c r="G1302" s="363" t="s">
        <v>596</v>
      </c>
      <c r="H1302" s="448">
        <v>400</v>
      </c>
      <c r="I1302" s="418">
        <v>0</v>
      </c>
      <c r="J1302" s="363" t="s">
        <v>596</v>
      </c>
      <c r="K1302" s="456">
        <v>850</v>
      </c>
      <c r="L1302" s="418">
        <v>0</v>
      </c>
      <c r="M1302" s="363" t="s">
        <v>596</v>
      </c>
      <c r="N1302" s="448">
        <v>850</v>
      </c>
      <c r="O1302" s="418">
        <v>0</v>
      </c>
      <c r="P1302" s="418">
        <f>K1302-N1302</f>
        <v>0</v>
      </c>
      <c r="Q1302" s="418">
        <f>L1302-O1302</f>
        <v>0</v>
      </c>
    </row>
    <row r="1303" spans="2:17" ht="12.75" customHeight="1" x14ac:dyDescent="0.2">
      <c r="B1303" s="273"/>
      <c r="F1303" s="265"/>
      <c r="G1303" s="268"/>
      <c r="H1303" s="317"/>
      <c r="I1303" s="418" t="str">
        <f t="shared" si="469"/>
        <v xml:space="preserve"> </v>
      </c>
      <c r="J1303" s="268"/>
      <c r="K1303" s="456"/>
      <c r="L1303" s="418" t="str">
        <f t="shared" ref="L1303:L1328" si="473">IF(J1303=0," ",J1303*K1303)</f>
        <v xml:space="preserve"> </v>
      </c>
      <c r="M1303" s="268"/>
      <c r="N1303" s="317"/>
      <c r="O1303" s="418" t="str">
        <f t="shared" ref="O1303:O1328" si="474">IF(M1303=0," ",M1303*N1303)</f>
        <v xml:space="preserve"> </v>
      </c>
      <c r="P1303" s="418"/>
      <c r="Q1303" s="418"/>
    </row>
    <row r="1304" spans="2:17" ht="12.75" customHeight="1" x14ac:dyDescent="0.2">
      <c r="B1304" s="267"/>
      <c r="C1304" s="273" t="s">
        <v>279</v>
      </c>
      <c r="D1304" s="241" t="s">
        <v>450</v>
      </c>
      <c r="F1304" s="265" t="s">
        <v>275</v>
      </c>
      <c r="G1304" s="268">
        <v>800</v>
      </c>
      <c r="H1304" s="418">
        <v>350</v>
      </c>
      <c r="I1304" s="418">
        <f t="shared" si="469"/>
        <v>280000</v>
      </c>
      <c r="J1304" s="268">
        <v>800</v>
      </c>
      <c r="K1304" s="456">
        <v>600</v>
      </c>
      <c r="L1304" s="418">
        <f t="shared" si="473"/>
        <v>480000</v>
      </c>
      <c r="M1304" s="268">
        <v>800</v>
      </c>
      <c r="N1304" s="418">
        <v>250</v>
      </c>
      <c r="O1304" s="418">
        <f t="shared" si="474"/>
        <v>200000</v>
      </c>
      <c r="P1304" s="460">
        <f t="shared" ref="P1304:P1308" si="475">K1304-N1304</f>
        <v>350</v>
      </c>
      <c r="Q1304" s="460">
        <f t="shared" ref="Q1304:Q1308" si="476">L1304-O1304</f>
        <v>280000</v>
      </c>
    </row>
    <row r="1305" spans="2:17" ht="12.75" customHeight="1" x14ac:dyDescent="0.2">
      <c r="B1305" s="267"/>
      <c r="F1305" s="265"/>
      <c r="G1305" s="268"/>
      <c r="H1305" s="418" t="str">
        <f t="shared" ref="H1305:H1307" si="477">IF(F1305=0," ",F1305*G1305)</f>
        <v xml:space="preserve"> </v>
      </c>
      <c r="I1305" s="418" t="str">
        <f t="shared" si="469"/>
        <v xml:space="preserve"> </v>
      </c>
      <c r="J1305" s="268"/>
      <c r="K1305" s="456" t="s">
        <v>849</v>
      </c>
      <c r="L1305" s="418" t="str">
        <f t="shared" si="473"/>
        <v xml:space="preserve"> </v>
      </c>
      <c r="M1305" s="268"/>
      <c r="N1305" s="418"/>
      <c r="O1305" s="418" t="str">
        <f t="shared" si="474"/>
        <v xml:space="preserve"> </v>
      </c>
      <c r="P1305" s="460"/>
      <c r="Q1305" s="460"/>
    </row>
    <row r="1306" spans="2:17" ht="12.75" customHeight="1" x14ac:dyDescent="0.2">
      <c r="B1306" s="267" t="s">
        <v>428</v>
      </c>
      <c r="C1306" s="273" t="s">
        <v>741</v>
      </c>
      <c r="F1306" s="265"/>
      <c r="G1306" s="268"/>
      <c r="H1306" s="418" t="str">
        <f t="shared" si="477"/>
        <v xml:space="preserve"> </v>
      </c>
      <c r="I1306" s="418" t="str">
        <f t="shared" si="469"/>
        <v xml:space="preserve"> </v>
      </c>
      <c r="J1306" s="268"/>
      <c r="K1306" s="456" t="s">
        <v>849</v>
      </c>
      <c r="L1306" s="418" t="str">
        <f t="shared" si="473"/>
        <v xml:space="preserve"> </v>
      </c>
      <c r="M1306" s="268"/>
      <c r="N1306" s="418"/>
      <c r="O1306" s="418" t="str">
        <f t="shared" si="474"/>
        <v xml:space="preserve"> </v>
      </c>
      <c r="P1306" s="460"/>
      <c r="Q1306" s="460"/>
    </row>
    <row r="1307" spans="2:17" ht="12.75" customHeight="1" x14ac:dyDescent="0.2">
      <c r="B1307" s="267"/>
      <c r="C1307" s="273" t="s">
        <v>279</v>
      </c>
      <c r="D1307" s="241" t="s">
        <v>244</v>
      </c>
      <c r="F1307" s="265"/>
      <c r="G1307" s="268"/>
      <c r="H1307" s="418" t="str">
        <f t="shared" si="477"/>
        <v xml:space="preserve"> </v>
      </c>
      <c r="I1307" s="418" t="str">
        <f t="shared" si="469"/>
        <v xml:space="preserve"> </v>
      </c>
      <c r="J1307" s="268"/>
      <c r="K1307" s="456" t="s">
        <v>849</v>
      </c>
      <c r="L1307" s="418" t="str">
        <f t="shared" si="473"/>
        <v xml:space="preserve"> </v>
      </c>
      <c r="M1307" s="268"/>
      <c r="N1307" s="418"/>
      <c r="O1307" s="418" t="str">
        <f t="shared" si="474"/>
        <v xml:space="preserve"> </v>
      </c>
      <c r="P1307" s="460"/>
      <c r="Q1307" s="460"/>
    </row>
    <row r="1308" spans="2:17" ht="12.75" customHeight="1" x14ac:dyDescent="0.2">
      <c r="B1308" s="273"/>
      <c r="D1308" s="241" t="s">
        <v>245</v>
      </c>
      <c r="F1308" s="265" t="s">
        <v>829</v>
      </c>
      <c r="G1308" s="268">
        <f>16*25*1.5*0.5</f>
        <v>300</v>
      </c>
      <c r="H1308" s="418">
        <v>350</v>
      </c>
      <c r="I1308" s="418">
        <f t="shared" si="469"/>
        <v>105000</v>
      </c>
      <c r="J1308" s="268">
        <f t="shared" ref="J1308" si="478">16*25*1.5*0.5</f>
        <v>300</v>
      </c>
      <c r="K1308" s="456">
        <v>600</v>
      </c>
      <c r="L1308" s="418">
        <f t="shared" si="473"/>
        <v>180000</v>
      </c>
      <c r="M1308" s="268">
        <f t="shared" ref="M1308" si="479">16*25*1.5*0.5</f>
        <v>300</v>
      </c>
      <c r="N1308" s="418">
        <v>450</v>
      </c>
      <c r="O1308" s="418">
        <f t="shared" si="474"/>
        <v>135000</v>
      </c>
      <c r="P1308" s="460">
        <f t="shared" si="475"/>
        <v>150</v>
      </c>
      <c r="Q1308" s="460">
        <f t="shared" si="476"/>
        <v>45000</v>
      </c>
    </row>
    <row r="1309" spans="2:17" ht="12.75" customHeight="1" x14ac:dyDescent="0.2">
      <c r="B1309" s="273"/>
      <c r="F1309" s="265"/>
      <c r="G1309" s="268"/>
      <c r="H1309" s="317"/>
      <c r="I1309" s="418" t="str">
        <f t="shared" si="469"/>
        <v xml:space="preserve"> </v>
      </c>
      <c r="J1309" s="268"/>
      <c r="K1309" s="456"/>
      <c r="L1309" s="418" t="str">
        <f t="shared" si="473"/>
        <v xml:space="preserve"> </v>
      </c>
      <c r="M1309" s="268"/>
      <c r="N1309" s="317"/>
      <c r="O1309" s="418" t="str">
        <f t="shared" si="474"/>
        <v xml:space="preserve"> </v>
      </c>
      <c r="P1309" s="418" t="str">
        <f t="shared" ref="P1309:P1328" si="480">IF(N1309=0," ",N1309*O1309)</f>
        <v xml:space="preserve"> </v>
      </c>
      <c r="Q1309" s="418"/>
    </row>
    <row r="1310" spans="2:17" ht="12.75" customHeight="1" x14ac:dyDescent="0.2">
      <c r="B1310" s="267"/>
      <c r="F1310" s="265"/>
      <c r="G1310" s="268"/>
      <c r="H1310" s="317"/>
      <c r="I1310" s="418" t="str">
        <f t="shared" si="469"/>
        <v xml:space="preserve"> </v>
      </c>
      <c r="J1310" s="268"/>
      <c r="K1310" s="456"/>
      <c r="L1310" s="418" t="str">
        <f t="shared" si="473"/>
        <v xml:space="preserve"> </v>
      </c>
      <c r="M1310" s="268"/>
      <c r="N1310" s="317"/>
      <c r="O1310" s="418" t="str">
        <f t="shared" si="474"/>
        <v xml:space="preserve"> </v>
      </c>
      <c r="P1310" s="418" t="str">
        <f t="shared" si="480"/>
        <v xml:space="preserve"> </v>
      </c>
      <c r="Q1310" s="418"/>
    </row>
    <row r="1311" spans="2:17" ht="12.75" customHeight="1" x14ac:dyDescent="0.2">
      <c r="B1311" s="267"/>
      <c r="F1311" s="265"/>
      <c r="G1311" s="268"/>
      <c r="H1311" s="317"/>
      <c r="I1311" s="418" t="str">
        <f t="shared" si="469"/>
        <v xml:space="preserve"> </v>
      </c>
      <c r="J1311" s="268"/>
      <c r="K1311" s="456"/>
      <c r="L1311" s="418" t="str">
        <f t="shared" si="473"/>
        <v xml:space="preserve"> </v>
      </c>
      <c r="M1311" s="268"/>
      <c r="N1311" s="317"/>
      <c r="O1311" s="418" t="str">
        <f t="shared" si="474"/>
        <v xml:space="preserve"> </v>
      </c>
      <c r="P1311" s="418" t="str">
        <f t="shared" si="480"/>
        <v xml:space="preserve"> </v>
      </c>
      <c r="Q1311" s="418"/>
    </row>
    <row r="1312" spans="2:17" ht="12.75" customHeight="1" x14ac:dyDescent="0.2">
      <c r="B1312" s="273"/>
      <c r="F1312" s="265"/>
      <c r="G1312" s="268"/>
      <c r="H1312" s="317"/>
      <c r="I1312" s="418" t="str">
        <f t="shared" si="469"/>
        <v xml:space="preserve"> </v>
      </c>
      <c r="J1312" s="268"/>
      <c r="K1312" s="456"/>
      <c r="L1312" s="418" t="str">
        <f t="shared" si="473"/>
        <v xml:space="preserve"> </v>
      </c>
      <c r="M1312" s="268"/>
      <c r="N1312" s="317"/>
      <c r="O1312" s="418" t="str">
        <f t="shared" si="474"/>
        <v xml:space="preserve"> </v>
      </c>
      <c r="P1312" s="418" t="str">
        <f t="shared" si="480"/>
        <v xml:space="preserve"> </v>
      </c>
      <c r="Q1312" s="418"/>
    </row>
    <row r="1313" spans="2:17" ht="12.75" customHeight="1" x14ac:dyDescent="0.2">
      <c r="B1313" s="273"/>
      <c r="F1313" s="265"/>
      <c r="G1313" s="268"/>
      <c r="H1313" s="317"/>
      <c r="I1313" s="418" t="str">
        <f t="shared" si="469"/>
        <v xml:space="preserve"> </v>
      </c>
      <c r="J1313" s="268"/>
      <c r="K1313" s="456"/>
      <c r="L1313" s="418" t="str">
        <f t="shared" si="473"/>
        <v xml:space="preserve"> </v>
      </c>
      <c r="M1313" s="268"/>
      <c r="N1313" s="317"/>
      <c r="O1313" s="418" t="str">
        <f t="shared" si="474"/>
        <v xml:space="preserve"> </v>
      </c>
      <c r="P1313" s="418" t="str">
        <f t="shared" si="480"/>
        <v xml:space="preserve"> </v>
      </c>
      <c r="Q1313" s="418"/>
    </row>
    <row r="1314" spans="2:17" ht="12.75" customHeight="1" x14ac:dyDescent="0.2">
      <c r="B1314" s="273"/>
      <c r="F1314" s="265"/>
      <c r="G1314" s="268"/>
      <c r="H1314" s="317"/>
      <c r="I1314" s="418" t="str">
        <f t="shared" si="469"/>
        <v xml:space="preserve"> </v>
      </c>
      <c r="J1314" s="268"/>
      <c r="K1314" s="456"/>
      <c r="L1314" s="418" t="str">
        <f t="shared" si="473"/>
        <v xml:space="preserve"> </v>
      </c>
      <c r="M1314" s="268"/>
      <c r="N1314" s="317"/>
      <c r="O1314" s="418" t="str">
        <f t="shared" si="474"/>
        <v xml:space="preserve"> </v>
      </c>
      <c r="P1314" s="418" t="str">
        <f t="shared" si="480"/>
        <v xml:space="preserve"> </v>
      </c>
      <c r="Q1314" s="418"/>
    </row>
    <row r="1315" spans="2:17" ht="12.75" customHeight="1" x14ac:dyDescent="0.2">
      <c r="B1315" s="273"/>
      <c r="F1315" s="265"/>
      <c r="G1315" s="268"/>
      <c r="H1315" s="317"/>
      <c r="I1315" s="418" t="str">
        <f t="shared" si="469"/>
        <v xml:space="preserve"> </v>
      </c>
      <c r="J1315" s="268"/>
      <c r="K1315" s="456"/>
      <c r="L1315" s="418" t="str">
        <f t="shared" si="473"/>
        <v xml:space="preserve"> </v>
      </c>
      <c r="M1315" s="268"/>
      <c r="N1315" s="317"/>
      <c r="O1315" s="418" t="str">
        <f t="shared" si="474"/>
        <v xml:space="preserve"> </v>
      </c>
      <c r="P1315" s="418" t="str">
        <f t="shared" si="480"/>
        <v xml:space="preserve"> </v>
      </c>
      <c r="Q1315" s="418"/>
    </row>
    <row r="1316" spans="2:17" ht="12.75" customHeight="1" x14ac:dyDescent="0.2">
      <c r="B1316" s="273"/>
      <c r="F1316" s="265"/>
      <c r="G1316" s="268"/>
      <c r="H1316" s="317"/>
      <c r="I1316" s="418" t="str">
        <f t="shared" si="469"/>
        <v xml:space="preserve"> </v>
      </c>
      <c r="J1316" s="268"/>
      <c r="K1316" s="456"/>
      <c r="L1316" s="418" t="str">
        <f t="shared" si="473"/>
        <v xml:space="preserve"> </v>
      </c>
      <c r="M1316" s="268"/>
      <c r="N1316" s="317"/>
      <c r="O1316" s="418" t="str">
        <f t="shared" si="474"/>
        <v xml:space="preserve"> </v>
      </c>
      <c r="P1316" s="418" t="str">
        <f t="shared" si="480"/>
        <v xml:space="preserve"> </v>
      </c>
      <c r="Q1316" s="418"/>
    </row>
    <row r="1317" spans="2:17" ht="12.75" customHeight="1" x14ac:dyDescent="0.2">
      <c r="B1317" s="273"/>
      <c r="F1317" s="265"/>
      <c r="G1317" s="268"/>
      <c r="H1317" s="317"/>
      <c r="I1317" s="418" t="str">
        <f t="shared" si="469"/>
        <v xml:space="preserve"> </v>
      </c>
      <c r="J1317" s="268"/>
      <c r="K1317" s="456"/>
      <c r="L1317" s="418" t="str">
        <f t="shared" si="473"/>
        <v xml:space="preserve"> </v>
      </c>
      <c r="M1317" s="268"/>
      <c r="N1317" s="317"/>
      <c r="O1317" s="418" t="str">
        <f t="shared" si="474"/>
        <v xml:space="preserve"> </v>
      </c>
      <c r="P1317" s="418" t="str">
        <f t="shared" si="480"/>
        <v xml:space="preserve"> </v>
      </c>
      <c r="Q1317" s="418"/>
    </row>
    <row r="1318" spans="2:17" ht="12.75" customHeight="1" x14ac:dyDescent="0.2">
      <c r="B1318" s="273"/>
      <c r="F1318" s="265"/>
      <c r="G1318" s="268"/>
      <c r="H1318" s="317"/>
      <c r="I1318" s="418" t="str">
        <f t="shared" si="469"/>
        <v xml:space="preserve"> </v>
      </c>
      <c r="J1318" s="268"/>
      <c r="K1318" s="456"/>
      <c r="L1318" s="418" t="str">
        <f t="shared" si="473"/>
        <v xml:space="preserve"> </v>
      </c>
      <c r="M1318" s="268"/>
      <c r="N1318" s="317"/>
      <c r="O1318" s="418" t="str">
        <f t="shared" si="474"/>
        <v xml:space="preserve"> </v>
      </c>
      <c r="P1318" s="418" t="str">
        <f t="shared" si="480"/>
        <v xml:space="preserve"> </v>
      </c>
      <c r="Q1318" s="418"/>
    </row>
    <row r="1319" spans="2:17" ht="12.75" customHeight="1" x14ac:dyDescent="0.2">
      <c r="B1319" s="273"/>
      <c r="F1319" s="265"/>
      <c r="G1319" s="268"/>
      <c r="H1319" s="317"/>
      <c r="I1319" s="418" t="str">
        <f t="shared" si="469"/>
        <v xml:space="preserve"> </v>
      </c>
      <c r="J1319" s="268"/>
      <c r="K1319" s="456"/>
      <c r="L1319" s="418" t="str">
        <f t="shared" si="473"/>
        <v xml:space="preserve"> </v>
      </c>
      <c r="M1319" s="268"/>
      <c r="N1319" s="317"/>
      <c r="O1319" s="418" t="str">
        <f t="shared" si="474"/>
        <v xml:space="preserve"> </v>
      </c>
      <c r="P1319" s="418" t="str">
        <f t="shared" si="480"/>
        <v xml:space="preserve"> </v>
      </c>
      <c r="Q1319" s="418"/>
    </row>
    <row r="1320" spans="2:17" ht="12.75" customHeight="1" x14ac:dyDescent="0.2">
      <c r="B1320" s="273"/>
      <c r="F1320" s="265"/>
      <c r="G1320" s="268"/>
      <c r="H1320" s="317"/>
      <c r="I1320" s="418" t="str">
        <f t="shared" si="469"/>
        <v xml:space="preserve"> </v>
      </c>
      <c r="J1320" s="268"/>
      <c r="K1320" s="456"/>
      <c r="L1320" s="418" t="str">
        <f t="shared" si="473"/>
        <v xml:space="preserve"> </v>
      </c>
      <c r="M1320" s="268"/>
      <c r="N1320" s="317"/>
      <c r="O1320" s="418" t="str">
        <f t="shared" si="474"/>
        <v xml:space="preserve"> </v>
      </c>
      <c r="P1320" s="418" t="str">
        <f t="shared" si="480"/>
        <v xml:space="preserve"> </v>
      </c>
      <c r="Q1320" s="418"/>
    </row>
    <row r="1321" spans="2:17" ht="12.75" customHeight="1" x14ac:dyDescent="0.2">
      <c r="B1321" s="273"/>
      <c r="F1321" s="265"/>
      <c r="G1321" s="268"/>
      <c r="H1321" s="317"/>
      <c r="I1321" s="418" t="str">
        <f t="shared" si="469"/>
        <v xml:space="preserve"> </v>
      </c>
      <c r="J1321" s="268"/>
      <c r="K1321" s="456"/>
      <c r="L1321" s="418" t="str">
        <f t="shared" si="473"/>
        <v xml:space="preserve"> </v>
      </c>
      <c r="M1321" s="268"/>
      <c r="N1321" s="317"/>
      <c r="O1321" s="418" t="str">
        <f t="shared" si="474"/>
        <v xml:space="preserve"> </v>
      </c>
      <c r="P1321" s="418" t="str">
        <f t="shared" si="480"/>
        <v xml:space="preserve"> </v>
      </c>
      <c r="Q1321" s="418"/>
    </row>
    <row r="1322" spans="2:17" ht="12.75" customHeight="1" x14ac:dyDescent="0.2">
      <c r="B1322" s="273"/>
      <c r="F1322" s="265"/>
      <c r="G1322" s="268"/>
      <c r="H1322" s="317"/>
      <c r="I1322" s="418" t="str">
        <f t="shared" si="469"/>
        <v xml:space="preserve"> </v>
      </c>
      <c r="J1322" s="268"/>
      <c r="K1322" s="456"/>
      <c r="L1322" s="418" t="str">
        <f t="shared" si="473"/>
        <v xml:space="preserve"> </v>
      </c>
      <c r="M1322" s="268"/>
      <c r="N1322" s="317"/>
      <c r="O1322" s="418" t="str">
        <f t="shared" si="474"/>
        <v xml:space="preserve"> </v>
      </c>
      <c r="P1322" s="418" t="str">
        <f t="shared" si="480"/>
        <v xml:space="preserve"> </v>
      </c>
      <c r="Q1322" s="418"/>
    </row>
    <row r="1323" spans="2:17" ht="12.75" customHeight="1" x14ac:dyDescent="0.2">
      <c r="B1323" s="273"/>
      <c r="F1323" s="265"/>
      <c r="G1323" s="268"/>
      <c r="H1323" s="317"/>
      <c r="I1323" s="418" t="str">
        <f t="shared" si="469"/>
        <v xml:space="preserve"> </v>
      </c>
      <c r="J1323" s="268"/>
      <c r="K1323" s="456"/>
      <c r="L1323" s="418" t="str">
        <f t="shared" si="473"/>
        <v xml:space="preserve"> </v>
      </c>
      <c r="M1323" s="268"/>
      <c r="N1323" s="317"/>
      <c r="O1323" s="418" t="str">
        <f t="shared" si="474"/>
        <v xml:space="preserve"> </v>
      </c>
      <c r="P1323" s="418" t="str">
        <f t="shared" si="480"/>
        <v xml:space="preserve"> </v>
      </c>
      <c r="Q1323" s="418"/>
    </row>
    <row r="1324" spans="2:17" ht="12.75" customHeight="1" x14ac:dyDescent="0.2">
      <c r="B1324" s="273"/>
      <c r="F1324" s="265"/>
      <c r="G1324" s="268"/>
      <c r="H1324" s="317"/>
      <c r="I1324" s="418" t="str">
        <f t="shared" si="469"/>
        <v xml:space="preserve"> </v>
      </c>
      <c r="J1324" s="268"/>
      <c r="K1324" s="456"/>
      <c r="L1324" s="418" t="str">
        <f t="shared" si="473"/>
        <v xml:space="preserve"> </v>
      </c>
      <c r="M1324" s="268"/>
      <c r="N1324" s="317"/>
      <c r="O1324" s="418" t="str">
        <f t="shared" si="474"/>
        <v xml:space="preserve"> </v>
      </c>
      <c r="P1324" s="418" t="str">
        <f t="shared" si="480"/>
        <v xml:space="preserve"> </v>
      </c>
      <c r="Q1324" s="418"/>
    </row>
    <row r="1325" spans="2:17" ht="12.75" customHeight="1" x14ac:dyDescent="0.2">
      <c r="B1325" s="273"/>
      <c r="F1325" s="265"/>
      <c r="G1325" s="268"/>
      <c r="H1325" s="317"/>
      <c r="I1325" s="418" t="str">
        <f t="shared" si="469"/>
        <v xml:space="preserve"> </v>
      </c>
      <c r="J1325" s="268"/>
      <c r="K1325" s="456"/>
      <c r="L1325" s="418" t="str">
        <f t="shared" si="473"/>
        <v xml:space="preserve"> </v>
      </c>
      <c r="M1325" s="268"/>
      <c r="N1325" s="317"/>
      <c r="O1325" s="418" t="str">
        <f t="shared" si="474"/>
        <v xml:space="preserve"> </v>
      </c>
      <c r="P1325" s="418" t="str">
        <f t="shared" si="480"/>
        <v xml:space="preserve"> </v>
      </c>
      <c r="Q1325" s="418"/>
    </row>
    <row r="1326" spans="2:17" ht="12.75" customHeight="1" x14ac:dyDescent="0.2">
      <c r="B1326" s="273"/>
      <c r="F1326" s="265"/>
      <c r="G1326" s="268"/>
      <c r="H1326" s="317"/>
      <c r="I1326" s="418" t="str">
        <f t="shared" si="469"/>
        <v xml:space="preserve"> </v>
      </c>
      <c r="J1326" s="268"/>
      <c r="K1326" s="456"/>
      <c r="L1326" s="418" t="str">
        <f t="shared" si="473"/>
        <v xml:space="preserve"> </v>
      </c>
      <c r="M1326" s="268"/>
      <c r="N1326" s="317"/>
      <c r="O1326" s="418" t="str">
        <f t="shared" si="474"/>
        <v xml:space="preserve"> </v>
      </c>
      <c r="P1326" s="418" t="str">
        <f t="shared" si="480"/>
        <v xml:space="preserve"> </v>
      </c>
      <c r="Q1326" s="418"/>
    </row>
    <row r="1327" spans="2:17" ht="12.75" customHeight="1" x14ac:dyDescent="0.2">
      <c r="B1327" s="273"/>
      <c r="F1327" s="265"/>
      <c r="G1327" s="268"/>
      <c r="H1327" s="317"/>
      <c r="I1327" s="418" t="str">
        <f t="shared" si="469"/>
        <v xml:space="preserve"> </v>
      </c>
      <c r="J1327" s="268"/>
      <c r="K1327" s="456"/>
      <c r="L1327" s="418" t="str">
        <f t="shared" si="473"/>
        <v xml:space="preserve"> </v>
      </c>
      <c r="M1327" s="268"/>
      <c r="N1327" s="317"/>
      <c r="O1327" s="418" t="str">
        <f t="shared" si="474"/>
        <v xml:space="preserve"> </v>
      </c>
      <c r="P1327" s="418" t="str">
        <f t="shared" si="480"/>
        <v xml:space="preserve"> </v>
      </c>
      <c r="Q1327" s="418"/>
    </row>
    <row r="1328" spans="2:17" ht="12.75" customHeight="1" x14ac:dyDescent="0.2">
      <c r="B1328" s="273"/>
      <c r="F1328" s="265"/>
      <c r="G1328" s="268"/>
      <c r="H1328" s="317"/>
      <c r="I1328" s="418" t="str">
        <f t="shared" si="469"/>
        <v xml:space="preserve"> </v>
      </c>
      <c r="J1328" s="268"/>
      <c r="K1328" s="456"/>
      <c r="L1328" s="418" t="str">
        <f t="shared" si="473"/>
        <v xml:space="preserve"> </v>
      </c>
      <c r="M1328" s="268"/>
      <c r="N1328" s="317"/>
      <c r="O1328" s="418" t="str">
        <f t="shared" si="474"/>
        <v xml:space="preserve"> </v>
      </c>
      <c r="P1328" s="418" t="str">
        <f t="shared" si="480"/>
        <v xml:space="preserve"> </v>
      </c>
      <c r="Q1328" s="418"/>
    </row>
    <row r="1329" spans="2:17" ht="12.75" customHeight="1" x14ac:dyDescent="0.2">
      <c r="B1329" s="273"/>
      <c r="F1329" s="265"/>
      <c r="G1329" s="268"/>
      <c r="H1329" s="317"/>
      <c r="I1329" s="318"/>
      <c r="J1329" s="268"/>
      <c r="K1329" s="456"/>
      <c r="L1329" s="318"/>
      <c r="M1329" s="268"/>
      <c r="N1329" s="317"/>
      <c r="O1329" s="318"/>
      <c r="P1329" s="318"/>
      <c r="Q1329" s="318"/>
    </row>
    <row r="1330" spans="2:17" ht="12.75" customHeight="1" x14ac:dyDescent="0.2">
      <c r="B1330" s="273"/>
      <c r="F1330" s="265"/>
      <c r="G1330" s="268"/>
      <c r="H1330" s="317"/>
      <c r="I1330" s="318"/>
      <c r="J1330" s="268"/>
      <c r="K1330" s="456"/>
      <c r="L1330" s="318"/>
      <c r="M1330" s="268"/>
      <c r="N1330" s="317"/>
      <c r="O1330" s="318"/>
      <c r="P1330" s="318"/>
      <c r="Q1330" s="318"/>
    </row>
    <row r="1331" spans="2:17" ht="12.75" customHeight="1" x14ac:dyDescent="0.2">
      <c r="B1331" s="273"/>
      <c r="F1331" s="265"/>
      <c r="G1331" s="268"/>
      <c r="H1331" s="317"/>
      <c r="I1331" s="318"/>
      <c r="J1331" s="268"/>
      <c r="K1331" s="456"/>
      <c r="L1331" s="318"/>
      <c r="M1331" s="268"/>
      <c r="N1331" s="317"/>
      <c r="O1331" s="318"/>
      <c r="P1331" s="318"/>
      <c r="Q1331" s="318"/>
    </row>
    <row r="1332" spans="2:17" ht="12.75" customHeight="1" x14ac:dyDescent="0.2">
      <c r="B1332" s="273"/>
      <c r="F1332" s="265"/>
      <c r="G1332" s="268"/>
      <c r="H1332" s="317"/>
      <c r="I1332" s="318"/>
      <c r="J1332" s="268"/>
      <c r="K1332" s="456"/>
      <c r="L1332" s="318"/>
      <c r="M1332" s="268"/>
      <c r="N1332" s="317"/>
      <c r="O1332" s="318"/>
      <c r="P1332" s="318"/>
      <c r="Q1332" s="318"/>
    </row>
    <row r="1333" spans="2:17" ht="12.75" customHeight="1" x14ac:dyDescent="0.2">
      <c r="B1333" s="273"/>
      <c r="F1333" s="265"/>
      <c r="G1333" s="268"/>
      <c r="H1333" s="317"/>
      <c r="I1333" s="318"/>
      <c r="J1333" s="268"/>
      <c r="K1333" s="456"/>
      <c r="L1333" s="318"/>
      <c r="M1333" s="268"/>
      <c r="N1333" s="317"/>
      <c r="O1333" s="318"/>
      <c r="P1333" s="318"/>
      <c r="Q1333" s="318"/>
    </row>
    <row r="1334" spans="2:17" ht="12.75" customHeight="1" x14ac:dyDescent="0.2">
      <c r="B1334" s="273"/>
      <c r="F1334" s="265"/>
      <c r="G1334" s="268"/>
      <c r="H1334" s="317"/>
      <c r="I1334" s="318"/>
      <c r="J1334" s="268"/>
      <c r="K1334" s="456"/>
      <c r="L1334" s="318"/>
      <c r="M1334" s="268"/>
      <c r="N1334" s="317"/>
      <c r="O1334" s="318"/>
      <c r="P1334" s="318"/>
      <c r="Q1334" s="318"/>
    </row>
    <row r="1335" spans="2:17" ht="12.75" customHeight="1" x14ac:dyDescent="0.2">
      <c r="B1335" s="273"/>
      <c r="F1335" s="265"/>
      <c r="G1335" s="268"/>
      <c r="H1335" s="317"/>
      <c r="I1335" s="318"/>
      <c r="J1335" s="268"/>
      <c r="K1335" s="456"/>
      <c r="L1335" s="318"/>
      <c r="M1335" s="268"/>
      <c r="N1335" s="317"/>
      <c r="O1335" s="318"/>
      <c r="P1335" s="318"/>
      <c r="Q1335" s="318"/>
    </row>
    <row r="1336" spans="2:17" ht="12.75" customHeight="1" x14ac:dyDescent="0.2">
      <c r="B1336" s="273"/>
      <c r="F1336" s="265"/>
      <c r="G1336" s="268"/>
      <c r="H1336" s="317"/>
      <c r="I1336" s="318"/>
      <c r="J1336" s="268"/>
      <c r="K1336" s="456"/>
      <c r="L1336" s="318"/>
      <c r="M1336" s="268"/>
      <c r="N1336" s="317"/>
      <c r="O1336" s="318"/>
      <c r="P1336" s="318"/>
      <c r="Q1336" s="318"/>
    </row>
    <row r="1337" spans="2:17" ht="12.75" customHeight="1" x14ac:dyDescent="0.2">
      <c r="B1337" s="273"/>
      <c r="F1337" s="265"/>
      <c r="G1337" s="268"/>
      <c r="H1337" s="317"/>
      <c r="I1337" s="318"/>
      <c r="J1337" s="268"/>
      <c r="K1337" s="456"/>
      <c r="L1337" s="318"/>
      <c r="M1337" s="268"/>
      <c r="N1337" s="317"/>
      <c r="O1337" s="318"/>
      <c r="P1337" s="318"/>
      <c r="Q1337" s="318"/>
    </row>
    <row r="1338" spans="2:17" ht="12.75" customHeight="1" x14ac:dyDescent="0.2">
      <c r="B1338" s="273"/>
      <c r="F1338" s="265"/>
      <c r="G1338" s="268"/>
      <c r="H1338" s="317"/>
      <c r="I1338" s="318"/>
      <c r="J1338" s="268"/>
      <c r="K1338" s="456"/>
      <c r="L1338" s="318"/>
      <c r="M1338" s="268"/>
      <c r="N1338" s="317"/>
      <c r="O1338" s="318"/>
      <c r="P1338" s="318"/>
      <c r="Q1338" s="318"/>
    </row>
    <row r="1339" spans="2:17" ht="12.75" customHeight="1" x14ac:dyDescent="0.2">
      <c r="B1339" s="273"/>
      <c r="F1339" s="265"/>
      <c r="G1339" s="268"/>
      <c r="H1339" s="317"/>
      <c r="I1339" s="318"/>
      <c r="J1339" s="268"/>
      <c r="K1339" s="456"/>
      <c r="L1339" s="318"/>
      <c r="M1339" s="268"/>
      <c r="N1339" s="317"/>
      <c r="O1339" s="318"/>
      <c r="P1339" s="318"/>
      <c r="Q1339" s="318"/>
    </row>
    <row r="1340" spans="2:17" ht="12.75" customHeight="1" x14ac:dyDescent="0.2">
      <c r="B1340" s="273"/>
      <c r="F1340" s="265"/>
      <c r="G1340" s="268"/>
      <c r="H1340" s="317"/>
      <c r="I1340" s="318"/>
      <c r="J1340" s="268"/>
      <c r="K1340" s="456"/>
      <c r="L1340" s="318"/>
      <c r="M1340" s="268"/>
      <c r="N1340" s="317"/>
      <c r="O1340" s="318"/>
      <c r="P1340" s="318"/>
      <c r="Q1340" s="318"/>
    </row>
    <row r="1341" spans="2:17" ht="12.75" customHeight="1" x14ac:dyDescent="0.2">
      <c r="B1341" s="273"/>
      <c r="F1341" s="265"/>
      <c r="G1341" s="268"/>
      <c r="H1341" s="317"/>
      <c r="I1341" s="318"/>
      <c r="J1341" s="268"/>
      <c r="K1341" s="456"/>
      <c r="L1341" s="318"/>
      <c r="M1341" s="268"/>
      <c r="N1341" s="317"/>
      <c r="O1341" s="318"/>
      <c r="P1341" s="318"/>
      <c r="Q1341" s="318"/>
    </row>
    <row r="1342" spans="2:17" ht="12.75" customHeight="1" x14ac:dyDescent="0.2">
      <c r="B1342" s="273"/>
      <c r="F1342" s="265"/>
      <c r="G1342" s="268"/>
      <c r="H1342" s="317"/>
      <c r="I1342" s="318"/>
      <c r="J1342" s="268"/>
      <c r="K1342" s="456"/>
      <c r="L1342" s="318"/>
      <c r="M1342" s="268"/>
      <c r="N1342" s="317"/>
      <c r="O1342" s="318"/>
      <c r="P1342" s="318"/>
      <c r="Q1342" s="318"/>
    </row>
    <row r="1343" spans="2:17" ht="12.75" customHeight="1" x14ac:dyDescent="0.2">
      <c r="B1343" s="273"/>
      <c r="F1343" s="265"/>
      <c r="G1343" s="268"/>
      <c r="H1343" s="317"/>
      <c r="I1343" s="318"/>
      <c r="J1343" s="268"/>
      <c r="K1343" s="456"/>
      <c r="L1343" s="318"/>
      <c r="M1343" s="268"/>
      <c r="N1343" s="317"/>
      <c r="O1343" s="318"/>
      <c r="P1343" s="318"/>
      <c r="Q1343" s="318"/>
    </row>
    <row r="1344" spans="2:17" ht="12.75" customHeight="1" x14ac:dyDescent="0.2">
      <c r="B1344" s="273"/>
      <c r="F1344" s="265"/>
      <c r="G1344" s="268"/>
      <c r="H1344" s="317"/>
      <c r="I1344" s="318"/>
      <c r="J1344" s="268"/>
      <c r="K1344" s="456"/>
      <c r="L1344" s="318"/>
      <c r="M1344" s="268"/>
      <c r="N1344" s="317"/>
      <c r="O1344" s="318"/>
      <c r="P1344" s="318"/>
      <c r="Q1344" s="318"/>
    </row>
    <row r="1345" spans="2:17" ht="12.75" customHeight="1" x14ac:dyDescent="0.2">
      <c r="B1345" s="273"/>
      <c r="F1345" s="265"/>
      <c r="G1345" s="268"/>
      <c r="H1345" s="317"/>
      <c r="I1345" s="318"/>
      <c r="J1345" s="268"/>
      <c r="K1345" s="456"/>
      <c r="L1345" s="318"/>
      <c r="M1345" s="268"/>
      <c r="N1345" s="317"/>
      <c r="O1345" s="318"/>
      <c r="P1345" s="318"/>
      <c r="Q1345" s="318"/>
    </row>
    <row r="1346" spans="2:17" ht="12.75" customHeight="1" x14ac:dyDescent="0.2">
      <c r="B1346" s="273"/>
      <c r="F1346" s="265"/>
      <c r="G1346" s="268"/>
      <c r="H1346" s="317"/>
      <c r="I1346" s="318"/>
      <c r="J1346" s="268"/>
      <c r="K1346" s="456"/>
      <c r="L1346" s="318"/>
      <c r="M1346" s="268"/>
      <c r="N1346" s="317"/>
      <c r="O1346" s="318"/>
      <c r="P1346" s="318"/>
      <c r="Q1346" s="318"/>
    </row>
    <row r="1347" spans="2:17" ht="12.75" customHeight="1" x14ac:dyDescent="0.2">
      <c r="B1347" s="273"/>
      <c r="F1347" s="265"/>
      <c r="G1347" s="268"/>
      <c r="H1347" s="317"/>
      <c r="I1347" s="318"/>
      <c r="J1347" s="268"/>
      <c r="K1347" s="456"/>
      <c r="L1347" s="318"/>
      <c r="M1347" s="268"/>
      <c r="N1347" s="317"/>
      <c r="O1347" s="318"/>
      <c r="P1347" s="318"/>
      <c r="Q1347" s="318"/>
    </row>
    <row r="1348" spans="2:17" ht="12.75" customHeight="1" x14ac:dyDescent="0.2">
      <c r="B1348" s="273"/>
      <c r="F1348" s="265"/>
      <c r="G1348" s="268"/>
      <c r="H1348" s="317"/>
      <c r="I1348" s="318"/>
      <c r="J1348" s="268"/>
      <c r="K1348" s="456"/>
      <c r="L1348" s="318"/>
      <c r="M1348" s="268"/>
      <c r="N1348" s="317"/>
      <c r="O1348" s="318"/>
      <c r="P1348" s="318"/>
      <c r="Q1348" s="318"/>
    </row>
    <row r="1349" spans="2:17" ht="12.75" customHeight="1" x14ac:dyDescent="0.2">
      <c r="B1349" s="273"/>
      <c r="F1349" s="265"/>
      <c r="G1349" s="268"/>
      <c r="H1349" s="317"/>
      <c r="I1349" s="318"/>
      <c r="J1349" s="268"/>
      <c r="K1349" s="456"/>
      <c r="L1349" s="318"/>
      <c r="M1349" s="268"/>
      <c r="N1349" s="317"/>
      <c r="O1349" s="318"/>
      <c r="P1349" s="318"/>
      <c r="Q1349" s="318"/>
    </row>
    <row r="1350" spans="2:17" ht="12.75" customHeight="1" x14ac:dyDescent="0.2">
      <c r="B1350" s="273"/>
      <c r="F1350" s="265"/>
      <c r="G1350" s="268"/>
      <c r="H1350" s="317"/>
      <c r="I1350" s="318"/>
      <c r="J1350" s="268"/>
      <c r="K1350" s="456"/>
      <c r="L1350" s="318"/>
      <c r="M1350" s="268"/>
      <c r="N1350" s="317"/>
      <c r="O1350" s="318"/>
      <c r="P1350" s="318"/>
      <c r="Q1350" s="318"/>
    </row>
    <row r="1351" spans="2:17" ht="12.75" customHeight="1" x14ac:dyDescent="0.2">
      <c r="B1351" s="273"/>
      <c r="F1351" s="265"/>
      <c r="G1351" s="268"/>
      <c r="H1351" s="317"/>
      <c r="I1351" s="318"/>
      <c r="J1351" s="268"/>
      <c r="K1351" s="456"/>
      <c r="L1351" s="318"/>
      <c r="M1351" s="268"/>
      <c r="N1351" s="317"/>
      <c r="O1351" s="318"/>
      <c r="P1351" s="318"/>
      <c r="Q1351" s="318"/>
    </row>
    <row r="1352" spans="2:17" ht="12.75" customHeight="1" x14ac:dyDescent="0.2">
      <c r="B1352" s="273"/>
      <c r="F1352" s="265"/>
      <c r="G1352" s="268"/>
      <c r="H1352" s="317"/>
      <c r="I1352" s="318"/>
      <c r="J1352" s="268"/>
      <c r="K1352" s="456"/>
      <c r="L1352" s="318"/>
      <c r="M1352" s="268"/>
      <c r="N1352" s="317"/>
      <c r="O1352" s="318"/>
      <c r="P1352" s="318"/>
      <c r="Q1352" s="318"/>
    </row>
    <row r="1353" spans="2:17" ht="12.75" customHeight="1" x14ac:dyDescent="0.2">
      <c r="B1353" s="273"/>
      <c r="F1353" s="265"/>
      <c r="G1353" s="268"/>
      <c r="H1353" s="317"/>
      <c r="I1353" s="318"/>
      <c r="J1353" s="268"/>
      <c r="K1353" s="456"/>
      <c r="L1353" s="318"/>
      <c r="M1353" s="268"/>
      <c r="N1353" s="317"/>
      <c r="O1353" s="318"/>
      <c r="P1353" s="318"/>
      <c r="Q1353" s="318"/>
    </row>
    <row r="1354" spans="2:17" ht="12.75" customHeight="1" x14ac:dyDescent="0.2">
      <c r="B1354" s="273"/>
      <c r="F1354" s="265"/>
      <c r="G1354" s="268"/>
      <c r="H1354" s="317"/>
      <c r="I1354" s="318"/>
      <c r="J1354" s="268"/>
      <c r="K1354" s="456"/>
      <c r="L1354" s="318"/>
      <c r="M1354" s="268"/>
      <c r="N1354" s="317"/>
      <c r="O1354" s="318"/>
      <c r="P1354" s="318"/>
      <c r="Q1354" s="318"/>
    </row>
    <row r="1355" spans="2:17" ht="12.6" customHeight="1" x14ac:dyDescent="0.2">
      <c r="B1355" s="273"/>
      <c r="F1355" s="265"/>
      <c r="G1355" s="268"/>
      <c r="H1355" s="317"/>
      <c r="I1355" s="318"/>
      <c r="J1355" s="268"/>
      <c r="K1355" s="456"/>
      <c r="L1355" s="318"/>
      <c r="M1355" s="268"/>
      <c r="N1355" s="317"/>
      <c r="O1355" s="318"/>
      <c r="P1355" s="318"/>
      <c r="Q1355" s="318"/>
    </row>
    <row r="1356" spans="2:17" ht="12.75" customHeight="1" x14ac:dyDescent="0.2">
      <c r="B1356" s="273"/>
      <c r="F1356" s="265"/>
      <c r="G1356" s="268"/>
      <c r="H1356" s="317"/>
      <c r="I1356" s="318"/>
      <c r="J1356" s="268"/>
      <c r="K1356" s="456"/>
      <c r="L1356" s="318"/>
      <c r="M1356" s="268"/>
      <c r="N1356" s="317"/>
      <c r="O1356" s="318"/>
      <c r="P1356" s="318"/>
      <c r="Q1356" s="318"/>
    </row>
    <row r="1357" spans="2:17" ht="12.75" customHeight="1" x14ac:dyDescent="0.2">
      <c r="B1357" s="287">
        <v>5100</v>
      </c>
      <c r="C1357" s="288" t="s">
        <v>268</v>
      </c>
      <c r="D1357" s="289"/>
      <c r="E1357" s="290"/>
      <c r="F1357" s="291"/>
      <c r="G1357" s="291"/>
      <c r="H1357" s="422"/>
      <c r="I1357" s="423">
        <f>SUM(I1300:I1356)</f>
        <v>385000</v>
      </c>
      <c r="J1357" s="412"/>
      <c r="K1357" s="457"/>
      <c r="L1357" s="423">
        <f t="shared" ref="L1357" si="481">SUM(L1300:L1356)</f>
        <v>660000</v>
      </c>
      <c r="M1357" s="291"/>
      <c r="N1357" s="422"/>
      <c r="O1357" s="423">
        <f>SUM(O1300:O1356)</f>
        <v>335000</v>
      </c>
      <c r="P1357" s="423"/>
      <c r="Q1357" s="423">
        <f t="shared" ref="Q1357" si="482">SUM(Q1300:Q1356)</f>
        <v>325000</v>
      </c>
    </row>
    <row r="1358" spans="2:17" ht="12.75" customHeight="1" x14ac:dyDescent="0.2">
      <c r="B1358" s="239" t="s">
        <v>79</v>
      </c>
      <c r="C1358" s="239"/>
      <c r="D1358" s="263"/>
      <c r="E1358" s="297"/>
      <c r="H1358" s="426"/>
      <c r="I1358" s="427"/>
      <c r="K1358" s="456"/>
      <c r="L1358" s="427"/>
      <c r="N1358" s="426"/>
      <c r="O1358" s="427"/>
      <c r="P1358" s="427"/>
      <c r="Q1358" s="427"/>
    </row>
    <row r="1359" spans="2:17" ht="12.75" customHeight="1" x14ac:dyDescent="0.2">
      <c r="B1359" s="239" t="s">
        <v>267</v>
      </c>
      <c r="C1359" s="240"/>
      <c r="E1359" s="238"/>
      <c r="H1359" s="426"/>
      <c r="I1359" s="427"/>
      <c r="K1359" s="456"/>
      <c r="L1359" s="427"/>
      <c r="N1359" s="426"/>
      <c r="O1359" s="427"/>
      <c r="P1359" s="427"/>
      <c r="Q1359" s="427"/>
    </row>
    <row r="1360" spans="2:17" ht="12.75" customHeight="1" x14ac:dyDescent="0.2">
      <c r="B1360" s="243"/>
      <c r="C1360" s="243"/>
      <c r="D1360" s="244"/>
      <c r="E1360" s="245"/>
      <c r="F1360" s="246"/>
      <c r="H1360" s="428"/>
      <c r="I1360" s="429"/>
      <c r="K1360" s="456"/>
      <c r="L1360" s="429"/>
      <c r="N1360" s="428"/>
      <c r="O1360" s="429"/>
      <c r="P1360" s="429"/>
      <c r="Q1360" s="429"/>
    </row>
    <row r="1361" spans="2:17" ht="12.75" customHeight="1" x14ac:dyDescent="0.2">
      <c r="B1361" s="247" t="s">
        <v>263</v>
      </c>
      <c r="C1361" s="248" t="s">
        <v>264</v>
      </c>
      <c r="D1361" s="249" t="s">
        <v>264</v>
      </c>
      <c r="E1361" s="250"/>
      <c r="F1361" s="250" t="s">
        <v>265</v>
      </c>
      <c r="G1361" s="356" t="s">
        <v>68</v>
      </c>
      <c r="H1361" s="251" t="s">
        <v>849</v>
      </c>
      <c r="I1361" s="252" t="s">
        <v>849</v>
      </c>
      <c r="J1361" s="356" t="s">
        <v>68</v>
      </c>
      <c r="K1361" s="457" t="s">
        <v>849</v>
      </c>
      <c r="L1361" s="252" t="s">
        <v>849</v>
      </c>
      <c r="M1361" s="356" t="s">
        <v>68</v>
      </c>
      <c r="N1361" s="251" t="s">
        <v>849</v>
      </c>
      <c r="O1361" s="252" t="s">
        <v>849</v>
      </c>
      <c r="P1361" s="252" t="s">
        <v>849</v>
      </c>
      <c r="Q1361" s="252" t="s">
        <v>849</v>
      </c>
    </row>
    <row r="1362" spans="2:17" ht="12.75" customHeight="1" x14ac:dyDescent="0.2">
      <c r="B1362" s="253" t="s">
        <v>266</v>
      </c>
      <c r="C1362" s="254"/>
      <c r="D1362" s="255"/>
      <c r="E1362" s="256"/>
      <c r="F1362" s="256"/>
      <c r="G1362" s="357" t="s">
        <v>69</v>
      </c>
      <c r="H1362" s="257" t="s">
        <v>262</v>
      </c>
      <c r="I1362" s="258" t="s">
        <v>70</v>
      </c>
      <c r="J1362" s="357" t="s">
        <v>69</v>
      </c>
      <c r="K1362" s="457" t="s">
        <v>262</v>
      </c>
      <c r="L1362" s="258" t="s">
        <v>70</v>
      </c>
      <c r="M1362" s="357" t="s">
        <v>69</v>
      </c>
      <c r="N1362" s="257" t="s">
        <v>262</v>
      </c>
      <c r="O1362" s="258" t="s">
        <v>70</v>
      </c>
      <c r="P1362" s="258" t="s">
        <v>70</v>
      </c>
      <c r="Q1362" s="258" t="s">
        <v>70</v>
      </c>
    </row>
    <row r="1363" spans="2:17" ht="12.75" customHeight="1" x14ac:dyDescent="0.2">
      <c r="B1363" s="273"/>
      <c r="F1363" s="265"/>
      <c r="G1363" s="268"/>
      <c r="H1363" s="251"/>
      <c r="I1363" s="252"/>
      <c r="J1363" s="268"/>
      <c r="K1363" s="456"/>
      <c r="L1363" s="252"/>
      <c r="M1363" s="268"/>
      <c r="N1363" s="251"/>
      <c r="O1363" s="252"/>
      <c r="P1363" s="252"/>
      <c r="Q1363" s="252"/>
    </row>
    <row r="1364" spans="2:17" ht="12.75" customHeight="1" x14ac:dyDescent="0.2">
      <c r="B1364" s="346">
        <v>5200</v>
      </c>
      <c r="C1364" s="262" t="s">
        <v>463</v>
      </c>
      <c r="D1364" s="263"/>
      <c r="E1364" s="264"/>
      <c r="F1364" s="265"/>
      <c r="G1364" s="268"/>
      <c r="H1364" s="317"/>
      <c r="I1364" s="418"/>
      <c r="J1364" s="268"/>
      <c r="K1364" s="456"/>
      <c r="L1364" s="418"/>
      <c r="M1364" s="268"/>
      <c r="N1364" s="317"/>
      <c r="O1364" s="418"/>
      <c r="P1364" s="418"/>
      <c r="Q1364" s="418"/>
    </row>
    <row r="1365" spans="2:17" ht="12.75" customHeight="1" x14ac:dyDescent="0.2">
      <c r="B1365" s="273"/>
      <c r="F1365" s="265"/>
      <c r="G1365" s="268"/>
      <c r="H1365" s="317"/>
      <c r="I1365" s="418"/>
      <c r="J1365" s="268"/>
      <c r="K1365" s="456"/>
      <c r="L1365" s="418"/>
      <c r="M1365" s="268"/>
      <c r="N1365" s="317"/>
      <c r="O1365" s="418"/>
      <c r="P1365" s="418"/>
      <c r="Q1365" s="418"/>
    </row>
    <row r="1366" spans="2:17" ht="12.75" customHeight="1" x14ac:dyDescent="0.2">
      <c r="B1366" s="267" t="s">
        <v>429</v>
      </c>
      <c r="C1366" s="273" t="s">
        <v>464</v>
      </c>
      <c r="F1366" s="265"/>
      <c r="G1366" s="268"/>
      <c r="H1366" s="317"/>
      <c r="I1366" s="418"/>
      <c r="J1366" s="268"/>
      <c r="K1366" s="456"/>
      <c r="L1366" s="418"/>
      <c r="M1366" s="268"/>
      <c r="N1366" s="317"/>
      <c r="O1366" s="418"/>
      <c r="P1366" s="418"/>
      <c r="Q1366" s="418"/>
    </row>
    <row r="1367" spans="2:17" ht="12.75" customHeight="1" x14ac:dyDescent="0.2">
      <c r="B1367" s="267"/>
      <c r="C1367" s="273" t="s">
        <v>278</v>
      </c>
      <c r="D1367" s="241" t="s">
        <v>246</v>
      </c>
      <c r="F1367" s="265" t="s">
        <v>829</v>
      </c>
      <c r="G1367" s="275">
        <f>20*6</f>
        <v>120</v>
      </c>
      <c r="H1367" s="418">
        <v>40</v>
      </c>
      <c r="I1367" s="418">
        <f t="shared" ref="I1367:I1393" si="483">IF(G1367=0," ",G1367*H1367)</f>
        <v>4800</v>
      </c>
      <c r="J1367" s="275">
        <f t="shared" ref="J1367" si="484">20*6</f>
        <v>120</v>
      </c>
      <c r="K1367" s="456">
        <v>800</v>
      </c>
      <c r="L1367" s="418">
        <f t="shared" ref="L1367:L1378" si="485">IF(J1367=0," ",J1367*K1367)</f>
        <v>96000</v>
      </c>
      <c r="M1367" s="275">
        <f t="shared" ref="M1367" si="486">20*6</f>
        <v>120</v>
      </c>
      <c r="N1367" s="418">
        <v>450</v>
      </c>
      <c r="O1367" s="418">
        <f t="shared" ref="O1367:O1378" si="487">IF(M1367=0," ",M1367*N1367)</f>
        <v>54000</v>
      </c>
      <c r="P1367" s="460">
        <f>K1367-N1367</f>
        <v>350</v>
      </c>
      <c r="Q1367" s="460">
        <f>L1367-O1367</f>
        <v>42000</v>
      </c>
    </row>
    <row r="1368" spans="2:17" ht="12.75" customHeight="1" x14ac:dyDescent="0.2">
      <c r="B1368" s="267"/>
      <c r="F1368" s="265"/>
      <c r="G1368" s="275"/>
      <c r="H1368" s="418"/>
      <c r="I1368" s="418" t="str">
        <f t="shared" si="483"/>
        <v xml:space="preserve"> </v>
      </c>
      <c r="J1368" s="275"/>
      <c r="K1368" s="456"/>
      <c r="L1368" s="418" t="str">
        <f t="shared" si="485"/>
        <v xml:space="preserve"> </v>
      </c>
      <c r="M1368" s="275"/>
      <c r="N1368" s="418"/>
      <c r="O1368" s="418" t="str">
        <f t="shared" si="487"/>
        <v xml:space="preserve"> </v>
      </c>
      <c r="P1368" s="460"/>
      <c r="Q1368" s="460"/>
    </row>
    <row r="1369" spans="2:17" ht="12.75" customHeight="1" x14ac:dyDescent="0.2">
      <c r="B1369" s="267"/>
      <c r="C1369" s="273" t="s">
        <v>279</v>
      </c>
      <c r="D1369" s="241" t="s">
        <v>252</v>
      </c>
      <c r="F1369" s="265" t="s">
        <v>829</v>
      </c>
      <c r="G1369" s="275">
        <f>4000*1*0.8</f>
        <v>3200</v>
      </c>
      <c r="H1369" s="418">
        <v>120</v>
      </c>
      <c r="I1369" s="418">
        <f t="shared" si="483"/>
        <v>384000</v>
      </c>
      <c r="J1369" s="275">
        <f t="shared" ref="J1369" si="488">4000*1*0.8</f>
        <v>3200</v>
      </c>
      <c r="K1369" s="456">
        <v>150</v>
      </c>
      <c r="L1369" s="418">
        <f t="shared" si="485"/>
        <v>480000</v>
      </c>
      <c r="M1369" s="275">
        <f t="shared" ref="M1369" si="489">4000*1*0.8</f>
        <v>3200</v>
      </c>
      <c r="N1369" s="418">
        <v>100</v>
      </c>
      <c r="O1369" s="418">
        <f t="shared" si="487"/>
        <v>320000</v>
      </c>
      <c r="P1369" s="460">
        <f t="shared" ref="P1369:P1391" si="490">K1369-N1369</f>
        <v>50</v>
      </c>
      <c r="Q1369" s="460">
        <f t="shared" ref="Q1369:Q1391" si="491">L1369-O1369</f>
        <v>160000</v>
      </c>
    </row>
    <row r="1370" spans="2:17" ht="12.75" customHeight="1" x14ac:dyDescent="0.2">
      <c r="B1370" s="267"/>
      <c r="F1370" s="265"/>
      <c r="G1370" s="268"/>
      <c r="H1370" s="418" t="str">
        <f t="shared" ref="H1370:H1390" si="492">IF(F1370=0," ",F1370*G1370)</f>
        <v xml:space="preserve"> </v>
      </c>
      <c r="I1370" s="418" t="str">
        <f t="shared" si="483"/>
        <v xml:space="preserve"> </v>
      </c>
      <c r="J1370" s="268"/>
      <c r="K1370" s="456" t="s">
        <v>849</v>
      </c>
      <c r="L1370" s="418" t="str">
        <f t="shared" si="485"/>
        <v xml:space="preserve"> </v>
      </c>
      <c r="M1370" s="268"/>
      <c r="N1370" s="418"/>
      <c r="O1370" s="418" t="str">
        <f t="shared" si="487"/>
        <v xml:space="preserve"> </v>
      </c>
      <c r="P1370" s="460"/>
      <c r="Q1370" s="460"/>
    </row>
    <row r="1371" spans="2:17" ht="12.75" customHeight="1" x14ac:dyDescent="0.2">
      <c r="B1371" s="267" t="s">
        <v>430</v>
      </c>
      <c r="C1371" s="273" t="s">
        <v>465</v>
      </c>
      <c r="F1371" s="265" t="s">
        <v>275</v>
      </c>
      <c r="G1371" s="275">
        <f>4000*1</f>
        <v>4000</v>
      </c>
      <c r="H1371" s="418">
        <v>12</v>
      </c>
      <c r="I1371" s="418">
        <f t="shared" si="483"/>
        <v>48000</v>
      </c>
      <c r="J1371" s="275">
        <f t="shared" ref="J1371" si="493">4000*1</f>
        <v>4000</v>
      </c>
      <c r="K1371" s="456">
        <v>85</v>
      </c>
      <c r="L1371" s="418">
        <f t="shared" si="485"/>
        <v>340000</v>
      </c>
      <c r="M1371" s="275">
        <f t="shared" ref="M1371" si="494">4000*1</f>
        <v>4000</v>
      </c>
      <c r="N1371" s="418">
        <v>50</v>
      </c>
      <c r="O1371" s="418">
        <f t="shared" si="487"/>
        <v>200000</v>
      </c>
      <c r="P1371" s="460">
        <f t="shared" si="490"/>
        <v>35</v>
      </c>
      <c r="Q1371" s="460">
        <f t="shared" si="491"/>
        <v>140000</v>
      </c>
    </row>
    <row r="1372" spans="2:17" ht="12.75" customHeight="1" x14ac:dyDescent="0.2">
      <c r="B1372" s="267"/>
      <c r="F1372" s="265"/>
      <c r="G1372" s="268"/>
      <c r="H1372" s="418" t="str">
        <f t="shared" si="492"/>
        <v xml:space="preserve"> </v>
      </c>
      <c r="I1372" s="418" t="str">
        <f t="shared" si="483"/>
        <v xml:space="preserve"> </v>
      </c>
      <c r="J1372" s="268"/>
      <c r="K1372" s="456" t="s">
        <v>849</v>
      </c>
      <c r="L1372" s="418" t="str">
        <f t="shared" si="485"/>
        <v xml:space="preserve"> </v>
      </c>
      <c r="M1372" s="268"/>
      <c r="N1372" s="418"/>
      <c r="O1372" s="418" t="str">
        <f t="shared" si="487"/>
        <v xml:space="preserve"> </v>
      </c>
      <c r="P1372" s="460"/>
      <c r="Q1372" s="460"/>
    </row>
    <row r="1373" spans="2:17" ht="12.75" customHeight="1" x14ac:dyDescent="0.2">
      <c r="B1373" s="267" t="s">
        <v>431</v>
      </c>
      <c r="C1373" s="273" t="s">
        <v>869</v>
      </c>
      <c r="F1373" s="265"/>
      <c r="G1373" s="268"/>
      <c r="H1373" s="418" t="str">
        <f t="shared" si="492"/>
        <v xml:space="preserve"> </v>
      </c>
      <c r="I1373" s="418" t="str">
        <f t="shared" si="483"/>
        <v xml:space="preserve"> </v>
      </c>
      <c r="J1373" s="268"/>
      <c r="K1373" s="456" t="s">
        <v>849</v>
      </c>
      <c r="L1373" s="418" t="str">
        <f t="shared" si="485"/>
        <v xml:space="preserve"> </v>
      </c>
      <c r="M1373" s="268"/>
      <c r="N1373" s="418"/>
      <c r="O1373" s="418" t="str">
        <f t="shared" si="487"/>
        <v xml:space="preserve"> </v>
      </c>
      <c r="P1373" s="460"/>
      <c r="Q1373" s="460"/>
    </row>
    <row r="1374" spans="2:17" ht="12.75" customHeight="1" x14ac:dyDescent="0.2">
      <c r="B1374" s="267"/>
      <c r="C1374" s="273" t="s">
        <v>278</v>
      </c>
      <c r="D1374" s="241" t="s">
        <v>22</v>
      </c>
      <c r="F1374" s="265"/>
      <c r="G1374" s="268"/>
      <c r="H1374" s="418" t="str">
        <f t="shared" si="492"/>
        <v xml:space="preserve"> </v>
      </c>
      <c r="I1374" s="418" t="str">
        <f t="shared" si="483"/>
        <v xml:space="preserve"> </v>
      </c>
      <c r="J1374" s="268"/>
      <c r="K1374" s="456" t="s">
        <v>849</v>
      </c>
      <c r="L1374" s="418" t="str">
        <f t="shared" si="485"/>
        <v xml:space="preserve"> </v>
      </c>
      <c r="M1374" s="268"/>
      <c r="N1374" s="418"/>
      <c r="O1374" s="418" t="str">
        <f t="shared" si="487"/>
        <v xml:space="preserve"> </v>
      </c>
      <c r="P1374" s="460"/>
      <c r="Q1374" s="460"/>
    </row>
    <row r="1375" spans="2:17" ht="12.75" customHeight="1" x14ac:dyDescent="0.2">
      <c r="B1375" s="267"/>
      <c r="D1375" s="241" t="s">
        <v>624</v>
      </c>
      <c r="F1375" s="265" t="s">
        <v>829</v>
      </c>
      <c r="G1375" s="275">
        <f>(563+(3*400*1)+(2*400*1)+(1*400*1))+400</f>
        <v>3363</v>
      </c>
      <c r="H1375" s="418">
        <v>700</v>
      </c>
      <c r="I1375" s="418">
        <f t="shared" si="483"/>
        <v>2354100</v>
      </c>
      <c r="J1375" s="275">
        <f t="shared" ref="J1375" si="495">(563+(3*400*1)+(2*400*1)+(1*400*1))+400</f>
        <v>3363</v>
      </c>
      <c r="K1375" s="456">
        <v>450</v>
      </c>
      <c r="L1375" s="418">
        <f t="shared" si="485"/>
        <v>1513350</v>
      </c>
      <c r="M1375" s="275">
        <f t="shared" ref="M1375" si="496">(563+(3*400*1)+(2*400*1)+(1*400*1))+400</f>
        <v>3363</v>
      </c>
      <c r="N1375" s="418">
        <v>300</v>
      </c>
      <c r="O1375" s="418">
        <f t="shared" si="487"/>
        <v>1008900</v>
      </c>
      <c r="P1375" s="460">
        <f t="shared" si="490"/>
        <v>150</v>
      </c>
      <c r="Q1375" s="460">
        <f t="shared" si="491"/>
        <v>504450</v>
      </c>
    </row>
    <row r="1376" spans="2:17" ht="12.75" customHeight="1" x14ac:dyDescent="0.2">
      <c r="B1376" s="267"/>
      <c r="C1376" s="273" t="s">
        <v>276</v>
      </c>
      <c r="D1376" s="241" t="s">
        <v>247</v>
      </c>
      <c r="F1376" s="265"/>
      <c r="G1376" s="268"/>
      <c r="H1376" s="418" t="str">
        <f t="shared" si="492"/>
        <v xml:space="preserve"> </v>
      </c>
      <c r="I1376" s="418" t="str">
        <f t="shared" si="483"/>
        <v xml:space="preserve"> </v>
      </c>
      <c r="J1376" s="268"/>
      <c r="K1376" s="456" t="s">
        <v>849</v>
      </c>
      <c r="L1376" s="418" t="str">
        <f t="shared" si="485"/>
        <v xml:space="preserve"> </v>
      </c>
      <c r="M1376" s="268"/>
      <c r="N1376" s="418"/>
      <c r="O1376" s="418" t="str">
        <f t="shared" si="487"/>
        <v xml:space="preserve"> </v>
      </c>
      <c r="P1376" s="460"/>
      <c r="Q1376" s="460"/>
    </row>
    <row r="1377" spans="2:17" ht="12.75" customHeight="1" x14ac:dyDescent="0.2">
      <c r="B1377" s="267"/>
      <c r="D1377" s="241" t="s">
        <v>625</v>
      </c>
      <c r="F1377" s="265" t="s">
        <v>829</v>
      </c>
      <c r="G1377" s="275">
        <v>1100</v>
      </c>
      <c r="H1377" s="418">
        <v>600</v>
      </c>
      <c r="I1377" s="418">
        <f t="shared" si="483"/>
        <v>660000</v>
      </c>
      <c r="J1377" s="275">
        <v>1100</v>
      </c>
      <c r="K1377" s="456">
        <v>450</v>
      </c>
      <c r="L1377" s="418">
        <f t="shared" si="485"/>
        <v>495000</v>
      </c>
      <c r="M1377" s="275">
        <v>1100</v>
      </c>
      <c r="N1377" s="418">
        <v>300</v>
      </c>
      <c r="O1377" s="418">
        <f t="shared" si="487"/>
        <v>330000</v>
      </c>
      <c r="P1377" s="460">
        <f t="shared" si="490"/>
        <v>150</v>
      </c>
      <c r="Q1377" s="460">
        <f t="shared" si="491"/>
        <v>165000</v>
      </c>
    </row>
    <row r="1378" spans="2:17" ht="12.75" customHeight="1" x14ac:dyDescent="0.2">
      <c r="B1378" s="267"/>
      <c r="D1378" s="241" t="s">
        <v>626</v>
      </c>
      <c r="F1378" s="265"/>
      <c r="G1378" s="268"/>
      <c r="H1378" s="418" t="str">
        <f t="shared" si="492"/>
        <v xml:space="preserve"> </v>
      </c>
      <c r="I1378" s="418" t="str">
        <f t="shared" si="483"/>
        <v xml:space="preserve"> </v>
      </c>
      <c r="J1378" s="268"/>
      <c r="K1378" s="456" t="s">
        <v>849</v>
      </c>
      <c r="L1378" s="418" t="str">
        <f t="shared" si="485"/>
        <v xml:space="preserve"> </v>
      </c>
      <c r="M1378" s="268"/>
      <c r="N1378" s="418"/>
      <c r="O1378" s="418" t="str">
        <f t="shared" si="487"/>
        <v xml:space="preserve"> </v>
      </c>
      <c r="P1378" s="460"/>
      <c r="Q1378" s="460"/>
    </row>
    <row r="1379" spans="2:17" ht="12.75" customHeight="1" x14ac:dyDescent="0.2">
      <c r="B1379" s="267"/>
      <c r="F1379" s="265"/>
      <c r="G1379" s="268"/>
      <c r="H1379" s="418"/>
      <c r="I1379" s="418"/>
      <c r="J1379" s="268"/>
      <c r="K1379" s="456"/>
      <c r="L1379" s="418"/>
      <c r="M1379" s="268"/>
      <c r="N1379" s="418"/>
      <c r="O1379" s="418"/>
      <c r="P1379" s="460"/>
      <c r="Q1379" s="460"/>
    </row>
    <row r="1380" spans="2:17" ht="12.75" customHeight="1" x14ac:dyDescent="0.2">
      <c r="B1380" s="267" t="s">
        <v>431</v>
      </c>
      <c r="C1380" s="273" t="s">
        <v>860</v>
      </c>
      <c r="F1380" s="265"/>
      <c r="G1380" s="268"/>
      <c r="H1380" s="418"/>
      <c r="I1380" s="418"/>
      <c r="J1380" s="268"/>
      <c r="K1380" s="456"/>
      <c r="L1380" s="418"/>
      <c r="M1380" s="268"/>
      <c r="N1380" s="418"/>
      <c r="O1380" s="418"/>
      <c r="P1380" s="460"/>
      <c r="Q1380" s="460"/>
    </row>
    <row r="1381" spans="2:17" ht="12.75" customHeight="1" x14ac:dyDescent="0.2">
      <c r="B1381" s="267"/>
      <c r="C1381" s="273" t="s">
        <v>278</v>
      </c>
      <c r="D1381" s="241" t="s">
        <v>22</v>
      </c>
      <c r="F1381" s="265"/>
      <c r="G1381" s="268"/>
      <c r="H1381" s="418" t="str">
        <f t="shared" ref="H1381" si="497">IF(F1381=0," ",F1381*G1381)</f>
        <v xml:space="preserve"> </v>
      </c>
      <c r="I1381" s="418" t="str">
        <f t="shared" ref="I1381:I1385" si="498">IF(G1381=0," ",G1381*H1381)</f>
        <v xml:space="preserve"> </v>
      </c>
      <c r="J1381" s="268"/>
      <c r="K1381" s="456" t="s">
        <v>849</v>
      </c>
      <c r="L1381" s="418" t="str">
        <f t="shared" ref="L1381:L1393" si="499">IF(J1381=0," ",J1381*K1381)</f>
        <v xml:space="preserve"> </v>
      </c>
      <c r="M1381" s="268"/>
      <c r="N1381" s="418"/>
      <c r="O1381" s="418" t="str">
        <f t="shared" ref="O1381:O1393" si="500">IF(M1381=0," ",M1381*N1381)</f>
        <v xml:space="preserve"> </v>
      </c>
      <c r="P1381" s="460"/>
      <c r="Q1381" s="460"/>
    </row>
    <row r="1382" spans="2:17" ht="12.75" customHeight="1" x14ac:dyDescent="0.2">
      <c r="B1382" s="267"/>
      <c r="D1382" s="241" t="s">
        <v>624</v>
      </c>
      <c r="F1382" s="265" t="s">
        <v>829</v>
      </c>
      <c r="G1382" s="275">
        <v>110</v>
      </c>
      <c r="H1382" s="418">
        <v>850</v>
      </c>
      <c r="I1382" s="418">
        <f t="shared" si="498"/>
        <v>93500</v>
      </c>
      <c r="J1382" s="275">
        <v>110</v>
      </c>
      <c r="K1382" s="456">
        <v>800</v>
      </c>
      <c r="L1382" s="418">
        <f t="shared" si="499"/>
        <v>88000</v>
      </c>
      <c r="M1382" s="275">
        <v>110</v>
      </c>
      <c r="N1382" s="418">
        <v>800</v>
      </c>
      <c r="O1382" s="418">
        <f t="shared" si="500"/>
        <v>88000</v>
      </c>
      <c r="P1382" s="460">
        <f t="shared" si="490"/>
        <v>0</v>
      </c>
      <c r="Q1382" s="460">
        <f t="shared" si="491"/>
        <v>0</v>
      </c>
    </row>
    <row r="1383" spans="2:17" ht="12.75" customHeight="1" x14ac:dyDescent="0.2">
      <c r="B1383" s="267"/>
      <c r="C1383" s="273" t="s">
        <v>276</v>
      </c>
      <c r="D1383" s="241" t="s">
        <v>247</v>
      </c>
      <c r="F1383" s="265"/>
      <c r="G1383" s="268"/>
      <c r="H1383" s="418" t="str">
        <f t="shared" ref="H1383" si="501">IF(F1383=0," ",F1383*G1383)</f>
        <v xml:space="preserve"> </v>
      </c>
      <c r="I1383" s="418" t="str">
        <f t="shared" si="498"/>
        <v xml:space="preserve"> </v>
      </c>
      <c r="J1383" s="268"/>
      <c r="K1383" s="456" t="s">
        <v>849</v>
      </c>
      <c r="L1383" s="418" t="str">
        <f t="shared" si="499"/>
        <v xml:space="preserve"> </v>
      </c>
      <c r="M1383" s="268"/>
      <c r="N1383" s="418"/>
      <c r="O1383" s="418" t="str">
        <f t="shared" si="500"/>
        <v xml:space="preserve"> </v>
      </c>
      <c r="P1383" s="460"/>
      <c r="Q1383" s="460"/>
    </row>
    <row r="1384" spans="2:17" ht="12.75" customHeight="1" x14ac:dyDescent="0.2">
      <c r="B1384" s="267"/>
      <c r="D1384" s="241" t="s">
        <v>625</v>
      </c>
      <c r="F1384" s="265" t="s">
        <v>829</v>
      </c>
      <c r="G1384" s="275">
        <v>90</v>
      </c>
      <c r="H1384" s="418">
        <v>850</v>
      </c>
      <c r="I1384" s="418">
        <f t="shared" si="498"/>
        <v>76500</v>
      </c>
      <c r="J1384" s="275">
        <v>90</v>
      </c>
      <c r="K1384" s="456">
        <v>800</v>
      </c>
      <c r="L1384" s="418">
        <f t="shared" si="499"/>
        <v>72000</v>
      </c>
      <c r="M1384" s="275">
        <v>90</v>
      </c>
      <c r="N1384" s="418">
        <v>800</v>
      </c>
      <c r="O1384" s="418">
        <f t="shared" si="500"/>
        <v>72000</v>
      </c>
      <c r="P1384" s="460">
        <f t="shared" si="490"/>
        <v>0</v>
      </c>
      <c r="Q1384" s="460">
        <f t="shared" si="491"/>
        <v>0</v>
      </c>
    </row>
    <row r="1385" spans="2:17" ht="12.75" customHeight="1" x14ac:dyDescent="0.2">
      <c r="B1385" s="267"/>
      <c r="D1385" s="241" t="s">
        <v>626</v>
      </c>
      <c r="F1385" s="265"/>
      <c r="G1385" s="268"/>
      <c r="H1385" s="418" t="str">
        <f t="shared" ref="H1385" si="502">IF(F1385=0," ",F1385*G1385)</f>
        <v xml:space="preserve"> </v>
      </c>
      <c r="I1385" s="418" t="str">
        <f t="shared" si="498"/>
        <v xml:space="preserve"> </v>
      </c>
      <c r="J1385" s="268"/>
      <c r="K1385" s="456" t="s">
        <v>849</v>
      </c>
      <c r="L1385" s="418" t="str">
        <f t="shared" si="499"/>
        <v xml:space="preserve"> </v>
      </c>
      <c r="M1385" s="268"/>
      <c r="N1385" s="418"/>
      <c r="O1385" s="418" t="str">
        <f t="shared" si="500"/>
        <v xml:space="preserve"> </v>
      </c>
      <c r="P1385" s="460"/>
      <c r="Q1385" s="460"/>
    </row>
    <row r="1386" spans="2:17" ht="12.75" customHeight="1" x14ac:dyDescent="0.2">
      <c r="B1386" s="267"/>
      <c r="F1386" s="265"/>
      <c r="G1386" s="268"/>
      <c r="H1386" s="418" t="str">
        <f t="shared" si="492"/>
        <v xml:space="preserve"> </v>
      </c>
      <c r="I1386" s="418" t="str">
        <f t="shared" si="483"/>
        <v xml:space="preserve"> </v>
      </c>
      <c r="J1386" s="268"/>
      <c r="K1386" s="456" t="s">
        <v>849</v>
      </c>
      <c r="L1386" s="418" t="str">
        <f t="shared" si="499"/>
        <v xml:space="preserve"> </v>
      </c>
      <c r="M1386" s="268"/>
      <c r="N1386" s="418"/>
      <c r="O1386" s="418" t="str">
        <f t="shared" si="500"/>
        <v xml:space="preserve"> </v>
      </c>
      <c r="P1386" s="460"/>
      <c r="Q1386" s="460"/>
    </row>
    <row r="1387" spans="2:17" ht="12.75" customHeight="1" x14ac:dyDescent="0.2">
      <c r="B1387" s="267" t="s">
        <v>432</v>
      </c>
      <c r="C1387" s="273" t="s">
        <v>466</v>
      </c>
      <c r="F1387" s="265" t="s">
        <v>275</v>
      </c>
      <c r="G1387" s="275">
        <f>7200*2</f>
        <v>14400</v>
      </c>
      <c r="H1387" s="418">
        <v>10</v>
      </c>
      <c r="I1387" s="418">
        <f t="shared" si="483"/>
        <v>144000</v>
      </c>
      <c r="J1387" s="275">
        <f t="shared" ref="J1387" si="503">7200*2</f>
        <v>14400</v>
      </c>
      <c r="K1387" s="456">
        <v>30</v>
      </c>
      <c r="L1387" s="418">
        <f t="shared" si="499"/>
        <v>432000</v>
      </c>
      <c r="M1387" s="275">
        <f t="shared" ref="M1387" si="504">7200*2</f>
        <v>14400</v>
      </c>
      <c r="N1387" s="418">
        <v>20</v>
      </c>
      <c r="O1387" s="418">
        <f t="shared" si="500"/>
        <v>288000</v>
      </c>
      <c r="P1387" s="460">
        <f t="shared" si="490"/>
        <v>10</v>
      </c>
      <c r="Q1387" s="460">
        <f t="shared" si="491"/>
        <v>144000</v>
      </c>
    </row>
    <row r="1388" spans="2:17" ht="12.75" customHeight="1" x14ac:dyDescent="0.2">
      <c r="B1388" s="273"/>
      <c r="F1388" s="265"/>
      <c r="G1388" s="268"/>
      <c r="H1388" s="418" t="str">
        <f t="shared" si="492"/>
        <v xml:space="preserve"> </v>
      </c>
      <c r="I1388" s="418" t="str">
        <f t="shared" si="483"/>
        <v xml:space="preserve"> </v>
      </c>
      <c r="J1388" s="268"/>
      <c r="K1388" s="456" t="s">
        <v>849</v>
      </c>
      <c r="L1388" s="418" t="str">
        <f t="shared" si="499"/>
        <v xml:space="preserve"> </v>
      </c>
      <c r="M1388" s="268"/>
      <c r="N1388" s="418"/>
      <c r="O1388" s="418" t="str">
        <f t="shared" si="500"/>
        <v xml:space="preserve"> </v>
      </c>
      <c r="P1388" s="418"/>
      <c r="Q1388" s="418"/>
    </row>
    <row r="1389" spans="2:17" ht="12.75" customHeight="1" x14ac:dyDescent="0.2">
      <c r="B1389" s="267" t="s">
        <v>433</v>
      </c>
      <c r="C1389" s="273" t="s">
        <v>386</v>
      </c>
      <c r="F1389" s="265" t="s">
        <v>829</v>
      </c>
      <c r="G1389" s="268">
        <v>20</v>
      </c>
      <c r="H1389" s="418">
        <v>1300</v>
      </c>
      <c r="I1389" s="418">
        <f t="shared" si="483"/>
        <v>26000</v>
      </c>
      <c r="J1389" s="268">
        <v>20</v>
      </c>
      <c r="K1389" s="456">
        <v>1800</v>
      </c>
      <c r="L1389" s="418">
        <f t="shared" si="499"/>
        <v>36000</v>
      </c>
      <c r="M1389" s="268">
        <v>20</v>
      </c>
      <c r="N1389" s="418">
        <v>1800</v>
      </c>
      <c r="O1389" s="418">
        <f t="shared" si="500"/>
        <v>36000</v>
      </c>
      <c r="P1389" s="418">
        <f t="shared" si="490"/>
        <v>0</v>
      </c>
      <c r="Q1389" s="418">
        <f t="shared" si="491"/>
        <v>0</v>
      </c>
    </row>
    <row r="1390" spans="2:17" ht="12.75" customHeight="1" x14ac:dyDescent="0.2">
      <c r="B1390" s="273"/>
      <c r="F1390" s="265"/>
      <c r="G1390" s="268"/>
      <c r="H1390" s="418" t="str">
        <f t="shared" si="492"/>
        <v xml:space="preserve"> </v>
      </c>
      <c r="I1390" s="418" t="str">
        <f t="shared" si="483"/>
        <v xml:space="preserve"> </v>
      </c>
      <c r="J1390" s="268"/>
      <c r="K1390" s="456" t="s">
        <v>849</v>
      </c>
      <c r="L1390" s="418" t="str">
        <f t="shared" si="499"/>
        <v xml:space="preserve"> </v>
      </c>
      <c r="M1390" s="268"/>
      <c r="N1390" s="418"/>
      <c r="O1390" s="418" t="str">
        <f t="shared" si="500"/>
        <v xml:space="preserve"> </v>
      </c>
      <c r="P1390" s="418"/>
      <c r="Q1390" s="418"/>
    </row>
    <row r="1391" spans="2:17" ht="12.75" customHeight="1" x14ac:dyDescent="0.2">
      <c r="B1391" s="267" t="s">
        <v>434</v>
      </c>
      <c r="C1391" s="273" t="s">
        <v>387</v>
      </c>
      <c r="F1391" s="265" t="s">
        <v>829</v>
      </c>
      <c r="G1391" s="268">
        <v>250</v>
      </c>
      <c r="H1391" s="418">
        <v>80</v>
      </c>
      <c r="I1391" s="418">
        <f t="shared" si="483"/>
        <v>20000</v>
      </c>
      <c r="J1391" s="268">
        <v>250</v>
      </c>
      <c r="K1391" s="456">
        <v>55</v>
      </c>
      <c r="L1391" s="418">
        <f t="shared" si="499"/>
        <v>13750</v>
      </c>
      <c r="M1391" s="268">
        <v>250</v>
      </c>
      <c r="N1391" s="418">
        <v>55</v>
      </c>
      <c r="O1391" s="418">
        <f t="shared" si="500"/>
        <v>13750</v>
      </c>
      <c r="P1391" s="418">
        <f t="shared" si="490"/>
        <v>0</v>
      </c>
      <c r="Q1391" s="418">
        <f t="shared" si="491"/>
        <v>0</v>
      </c>
    </row>
    <row r="1392" spans="2:17" ht="12.75" customHeight="1" x14ac:dyDescent="0.2">
      <c r="B1392" s="273"/>
      <c r="F1392" s="265"/>
      <c r="G1392" s="268"/>
      <c r="H1392" s="317"/>
      <c r="I1392" s="418" t="str">
        <f t="shared" si="483"/>
        <v xml:space="preserve"> </v>
      </c>
      <c r="J1392" s="268"/>
      <c r="K1392" s="456"/>
      <c r="L1392" s="418" t="str">
        <f t="shared" si="499"/>
        <v xml:space="preserve"> </v>
      </c>
      <c r="M1392" s="268"/>
      <c r="N1392" s="317"/>
      <c r="O1392" s="418" t="str">
        <f t="shared" si="500"/>
        <v xml:space="preserve"> </v>
      </c>
      <c r="P1392" s="418" t="str">
        <f t="shared" ref="P1392:P1393" si="505">IF(N1392=0," ",N1392*O1392)</f>
        <v xml:space="preserve"> </v>
      </c>
      <c r="Q1392" s="418"/>
    </row>
    <row r="1393" spans="2:17" ht="12.75" customHeight="1" x14ac:dyDescent="0.2">
      <c r="B1393" s="273"/>
      <c r="F1393" s="265"/>
      <c r="G1393" s="268"/>
      <c r="H1393" s="317"/>
      <c r="I1393" s="418" t="str">
        <f t="shared" si="483"/>
        <v xml:space="preserve"> </v>
      </c>
      <c r="J1393" s="268"/>
      <c r="K1393" s="456"/>
      <c r="L1393" s="418" t="str">
        <f t="shared" si="499"/>
        <v xml:space="preserve"> </v>
      </c>
      <c r="M1393" s="268"/>
      <c r="N1393" s="317"/>
      <c r="O1393" s="418" t="str">
        <f t="shared" si="500"/>
        <v xml:space="preserve"> </v>
      </c>
      <c r="P1393" s="418" t="str">
        <f t="shared" si="505"/>
        <v xml:space="preserve"> </v>
      </c>
      <c r="Q1393" s="418"/>
    </row>
    <row r="1394" spans="2:17" ht="12.75" customHeight="1" x14ac:dyDescent="0.2">
      <c r="B1394" s="273"/>
      <c r="F1394" s="265"/>
      <c r="G1394" s="268"/>
      <c r="H1394" s="317"/>
      <c r="I1394" s="418"/>
      <c r="J1394" s="268"/>
      <c r="K1394" s="456"/>
      <c r="L1394" s="418"/>
      <c r="M1394" s="268"/>
      <c r="N1394" s="317"/>
      <c r="O1394" s="418"/>
      <c r="P1394" s="418"/>
      <c r="Q1394" s="418"/>
    </row>
    <row r="1395" spans="2:17" ht="12.75" customHeight="1" x14ac:dyDescent="0.2">
      <c r="B1395" s="267"/>
      <c r="F1395" s="265"/>
      <c r="G1395" s="275"/>
      <c r="H1395" s="317"/>
      <c r="I1395" s="418"/>
      <c r="J1395" s="275"/>
      <c r="K1395" s="456"/>
      <c r="L1395" s="418"/>
      <c r="M1395" s="275"/>
      <c r="N1395" s="317"/>
      <c r="O1395" s="418"/>
      <c r="P1395" s="418"/>
      <c r="Q1395" s="418"/>
    </row>
    <row r="1396" spans="2:17" ht="12.75" customHeight="1" x14ac:dyDescent="0.2">
      <c r="B1396" s="273"/>
      <c r="F1396" s="265"/>
      <c r="G1396" s="268"/>
      <c r="H1396" s="317"/>
      <c r="I1396" s="418"/>
      <c r="J1396" s="268"/>
      <c r="K1396" s="456"/>
      <c r="L1396" s="418"/>
      <c r="M1396" s="268"/>
      <c r="N1396" s="317"/>
      <c r="O1396" s="418"/>
      <c r="P1396" s="418"/>
      <c r="Q1396" s="418"/>
    </row>
    <row r="1397" spans="2:17" ht="12.75" customHeight="1" x14ac:dyDescent="0.2">
      <c r="B1397" s="273"/>
      <c r="F1397" s="265"/>
      <c r="G1397" s="268"/>
      <c r="H1397" s="317"/>
      <c r="I1397" s="418"/>
      <c r="J1397" s="268"/>
      <c r="K1397" s="456"/>
      <c r="L1397" s="418"/>
      <c r="M1397" s="268"/>
      <c r="N1397" s="317"/>
      <c r="O1397" s="418"/>
      <c r="P1397" s="418"/>
      <c r="Q1397" s="418"/>
    </row>
    <row r="1398" spans="2:17" ht="12.75" customHeight="1" x14ac:dyDescent="0.2">
      <c r="B1398" s="273"/>
      <c r="F1398" s="265"/>
      <c r="G1398" s="268"/>
      <c r="H1398" s="317"/>
      <c r="I1398" s="418"/>
      <c r="J1398" s="268"/>
      <c r="K1398" s="456"/>
      <c r="L1398" s="418"/>
      <c r="M1398" s="268"/>
      <c r="N1398" s="317"/>
      <c r="O1398" s="418"/>
      <c r="P1398" s="418"/>
      <c r="Q1398" s="418"/>
    </row>
    <row r="1399" spans="2:17" ht="12.75" customHeight="1" x14ac:dyDescent="0.2">
      <c r="B1399" s="273"/>
      <c r="F1399" s="265"/>
      <c r="G1399" s="268"/>
      <c r="H1399" s="317"/>
      <c r="I1399" s="418"/>
      <c r="J1399" s="268"/>
      <c r="K1399" s="456"/>
      <c r="L1399" s="418"/>
      <c r="M1399" s="268"/>
      <c r="N1399" s="317"/>
      <c r="O1399" s="418"/>
      <c r="P1399" s="418"/>
      <c r="Q1399" s="418"/>
    </row>
    <row r="1400" spans="2:17" ht="12.75" customHeight="1" x14ac:dyDescent="0.2">
      <c r="B1400" s="273"/>
      <c r="F1400" s="265"/>
      <c r="G1400" s="268"/>
      <c r="H1400" s="317"/>
      <c r="I1400" s="418"/>
      <c r="J1400" s="268"/>
      <c r="K1400" s="456"/>
      <c r="L1400" s="418"/>
      <c r="M1400" s="268"/>
      <c r="N1400" s="317"/>
      <c r="O1400" s="418"/>
      <c r="P1400" s="418"/>
      <c r="Q1400" s="418"/>
    </row>
    <row r="1401" spans="2:17" ht="12.75" customHeight="1" x14ac:dyDescent="0.2">
      <c r="B1401" s="273"/>
      <c r="F1401" s="265"/>
      <c r="G1401" s="268"/>
      <c r="H1401" s="317"/>
      <c r="I1401" s="418"/>
      <c r="J1401" s="268"/>
      <c r="K1401" s="456"/>
      <c r="L1401" s="418"/>
      <c r="M1401" s="268"/>
      <c r="N1401" s="317"/>
      <c r="O1401" s="418"/>
      <c r="P1401" s="418"/>
      <c r="Q1401" s="418"/>
    </row>
    <row r="1402" spans="2:17" ht="12.75" customHeight="1" x14ac:dyDescent="0.2">
      <c r="B1402" s="273"/>
      <c r="F1402" s="265"/>
      <c r="G1402" s="268"/>
      <c r="H1402" s="317"/>
      <c r="I1402" s="418"/>
      <c r="J1402" s="268"/>
      <c r="K1402" s="456"/>
      <c r="L1402" s="418"/>
      <c r="M1402" s="268"/>
      <c r="N1402" s="317"/>
      <c r="O1402" s="418"/>
      <c r="P1402" s="418"/>
      <c r="Q1402" s="418"/>
    </row>
    <row r="1403" spans="2:17" ht="12.75" customHeight="1" x14ac:dyDescent="0.2">
      <c r="B1403" s="273"/>
      <c r="F1403" s="265"/>
      <c r="G1403" s="268"/>
      <c r="H1403" s="317"/>
      <c r="I1403" s="418"/>
      <c r="J1403" s="268"/>
      <c r="K1403" s="456"/>
      <c r="L1403" s="418"/>
      <c r="M1403" s="268"/>
      <c r="N1403" s="317"/>
      <c r="O1403" s="418"/>
      <c r="P1403" s="418"/>
      <c r="Q1403" s="418"/>
    </row>
    <row r="1404" spans="2:17" ht="12.75" customHeight="1" x14ac:dyDescent="0.2">
      <c r="B1404" s="273"/>
      <c r="F1404" s="265"/>
      <c r="G1404" s="268"/>
      <c r="H1404" s="317"/>
      <c r="I1404" s="418"/>
      <c r="J1404" s="268"/>
      <c r="K1404" s="456"/>
      <c r="L1404" s="418"/>
      <c r="M1404" s="268"/>
      <c r="N1404" s="317"/>
      <c r="O1404" s="418"/>
      <c r="P1404" s="418"/>
      <c r="Q1404" s="418"/>
    </row>
    <row r="1405" spans="2:17" ht="12.75" customHeight="1" x14ac:dyDescent="0.2">
      <c r="B1405" s="273"/>
      <c r="F1405" s="265"/>
      <c r="G1405" s="268"/>
      <c r="H1405" s="317"/>
      <c r="I1405" s="418"/>
      <c r="J1405" s="268"/>
      <c r="K1405" s="456"/>
      <c r="L1405" s="418"/>
      <c r="M1405" s="268"/>
      <c r="N1405" s="317"/>
      <c r="O1405" s="418"/>
      <c r="P1405" s="418"/>
      <c r="Q1405" s="418"/>
    </row>
    <row r="1406" spans="2:17" ht="12.75" customHeight="1" x14ac:dyDescent="0.2">
      <c r="B1406" s="273"/>
      <c r="F1406" s="265"/>
      <c r="G1406" s="268"/>
      <c r="H1406" s="317"/>
      <c r="I1406" s="418"/>
      <c r="J1406" s="268"/>
      <c r="K1406" s="456"/>
      <c r="L1406" s="418"/>
      <c r="M1406" s="268"/>
      <c r="N1406" s="317"/>
      <c r="O1406" s="418"/>
      <c r="P1406" s="418"/>
      <c r="Q1406" s="418"/>
    </row>
    <row r="1407" spans="2:17" ht="12.75" customHeight="1" x14ac:dyDescent="0.2">
      <c r="B1407" s="273"/>
      <c r="F1407" s="265"/>
      <c r="G1407" s="268"/>
      <c r="H1407" s="317"/>
      <c r="I1407" s="418"/>
      <c r="J1407" s="268"/>
      <c r="K1407" s="456"/>
      <c r="L1407" s="418"/>
      <c r="M1407" s="268"/>
      <c r="N1407" s="317"/>
      <c r="O1407" s="418"/>
      <c r="P1407" s="418"/>
      <c r="Q1407" s="418"/>
    </row>
    <row r="1408" spans="2:17" ht="12.75" customHeight="1" x14ac:dyDescent="0.2">
      <c r="B1408" s="273"/>
      <c r="F1408" s="265"/>
      <c r="G1408" s="268"/>
      <c r="H1408" s="317"/>
      <c r="I1408" s="418"/>
      <c r="J1408" s="268"/>
      <c r="K1408" s="456"/>
      <c r="L1408" s="418"/>
      <c r="M1408" s="268"/>
      <c r="N1408" s="317"/>
      <c r="O1408" s="418"/>
      <c r="P1408" s="418"/>
      <c r="Q1408" s="418"/>
    </row>
    <row r="1409" spans="2:17" ht="12.75" customHeight="1" x14ac:dyDescent="0.2">
      <c r="B1409" s="273"/>
      <c r="F1409" s="265"/>
      <c r="G1409" s="268"/>
      <c r="H1409" s="317"/>
      <c r="I1409" s="418"/>
      <c r="J1409" s="268"/>
      <c r="K1409" s="456"/>
      <c r="L1409" s="418"/>
      <c r="M1409" s="268"/>
      <c r="N1409" s="317"/>
      <c r="O1409" s="418"/>
      <c r="P1409" s="418"/>
      <c r="Q1409" s="418"/>
    </row>
    <row r="1410" spans="2:17" ht="12.75" customHeight="1" x14ac:dyDescent="0.2">
      <c r="B1410" s="273"/>
      <c r="F1410" s="265"/>
      <c r="G1410" s="268"/>
      <c r="H1410" s="317"/>
      <c r="I1410" s="418"/>
      <c r="J1410" s="268"/>
      <c r="K1410" s="456"/>
      <c r="L1410" s="418"/>
      <c r="M1410" s="268"/>
      <c r="N1410" s="317"/>
      <c r="O1410" s="418"/>
      <c r="P1410" s="418"/>
      <c r="Q1410" s="418"/>
    </row>
    <row r="1411" spans="2:17" ht="12.75" customHeight="1" x14ac:dyDescent="0.2">
      <c r="B1411" s="273"/>
      <c r="F1411" s="265"/>
      <c r="G1411" s="268"/>
      <c r="H1411" s="317"/>
      <c r="I1411" s="418"/>
      <c r="J1411" s="268"/>
      <c r="K1411" s="456"/>
      <c r="L1411" s="418"/>
      <c r="M1411" s="268"/>
      <c r="N1411" s="317"/>
      <c r="O1411" s="418"/>
      <c r="P1411" s="418"/>
      <c r="Q1411" s="418"/>
    </row>
    <row r="1412" spans="2:17" ht="12.75" customHeight="1" x14ac:dyDescent="0.2">
      <c r="B1412" s="273"/>
      <c r="F1412" s="265"/>
      <c r="G1412" s="268"/>
      <c r="H1412" s="317"/>
      <c r="I1412" s="418"/>
      <c r="J1412" s="268"/>
      <c r="K1412" s="456"/>
      <c r="L1412" s="418"/>
      <c r="M1412" s="268"/>
      <c r="N1412" s="317"/>
      <c r="O1412" s="418"/>
      <c r="P1412" s="418"/>
      <c r="Q1412" s="418"/>
    </row>
    <row r="1413" spans="2:17" ht="12.75" customHeight="1" x14ac:dyDescent="0.2">
      <c r="B1413" s="273"/>
      <c r="F1413" s="265"/>
      <c r="G1413" s="268"/>
      <c r="H1413" s="317"/>
      <c r="I1413" s="418"/>
      <c r="J1413" s="268"/>
      <c r="K1413" s="456"/>
      <c r="L1413" s="418"/>
      <c r="M1413" s="268"/>
      <c r="N1413" s="317"/>
      <c r="O1413" s="418"/>
      <c r="P1413" s="418"/>
      <c r="Q1413" s="418"/>
    </row>
    <row r="1414" spans="2:17" ht="12.75" customHeight="1" x14ac:dyDescent="0.2">
      <c r="B1414" s="273"/>
      <c r="F1414" s="265"/>
      <c r="G1414" s="268"/>
      <c r="H1414" s="317"/>
      <c r="I1414" s="418"/>
      <c r="J1414" s="268"/>
      <c r="K1414" s="456"/>
      <c r="L1414" s="418"/>
      <c r="M1414" s="268"/>
      <c r="N1414" s="317"/>
      <c r="O1414" s="418"/>
      <c r="P1414" s="418"/>
      <c r="Q1414" s="418"/>
    </row>
    <row r="1415" spans="2:17" ht="12.75" customHeight="1" x14ac:dyDescent="0.2">
      <c r="B1415" s="273"/>
      <c r="F1415" s="265"/>
      <c r="G1415" s="268"/>
      <c r="H1415" s="317"/>
      <c r="I1415" s="418"/>
      <c r="J1415" s="268"/>
      <c r="K1415" s="456"/>
      <c r="L1415" s="418"/>
      <c r="M1415" s="268"/>
      <c r="N1415" s="317"/>
      <c r="O1415" s="418"/>
      <c r="P1415" s="418"/>
      <c r="Q1415" s="418"/>
    </row>
    <row r="1416" spans="2:17" ht="12.75" customHeight="1" x14ac:dyDescent="0.2">
      <c r="B1416" s="273"/>
      <c r="F1416" s="265"/>
      <c r="G1416" s="268"/>
      <c r="H1416" s="317"/>
      <c r="I1416" s="418"/>
      <c r="J1416" s="268"/>
      <c r="K1416" s="456"/>
      <c r="L1416" s="418"/>
      <c r="M1416" s="268"/>
      <c r="N1416" s="317"/>
      <c r="O1416" s="418"/>
      <c r="P1416" s="418"/>
      <c r="Q1416" s="418"/>
    </row>
    <row r="1417" spans="2:17" ht="12.75" customHeight="1" x14ac:dyDescent="0.2">
      <c r="B1417" s="273"/>
      <c r="F1417" s="265"/>
      <c r="G1417" s="268"/>
      <c r="H1417" s="317"/>
      <c r="I1417" s="418"/>
      <c r="J1417" s="268"/>
      <c r="K1417" s="456"/>
      <c r="L1417" s="418"/>
      <c r="M1417" s="268"/>
      <c r="N1417" s="317"/>
      <c r="O1417" s="418"/>
      <c r="P1417" s="418"/>
      <c r="Q1417" s="418"/>
    </row>
    <row r="1418" spans="2:17" ht="12.75" customHeight="1" x14ac:dyDescent="0.2">
      <c r="B1418" s="273"/>
      <c r="F1418" s="265"/>
      <c r="G1418" s="268"/>
      <c r="H1418" s="317"/>
      <c r="I1418" s="418"/>
      <c r="J1418" s="268"/>
      <c r="K1418" s="456"/>
      <c r="L1418" s="418"/>
      <c r="M1418" s="268"/>
      <c r="N1418" s="317"/>
      <c r="O1418" s="418"/>
      <c r="P1418" s="418"/>
      <c r="Q1418" s="418"/>
    </row>
    <row r="1419" spans="2:17" ht="12.75" customHeight="1" x14ac:dyDescent="0.2">
      <c r="B1419" s="273"/>
      <c r="F1419" s="265"/>
      <c r="G1419" s="268"/>
      <c r="H1419" s="317"/>
      <c r="I1419" s="418"/>
      <c r="J1419" s="268"/>
      <c r="K1419" s="456"/>
      <c r="L1419" s="418"/>
      <c r="M1419" s="268"/>
      <c r="N1419" s="317"/>
      <c r="O1419" s="418"/>
      <c r="P1419" s="418"/>
      <c r="Q1419" s="418"/>
    </row>
    <row r="1420" spans="2:17" ht="12.75" customHeight="1" x14ac:dyDescent="0.2">
      <c r="B1420" s="273"/>
      <c r="F1420" s="265"/>
      <c r="G1420" s="268"/>
      <c r="H1420" s="317"/>
      <c r="I1420" s="418"/>
      <c r="J1420" s="268"/>
      <c r="K1420" s="456"/>
      <c r="L1420" s="418"/>
      <c r="M1420" s="268"/>
      <c r="N1420" s="317"/>
      <c r="O1420" s="418"/>
      <c r="P1420" s="418"/>
      <c r="Q1420" s="418"/>
    </row>
    <row r="1421" spans="2:17" ht="12.75" customHeight="1" x14ac:dyDescent="0.2">
      <c r="B1421" s="273"/>
      <c r="F1421" s="265"/>
      <c r="G1421" s="268"/>
      <c r="H1421" s="317"/>
      <c r="I1421" s="418"/>
      <c r="J1421" s="268"/>
      <c r="K1421" s="456"/>
      <c r="L1421" s="418"/>
      <c r="M1421" s="268"/>
      <c r="N1421" s="317"/>
      <c r="O1421" s="418"/>
      <c r="P1421" s="418"/>
      <c r="Q1421" s="418"/>
    </row>
    <row r="1422" spans="2:17" ht="12.75" customHeight="1" x14ac:dyDescent="0.2">
      <c r="B1422" s="273"/>
      <c r="F1422" s="265"/>
      <c r="G1422" s="268"/>
      <c r="H1422" s="317"/>
      <c r="I1422" s="418"/>
      <c r="J1422" s="268"/>
      <c r="K1422" s="456"/>
      <c r="L1422" s="418"/>
      <c r="M1422" s="268"/>
      <c r="N1422" s="317"/>
      <c r="O1422" s="418"/>
      <c r="P1422" s="418"/>
      <c r="Q1422" s="418"/>
    </row>
    <row r="1423" spans="2:17" ht="12.75" customHeight="1" x14ac:dyDescent="0.2">
      <c r="B1423" s="273"/>
      <c r="F1423" s="265"/>
      <c r="G1423" s="268"/>
      <c r="H1423" s="317"/>
      <c r="I1423" s="318"/>
      <c r="J1423" s="268"/>
      <c r="K1423" s="456"/>
      <c r="L1423" s="318"/>
      <c r="M1423" s="268"/>
      <c r="N1423" s="317"/>
      <c r="O1423" s="318"/>
      <c r="P1423" s="318"/>
      <c r="Q1423" s="318"/>
    </row>
    <row r="1424" spans="2:17" ht="12.75" customHeight="1" x14ac:dyDescent="0.2">
      <c r="B1424" s="287">
        <v>5200</v>
      </c>
      <c r="C1424" s="288" t="s">
        <v>268</v>
      </c>
      <c r="D1424" s="289"/>
      <c r="E1424" s="290"/>
      <c r="F1424" s="291"/>
      <c r="G1424" s="291"/>
      <c r="H1424" s="422"/>
      <c r="I1424" s="423">
        <f>SUM(I1367:I1423)</f>
        <v>3810900</v>
      </c>
      <c r="J1424" s="412"/>
      <c r="K1424" s="457"/>
      <c r="L1424" s="423">
        <f t="shared" ref="L1424" si="506">SUM(L1367:L1423)</f>
        <v>3566100</v>
      </c>
      <c r="M1424" s="291"/>
      <c r="N1424" s="422"/>
      <c r="O1424" s="423">
        <f>SUM(O1367:O1423)</f>
        <v>2410650</v>
      </c>
      <c r="P1424" s="423"/>
      <c r="Q1424" s="423">
        <f t="shared" ref="Q1424" si="507">SUM(Q1367:Q1423)</f>
        <v>1155450</v>
      </c>
    </row>
    <row r="1425" spans="2:17" ht="12.75" customHeight="1" x14ac:dyDescent="0.2">
      <c r="B1425" s="239" t="s">
        <v>79</v>
      </c>
      <c r="C1425" s="239"/>
      <c r="D1425" s="263"/>
      <c r="E1425" s="297"/>
      <c r="G1425" s="364"/>
      <c r="H1425" s="450"/>
      <c r="I1425" s="451"/>
      <c r="K1425" s="456"/>
      <c r="L1425" s="451"/>
      <c r="M1425" s="364"/>
      <c r="N1425" s="450"/>
      <c r="O1425" s="451"/>
      <c r="P1425" s="451"/>
      <c r="Q1425" s="451"/>
    </row>
    <row r="1426" spans="2:17" ht="12.75" customHeight="1" x14ac:dyDescent="0.2">
      <c r="B1426" s="239" t="s">
        <v>267</v>
      </c>
      <c r="C1426" s="240"/>
      <c r="E1426" s="238"/>
      <c r="I1426" s="427"/>
      <c r="K1426" s="456"/>
      <c r="L1426" s="427"/>
      <c r="O1426" s="427"/>
      <c r="P1426" s="427"/>
      <c r="Q1426" s="427"/>
    </row>
    <row r="1427" spans="2:17" ht="12.75" customHeight="1" x14ac:dyDescent="0.2">
      <c r="B1427" s="243"/>
      <c r="C1427" s="243"/>
      <c r="D1427" s="244"/>
      <c r="E1427" s="245"/>
      <c r="F1427" s="246"/>
      <c r="G1427" s="246"/>
      <c r="H1427" s="452"/>
      <c r="I1427" s="453"/>
      <c r="J1427" s="246"/>
      <c r="K1427" s="456"/>
      <c r="L1427" s="453"/>
      <c r="M1427" s="246"/>
      <c r="N1427" s="452"/>
      <c r="O1427" s="453"/>
      <c r="P1427" s="453"/>
      <c r="Q1427" s="453"/>
    </row>
    <row r="1428" spans="2:17" ht="12.75" customHeight="1" x14ac:dyDescent="0.2">
      <c r="B1428" s="247" t="s">
        <v>263</v>
      </c>
      <c r="C1428" s="248" t="s">
        <v>264</v>
      </c>
      <c r="D1428" s="249"/>
      <c r="E1428" s="250"/>
      <c r="F1428" s="250" t="s">
        <v>265</v>
      </c>
      <c r="G1428" s="356" t="s">
        <v>68</v>
      </c>
      <c r="H1428" s="251" t="s">
        <v>849</v>
      </c>
      <c r="I1428" s="252" t="s">
        <v>849</v>
      </c>
      <c r="J1428" s="356" t="s">
        <v>68</v>
      </c>
      <c r="K1428" s="457" t="s">
        <v>849</v>
      </c>
      <c r="L1428" s="252" t="s">
        <v>849</v>
      </c>
      <c r="M1428" s="356" t="s">
        <v>68</v>
      </c>
      <c r="N1428" s="251" t="s">
        <v>849</v>
      </c>
      <c r="O1428" s="252" t="s">
        <v>849</v>
      </c>
      <c r="P1428" s="252" t="s">
        <v>849</v>
      </c>
      <c r="Q1428" s="252" t="s">
        <v>849</v>
      </c>
    </row>
    <row r="1429" spans="2:17" ht="12.75" customHeight="1" x14ac:dyDescent="0.2">
      <c r="B1429" s="253" t="s">
        <v>266</v>
      </c>
      <c r="C1429" s="254"/>
      <c r="D1429" s="255"/>
      <c r="E1429" s="256"/>
      <c r="F1429" s="256"/>
      <c r="G1429" s="357" t="s">
        <v>69</v>
      </c>
      <c r="H1429" s="257" t="s">
        <v>262</v>
      </c>
      <c r="I1429" s="258" t="s">
        <v>70</v>
      </c>
      <c r="J1429" s="357" t="s">
        <v>69</v>
      </c>
      <c r="K1429" s="457" t="s">
        <v>262</v>
      </c>
      <c r="L1429" s="258" t="s">
        <v>70</v>
      </c>
      <c r="M1429" s="357" t="s">
        <v>69</v>
      </c>
      <c r="N1429" s="257" t="s">
        <v>262</v>
      </c>
      <c r="O1429" s="258" t="s">
        <v>70</v>
      </c>
      <c r="P1429" s="258" t="s">
        <v>70</v>
      </c>
      <c r="Q1429" s="258" t="s">
        <v>70</v>
      </c>
    </row>
    <row r="1430" spans="2:17" ht="12.75" customHeight="1" x14ac:dyDescent="0.2">
      <c r="B1430" s="273"/>
      <c r="F1430" s="265"/>
      <c r="G1430" s="268"/>
      <c r="H1430" s="317"/>
      <c r="I1430" s="318" t="str">
        <f>IF(G1305=0," ",G1305*H1433)</f>
        <v xml:space="preserve"> </v>
      </c>
      <c r="J1430" s="268"/>
      <c r="K1430" s="456"/>
      <c r="L1430" s="318" t="str">
        <f t="shared" ref="L1430" si="508">IF(J1305=0," ",J1305*K1433)</f>
        <v xml:space="preserve"> </v>
      </c>
      <c r="M1430" s="268"/>
      <c r="N1430" s="317"/>
      <c r="O1430" s="318" t="str">
        <f t="shared" ref="O1430" si="509">IF(M1305=0," ",M1305*N1433)</f>
        <v xml:space="preserve"> </v>
      </c>
      <c r="P1430" s="318" t="str">
        <f t="shared" ref="P1430" si="510">IF(N1305=0," ",N1305*O1433)</f>
        <v xml:space="preserve"> </v>
      </c>
      <c r="Q1430" s="318"/>
    </row>
    <row r="1431" spans="2:17" ht="12.75" customHeight="1" x14ac:dyDescent="0.2">
      <c r="B1431" s="261">
        <v>5400</v>
      </c>
      <c r="C1431" s="262" t="s">
        <v>467</v>
      </c>
      <c r="D1431" s="263"/>
      <c r="E1431" s="264"/>
      <c r="F1431" s="265"/>
      <c r="G1431" s="268"/>
      <c r="H1431" s="317"/>
      <c r="I1431" s="418"/>
      <c r="J1431" s="268"/>
      <c r="K1431" s="456"/>
      <c r="L1431" s="418"/>
      <c r="M1431" s="268"/>
      <c r="N1431" s="317"/>
      <c r="O1431" s="418"/>
      <c r="P1431" s="418"/>
      <c r="Q1431" s="418"/>
    </row>
    <row r="1432" spans="2:17" ht="12.75" customHeight="1" x14ac:dyDescent="0.2">
      <c r="B1432" s="267"/>
      <c r="F1432" s="265"/>
      <c r="G1432" s="268"/>
      <c r="H1432" s="317"/>
      <c r="I1432" s="418"/>
      <c r="J1432" s="268"/>
      <c r="K1432" s="456"/>
      <c r="L1432" s="418"/>
      <c r="M1432" s="268"/>
      <c r="N1432" s="317"/>
      <c r="O1432" s="418"/>
      <c r="P1432" s="418"/>
      <c r="Q1432" s="418"/>
    </row>
    <row r="1433" spans="2:17" ht="12.75" customHeight="1" x14ac:dyDescent="0.2">
      <c r="B1433" s="267" t="s">
        <v>435</v>
      </c>
      <c r="C1433" s="273" t="s">
        <v>468</v>
      </c>
      <c r="F1433" s="265"/>
      <c r="G1433" s="268"/>
      <c r="H1433" s="317"/>
      <c r="I1433" s="418"/>
      <c r="J1433" s="268"/>
      <c r="K1433" s="456"/>
      <c r="L1433" s="418"/>
      <c r="M1433" s="268"/>
      <c r="N1433" s="317"/>
      <c r="O1433" s="418"/>
      <c r="P1433" s="418"/>
      <c r="Q1433" s="418"/>
    </row>
    <row r="1434" spans="2:17" ht="12.75" customHeight="1" x14ac:dyDescent="0.2">
      <c r="B1434" s="267"/>
      <c r="C1434" s="273" t="s">
        <v>278</v>
      </c>
      <c r="D1434" s="241" t="s">
        <v>248</v>
      </c>
      <c r="F1434" s="265" t="s">
        <v>310</v>
      </c>
      <c r="G1434" s="268">
        <v>3236</v>
      </c>
      <c r="H1434" s="418">
        <v>800</v>
      </c>
      <c r="I1434" s="418">
        <f t="shared" ref="I1434:I1448" si="511">IF(G1434=0," ",G1434*H1434)</f>
        <v>2588800</v>
      </c>
      <c r="J1434" s="268">
        <v>3236</v>
      </c>
      <c r="K1434" s="456">
        <v>700</v>
      </c>
      <c r="L1434" s="418">
        <f t="shared" ref="L1434:L1448" si="512">IF(J1434=0," ",J1434*K1434)</f>
        <v>2265200</v>
      </c>
      <c r="M1434" s="268">
        <v>3236</v>
      </c>
      <c r="N1434" s="418">
        <v>700</v>
      </c>
      <c r="O1434" s="418">
        <f t="shared" ref="O1434:O1448" si="513">IF(M1434=0," ",M1434*N1434)</f>
        <v>2265200</v>
      </c>
      <c r="P1434" s="418">
        <f>K1434-N1434</f>
        <v>0</v>
      </c>
      <c r="Q1434" s="418">
        <f>L1434-O1434</f>
        <v>0</v>
      </c>
    </row>
    <row r="1435" spans="2:17" ht="12.75" customHeight="1" x14ac:dyDescent="0.2">
      <c r="B1435" s="267"/>
      <c r="F1435" s="265"/>
      <c r="G1435" s="268"/>
      <c r="H1435" s="418" t="str">
        <f t="shared" ref="H1435:H1442" si="514">IF(F1435=0," ",F1435*G1435)</f>
        <v xml:space="preserve"> </v>
      </c>
      <c r="I1435" s="418" t="str">
        <f t="shared" si="511"/>
        <v xml:space="preserve"> </v>
      </c>
      <c r="J1435" s="268"/>
      <c r="K1435" s="456" t="s">
        <v>849</v>
      </c>
      <c r="L1435" s="418" t="str">
        <f t="shared" si="512"/>
        <v xml:space="preserve"> </v>
      </c>
      <c r="M1435" s="268"/>
      <c r="N1435" s="418"/>
      <c r="O1435" s="418" t="str">
        <f t="shared" si="513"/>
        <v xml:space="preserve"> </v>
      </c>
      <c r="P1435" s="418"/>
      <c r="Q1435" s="418"/>
    </row>
    <row r="1436" spans="2:17" ht="12.75" customHeight="1" x14ac:dyDescent="0.2">
      <c r="B1436" s="267" t="s">
        <v>436</v>
      </c>
      <c r="C1436" s="273" t="s">
        <v>469</v>
      </c>
      <c r="F1436" s="265"/>
      <c r="G1436" s="268"/>
      <c r="H1436" s="418" t="str">
        <f t="shared" si="514"/>
        <v xml:space="preserve"> </v>
      </c>
      <c r="I1436" s="418" t="str">
        <f t="shared" si="511"/>
        <v xml:space="preserve"> </v>
      </c>
      <c r="J1436" s="268"/>
      <c r="K1436" s="456" t="s">
        <v>849</v>
      </c>
      <c r="L1436" s="418" t="str">
        <f t="shared" si="512"/>
        <v xml:space="preserve"> </v>
      </c>
      <c r="M1436" s="268"/>
      <c r="N1436" s="418"/>
      <c r="O1436" s="418" t="str">
        <f t="shared" si="513"/>
        <v xml:space="preserve"> </v>
      </c>
      <c r="P1436" s="418"/>
      <c r="Q1436" s="418"/>
    </row>
    <row r="1437" spans="2:17" ht="12.75" customHeight="1" x14ac:dyDescent="0.2">
      <c r="B1437" s="267"/>
      <c r="C1437" s="273" t="s">
        <v>281</v>
      </c>
      <c r="D1437" s="241" t="s">
        <v>515</v>
      </c>
      <c r="F1437" s="265"/>
      <c r="G1437" s="268"/>
      <c r="H1437" s="418" t="str">
        <f t="shared" si="514"/>
        <v xml:space="preserve"> </v>
      </c>
      <c r="I1437" s="418" t="str">
        <f t="shared" si="511"/>
        <v xml:space="preserve"> </v>
      </c>
      <c r="J1437" s="268"/>
      <c r="K1437" s="456" t="s">
        <v>849</v>
      </c>
      <c r="L1437" s="418" t="str">
        <f t="shared" si="512"/>
        <v xml:space="preserve"> </v>
      </c>
      <c r="M1437" s="268"/>
      <c r="N1437" s="418"/>
      <c r="O1437" s="418" t="str">
        <f t="shared" si="513"/>
        <v xml:space="preserve"> </v>
      </c>
      <c r="P1437" s="418"/>
      <c r="Q1437" s="418"/>
    </row>
    <row r="1438" spans="2:17" ht="12.75" customHeight="1" x14ac:dyDescent="0.2">
      <c r="B1438" s="267"/>
      <c r="D1438" s="241" t="s">
        <v>516</v>
      </c>
      <c r="F1438" s="265" t="s">
        <v>254</v>
      </c>
      <c r="G1438" s="268">
        <v>20</v>
      </c>
      <c r="H1438" s="418">
        <v>18000</v>
      </c>
      <c r="I1438" s="418">
        <f t="shared" si="511"/>
        <v>360000</v>
      </c>
      <c r="J1438" s="268">
        <v>20</v>
      </c>
      <c r="K1438" s="456">
        <v>550</v>
      </c>
      <c r="L1438" s="418">
        <f t="shared" si="512"/>
        <v>11000</v>
      </c>
      <c r="M1438" s="268">
        <v>20</v>
      </c>
      <c r="N1438" s="418">
        <v>550</v>
      </c>
      <c r="O1438" s="418">
        <f t="shared" si="513"/>
        <v>11000</v>
      </c>
      <c r="P1438" s="418">
        <f t="shared" ref="P1438:P1443" si="515">K1438-N1438</f>
        <v>0</v>
      </c>
      <c r="Q1438" s="418">
        <f t="shared" ref="Q1438:Q1443" si="516">L1438-O1438</f>
        <v>0</v>
      </c>
    </row>
    <row r="1439" spans="2:17" ht="12.75" customHeight="1" x14ac:dyDescent="0.2">
      <c r="B1439" s="267"/>
      <c r="F1439" s="265"/>
      <c r="G1439" s="268"/>
      <c r="H1439" s="418" t="str">
        <f t="shared" si="514"/>
        <v xml:space="preserve"> </v>
      </c>
      <c r="I1439" s="418" t="str">
        <f t="shared" si="511"/>
        <v xml:space="preserve"> </v>
      </c>
      <c r="J1439" s="268"/>
      <c r="K1439" s="456" t="s">
        <v>849</v>
      </c>
      <c r="L1439" s="418" t="str">
        <f t="shared" si="512"/>
        <v xml:space="preserve"> </v>
      </c>
      <c r="M1439" s="268"/>
      <c r="N1439" s="418"/>
      <c r="O1439" s="418" t="str">
        <f t="shared" si="513"/>
        <v xml:space="preserve"> </v>
      </c>
      <c r="P1439" s="418"/>
      <c r="Q1439" s="418"/>
    </row>
    <row r="1440" spans="2:17" ht="12.75" customHeight="1" x14ac:dyDescent="0.2">
      <c r="B1440" s="267" t="s">
        <v>437</v>
      </c>
      <c r="C1440" s="273" t="s">
        <v>486</v>
      </c>
      <c r="F1440" s="265"/>
      <c r="G1440" s="268"/>
      <c r="H1440" s="418" t="str">
        <f t="shared" si="514"/>
        <v xml:space="preserve"> </v>
      </c>
      <c r="I1440" s="418" t="str">
        <f t="shared" si="511"/>
        <v xml:space="preserve"> </v>
      </c>
      <c r="J1440" s="268"/>
      <c r="K1440" s="456" t="s">
        <v>849</v>
      </c>
      <c r="L1440" s="418" t="str">
        <f t="shared" si="512"/>
        <v xml:space="preserve"> </v>
      </c>
      <c r="M1440" s="268"/>
      <c r="N1440" s="418"/>
      <c r="O1440" s="418" t="str">
        <f t="shared" si="513"/>
        <v xml:space="preserve"> </v>
      </c>
      <c r="P1440" s="418"/>
      <c r="Q1440" s="418"/>
    </row>
    <row r="1441" spans="2:17" ht="12.75" customHeight="1" x14ac:dyDescent="0.2">
      <c r="B1441" s="267"/>
      <c r="C1441" s="273" t="s">
        <v>487</v>
      </c>
      <c r="D1441" s="241" t="s">
        <v>249</v>
      </c>
      <c r="F1441" s="265" t="s">
        <v>254</v>
      </c>
      <c r="G1441" s="268">
        <v>110</v>
      </c>
      <c r="H1441" s="418">
        <v>200</v>
      </c>
      <c r="I1441" s="418">
        <f t="shared" si="511"/>
        <v>22000</v>
      </c>
      <c r="J1441" s="268">
        <v>110</v>
      </c>
      <c r="K1441" s="456">
        <v>150</v>
      </c>
      <c r="L1441" s="418">
        <f t="shared" si="512"/>
        <v>16500</v>
      </c>
      <c r="M1441" s="268">
        <v>110</v>
      </c>
      <c r="N1441" s="418">
        <v>150</v>
      </c>
      <c r="O1441" s="418">
        <f t="shared" si="513"/>
        <v>16500</v>
      </c>
      <c r="P1441" s="418">
        <f t="shared" si="515"/>
        <v>0</v>
      </c>
      <c r="Q1441" s="418">
        <f t="shared" si="516"/>
        <v>0</v>
      </c>
    </row>
    <row r="1442" spans="2:17" ht="12.75" customHeight="1" x14ac:dyDescent="0.2">
      <c r="B1442" s="267"/>
      <c r="F1442" s="265"/>
      <c r="G1442" s="268"/>
      <c r="H1442" s="418" t="str">
        <f t="shared" si="514"/>
        <v xml:space="preserve"> </v>
      </c>
      <c r="I1442" s="418" t="str">
        <f t="shared" si="511"/>
        <v xml:space="preserve"> </v>
      </c>
      <c r="J1442" s="268"/>
      <c r="K1442" s="456" t="s">
        <v>849</v>
      </c>
      <c r="L1442" s="418" t="str">
        <f t="shared" si="512"/>
        <v xml:space="preserve"> </v>
      </c>
      <c r="M1442" s="268"/>
      <c r="N1442" s="418"/>
      <c r="O1442" s="418" t="str">
        <f t="shared" si="513"/>
        <v xml:space="preserve"> </v>
      </c>
      <c r="P1442" s="418"/>
      <c r="Q1442" s="418"/>
    </row>
    <row r="1443" spans="2:17" ht="12.75" customHeight="1" x14ac:dyDescent="0.2">
      <c r="B1443" s="267" t="s">
        <v>438</v>
      </c>
      <c r="C1443" s="273" t="s">
        <v>488</v>
      </c>
      <c r="F1443" s="265" t="s">
        <v>254</v>
      </c>
      <c r="G1443" s="368">
        <f>G1434/6</f>
        <v>539.33333333333337</v>
      </c>
      <c r="H1443" s="418">
        <v>15</v>
      </c>
      <c r="I1443" s="418">
        <f t="shared" si="511"/>
        <v>8090.0000000000009</v>
      </c>
      <c r="J1443" s="368">
        <v>539</v>
      </c>
      <c r="K1443" s="456">
        <v>280</v>
      </c>
      <c r="L1443" s="418">
        <f t="shared" si="512"/>
        <v>150920</v>
      </c>
      <c r="M1443" s="368">
        <v>539</v>
      </c>
      <c r="N1443" s="418">
        <v>100</v>
      </c>
      <c r="O1443" s="418">
        <f t="shared" si="513"/>
        <v>53900</v>
      </c>
      <c r="P1443" s="460">
        <f t="shared" si="515"/>
        <v>180</v>
      </c>
      <c r="Q1443" s="460">
        <f t="shared" si="516"/>
        <v>97020</v>
      </c>
    </row>
    <row r="1444" spans="2:17" ht="12.75" customHeight="1" x14ac:dyDescent="0.2">
      <c r="B1444" s="273"/>
      <c r="F1444" s="265"/>
      <c r="G1444" s="268"/>
      <c r="H1444" s="317"/>
      <c r="I1444" s="418" t="str">
        <f t="shared" si="511"/>
        <v xml:space="preserve"> </v>
      </c>
      <c r="J1444" s="268"/>
      <c r="K1444" s="456"/>
      <c r="L1444" s="418" t="str">
        <f t="shared" si="512"/>
        <v xml:space="preserve"> </v>
      </c>
      <c r="M1444" s="268"/>
      <c r="N1444" s="317"/>
      <c r="O1444" s="418" t="str">
        <f t="shared" si="513"/>
        <v xml:space="preserve"> </v>
      </c>
      <c r="P1444" s="418" t="str">
        <f t="shared" ref="P1444:P1448" si="517">IF(N1444=0," ",N1444*O1444)</f>
        <v xml:space="preserve"> </v>
      </c>
      <c r="Q1444" s="418"/>
    </row>
    <row r="1445" spans="2:17" ht="12.75" customHeight="1" x14ac:dyDescent="0.2">
      <c r="B1445" s="267"/>
      <c r="F1445" s="265"/>
      <c r="G1445" s="268"/>
      <c r="H1445" s="317"/>
      <c r="I1445" s="418" t="str">
        <f t="shared" si="511"/>
        <v xml:space="preserve"> </v>
      </c>
      <c r="J1445" s="268"/>
      <c r="K1445" s="456"/>
      <c r="L1445" s="418" t="str">
        <f t="shared" si="512"/>
        <v xml:space="preserve"> </v>
      </c>
      <c r="M1445" s="268"/>
      <c r="N1445" s="317"/>
      <c r="O1445" s="418" t="str">
        <f t="shared" si="513"/>
        <v xml:space="preserve"> </v>
      </c>
      <c r="P1445" s="418" t="str">
        <f t="shared" si="517"/>
        <v xml:space="preserve"> </v>
      </c>
      <c r="Q1445" s="418"/>
    </row>
    <row r="1446" spans="2:17" ht="12.75" customHeight="1" x14ac:dyDescent="0.2">
      <c r="B1446" s="267"/>
      <c r="F1446" s="265"/>
      <c r="G1446" s="268"/>
      <c r="H1446" s="317"/>
      <c r="I1446" s="418" t="str">
        <f t="shared" si="511"/>
        <v xml:space="preserve"> </v>
      </c>
      <c r="J1446" s="268"/>
      <c r="K1446" s="456"/>
      <c r="L1446" s="418" t="str">
        <f t="shared" si="512"/>
        <v xml:space="preserve"> </v>
      </c>
      <c r="M1446" s="268"/>
      <c r="N1446" s="317"/>
      <c r="O1446" s="418" t="str">
        <f t="shared" si="513"/>
        <v xml:space="preserve"> </v>
      </c>
      <c r="P1446" s="418" t="str">
        <f t="shared" si="517"/>
        <v xml:space="preserve"> </v>
      </c>
      <c r="Q1446" s="418"/>
    </row>
    <row r="1447" spans="2:17" ht="12.75" customHeight="1" x14ac:dyDescent="0.2">
      <c r="B1447" s="267"/>
      <c r="F1447" s="265"/>
      <c r="G1447" s="268"/>
      <c r="H1447" s="317"/>
      <c r="I1447" s="418" t="str">
        <f t="shared" si="511"/>
        <v xml:space="preserve"> </v>
      </c>
      <c r="J1447" s="268"/>
      <c r="K1447" s="456"/>
      <c r="L1447" s="418" t="str">
        <f t="shared" si="512"/>
        <v xml:space="preserve"> </v>
      </c>
      <c r="M1447" s="268"/>
      <c r="N1447" s="317"/>
      <c r="O1447" s="418" t="str">
        <f t="shared" si="513"/>
        <v xml:space="preserve"> </v>
      </c>
      <c r="P1447" s="418" t="str">
        <f t="shared" si="517"/>
        <v xml:space="preserve"> </v>
      </c>
      <c r="Q1447" s="418"/>
    </row>
    <row r="1448" spans="2:17" ht="12.75" customHeight="1" x14ac:dyDescent="0.2">
      <c r="B1448" s="267"/>
      <c r="F1448" s="265"/>
      <c r="G1448" s="268"/>
      <c r="H1448" s="317"/>
      <c r="I1448" s="418" t="str">
        <f t="shared" si="511"/>
        <v xml:space="preserve"> </v>
      </c>
      <c r="J1448" s="268"/>
      <c r="K1448" s="456"/>
      <c r="L1448" s="418" t="str">
        <f t="shared" si="512"/>
        <v xml:space="preserve"> </v>
      </c>
      <c r="M1448" s="268"/>
      <c r="N1448" s="317"/>
      <c r="O1448" s="418" t="str">
        <f t="shared" si="513"/>
        <v xml:space="preserve"> </v>
      </c>
      <c r="P1448" s="418" t="str">
        <f t="shared" si="517"/>
        <v xml:space="preserve"> </v>
      </c>
      <c r="Q1448" s="418"/>
    </row>
    <row r="1449" spans="2:17" ht="12.75" customHeight="1" x14ac:dyDescent="0.2">
      <c r="B1449" s="267"/>
      <c r="F1449" s="265"/>
      <c r="G1449" s="268"/>
      <c r="H1449" s="317"/>
      <c r="I1449" s="418"/>
      <c r="J1449" s="268"/>
      <c r="K1449" s="456"/>
      <c r="L1449" s="418"/>
      <c r="M1449" s="268"/>
      <c r="N1449" s="317"/>
      <c r="O1449" s="418"/>
      <c r="P1449" s="418"/>
      <c r="Q1449" s="418"/>
    </row>
    <row r="1450" spans="2:17" ht="12.75" customHeight="1" x14ac:dyDescent="0.2">
      <c r="B1450" s="267"/>
      <c r="F1450" s="265"/>
      <c r="G1450" s="268"/>
      <c r="H1450" s="317"/>
      <c r="I1450" s="418"/>
      <c r="J1450" s="268"/>
      <c r="K1450" s="456"/>
      <c r="L1450" s="418"/>
      <c r="M1450" s="268"/>
      <c r="N1450" s="317"/>
      <c r="O1450" s="418"/>
      <c r="P1450" s="418"/>
      <c r="Q1450" s="418"/>
    </row>
    <row r="1451" spans="2:17" ht="12.75" customHeight="1" x14ac:dyDescent="0.2">
      <c r="B1451" s="273"/>
      <c r="F1451" s="265"/>
      <c r="G1451" s="268"/>
      <c r="H1451" s="317"/>
      <c r="I1451" s="418" t="str">
        <f t="shared" ref="I1451:I1459" si="518">IF(G1451=0," ",G1451*H1454)</f>
        <v xml:space="preserve"> </v>
      </c>
      <c r="J1451" s="268"/>
      <c r="K1451" s="456"/>
      <c r="L1451" s="418" t="str">
        <f t="shared" ref="L1451:L1459" si="519">IF(J1451=0," ",J1451*K1454)</f>
        <v xml:space="preserve"> </v>
      </c>
      <c r="M1451" s="268"/>
      <c r="N1451" s="317"/>
      <c r="O1451" s="418" t="str">
        <f t="shared" ref="O1451:O1459" si="520">IF(M1451=0," ",M1451*N1454)</f>
        <v xml:space="preserve"> </v>
      </c>
      <c r="P1451" s="418" t="str">
        <f t="shared" ref="P1451:P1459" si="521">IF(N1451=0," ",N1451*O1454)</f>
        <v xml:space="preserve"> </v>
      </c>
      <c r="Q1451" s="418"/>
    </row>
    <row r="1452" spans="2:17" ht="12.75" customHeight="1" x14ac:dyDescent="0.2">
      <c r="B1452" s="347"/>
      <c r="C1452" s="348"/>
      <c r="D1452" s="349"/>
      <c r="E1452" s="350"/>
      <c r="F1452" s="265"/>
      <c r="G1452" s="268"/>
      <c r="H1452" s="317"/>
      <c r="I1452" s="418" t="str">
        <f t="shared" si="518"/>
        <v xml:space="preserve"> </v>
      </c>
      <c r="J1452" s="268"/>
      <c r="K1452" s="456"/>
      <c r="L1452" s="418" t="str">
        <f t="shared" si="519"/>
        <v xml:space="preserve"> </v>
      </c>
      <c r="M1452" s="268"/>
      <c r="N1452" s="317"/>
      <c r="O1452" s="418" t="str">
        <f t="shared" si="520"/>
        <v xml:space="preserve"> </v>
      </c>
      <c r="P1452" s="418" t="str">
        <f t="shared" si="521"/>
        <v xml:space="preserve"> </v>
      </c>
      <c r="Q1452" s="418"/>
    </row>
    <row r="1453" spans="2:17" ht="12.75" customHeight="1" x14ac:dyDescent="0.2">
      <c r="B1453" s="347"/>
      <c r="C1453" s="348"/>
      <c r="D1453" s="349"/>
      <c r="E1453" s="350"/>
      <c r="F1453" s="265"/>
      <c r="G1453" s="268"/>
      <c r="H1453" s="317"/>
      <c r="I1453" s="418" t="str">
        <f t="shared" si="518"/>
        <v xml:space="preserve"> </v>
      </c>
      <c r="J1453" s="268"/>
      <c r="K1453" s="456"/>
      <c r="L1453" s="418" t="str">
        <f t="shared" si="519"/>
        <v xml:space="preserve"> </v>
      </c>
      <c r="M1453" s="268"/>
      <c r="N1453" s="317"/>
      <c r="O1453" s="418" t="str">
        <f t="shared" si="520"/>
        <v xml:space="preserve"> </v>
      </c>
      <c r="P1453" s="418" t="str">
        <f t="shared" si="521"/>
        <v xml:space="preserve"> </v>
      </c>
      <c r="Q1453" s="418"/>
    </row>
    <row r="1454" spans="2:17" ht="12.75" customHeight="1" x14ac:dyDescent="0.2">
      <c r="B1454" s="347"/>
      <c r="C1454" s="348"/>
      <c r="D1454" s="349"/>
      <c r="E1454" s="350"/>
      <c r="F1454" s="265"/>
      <c r="G1454" s="268"/>
      <c r="H1454" s="317"/>
      <c r="I1454" s="418" t="str">
        <f t="shared" si="518"/>
        <v xml:space="preserve"> </v>
      </c>
      <c r="J1454" s="268"/>
      <c r="K1454" s="456"/>
      <c r="L1454" s="418" t="str">
        <f t="shared" si="519"/>
        <v xml:space="preserve"> </v>
      </c>
      <c r="M1454" s="268"/>
      <c r="N1454" s="317"/>
      <c r="O1454" s="418" t="str">
        <f t="shared" si="520"/>
        <v xml:space="preserve"> </v>
      </c>
      <c r="P1454" s="418" t="str">
        <f t="shared" si="521"/>
        <v xml:space="preserve"> </v>
      </c>
      <c r="Q1454" s="418"/>
    </row>
    <row r="1455" spans="2:17" ht="12.75" customHeight="1" x14ac:dyDescent="0.2">
      <c r="B1455" s="347"/>
      <c r="C1455" s="348"/>
      <c r="D1455" s="349"/>
      <c r="E1455" s="350"/>
      <c r="F1455" s="265"/>
      <c r="G1455" s="268"/>
      <c r="H1455" s="317"/>
      <c r="I1455" s="418" t="str">
        <f t="shared" si="518"/>
        <v xml:space="preserve"> </v>
      </c>
      <c r="J1455" s="268"/>
      <c r="K1455" s="456"/>
      <c r="L1455" s="418" t="str">
        <f t="shared" si="519"/>
        <v xml:space="preserve"> </v>
      </c>
      <c r="M1455" s="268"/>
      <c r="N1455" s="317"/>
      <c r="O1455" s="418" t="str">
        <f t="shared" si="520"/>
        <v xml:space="preserve"> </v>
      </c>
      <c r="P1455" s="418" t="str">
        <f t="shared" si="521"/>
        <v xml:space="preserve"> </v>
      </c>
      <c r="Q1455" s="418"/>
    </row>
    <row r="1456" spans="2:17" ht="12.75" customHeight="1" x14ac:dyDescent="0.2">
      <c r="B1456" s="273"/>
      <c r="F1456" s="265"/>
      <c r="G1456" s="268"/>
      <c r="H1456" s="317"/>
      <c r="I1456" s="418" t="str">
        <f t="shared" si="518"/>
        <v xml:space="preserve"> </v>
      </c>
      <c r="J1456" s="268"/>
      <c r="K1456" s="456"/>
      <c r="L1456" s="418" t="str">
        <f t="shared" si="519"/>
        <v xml:space="preserve"> </v>
      </c>
      <c r="M1456" s="268"/>
      <c r="N1456" s="317"/>
      <c r="O1456" s="418" t="str">
        <f t="shared" si="520"/>
        <v xml:space="preserve"> </v>
      </c>
      <c r="P1456" s="418" t="str">
        <f t="shared" si="521"/>
        <v xml:space="preserve"> </v>
      </c>
      <c r="Q1456" s="418"/>
    </row>
    <row r="1457" spans="2:17" ht="12.75" customHeight="1" x14ac:dyDescent="0.2">
      <c r="B1457" s="273"/>
      <c r="F1457" s="265"/>
      <c r="G1457" s="268"/>
      <c r="H1457" s="317"/>
      <c r="I1457" s="418" t="str">
        <f t="shared" si="518"/>
        <v xml:space="preserve"> </v>
      </c>
      <c r="J1457" s="268"/>
      <c r="K1457" s="456"/>
      <c r="L1457" s="418" t="str">
        <f t="shared" si="519"/>
        <v xml:space="preserve"> </v>
      </c>
      <c r="M1457" s="268"/>
      <c r="N1457" s="317"/>
      <c r="O1457" s="418" t="str">
        <f t="shared" si="520"/>
        <v xml:space="preserve"> </v>
      </c>
      <c r="P1457" s="418" t="str">
        <f t="shared" si="521"/>
        <v xml:space="preserve"> </v>
      </c>
      <c r="Q1457" s="418"/>
    </row>
    <row r="1458" spans="2:17" ht="12.75" customHeight="1" x14ac:dyDescent="0.2">
      <c r="B1458" s="273"/>
      <c r="F1458" s="265"/>
      <c r="G1458" s="268"/>
      <c r="H1458" s="317"/>
      <c r="I1458" s="418" t="str">
        <f t="shared" si="518"/>
        <v xml:space="preserve"> </v>
      </c>
      <c r="J1458" s="268"/>
      <c r="K1458" s="456"/>
      <c r="L1458" s="418" t="str">
        <f t="shared" si="519"/>
        <v xml:space="preserve"> </v>
      </c>
      <c r="M1458" s="268"/>
      <c r="N1458" s="317"/>
      <c r="O1458" s="418" t="str">
        <f t="shared" si="520"/>
        <v xml:space="preserve"> </v>
      </c>
      <c r="P1458" s="418" t="str">
        <f t="shared" si="521"/>
        <v xml:space="preserve"> </v>
      </c>
      <c r="Q1458" s="418"/>
    </row>
    <row r="1459" spans="2:17" ht="12.75" customHeight="1" x14ac:dyDescent="0.2">
      <c r="B1459" s="273"/>
      <c r="F1459" s="265"/>
      <c r="G1459" s="268"/>
      <c r="H1459" s="317"/>
      <c r="I1459" s="418" t="str">
        <f t="shared" si="518"/>
        <v xml:space="preserve"> </v>
      </c>
      <c r="J1459" s="268"/>
      <c r="K1459" s="456"/>
      <c r="L1459" s="418" t="str">
        <f t="shared" si="519"/>
        <v xml:space="preserve"> </v>
      </c>
      <c r="M1459" s="268"/>
      <c r="N1459" s="317"/>
      <c r="O1459" s="418" t="str">
        <f t="shared" si="520"/>
        <v xml:space="preserve"> </v>
      </c>
      <c r="P1459" s="418" t="str">
        <f t="shared" si="521"/>
        <v xml:space="preserve"> </v>
      </c>
      <c r="Q1459" s="418"/>
    </row>
    <row r="1460" spans="2:17" ht="12.75" customHeight="1" x14ac:dyDescent="0.2">
      <c r="B1460" s="273"/>
      <c r="F1460" s="265"/>
      <c r="G1460" s="268"/>
      <c r="H1460" s="317"/>
      <c r="I1460" s="418"/>
      <c r="J1460" s="268"/>
      <c r="K1460" s="456"/>
      <c r="L1460" s="418"/>
      <c r="M1460" s="268"/>
      <c r="N1460" s="317"/>
      <c r="O1460" s="418"/>
      <c r="P1460" s="418"/>
      <c r="Q1460" s="418"/>
    </row>
    <row r="1461" spans="2:17" ht="12.75" customHeight="1" x14ac:dyDescent="0.2">
      <c r="B1461" s="273"/>
      <c r="F1461" s="265"/>
      <c r="G1461" s="268"/>
      <c r="H1461" s="317"/>
      <c r="I1461" s="418"/>
      <c r="J1461" s="268"/>
      <c r="K1461" s="456"/>
      <c r="L1461" s="418"/>
      <c r="M1461" s="268"/>
      <c r="N1461" s="317"/>
      <c r="O1461" s="418"/>
      <c r="P1461" s="418"/>
      <c r="Q1461" s="418"/>
    </row>
    <row r="1462" spans="2:17" ht="12.75" customHeight="1" x14ac:dyDescent="0.2">
      <c r="B1462" s="347"/>
      <c r="C1462" s="348"/>
      <c r="D1462" s="349"/>
      <c r="E1462" s="350"/>
      <c r="F1462" s="265"/>
      <c r="G1462" s="268"/>
      <c r="H1462" s="317"/>
      <c r="I1462" s="418"/>
      <c r="J1462" s="268"/>
      <c r="K1462" s="456"/>
      <c r="L1462" s="418"/>
      <c r="M1462" s="268"/>
      <c r="N1462" s="317"/>
      <c r="O1462" s="418"/>
      <c r="P1462" s="418"/>
      <c r="Q1462" s="418"/>
    </row>
    <row r="1463" spans="2:17" ht="12.75" customHeight="1" x14ac:dyDescent="0.2">
      <c r="B1463" s="347"/>
      <c r="C1463" s="348"/>
      <c r="D1463" s="349"/>
      <c r="E1463" s="350"/>
      <c r="F1463" s="265"/>
      <c r="G1463" s="268"/>
      <c r="H1463" s="317"/>
      <c r="I1463" s="418"/>
      <c r="J1463" s="268"/>
      <c r="K1463" s="456"/>
      <c r="L1463" s="418"/>
      <c r="M1463" s="268"/>
      <c r="N1463" s="317"/>
      <c r="O1463" s="418"/>
      <c r="P1463" s="418"/>
      <c r="Q1463" s="418"/>
    </row>
    <row r="1464" spans="2:17" ht="12.75" customHeight="1" x14ac:dyDescent="0.2">
      <c r="B1464" s="273"/>
      <c r="F1464" s="265"/>
      <c r="G1464" s="268"/>
      <c r="H1464" s="317"/>
      <c r="I1464" s="418"/>
      <c r="J1464" s="268"/>
      <c r="K1464" s="456"/>
      <c r="L1464" s="418"/>
      <c r="M1464" s="268"/>
      <c r="N1464" s="317"/>
      <c r="O1464" s="418"/>
      <c r="P1464" s="418"/>
      <c r="Q1464" s="418"/>
    </row>
    <row r="1465" spans="2:17" ht="12.75" customHeight="1" x14ac:dyDescent="0.2">
      <c r="B1465" s="273"/>
      <c r="F1465" s="265"/>
      <c r="G1465" s="268"/>
      <c r="H1465" s="317"/>
      <c r="I1465" s="418"/>
      <c r="J1465" s="268"/>
      <c r="K1465" s="456"/>
      <c r="L1465" s="418"/>
      <c r="M1465" s="268"/>
      <c r="N1465" s="317"/>
      <c r="O1465" s="418"/>
      <c r="P1465" s="418"/>
      <c r="Q1465" s="418"/>
    </row>
    <row r="1466" spans="2:17" ht="12.75" customHeight="1" x14ac:dyDescent="0.2">
      <c r="B1466" s="273"/>
      <c r="F1466" s="265"/>
      <c r="G1466" s="268"/>
      <c r="H1466" s="317"/>
      <c r="I1466" s="418"/>
      <c r="J1466" s="268"/>
      <c r="K1466" s="456"/>
      <c r="L1466" s="418"/>
      <c r="M1466" s="268"/>
      <c r="N1466" s="317"/>
      <c r="O1466" s="418"/>
      <c r="P1466" s="418"/>
      <c r="Q1466" s="418"/>
    </row>
    <row r="1467" spans="2:17" ht="12.75" customHeight="1" x14ac:dyDescent="0.2">
      <c r="B1467" s="273"/>
      <c r="F1467" s="265"/>
      <c r="G1467" s="268"/>
      <c r="H1467" s="317"/>
      <c r="I1467" s="418"/>
      <c r="J1467" s="268"/>
      <c r="K1467" s="456"/>
      <c r="L1467" s="418"/>
      <c r="M1467" s="268"/>
      <c r="N1467" s="317"/>
      <c r="O1467" s="418"/>
      <c r="P1467" s="418"/>
      <c r="Q1467" s="418"/>
    </row>
    <row r="1468" spans="2:17" ht="12.75" customHeight="1" x14ac:dyDescent="0.2">
      <c r="B1468" s="273"/>
      <c r="F1468" s="265"/>
      <c r="G1468" s="268"/>
      <c r="H1468" s="317"/>
      <c r="I1468" s="418"/>
      <c r="J1468" s="268"/>
      <c r="K1468" s="456"/>
      <c r="L1468" s="418"/>
      <c r="M1468" s="268"/>
      <c r="N1468" s="317"/>
      <c r="O1468" s="418"/>
      <c r="P1468" s="418"/>
      <c r="Q1468" s="418"/>
    </row>
    <row r="1469" spans="2:17" ht="12.75" customHeight="1" x14ac:dyDescent="0.2">
      <c r="B1469" s="273"/>
      <c r="F1469" s="265"/>
      <c r="G1469" s="268"/>
      <c r="H1469" s="317"/>
      <c r="I1469" s="418"/>
      <c r="J1469" s="268"/>
      <c r="K1469" s="456"/>
      <c r="L1469" s="418"/>
      <c r="M1469" s="268"/>
      <c r="N1469" s="317"/>
      <c r="O1469" s="418"/>
      <c r="P1469" s="418"/>
      <c r="Q1469" s="418"/>
    </row>
    <row r="1470" spans="2:17" ht="12.75" customHeight="1" x14ac:dyDescent="0.2">
      <c r="B1470" s="273"/>
      <c r="F1470" s="265"/>
      <c r="G1470" s="268"/>
      <c r="H1470" s="317"/>
      <c r="I1470" s="418"/>
      <c r="J1470" s="268"/>
      <c r="K1470" s="456"/>
      <c r="L1470" s="418"/>
      <c r="M1470" s="268"/>
      <c r="N1470" s="317"/>
      <c r="O1470" s="418"/>
      <c r="P1470" s="418"/>
      <c r="Q1470" s="418"/>
    </row>
    <row r="1471" spans="2:17" ht="12.75" customHeight="1" x14ac:dyDescent="0.2">
      <c r="B1471" s="273"/>
      <c r="F1471" s="265"/>
      <c r="G1471" s="268"/>
      <c r="H1471" s="317"/>
      <c r="I1471" s="418"/>
      <c r="J1471" s="268"/>
      <c r="K1471" s="456"/>
      <c r="L1471" s="418"/>
      <c r="M1471" s="268"/>
      <c r="N1471" s="317"/>
      <c r="O1471" s="418"/>
      <c r="P1471" s="418"/>
      <c r="Q1471" s="418"/>
    </row>
    <row r="1472" spans="2:17" ht="12.75" customHeight="1" x14ac:dyDescent="0.2">
      <c r="B1472" s="273"/>
      <c r="F1472" s="265"/>
      <c r="G1472" s="268"/>
      <c r="H1472" s="317"/>
      <c r="I1472" s="418" t="str">
        <f>IF(G1356=0," ",G1356*H1475)</f>
        <v xml:space="preserve"> </v>
      </c>
      <c r="J1472" s="268"/>
      <c r="K1472" s="456"/>
      <c r="L1472" s="418" t="str">
        <f t="shared" ref="L1472:L1473" si="522">IF(J1356=0," ",J1356*K1475)</f>
        <v xml:space="preserve"> </v>
      </c>
      <c r="M1472" s="268"/>
      <c r="N1472" s="317"/>
      <c r="O1472" s="418" t="str">
        <f t="shared" ref="O1472:O1473" si="523">IF(M1356=0," ",M1356*N1475)</f>
        <v xml:space="preserve"> </v>
      </c>
      <c r="P1472" s="418" t="str">
        <f t="shared" ref="P1472:P1473" si="524">IF(N1356=0," ",N1356*O1475)</f>
        <v xml:space="preserve"> </v>
      </c>
      <c r="Q1472" s="418" t="str">
        <f t="shared" ref="Q1472" si="525">IF(O1356=0," ",O1356*P1475)</f>
        <v xml:space="preserve"> </v>
      </c>
    </row>
    <row r="1473" spans="2:17" ht="12.75" customHeight="1" x14ac:dyDescent="0.2">
      <c r="B1473" s="273"/>
      <c r="F1473" s="265"/>
      <c r="G1473" s="268"/>
      <c r="H1473" s="317"/>
      <c r="I1473" s="418" t="str">
        <f>IF(G1357=0," ",G1357*H1476)</f>
        <v xml:space="preserve"> </v>
      </c>
      <c r="J1473" s="268"/>
      <c r="K1473" s="456"/>
      <c r="L1473" s="418" t="str">
        <f t="shared" si="522"/>
        <v xml:space="preserve"> </v>
      </c>
      <c r="M1473" s="268"/>
      <c r="N1473" s="317"/>
      <c r="O1473" s="418" t="str">
        <f t="shared" si="523"/>
        <v xml:space="preserve"> </v>
      </c>
      <c r="P1473" s="418" t="str">
        <f t="shared" si="524"/>
        <v xml:space="preserve"> </v>
      </c>
      <c r="Q1473" s="418"/>
    </row>
    <row r="1474" spans="2:17" ht="12.75" customHeight="1" x14ac:dyDescent="0.2">
      <c r="B1474" s="273"/>
      <c r="F1474" s="265"/>
      <c r="G1474" s="268"/>
      <c r="H1474" s="317"/>
      <c r="I1474" s="418"/>
      <c r="J1474" s="268"/>
      <c r="K1474" s="456"/>
      <c r="L1474" s="418"/>
      <c r="M1474" s="268"/>
      <c r="N1474" s="317"/>
      <c r="O1474" s="418"/>
      <c r="P1474" s="418"/>
      <c r="Q1474" s="418"/>
    </row>
    <row r="1475" spans="2:17" ht="12.75" customHeight="1" x14ac:dyDescent="0.2">
      <c r="B1475" s="273"/>
      <c r="F1475" s="265"/>
      <c r="G1475" s="268"/>
      <c r="H1475" s="317"/>
      <c r="I1475" s="418"/>
      <c r="J1475" s="268"/>
      <c r="K1475" s="456"/>
      <c r="L1475" s="418"/>
      <c r="M1475" s="268"/>
      <c r="N1475" s="317"/>
      <c r="O1475" s="418"/>
      <c r="P1475" s="418"/>
      <c r="Q1475" s="418"/>
    </row>
    <row r="1476" spans="2:17" ht="12.75" customHeight="1" x14ac:dyDescent="0.2">
      <c r="B1476" s="273"/>
      <c r="F1476" s="265"/>
      <c r="G1476" s="268"/>
      <c r="H1476" s="317"/>
      <c r="I1476" s="418"/>
      <c r="J1476" s="268"/>
      <c r="K1476" s="456"/>
      <c r="L1476" s="418"/>
      <c r="M1476" s="268"/>
      <c r="N1476" s="317"/>
      <c r="O1476" s="418"/>
      <c r="P1476" s="418"/>
      <c r="Q1476" s="418"/>
    </row>
    <row r="1477" spans="2:17" ht="12.75" customHeight="1" x14ac:dyDescent="0.2">
      <c r="B1477" s="273"/>
      <c r="F1477" s="265"/>
      <c r="G1477" s="268"/>
      <c r="H1477" s="317"/>
      <c r="I1477" s="418"/>
      <c r="J1477" s="268"/>
      <c r="K1477" s="456"/>
      <c r="L1477" s="418"/>
      <c r="M1477" s="268"/>
      <c r="N1477" s="317"/>
      <c r="O1477" s="418"/>
      <c r="P1477" s="418"/>
      <c r="Q1477" s="418"/>
    </row>
    <row r="1478" spans="2:17" ht="12.75" customHeight="1" x14ac:dyDescent="0.2">
      <c r="B1478" s="273"/>
      <c r="F1478" s="265"/>
      <c r="G1478" s="268"/>
      <c r="H1478" s="317"/>
      <c r="I1478" s="418"/>
      <c r="J1478" s="268"/>
      <c r="K1478" s="456"/>
      <c r="L1478" s="418"/>
      <c r="M1478" s="268"/>
      <c r="N1478" s="317"/>
      <c r="O1478" s="418"/>
      <c r="P1478" s="418"/>
      <c r="Q1478" s="418"/>
    </row>
    <row r="1479" spans="2:17" ht="12.75" customHeight="1" x14ac:dyDescent="0.2">
      <c r="B1479" s="273"/>
      <c r="F1479" s="265"/>
      <c r="G1479" s="268"/>
      <c r="H1479" s="317"/>
      <c r="I1479" s="418"/>
      <c r="J1479" s="268"/>
      <c r="K1479" s="456"/>
      <c r="L1479" s="418"/>
      <c r="M1479" s="268"/>
      <c r="N1479" s="317"/>
      <c r="O1479" s="418"/>
      <c r="P1479" s="418"/>
      <c r="Q1479" s="418"/>
    </row>
    <row r="1480" spans="2:17" ht="12.75" customHeight="1" x14ac:dyDescent="0.2">
      <c r="B1480" s="273"/>
      <c r="F1480" s="265"/>
      <c r="G1480" s="268"/>
      <c r="H1480" s="317"/>
      <c r="I1480" s="418"/>
      <c r="J1480" s="268"/>
      <c r="K1480" s="456"/>
      <c r="L1480" s="418"/>
      <c r="M1480" s="268"/>
      <c r="N1480" s="317"/>
      <c r="O1480" s="418"/>
      <c r="P1480" s="418"/>
      <c r="Q1480" s="418"/>
    </row>
    <row r="1481" spans="2:17" ht="12.75" customHeight="1" x14ac:dyDescent="0.2">
      <c r="B1481" s="273"/>
      <c r="F1481" s="265"/>
      <c r="G1481" s="268"/>
      <c r="H1481" s="317"/>
      <c r="I1481" s="418"/>
      <c r="J1481" s="268"/>
      <c r="K1481" s="456"/>
      <c r="L1481" s="418"/>
      <c r="M1481" s="268"/>
      <c r="N1481" s="317"/>
      <c r="O1481" s="418"/>
      <c r="P1481" s="418"/>
      <c r="Q1481" s="418"/>
    </row>
    <row r="1482" spans="2:17" ht="12.75" customHeight="1" x14ac:dyDescent="0.2">
      <c r="B1482" s="273"/>
      <c r="F1482" s="265"/>
      <c r="G1482" s="268"/>
      <c r="H1482" s="317"/>
      <c r="I1482" s="418"/>
      <c r="J1482" s="268"/>
      <c r="K1482" s="456"/>
      <c r="L1482" s="418"/>
      <c r="M1482" s="268"/>
      <c r="N1482" s="317"/>
      <c r="O1482" s="418"/>
      <c r="P1482" s="418"/>
      <c r="Q1482" s="418"/>
    </row>
    <row r="1483" spans="2:17" ht="12.75" customHeight="1" x14ac:dyDescent="0.2">
      <c r="B1483" s="273"/>
      <c r="F1483" s="265"/>
      <c r="G1483" s="268"/>
      <c r="H1483" s="317"/>
      <c r="I1483" s="418"/>
      <c r="J1483" s="268"/>
      <c r="K1483" s="456"/>
      <c r="L1483" s="418"/>
      <c r="M1483" s="268"/>
      <c r="N1483" s="317"/>
      <c r="O1483" s="418"/>
      <c r="P1483" s="418"/>
      <c r="Q1483" s="418"/>
    </row>
    <row r="1484" spans="2:17" ht="12.75" customHeight="1" x14ac:dyDescent="0.2">
      <c r="B1484" s="273"/>
      <c r="F1484" s="265"/>
      <c r="G1484" s="268"/>
      <c r="H1484" s="317"/>
      <c r="I1484" s="418"/>
      <c r="J1484" s="268"/>
      <c r="K1484" s="456"/>
      <c r="L1484" s="418"/>
      <c r="M1484" s="268"/>
      <c r="N1484" s="317"/>
      <c r="O1484" s="418"/>
      <c r="P1484" s="418"/>
      <c r="Q1484" s="418"/>
    </row>
    <row r="1485" spans="2:17" ht="12.75" customHeight="1" x14ac:dyDescent="0.2">
      <c r="B1485" s="273"/>
      <c r="F1485" s="265"/>
      <c r="G1485" s="268"/>
      <c r="H1485" s="317"/>
      <c r="I1485" s="418"/>
      <c r="J1485" s="268"/>
      <c r="K1485" s="456"/>
      <c r="L1485" s="418"/>
      <c r="M1485" s="268"/>
      <c r="N1485" s="317"/>
      <c r="O1485" s="418"/>
      <c r="P1485" s="418"/>
      <c r="Q1485" s="418"/>
    </row>
    <row r="1486" spans="2:17" ht="12.75" customHeight="1" x14ac:dyDescent="0.2">
      <c r="B1486" s="273"/>
      <c r="F1486" s="265"/>
      <c r="G1486" s="268"/>
      <c r="H1486" s="317"/>
      <c r="I1486" s="418"/>
      <c r="J1486" s="268"/>
      <c r="K1486" s="456"/>
      <c r="L1486" s="418"/>
      <c r="M1486" s="268"/>
      <c r="N1486" s="317"/>
      <c r="O1486" s="418"/>
      <c r="P1486" s="418"/>
      <c r="Q1486" s="418"/>
    </row>
    <row r="1487" spans="2:17" ht="12.75" customHeight="1" x14ac:dyDescent="0.2">
      <c r="B1487" s="273"/>
      <c r="F1487" s="265"/>
      <c r="G1487" s="268"/>
      <c r="H1487" s="317"/>
      <c r="I1487" s="418"/>
      <c r="J1487" s="268"/>
      <c r="K1487" s="456"/>
      <c r="L1487" s="418"/>
      <c r="M1487" s="268"/>
      <c r="N1487" s="317"/>
      <c r="O1487" s="418"/>
      <c r="P1487" s="418"/>
      <c r="Q1487" s="418"/>
    </row>
    <row r="1488" spans="2:17" ht="12.75" customHeight="1" x14ac:dyDescent="0.2">
      <c r="B1488" s="273"/>
      <c r="F1488" s="265"/>
      <c r="G1488" s="268"/>
      <c r="H1488" s="317"/>
      <c r="I1488" s="418"/>
      <c r="J1488" s="268"/>
      <c r="K1488" s="456"/>
      <c r="L1488" s="418"/>
      <c r="M1488" s="268"/>
      <c r="N1488" s="317"/>
      <c r="O1488" s="418"/>
      <c r="P1488" s="418"/>
      <c r="Q1488" s="418"/>
    </row>
    <row r="1489" spans="2:17" ht="12.75" customHeight="1" x14ac:dyDescent="0.2">
      <c r="B1489" s="273"/>
      <c r="F1489" s="265"/>
      <c r="G1489" s="268"/>
      <c r="H1489" s="317"/>
      <c r="I1489" s="418"/>
      <c r="J1489" s="268"/>
      <c r="K1489" s="456"/>
      <c r="L1489" s="418"/>
      <c r="M1489" s="268"/>
      <c r="N1489" s="317"/>
      <c r="O1489" s="418"/>
      <c r="P1489" s="418"/>
      <c r="Q1489" s="418"/>
    </row>
    <row r="1490" spans="2:17" ht="12.75" customHeight="1" x14ac:dyDescent="0.2">
      <c r="B1490" s="273"/>
      <c r="F1490" s="265"/>
      <c r="G1490" s="268"/>
      <c r="H1490" s="317"/>
      <c r="I1490" s="318" t="str">
        <f>IF(G1370=0," ",G1370*H1493)</f>
        <v xml:space="preserve"> </v>
      </c>
      <c r="J1490" s="268"/>
      <c r="K1490" s="456"/>
      <c r="L1490" s="318" t="str">
        <f t="shared" ref="L1490" si="526">IF(J1370=0," ",J1370*K1493)</f>
        <v xml:space="preserve"> </v>
      </c>
      <c r="M1490" s="268"/>
      <c r="N1490" s="317"/>
      <c r="O1490" s="318" t="str">
        <f t="shared" ref="O1490" si="527">IF(M1370=0," ",M1370*N1493)</f>
        <v xml:space="preserve"> </v>
      </c>
      <c r="P1490" s="318" t="str">
        <f t="shared" ref="P1490" si="528">IF(N1370=0," ",N1370*O1493)</f>
        <v xml:space="preserve"> </v>
      </c>
      <c r="Q1490" s="318"/>
    </row>
    <row r="1491" spans="2:17" ht="12.75" customHeight="1" x14ac:dyDescent="0.2">
      <c r="B1491" s="287">
        <v>5400</v>
      </c>
      <c r="C1491" s="288" t="s">
        <v>268</v>
      </c>
      <c r="D1491" s="289"/>
      <c r="E1491" s="290"/>
      <c r="F1491" s="291"/>
      <c r="G1491" s="291"/>
      <c r="H1491" s="422"/>
      <c r="I1491" s="423">
        <f>SUM(I1434:I1490)</f>
        <v>2978890</v>
      </c>
      <c r="J1491" s="412"/>
      <c r="K1491" s="457"/>
      <c r="L1491" s="423">
        <f t="shared" ref="L1491" si="529">SUM(L1434:L1490)</f>
        <v>2443620</v>
      </c>
      <c r="M1491" s="291"/>
      <c r="N1491" s="422"/>
      <c r="O1491" s="423">
        <f>SUM(O1434:O1490)</f>
        <v>2346600</v>
      </c>
      <c r="P1491" s="423">
        <f t="shared" ref="P1491:Q1491" si="530">SUM(P1434:P1490)</f>
        <v>180</v>
      </c>
      <c r="Q1491" s="423">
        <f t="shared" si="530"/>
        <v>97020</v>
      </c>
    </row>
    <row r="1492" spans="2:17" ht="12.75" customHeight="1" x14ac:dyDescent="0.2">
      <c r="B1492" s="239" t="s">
        <v>79</v>
      </c>
      <c r="C1492" s="239"/>
      <c r="D1492" s="263"/>
      <c r="E1492" s="297"/>
      <c r="G1492" s="364"/>
      <c r="H1492" s="450"/>
      <c r="I1492" s="451"/>
      <c r="K1492" s="456"/>
      <c r="L1492" s="451"/>
      <c r="M1492" s="364"/>
      <c r="N1492" s="450"/>
      <c r="O1492" s="451"/>
      <c r="P1492" s="451"/>
      <c r="Q1492" s="451"/>
    </row>
    <row r="1493" spans="2:17" ht="12.75" customHeight="1" x14ac:dyDescent="0.2">
      <c r="B1493" s="239" t="s">
        <v>267</v>
      </c>
      <c r="C1493" s="240"/>
      <c r="E1493" s="238"/>
      <c r="I1493" s="427"/>
      <c r="K1493" s="456"/>
      <c r="L1493" s="427"/>
      <c r="O1493" s="427"/>
      <c r="P1493" s="427"/>
      <c r="Q1493" s="427"/>
    </row>
    <row r="1494" spans="2:17" ht="12.75" customHeight="1" x14ac:dyDescent="0.2">
      <c r="B1494" s="243"/>
      <c r="C1494" s="243"/>
      <c r="D1494" s="244"/>
      <c r="E1494" s="245"/>
      <c r="F1494" s="246"/>
      <c r="G1494" s="246"/>
      <c r="H1494" s="452"/>
      <c r="I1494" s="453"/>
      <c r="J1494" s="246"/>
      <c r="K1494" s="456"/>
      <c r="L1494" s="453"/>
      <c r="M1494" s="246"/>
      <c r="N1494" s="452"/>
      <c r="O1494" s="453"/>
      <c r="P1494" s="453"/>
      <c r="Q1494" s="453"/>
    </row>
    <row r="1495" spans="2:17" ht="12.75" customHeight="1" x14ac:dyDescent="0.2">
      <c r="B1495" s="247" t="s">
        <v>263</v>
      </c>
      <c r="C1495" s="248" t="s">
        <v>264</v>
      </c>
      <c r="D1495" s="249"/>
      <c r="E1495" s="250"/>
      <c r="F1495" s="250" t="s">
        <v>265</v>
      </c>
      <c r="G1495" s="356" t="s">
        <v>68</v>
      </c>
      <c r="H1495" s="251" t="s">
        <v>849</v>
      </c>
      <c r="I1495" s="252" t="s">
        <v>849</v>
      </c>
      <c r="J1495" s="356" t="s">
        <v>68</v>
      </c>
      <c r="K1495" s="457" t="s">
        <v>849</v>
      </c>
      <c r="L1495" s="252" t="s">
        <v>849</v>
      </c>
      <c r="M1495" s="356" t="s">
        <v>68</v>
      </c>
      <c r="N1495" s="251" t="s">
        <v>849</v>
      </c>
      <c r="O1495" s="252" t="s">
        <v>849</v>
      </c>
      <c r="P1495" s="252" t="s">
        <v>849</v>
      </c>
      <c r="Q1495" s="252" t="s">
        <v>849</v>
      </c>
    </row>
    <row r="1496" spans="2:17" ht="12.75" customHeight="1" x14ac:dyDescent="0.2">
      <c r="B1496" s="253" t="s">
        <v>266</v>
      </c>
      <c r="C1496" s="254"/>
      <c r="D1496" s="255"/>
      <c r="E1496" s="256"/>
      <c r="F1496" s="256"/>
      <c r="G1496" s="357" t="s">
        <v>69</v>
      </c>
      <c r="H1496" s="257" t="s">
        <v>262</v>
      </c>
      <c r="I1496" s="258" t="s">
        <v>70</v>
      </c>
      <c r="J1496" s="357" t="s">
        <v>69</v>
      </c>
      <c r="K1496" s="457" t="s">
        <v>262</v>
      </c>
      <c r="L1496" s="258" t="s">
        <v>70</v>
      </c>
      <c r="M1496" s="357" t="s">
        <v>69</v>
      </c>
      <c r="N1496" s="257" t="s">
        <v>262</v>
      </c>
      <c r="O1496" s="258" t="s">
        <v>70</v>
      </c>
      <c r="P1496" s="258" t="s">
        <v>70</v>
      </c>
      <c r="Q1496" s="258" t="s">
        <v>70</v>
      </c>
    </row>
    <row r="1497" spans="2:17" ht="12.75" customHeight="1" x14ac:dyDescent="0.2">
      <c r="B1497" s="248"/>
      <c r="C1497" s="248"/>
      <c r="D1497" s="259"/>
      <c r="E1497" s="260"/>
      <c r="F1497" s="250"/>
      <c r="G1497" s="356"/>
      <c r="H1497" s="251"/>
      <c r="I1497" s="252"/>
      <c r="J1497" s="356"/>
      <c r="K1497" s="456"/>
      <c r="L1497" s="252"/>
      <c r="M1497" s="356"/>
      <c r="N1497" s="251"/>
      <c r="O1497" s="252"/>
      <c r="P1497" s="252"/>
      <c r="Q1497" s="252"/>
    </row>
    <row r="1498" spans="2:17" ht="12.75" customHeight="1" x14ac:dyDescent="0.2">
      <c r="B1498" s="261">
        <v>5500</v>
      </c>
      <c r="C1498" s="262" t="s">
        <v>489</v>
      </c>
      <c r="D1498" s="263"/>
      <c r="E1498" s="264"/>
      <c r="F1498" s="265"/>
      <c r="G1498" s="268"/>
      <c r="H1498" s="317"/>
      <c r="I1498" s="418"/>
      <c r="J1498" s="268"/>
      <c r="K1498" s="456"/>
      <c r="L1498" s="418"/>
      <c r="M1498" s="268"/>
      <c r="N1498" s="317"/>
      <c r="O1498" s="418"/>
      <c r="P1498" s="418"/>
      <c r="Q1498" s="418"/>
    </row>
    <row r="1499" spans="2:17" ht="12.75" customHeight="1" x14ac:dyDescent="0.2">
      <c r="B1499" s="267"/>
      <c r="F1499" s="265"/>
      <c r="G1499" s="268"/>
      <c r="H1499" s="317"/>
      <c r="I1499" s="418" t="str">
        <f>IF(G1499=0," ",G1499*H1502)</f>
        <v xml:space="preserve"> </v>
      </c>
      <c r="J1499" s="268"/>
      <c r="K1499" s="456"/>
      <c r="L1499" s="418" t="str">
        <f t="shared" ref="L1499" si="531">IF(J1499=0," ",J1499*K1502)</f>
        <v xml:space="preserve"> </v>
      </c>
      <c r="M1499" s="268"/>
      <c r="N1499" s="317"/>
      <c r="O1499" s="418" t="str">
        <f t="shared" ref="O1499" si="532">IF(M1499=0," ",M1499*N1502)</f>
        <v xml:space="preserve"> </v>
      </c>
      <c r="P1499" s="418" t="str">
        <f t="shared" ref="P1499" si="533">IF(N1499=0," ",N1499*O1502)</f>
        <v xml:space="preserve"> </v>
      </c>
      <c r="Q1499" s="418"/>
    </row>
    <row r="1500" spans="2:17" ht="12.75" customHeight="1" x14ac:dyDescent="0.2">
      <c r="B1500" s="267" t="s">
        <v>627</v>
      </c>
      <c r="C1500" s="273" t="s">
        <v>490</v>
      </c>
      <c r="F1500" s="265" t="s">
        <v>288</v>
      </c>
      <c r="G1500" s="268">
        <v>7</v>
      </c>
      <c r="H1500" s="418">
        <v>1800</v>
      </c>
      <c r="I1500" s="418">
        <f>IF(G1500=0," ",G1500*H1500)</f>
        <v>12600</v>
      </c>
      <c r="J1500" s="268">
        <v>7</v>
      </c>
      <c r="K1500" s="456">
        <v>15000</v>
      </c>
      <c r="L1500" s="418">
        <f t="shared" ref="L1500:L1533" si="534">IF(J1500=0," ",J1500*K1500)</f>
        <v>105000</v>
      </c>
      <c r="M1500" s="268">
        <v>7</v>
      </c>
      <c r="N1500" s="418">
        <v>15000</v>
      </c>
      <c r="O1500" s="418">
        <f>IF(M1500=0," ",M1500*N1500)</f>
        <v>105000</v>
      </c>
      <c r="P1500" s="418">
        <f>K1500-N1500</f>
        <v>0</v>
      </c>
      <c r="Q1500" s="418">
        <f>L1500-O1500</f>
        <v>0</v>
      </c>
    </row>
    <row r="1501" spans="2:17" ht="12.75" customHeight="1" x14ac:dyDescent="0.2">
      <c r="B1501" s="267"/>
      <c r="F1501" s="265"/>
      <c r="G1501" s="268"/>
      <c r="H1501" s="418" t="str">
        <f t="shared" ref="H1501:H1527" si="535">IF(F1501=0," ",F1501*G1501)</f>
        <v xml:space="preserve"> </v>
      </c>
      <c r="I1501" s="418" t="str">
        <f t="shared" ref="I1501:I1533" si="536">IF(G1501=0," ",G1501*H1501)</f>
        <v xml:space="preserve"> </v>
      </c>
      <c r="J1501" s="268"/>
      <c r="K1501" s="456" t="s">
        <v>849</v>
      </c>
      <c r="L1501" s="418" t="str">
        <f t="shared" si="534"/>
        <v xml:space="preserve"> </v>
      </c>
      <c r="M1501" s="268"/>
      <c r="N1501" s="418"/>
      <c r="O1501" s="418" t="str">
        <f t="shared" ref="O1501:O1533" si="537">IF(M1501=0," ",M1501*N1501)</f>
        <v xml:space="preserve"> </v>
      </c>
      <c r="P1501" s="418"/>
      <c r="Q1501" s="418"/>
    </row>
    <row r="1502" spans="2:17" ht="12.75" customHeight="1" x14ac:dyDescent="0.2">
      <c r="B1502" s="267" t="s">
        <v>439</v>
      </c>
      <c r="C1502" s="273" t="s">
        <v>491</v>
      </c>
      <c r="F1502" s="265"/>
      <c r="G1502" s="268"/>
      <c r="H1502" s="418" t="str">
        <f t="shared" si="535"/>
        <v xml:space="preserve"> </v>
      </c>
      <c r="I1502" s="418" t="str">
        <f t="shared" si="536"/>
        <v xml:space="preserve"> </v>
      </c>
      <c r="J1502" s="268"/>
      <c r="K1502" s="456" t="s">
        <v>849</v>
      </c>
      <c r="L1502" s="418" t="str">
        <f t="shared" si="534"/>
        <v xml:space="preserve"> </v>
      </c>
      <c r="M1502" s="268"/>
      <c r="N1502" s="418"/>
      <c r="O1502" s="418" t="str">
        <f t="shared" si="537"/>
        <v xml:space="preserve"> </v>
      </c>
      <c r="P1502" s="418"/>
      <c r="Q1502" s="418"/>
    </row>
    <row r="1503" spans="2:17" ht="12.75" customHeight="1" x14ac:dyDescent="0.2">
      <c r="B1503" s="267"/>
      <c r="C1503" s="273" t="s">
        <v>278</v>
      </c>
      <c r="D1503" s="351" t="s">
        <v>628</v>
      </c>
      <c r="E1503" s="352"/>
      <c r="F1503" s="265" t="s">
        <v>288</v>
      </c>
      <c r="G1503" s="268">
        <v>14</v>
      </c>
      <c r="H1503" s="418">
        <v>2000</v>
      </c>
      <c r="I1503" s="418">
        <f t="shared" si="536"/>
        <v>28000</v>
      </c>
      <c r="J1503" s="268">
        <v>14</v>
      </c>
      <c r="K1503" s="456">
        <v>15000</v>
      </c>
      <c r="L1503" s="418">
        <f t="shared" si="534"/>
        <v>210000</v>
      </c>
      <c r="M1503" s="268">
        <v>14</v>
      </c>
      <c r="N1503" s="418">
        <v>15000</v>
      </c>
      <c r="O1503" s="418">
        <f t="shared" si="537"/>
        <v>210000</v>
      </c>
      <c r="P1503" s="418">
        <f t="shared" ref="P1503:P1529" si="538">K1503-N1503</f>
        <v>0</v>
      </c>
      <c r="Q1503" s="418">
        <f t="shared" ref="Q1503:Q1529" si="539">L1503-O1503</f>
        <v>0</v>
      </c>
    </row>
    <row r="1504" spans="2:17" ht="12.75" customHeight="1" x14ac:dyDescent="0.2">
      <c r="B1504" s="267"/>
      <c r="D1504" s="351" t="s">
        <v>629</v>
      </c>
      <c r="E1504" s="352"/>
      <c r="F1504" s="265"/>
      <c r="G1504" s="268"/>
      <c r="H1504" s="418" t="str">
        <f t="shared" si="535"/>
        <v xml:space="preserve"> </v>
      </c>
      <c r="I1504" s="418" t="str">
        <f t="shared" si="536"/>
        <v xml:space="preserve"> </v>
      </c>
      <c r="J1504" s="268"/>
      <c r="K1504" s="456" t="s">
        <v>849</v>
      </c>
      <c r="L1504" s="418" t="str">
        <f t="shared" si="534"/>
        <v xml:space="preserve"> </v>
      </c>
      <c r="M1504" s="268"/>
      <c r="N1504" s="418"/>
      <c r="O1504" s="418" t="str">
        <f t="shared" si="537"/>
        <v xml:space="preserve"> </v>
      </c>
      <c r="P1504" s="418"/>
      <c r="Q1504" s="418"/>
    </row>
    <row r="1505" spans="2:17" ht="12.75" customHeight="1" x14ac:dyDescent="0.2">
      <c r="B1505" s="267"/>
      <c r="F1505" s="265"/>
      <c r="G1505" s="268"/>
      <c r="H1505" s="418"/>
      <c r="I1505" s="418" t="str">
        <f t="shared" si="536"/>
        <v xml:space="preserve"> </v>
      </c>
      <c r="J1505" s="268"/>
      <c r="K1505" s="456"/>
      <c r="L1505" s="418" t="str">
        <f t="shared" si="534"/>
        <v xml:space="preserve"> </v>
      </c>
      <c r="M1505" s="268"/>
      <c r="N1505" s="418"/>
      <c r="O1505" s="418" t="str">
        <f t="shared" si="537"/>
        <v xml:space="preserve"> </v>
      </c>
      <c r="P1505" s="418"/>
      <c r="Q1505" s="418"/>
    </row>
    <row r="1506" spans="2:17" ht="12.75" customHeight="1" x14ac:dyDescent="0.2">
      <c r="B1506" s="267"/>
      <c r="C1506" s="273" t="s">
        <v>122</v>
      </c>
      <c r="D1506" s="241" t="s">
        <v>630</v>
      </c>
      <c r="F1506" s="265" t="s">
        <v>254</v>
      </c>
      <c r="G1506" s="268">
        <v>400</v>
      </c>
      <c r="H1506" s="418">
        <v>200</v>
      </c>
      <c r="I1506" s="418">
        <f t="shared" si="536"/>
        <v>80000</v>
      </c>
      <c r="J1506" s="268">
        <v>400</v>
      </c>
      <c r="K1506" s="456">
        <v>193.75</v>
      </c>
      <c r="L1506" s="418">
        <f t="shared" si="534"/>
        <v>77500</v>
      </c>
      <c r="M1506" s="268">
        <v>400</v>
      </c>
      <c r="N1506" s="418">
        <v>193.75</v>
      </c>
      <c r="O1506" s="418">
        <f t="shared" si="537"/>
        <v>77500</v>
      </c>
      <c r="P1506" s="418">
        <f t="shared" si="538"/>
        <v>0</v>
      </c>
      <c r="Q1506" s="418">
        <f t="shared" si="539"/>
        <v>0</v>
      </c>
    </row>
    <row r="1507" spans="2:17" ht="12.75" customHeight="1" x14ac:dyDescent="0.2">
      <c r="B1507" s="273"/>
      <c r="F1507" s="265"/>
      <c r="G1507" s="268"/>
      <c r="H1507" s="418"/>
      <c r="I1507" s="418" t="str">
        <f t="shared" si="536"/>
        <v xml:space="preserve"> </v>
      </c>
      <c r="J1507" s="268"/>
      <c r="K1507" s="456"/>
      <c r="L1507" s="418" t="str">
        <f t="shared" si="534"/>
        <v xml:space="preserve"> </v>
      </c>
      <c r="M1507" s="268"/>
      <c r="N1507" s="418"/>
      <c r="O1507" s="418" t="str">
        <f t="shared" si="537"/>
        <v xml:space="preserve"> </v>
      </c>
      <c r="P1507" s="418"/>
      <c r="Q1507" s="418"/>
    </row>
    <row r="1508" spans="2:17" ht="12.75" customHeight="1" x14ac:dyDescent="0.2">
      <c r="B1508" s="267"/>
      <c r="C1508" s="273" t="s">
        <v>123</v>
      </c>
      <c r="D1508" s="241" t="s">
        <v>631</v>
      </c>
      <c r="F1508" s="265" t="s">
        <v>254</v>
      </c>
      <c r="G1508" s="268">
        <v>500</v>
      </c>
      <c r="H1508" s="418">
        <v>100</v>
      </c>
      <c r="I1508" s="418">
        <f t="shared" si="536"/>
        <v>50000</v>
      </c>
      <c r="J1508" s="268">
        <v>500</v>
      </c>
      <c r="K1508" s="456">
        <v>85</v>
      </c>
      <c r="L1508" s="418">
        <f t="shared" si="534"/>
        <v>42500</v>
      </c>
      <c r="M1508" s="268">
        <v>500</v>
      </c>
      <c r="N1508" s="418">
        <v>85</v>
      </c>
      <c r="O1508" s="418">
        <f t="shared" si="537"/>
        <v>42500</v>
      </c>
      <c r="P1508" s="418">
        <f t="shared" si="538"/>
        <v>0</v>
      </c>
      <c r="Q1508" s="418">
        <f t="shared" si="539"/>
        <v>0</v>
      </c>
    </row>
    <row r="1509" spans="2:17" ht="12.75" customHeight="1" x14ac:dyDescent="0.2">
      <c r="B1509" s="273"/>
      <c r="F1509" s="265"/>
      <c r="G1509" s="268"/>
      <c r="H1509" s="418"/>
      <c r="I1509" s="418" t="str">
        <f t="shared" si="536"/>
        <v xml:space="preserve"> </v>
      </c>
      <c r="J1509" s="268"/>
      <c r="K1509" s="456"/>
      <c r="L1509" s="418" t="str">
        <f t="shared" si="534"/>
        <v xml:space="preserve"> </v>
      </c>
      <c r="M1509" s="268"/>
      <c r="N1509" s="418"/>
      <c r="O1509" s="418" t="str">
        <f t="shared" si="537"/>
        <v xml:space="preserve"> </v>
      </c>
      <c r="P1509" s="418"/>
      <c r="Q1509" s="418"/>
    </row>
    <row r="1510" spans="2:17" ht="12.75" customHeight="1" x14ac:dyDescent="0.2">
      <c r="B1510" s="267"/>
      <c r="C1510" s="273" t="s">
        <v>250</v>
      </c>
      <c r="D1510" s="241" t="s">
        <v>251</v>
      </c>
      <c r="F1510" s="265"/>
      <c r="G1510" s="268"/>
      <c r="H1510" s="418" t="str">
        <f t="shared" si="535"/>
        <v xml:space="preserve"> </v>
      </c>
      <c r="I1510" s="418" t="str">
        <f t="shared" si="536"/>
        <v xml:space="preserve"> </v>
      </c>
      <c r="J1510" s="268"/>
      <c r="K1510" s="456" t="s">
        <v>849</v>
      </c>
      <c r="L1510" s="418" t="str">
        <f t="shared" si="534"/>
        <v xml:space="preserve"> </v>
      </c>
      <c r="M1510" s="268"/>
      <c r="N1510" s="418"/>
      <c r="O1510" s="418" t="str">
        <f t="shared" si="537"/>
        <v xml:space="preserve"> </v>
      </c>
      <c r="P1510" s="418"/>
      <c r="Q1510" s="418"/>
    </row>
    <row r="1511" spans="2:17" ht="12.75" customHeight="1" x14ac:dyDescent="0.2">
      <c r="B1511" s="267"/>
      <c r="D1511" s="241" t="s">
        <v>277</v>
      </c>
      <c r="E1511" s="274" t="s">
        <v>495</v>
      </c>
      <c r="F1511" s="265"/>
      <c r="G1511" s="268"/>
      <c r="H1511" s="418" t="str">
        <f t="shared" si="535"/>
        <v xml:space="preserve"> </v>
      </c>
      <c r="I1511" s="418" t="str">
        <f t="shared" si="536"/>
        <v xml:space="preserve"> </v>
      </c>
      <c r="J1511" s="268"/>
      <c r="K1511" s="456" t="s">
        <v>849</v>
      </c>
      <c r="L1511" s="418" t="str">
        <f t="shared" si="534"/>
        <v xml:space="preserve"> </v>
      </c>
      <c r="M1511" s="268"/>
      <c r="N1511" s="418"/>
      <c r="O1511" s="418" t="str">
        <f t="shared" si="537"/>
        <v xml:space="preserve"> </v>
      </c>
      <c r="P1511" s="418"/>
      <c r="Q1511" s="418"/>
    </row>
    <row r="1512" spans="2:17" ht="12.75" customHeight="1" x14ac:dyDescent="0.2">
      <c r="B1512" s="267"/>
      <c r="E1512" s="274" t="s">
        <v>632</v>
      </c>
      <c r="F1512" s="265" t="s">
        <v>254</v>
      </c>
      <c r="G1512" s="268">
        <v>38.89</v>
      </c>
      <c r="H1512" s="418">
        <v>200</v>
      </c>
      <c r="I1512" s="418">
        <f t="shared" si="536"/>
        <v>7778</v>
      </c>
      <c r="J1512" s="268">
        <v>38.89</v>
      </c>
      <c r="K1512" s="456">
        <v>800</v>
      </c>
      <c r="L1512" s="418">
        <f t="shared" si="534"/>
        <v>31112</v>
      </c>
      <c r="M1512" s="268">
        <v>38.89</v>
      </c>
      <c r="N1512" s="418">
        <v>800</v>
      </c>
      <c r="O1512" s="418">
        <f t="shared" si="537"/>
        <v>31112</v>
      </c>
      <c r="P1512" s="418">
        <f t="shared" si="538"/>
        <v>0</v>
      </c>
      <c r="Q1512" s="418">
        <f t="shared" si="539"/>
        <v>0</v>
      </c>
    </row>
    <row r="1513" spans="2:17" ht="12.75" customHeight="1" x14ac:dyDescent="0.2">
      <c r="B1513" s="267"/>
      <c r="E1513" s="274" t="s">
        <v>633</v>
      </c>
      <c r="F1513" s="265"/>
      <c r="G1513" s="268"/>
      <c r="H1513" s="418"/>
      <c r="I1513" s="418" t="str">
        <f t="shared" si="536"/>
        <v xml:space="preserve"> </v>
      </c>
      <c r="J1513" s="268"/>
      <c r="K1513" s="456"/>
      <c r="L1513" s="418" t="str">
        <f t="shared" si="534"/>
        <v xml:space="preserve"> </v>
      </c>
      <c r="M1513" s="268"/>
      <c r="N1513" s="418"/>
      <c r="O1513" s="418" t="str">
        <f t="shared" si="537"/>
        <v xml:space="preserve"> </v>
      </c>
      <c r="P1513" s="418"/>
      <c r="Q1513" s="418"/>
    </row>
    <row r="1514" spans="2:17" ht="12.75" customHeight="1" x14ac:dyDescent="0.2">
      <c r="B1514" s="267"/>
      <c r="E1514" s="274" t="s">
        <v>634</v>
      </c>
      <c r="F1514" s="265"/>
      <c r="G1514" s="268"/>
      <c r="H1514" s="418" t="str">
        <f t="shared" si="535"/>
        <v xml:space="preserve"> </v>
      </c>
      <c r="I1514" s="418" t="str">
        <f t="shared" si="536"/>
        <v xml:space="preserve"> </v>
      </c>
      <c r="J1514" s="268"/>
      <c r="K1514" s="456" t="s">
        <v>849</v>
      </c>
      <c r="L1514" s="418" t="str">
        <f t="shared" si="534"/>
        <v xml:space="preserve"> </v>
      </c>
      <c r="M1514" s="268"/>
      <c r="N1514" s="418"/>
      <c r="O1514" s="418" t="str">
        <f t="shared" si="537"/>
        <v xml:space="preserve"> </v>
      </c>
      <c r="P1514" s="418"/>
      <c r="Q1514" s="418"/>
    </row>
    <row r="1515" spans="2:17" ht="12.75" customHeight="1" x14ac:dyDescent="0.2">
      <c r="B1515" s="267"/>
      <c r="D1515" s="241" t="s">
        <v>124</v>
      </c>
      <c r="E1515" s="274" t="s">
        <v>496</v>
      </c>
      <c r="F1515" s="265"/>
      <c r="G1515" s="268"/>
      <c r="H1515" s="418" t="str">
        <f t="shared" si="535"/>
        <v xml:space="preserve"> </v>
      </c>
      <c r="I1515" s="418" t="str">
        <f t="shared" si="536"/>
        <v xml:space="preserve"> </v>
      </c>
      <c r="J1515" s="268"/>
      <c r="K1515" s="456" t="s">
        <v>849</v>
      </c>
      <c r="L1515" s="418" t="str">
        <f t="shared" si="534"/>
        <v xml:space="preserve"> </v>
      </c>
      <c r="M1515" s="268"/>
      <c r="N1515" s="418"/>
      <c r="O1515" s="418" t="str">
        <f t="shared" si="537"/>
        <v xml:space="preserve"> </v>
      </c>
      <c r="P1515" s="418"/>
      <c r="Q1515" s="418"/>
    </row>
    <row r="1516" spans="2:17" ht="12.75" customHeight="1" x14ac:dyDescent="0.2">
      <c r="B1516" s="267"/>
      <c r="E1516" s="274" t="s">
        <v>635</v>
      </c>
      <c r="F1516" s="265" t="s">
        <v>254</v>
      </c>
      <c r="G1516" s="268">
        <v>86</v>
      </c>
      <c r="H1516" s="418">
        <v>200</v>
      </c>
      <c r="I1516" s="418">
        <f t="shared" si="536"/>
        <v>17200</v>
      </c>
      <c r="J1516" s="268">
        <v>86</v>
      </c>
      <c r="K1516" s="456">
        <v>800</v>
      </c>
      <c r="L1516" s="418">
        <f t="shared" si="534"/>
        <v>68800</v>
      </c>
      <c r="M1516" s="268">
        <v>86</v>
      </c>
      <c r="N1516" s="418">
        <v>800</v>
      </c>
      <c r="O1516" s="418">
        <f t="shared" si="537"/>
        <v>68800</v>
      </c>
      <c r="P1516" s="418">
        <f t="shared" si="538"/>
        <v>0</v>
      </c>
      <c r="Q1516" s="418">
        <f t="shared" si="539"/>
        <v>0</v>
      </c>
    </row>
    <row r="1517" spans="2:17" ht="12.75" customHeight="1" x14ac:dyDescent="0.2">
      <c r="B1517" s="267"/>
      <c r="E1517" s="274" t="s">
        <v>636</v>
      </c>
      <c r="F1517" s="265"/>
      <c r="G1517" s="268"/>
      <c r="H1517" s="418"/>
      <c r="I1517" s="418" t="str">
        <f t="shared" si="536"/>
        <v xml:space="preserve"> </v>
      </c>
      <c r="J1517" s="268"/>
      <c r="K1517" s="456"/>
      <c r="L1517" s="418" t="str">
        <f t="shared" si="534"/>
        <v xml:space="preserve"> </v>
      </c>
      <c r="M1517" s="268"/>
      <c r="N1517" s="418"/>
      <c r="O1517" s="418" t="str">
        <f t="shared" si="537"/>
        <v xml:space="preserve"> </v>
      </c>
      <c r="P1517" s="418"/>
      <c r="Q1517" s="418"/>
    </row>
    <row r="1518" spans="2:17" ht="12.75" customHeight="1" x14ac:dyDescent="0.2">
      <c r="B1518" s="267"/>
      <c r="D1518" s="241" t="s">
        <v>125</v>
      </c>
      <c r="E1518" s="274" t="s">
        <v>637</v>
      </c>
      <c r="F1518" s="265"/>
      <c r="G1518" s="268"/>
      <c r="H1518" s="418" t="str">
        <f t="shared" ref="H1518" si="540">IF(F1518=0," ",F1518*G1518)</f>
        <v xml:space="preserve"> </v>
      </c>
      <c r="I1518" s="418" t="str">
        <f t="shared" si="536"/>
        <v xml:space="preserve"> </v>
      </c>
      <c r="J1518" s="268"/>
      <c r="K1518" s="456" t="s">
        <v>849</v>
      </c>
      <c r="L1518" s="418" t="str">
        <f t="shared" si="534"/>
        <v xml:space="preserve"> </v>
      </c>
      <c r="M1518" s="268"/>
      <c r="N1518" s="418"/>
      <c r="O1518" s="418" t="str">
        <f t="shared" si="537"/>
        <v xml:space="preserve"> </v>
      </c>
      <c r="P1518" s="418"/>
      <c r="Q1518" s="418"/>
    </row>
    <row r="1519" spans="2:17" ht="12.75" customHeight="1" x14ac:dyDescent="0.2">
      <c r="B1519" s="267"/>
      <c r="E1519" s="274" t="s">
        <v>638</v>
      </c>
      <c r="F1519" s="265" t="s">
        <v>254</v>
      </c>
      <c r="G1519" s="268">
        <v>60</v>
      </c>
      <c r="H1519" s="418">
        <v>200</v>
      </c>
      <c r="I1519" s="418">
        <f t="shared" si="536"/>
        <v>12000</v>
      </c>
      <c r="J1519" s="268">
        <v>60</v>
      </c>
      <c r="K1519" s="456">
        <v>800</v>
      </c>
      <c r="L1519" s="418">
        <f t="shared" si="534"/>
        <v>48000</v>
      </c>
      <c r="M1519" s="268">
        <v>60</v>
      </c>
      <c r="N1519" s="418">
        <v>800</v>
      </c>
      <c r="O1519" s="418">
        <f t="shared" si="537"/>
        <v>48000</v>
      </c>
      <c r="P1519" s="418">
        <f t="shared" si="538"/>
        <v>0</v>
      </c>
      <c r="Q1519" s="418">
        <f t="shared" si="539"/>
        <v>0</v>
      </c>
    </row>
    <row r="1520" spans="2:17" ht="12.75" customHeight="1" x14ac:dyDescent="0.2">
      <c r="B1520" s="273"/>
      <c r="E1520" s="274" t="s">
        <v>639</v>
      </c>
      <c r="F1520" s="265"/>
      <c r="G1520" s="268"/>
      <c r="H1520" s="418"/>
      <c r="I1520" s="418" t="str">
        <f t="shared" si="536"/>
        <v xml:space="preserve"> </v>
      </c>
      <c r="J1520" s="268"/>
      <c r="K1520" s="456"/>
      <c r="L1520" s="418" t="str">
        <f t="shared" si="534"/>
        <v xml:space="preserve"> </v>
      </c>
      <c r="M1520" s="268"/>
      <c r="N1520" s="418"/>
      <c r="O1520" s="418" t="str">
        <f t="shared" si="537"/>
        <v xml:space="preserve"> </v>
      </c>
      <c r="P1520" s="418"/>
      <c r="Q1520" s="418"/>
    </row>
    <row r="1521" spans="2:17" ht="12.75" customHeight="1" x14ac:dyDescent="0.2">
      <c r="B1521" s="267"/>
      <c r="F1521" s="265"/>
      <c r="G1521" s="268"/>
      <c r="H1521" s="418" t="str">
        <f t="shared" si="535"/>
        <v xml:space="preserve"> </v>
      </c>
      <c r="I1521" s="418" t="str">
        <f t="shared" si="536"/>
        <v xml:space="preserve"> </v>
      </c>
      <c r="J1521" s="268"/>
      <c r="K1521" s="456" t="s">
        <v>849</v>
      </c>
      <c r="L1521" s="418" t="str">
        <f t="shared" si="534"/>
        <v xml:space="preserve"> </v>
      </c>
      <c r="M1521" s="268"/>
      <c r="N1521" s="418"/>
      <c r="O1521" s="418" t="str">
        <f t="shared" si="537"/>
        <v xml:space="preserve"> </v>
      </c>
      <c r="P1521" s="418"/>
      <c r="Q1521" s="418"/>
    </row>
    <row r="1522" spans="2:17" ht="12.75" customHeight="1" x14ac:dyDescent="0.2">
      <c r="B1522" s="267" t="s">
        <v>440</v>
      </c>
      <c r="C1522" s="273" t="s">
        <v>640</v>
      </c>
      <c r="F1522" s="265" t="s">
        <v>254</v>
      </c>
      <c r="G1522" s="268">
        <v>5</v>
      </c>
      <c r="H1522" s="418">
        <v>2500</v>
      </c>
      <c r="I1522" s="418">
        <f t="shared" si="536"/>
        <v>12500</v>
      </c>
      <c r="J1522" s="268">
        <v>5</v>
      </c>
      <c r="K1522" s="456">
        <v>5000</v>
      </c>
      <c r="L1522" s="418">
        <f t="shared" si="534"/>
        <v>25000</v>
      </c>
      <c r="M1522" s="268">
        <v>5</v>
      </c>
      <c r="N1522" s="418">
        <v>5000</v>
      </c>
      <c r="O1522" s="418">
        <f t="shared" si="537"/>
        <v>25000</v>
      </c>
      <c r="P1522" s="418">
        <f t="shared" si="538"/>
        <v>0</v>
      </c>
      <c r="Q1522" s="418">
        <f t="shared" si="539"/>
        <v>0</v>
      </c>
    </row>
    <row r="1523" spans="2:17" ht="12.75" customHeight="1" x14ac:dyDescent="0.2">
      <c r="B1523" s="273"/>
      <c r="C1523" s="273" t="s">
        <v>641</v>
      </c>
      <c r="F1523" s="265"/>
      <c r="G1523" s="268"/>
      <c r="H1523" s="418"/>
      <c r="I1523" s="418" t="str">
        <f t="shared" si="536"/>
        <v xml:space="preserve"> </v>
      </c>
      <c r="J1523" s="268"/>
      <c r="K1523" s="456"/>
      <c r="L1523" s="418" t="str">
        <f t="shared" si="534"/>
        <v xml:space="preserve"> </v>
      </c>
      <c r="M1523" s="268"/>
      <c r="N1523" s="418"/>
      <c r="O1523" s="418" t="str">
        <f t="shared" si="537"/>
        <v xml:space="preserve"> </v>
      </c>
      <c r="P1523" s="418"/>
      <c r="Q1523" s="418"/>
    </row>
    <row r="1524" spans="2:17" ht="12.75" customHeight="1" x14ac:dyDescent="0.2">
      <c r="B1524" s="267"/>
      <c r="F1524" s="265"/>
      <c r="G1524" s="268"/>
      <c r="H1524" s="418" t="str">
        <f t="shared" si="535"/>
        <v xml:space="preserve"> </v>
      </c>
      <c r="I1524" s="418" t="str">
        <f t="shared" si="536"/>
        <v xml:space="preserve"> </v>
      </c>
      <c r="J1524" s="268"/>
      <c r="K1524" s="456" t="s">
        <v>849</v>
      </c>
      <c r="L1524" s="418" t="str">
        <f t="shared" si="534"/>
        <v xml:space="preserve"> </v>
      </c>
      <c r="M1524" s="268"/>
      <c r="N1524" s="418"/>
      <c r="O1524" s="418" t="str">
        <f t="shared" si="537"/>
        <v xml:space="preserve"> </v>
      </c>
      <c r="P1524" s="418"/>
      <c r="Q1524" s="418"/>
    </row>
    <row r="1525" spans="2:17" ht="12.75" customHeight="1" x14ac:dyDescent="0.2">
      <c r="B1525" s="267" t="s">
        <v>720</v>
      </c>
      <c r="C1525" s="273" t="s">
        <v>721</v>
      </c>
      <c r="F1525" s="265"/>
      <c r="G1525" s="268"/>
      <c r="H1525" s="418" t="str">
        <f t="shared" si="535"/>
        <v xml:space="preserve"> </v>
      </c>
      <c r="I1525" s="418" t="str">
        <f t="shared" si="536"/>
        <v xml:space="preserve"> </v>
      </c>
      <c r="J1525" s="268"/>
      <c r="K1525" s="456" t="s">
        <v>849</v>
      </c>
      <c r="L1525" s="418" t="str">
        <f t="shared" si="534"/>
        <v xml:space="preserve"> </v>
      </c>
      <c r="M1525" s="268"/>
      <c r="N1525" s="418"/>
      <c r="O1525" s="418" t="str">
        <f t="shared" si="537"/>
        <v xml:space="preserve"> </v>
      </c>
      <c r="P1525" s="418"/>
      <c r="Q1525" s="418"/>
    </row>
    <row r="1526" spans="2:17" ht="12.75" customHeight="1" x14ac:dyDescent="0.2">
      <c r="B1526" s="267"/>
      <c r="C1526" s="273" t="s">
        <v>278</v>
      </c>
      <c r="D1526" s="241" t="s">
        <v>772</v>
      </c>
      <c r="F1526" s="265" t="s">
        <v>288</v>
      </c>
      <c r="G1526" s="268">
        <v>4.5</v>
      </c>
      <c r="H1526" s="418">
        <v>3500</v>
      </c>
      <c r="I1526" s="418">
        <f t="shared" si="536"/>
        <v>15750</v>
      </c>
      <c r="J1526" s="268">
        <v>4.5</v>
      </c>
      <c r="K1526" s="456">
        <v>15000</v>
      </c>
      <c r="L1526" s="418">
        <f t="shared" si="534"/>
        <v>67500</v>
      </c>
      <c r="M1526" s="268">
        <v>4.5</v>
      </c>
      <c r="N1526" s="418">
        <v>15000</v>
      </c>
      <c r="O1526" s="418">
        <f t="shared" si="537"/>
        <v>67500</v>
      </c>
      <c r="P1526" s="418">
        <f t="shared" si="538"/>
        <v>0</v>
      </c>
      <c r="Q1526" s="418">
        <f t="shared" si="539"/>
        <v>0</v>
      </c>
    </row>
    <row r="1527" spans="2:17" ht="12.75" customHeight="1" x14ac:dyDescent="0.2">
      <c r="B1527" s="267"/>
      <c r="F1527" s="265"/>
      <c r="G1527" s="268"/>
      <c r="H1527" s="418" t="str">
        <f t="shared" si="535"/>
        <v xml:space="preserve"> </v>
      </c>
      <c r="I1527" s="418" t="str">
        <f t="shared" si="536"/>
        <v xml:space="preserve"> </v>
      </c>
      <c r="J1527" s="268"/>
      <c r="K1527" s="456" t="s">
        <v>849</v>
      </c>
      <c r="L1527" s="418" t="str">
        <f t="shared" si="534"/>
        <v xml:space="preserve"> </v>
      </c>
      <c r="M1527" s="268"/>
      <c r="N1527" s="418"/>
      <c r="O1527" s="418" t="str">
        <f t="shared" si="537"/>
        <v xml:space="preserve"> </v>
      </c>
      <c r="P1527" s="418"/>
      <c r="Q1527" s="418"/>
    </row>
    <row r="1528" spans="2:17" ht="12.75" customHeight="1" x14ac:dyDescent="0.2">
      <c r="B1528" s="267" t="s">
        <v>441</v>
      </c>
      <c r="C1528" s="273" t="s">
        <v>405</v>
      </c>
      <c r="F1528" s="265"/>
      <c r="G1528" s="268"/>
      <c r="H1528" s="418" t="str">
        <f t="shared" ref="H1528" si="541">IF(F1528=0," ",F1528*G1528)</f>
        <v xml:space="preserve"> </v>
      </c>
      <c r="I1528" s="418" t="str">
        <f t="shared" si="536"/>
        <v xml:space="preserve"> </v>
      </c>
      <c r="J1528" s="268"/>
      <c r="K1528" s="456" t="s">
        <v>849</v>
      </c>
      <c r="L1528" s="418" t="str">
        <f t="shared" si="534"/>
        <v xml:space="preserve"> </v>
      </c>
      <c r="M1528" s="268"/>
      <c r="N1528" s="418"/>
      <c r="O1528" s="418" t="str">
        <f t="shared" si="537"/>
        <v xml:space="preserve"> </v>
      </c>
      <c r="P1528" s="418"/>
      <c r="Q1528" s="418"/>
    </row>
    <row r="1529" spans="2:17" ht="12.75" customHeight="1" x14ac:dyDescent="0.2">
      <c r="B1529" s="267"/>
      <c r="C1529" s="273" t="s">
        <v>278</v>
      </c>
      <c r="D1529" s="241" t="s">
        <v>406</v>
      </c>
      <c r="F1529" s="265" t="s">
        <v>288</v>
      </c>
      <c r="G1529" s="268">
        <v>3.5</v>
      </c>
      <c r="H1529" s="418">
        <v>3500</v>
      </c>
      <c r="I1529" s="418">
        <f t="shared" si="536"/>
        <v>12250</v>
      </c>
      <c r="J1529" s="268">
        <v>3.5</v>
      </c>
      <c r="K1529" s="456">
        <v>15000</v>
      </c>
      <c r="L1529" s="418">
        <f t="shared" si="534"/>
        <v>52500</v>
      </c>
      <c r="M1529" s="268">
        <v>3.5</v>
      </c>
      <c r="N1529" s="418">
        <v>15000</v>
      </c>
      <c r="O1529" s="418">
        <f t="shared" si="537"/>
        <v>52500</v>
      </c>
      <c r="P1529" s="418">
        <f t="shared" si="538"/>
        <v>0</v>
      </c>
      <c r="Q1529" s="418">
        <f t="shared" si="539"/>
        <v>0</v>
      </c>
    </row>
    <row r="1530" spans="2:17" ht="12.75" customHeight="1" x14ac:dyDescent="0.2">
      <c r="B1530" s="267"/>
      <c r="F1530" s="265"/>
      <c r="G1530" s="268"/>
      <c r="H1530" s="317"/>
      <c r="I1530" s="418" t="str">
        <f t="shared" si="536"/>
        <v xml:space="preserve"> </v>
      </c>
      <c r="J1530" s="268"/>
      <c r="K1530" s="456"/>
      <c r="L1530" s="418" t="str">
        <f t="shared" si="534"/>
        <v xml:space="preserve"> </v>
      </c>
      <c r="M1530" s="268"/>
      <c r="N1530" s="317"/>
      <c r="O1530" s="418" t="str">
        <f t="shared" si="537"/>
        <v xml:space="preserve"> </v>
      </c>
      <c r="P1530" s="418" t="str">
        <f t="shared" ref="P1530:P1533" si="542">IF(N1530=0," ",N1530*O1530)</f>
        <v xml:space="preserve"> </v>
      </c>
      <c r="Q1530" s="418"/>
    </row>
    <row r="1531" spans="2:17" ht="12.75" customHeight="1" x14ac:dyDescent="0.2">
      <c r="B1531" s="273"/>
      <c r="F1531" s="265"/>
      <c r="G1531" s="268"/>
      <c r="H1531" s="317"/>
      <c r="I1531" s="418" t="str">
        <f t="shared" si="536"/>
        <v xml:space="preserve"> </v>
      </c>
      <c r="J1531" s="268"/>
      <c r="K1531" s="456"/>
      <c r="L1531" s="418" t="str">
        <f t="shared" si="534"/>
        <v xml:space="preserve"> </v>
      </c>
      <c r="M1531" s="268"/>
      <c r="N1531" s="317"/>
      <c r="O1531" s="418" t="str">
        <f t="shared" si="537"/>
        <v xml:space="preserve"> </v>
      </c>
      <c r="P1531" s="418" t="str">
        <f t="shared" si="542"/>
        <v xml:space="preserve"> </v>
      </c>
      <c r="Q1531" s="418"/>
    </row>
    <row r="1532" spans="2:17" ht="12.75" customHeight="1" x14ac:dyDescent="0.2">
      <c r="B1532" s="267"/>
      <c r="F1532" s="265"/>
      <c r="G1532" s="268"/>
      <c r="H1532" s="317"/>
      <c r="I1532" s="418" t="str">
        <f t="shared" si="536"/>
        <v xml:space="preserve"> </v>
      </c>
      <c r="J1532" s="268"/>
      <c r="K1532" s="456"/>
      <c r="L1532" s="418" t="str">
        <f t="shared" si="534"/>
        <v xml:space="preserve"> </v>
      </c>
      <c r="M1532" s="268"/>
      <c r="N1532" s="317"/>
      <c r="O1532" s="418" t="str">
        <f t="shared" si="537"/>
        <v xml:space="preserve"> </v>
      </c>
      <c r="P1532" s="418" t="str">
        <f t="shared" si="542"/>
        <v xml:space="preserve"> </v>
      </c>
      <c r="Q1532" s="418"/>
    </row>
    <row r="1533" spans="2:17" ht="12.75" customHeight="1" x14ac:dyDescent="0.2">
      <c r="B1533" s="273"/>
      <c r="F1533" s="265"/>
      <c r="G1533" s="268"/>
      <c r="H1533" s="317"/>
      <c r="I1533" s="418" t="str">
        <f t="shared" si="536"/>
        <v xml:space="preserve"> </v>
      </c>
      <c r="J1533" s="268"/>
      <c r="K1533" s="456"/>
      <c r="L1533" s="418" t="str">
        <f t="shared" si="534"/>
        <v xml:space="preserve"> </v>
      </c>
      <c r="M1533" s="268"/>
      <c r="N1533" s="317"/>
      <c r="O1533" s="418" t="str">
        <f t="shared" si="537"/>
        <v xml:space="preserve"> </v>
      </c>
      <c r="P1533" s="418" t="str">
        <f t="shared" si="542"/>
        <v xml:space="preserve"> </v>
      </c>
      <c r="Q1533" s="418"/>
    </row>
    <row r="1534" spans="2:17" ht="12.75" customHeight="1" x14ac:dyDescent="0.2">
      <c r="B1534" s="273"/>
      <c r="F1534" s="265"/>
      <c r="G1534" s="268"/>
      <c r="H1534" s="317"/>
      <c r="I1534" s="418"/>
      <c r="J1534" s="268"/>
      <c r="K1534" s="456"/>
      <c r="L1534" s="418"/>
      <c r="M1534" s="268"/>
      <c r="N1534" s="317"/>
      <c r="O1534" s="418"/>
      <c r="P1534" s="418"/>
      <c r="Q1534" s="418"/>
    </row>
    <row r="1535" spans="2:17" ht="12.75" customHeight="1" x14ac:dyDescent="0.2">
      <c r="B1535" s="273"/>
      <c r="F1535" s="265"/>
      <c r="G1535" s="268"/>
      <c r="H1535" s="317"/>
      <c r="I1535" s="418"/>
      <c r="J1535" s="268"/>
      <c r="K1535" s="456"/>
      <c r="L1535" s="418"/>
      <c r="M1535" s="268"/>
      <c r="N1535" s="317"/>
      <c r="O1535" s="418"/>
      <c r="P1535" s="418"/>
      <c r="Q1535" s="418"/>
    </row>
    <row r="1536" spans="2:17" ht="12.75" customHeight="1" x14ac:dyDescent="0.2">
      <c r="B1536" s="273"/>
      <c r="F1536" s="265"/>
      <c r="G1536" s="268"/>
      <c r="H1536" s="317"/>
      <c r="I1536" s="418"/>
      <c r="J1536" s="268"/>
      <c r="K1536" s="456"/>
      <c r="L1536" s="418"/>
      <c r="M1536" s="268"/>
      <c r="N1536" s="317"/>
      <c r="O1536" s="418"/>
      <c r="P1536" s="418"/>
      <c r="Q1536" s="418"/>
    </row>
    <row r="1537" spans="2:17" ht="12.75" customHeight="1" x14ac:dyDescent="0.2">
      <c r="B1537" s="273"/>
      <c r="F1537" s="265"/>
      <c r="G1537" s="268"/>
      <c r="H1537" s="317"/>
      <c r="I1537" s="418"/>
      <c r="J1537" s="268"/>
      <c r="K1537" s="456"/>
      <c r="L1537" s="418"/>
      <c r="M1537" s="268"/>
      <c r="N1537" s="317"/>
      <c r="O1537" s="418"/>
      <c r="P1537" s="418"/>
      <c r="Q1537" s="418"/>
    </row>
    <row r="1538" spans="2:17" ht="12.75" customHeight="1" x14ac:dyDescent="0.2">
      <c r="B1538" s="273"/>
      <c r="F1538" s="265"/>
      <c r="G1538" s="268"/>
      <c r="H1538" s="317"/>
      <c r="I1538" s="418"/>
      <c r="J1538" s="268"/>
      <c r="K1538" s="456"/>
      <c r="L1538" s="418"/>
      <c r="M1538" s="268"/>
      <c r="N1538" s="317"/>
      <c r="O1538" s="418"/>
      <c r="P1538" s="418"/>
      <c r="Q1538" s="418"/>
    </row>
    <row r="1539" spans="2:17" ht="12.75" customHeight="1" x14ac:dyDescent="0.2">
      <c r="B1539" s="273"/>
      <c r="F1539" s="265"/>
      <c r="G1539" s="268"/>
      <c r="H1539" s="317"/>
      <c r="I1539" s="418"/>
      <c r="J1539" s="268"/>
      <c r="K1539" s="456"/>
      <c r="L1539" s="418"/>
      <c r="M1539" s="268"/>
      <c r="N1539" s="317"/>
      <c r="O1539" s="418"/>
      <c r="P1539" s="418"/>
      <c r="Q1539" s="418"/>
    </row>
    <row r="1540" spans="2:17" ht="12.75" customHeight="1" x14ac:dyDescent="0.2">
      <c r="B1540" s="273"/>
      <c r="F1540" s="265"/>
      <c r="G1540" s="268"/>
      <c r="H1540" s="317"/>
      <c r="I1540" s="418"/>
      <c r="J1540" s="268"/>
      <c r="K1540" s="456"/>
      <c r="L1540" s="418"/>
      <c r="M1540" s="268"/>
      <c r="N1540" s="317"/>
      <c r="O1540" s="418"/>
      <c r="P1540" s="418"/>
      <c r="Q1540" s="418"/>
    </row>
    <row r="1541" spans="2:17" ht="12.75" customHeight="1" x14ac:dyDescent="0.2">
      <c r="B1541" s="273"/>
      <c r="F1541" s="265"/>
      <c r="G1541" s="268"/>
      <c r="H1541" s="317"/>
      <c r="I1541" s="418"/>
      <c r="J1541" s="268"/>
      <c r="K1541" s="456"/>
      <c r="L1541" s="418"/>
      <c r="M1541" s="268"/>
      <c r="N1541" s="317"/>
      <c r="O1541" s="418"/>
      <c r="P1541" s="418"/>
      <c r="Q1541" s="418"/>
    </row>
    <row r="1542" spans="2:17" ht="12.75" customHeight="1" x14ac:dyDescent="0.2">
      <c r="B1542" s="273"/>
      <c r="F1542" s="265"/>
      <c r="G1542" s="268"/>
      <c r="H1542" s="317"/>
      <c r="I1542" s="418"/>
      <c r="J1542" s="268"/>
      <c r="K1542" s="456"/>
      <c r="L1542" s="418"/>
      <c r="M1542" s="268"/>
      <c r="N1542" s="317"/>
      <c r="O1542" s="418"/>
      <c r="P1542" s="418"/>
      <c r="Q1542" s="418"/>
    </row>
    <row r="1543" spans="2:17" ht="12.75" customHeight="1" x14ac:dyDescent="0.2">
      <c r="B1543" s="273"/>
      <c r="F1543" s="265"/>
      <c r="G1543" s="268"/>
      <c r="H1543" s="317"/>
      <c r="I1543" s="418"/>
      <c r="J1543" s="268"/>
      <c r="K1543" s="456"/>
      <c r="L1543" s="418"/>
      <c r="M1543" s="268"/>
      <c r="N1543" s="317"/>
      <c r="O1543" s="418"/>
      <c r="P1543" s="418"/>
      <c r="Q1543" s="418"/>
    </row>
    <row r="1544" spans="2:17" ht="12.75" customHeight="1" x14ac:dyDescent="0.2">
      <c r="B1544" s="273"/>
      <c r="F1544" s="265"/>
      <c r="G1544" s="268"/>
      <c r="H1544" s="317"/>
      <c r="I1544" s="418"/>
      <c r="J1544" s="268"/>
      <c r="K1544" s="456"/>
      <c r="L1544" s="418"/>
      <c r="M1544" s="268"/>
      <c r="N1544" s="317"/>
      <c r="O1544" s="418"/>
      <c r="P1544" s="418"/>
      <c r="Q1544" s="418"/>
    </row>
    <row r="1545" spans="2:17" ht="12.75" customHeight="1" x14ac:dyDescent="0.2">
      <c r="B1545" s="273"/>
      <c r="F1545" s="265"/>
      <c r="G1545" s="268"/>
      <c r="H1545" s="317"/>
      <c r="I1545" s="418"/>
      <c r="J1545" s="268"/>
      <c r="K1545" s="456"/>
      <c r="L1545" s="418"/>
      <c r="M1545" s="268"/>
      <c r="N1545" s="317"/>
      <c r="O1545" s="418"/>
      <c r="P1545" s="418"/>
      <c r="Q1545" s="418"/>
    </row>
    <row r="1546" spans="2:17" ht="12.75" customHeight="1" x14ac:dyDescent="0.2">
      <c r="B1546" s="273"/>
      <c r="F1546" s="265"/>
      <c r="G1546" s="268"/>
      <c r="H1546" s="317"/>
      <c r="I1546" s="418"/>
      <c r="J1546" s="268"/>
      <c r="K1546" s="456"/>
      <c r="L1546" s="418"/>
      <c r="M1546" s="268"/>
      <c r="N1546" s="317"/>
      <c r="O1546" s="418"/>
      <c r="P1546" s="418"/>
      <c r="Q1546" s="418"/>
    </row>
    <row r="1547" spans="2:17" ht="12.75" customHeight="1" x14ac:dyDescent="0.2">
      <c r="B1547" s="273"/>
      <c r="F1547" s="265"/>
      <c r="G1547" s="268"/>
      <c r="H1547" s="317"/>
      <c r="I1547" s="418"/>
      <c r="J1547" s="268"/>
      <c r="K1547" s="456"/>
      <c r="L1547" s="418"/>
      <c r="M1547" s="268"/>
      <c r="N1547" s="317"/>
      <c r="O1547" s="418"/>
      <c r="P1547" s="418"/>
      <c r="Q1547" s="418"/>
    </row>
    <row r="1548" spans="2:17" ht="12.75" customHeight="1" x14ac:dyDescent="0.2">
      <c r="B1548" s="273"/>
      <c r="F1548" s="265"/>
      <c r="G1548" s="268"/>
      <c r="H1548" s="317"/>
      <c r="I1548" s="418"/>
      <c r="J1548" s="268"/>
      <c r="K1548" s="456"/>
      <c r="L1548" s="418"/>
      <c r="M1548" s="268"/>
      <c r="N1548" s="317"/>
      <c r="O1548" s="418"/>
      <c r="P1548" s="418"/>
      <c r="Q1548" s="418"/>
    </row>
    <row r="1549" spans="2:17" ht="12.75" customHeight="1" x14ac:dyDescent="0.2">
      <c r="B1549" s="273"/>
      <c r="F1549" s="265"/>
      <c r="G1549" s="268"/>
      <c r="H1549" s="317"/>
      <c r="I1549" s="418"/>
      <c r="J1549" s="268"/>
      <c r="K1549" s="456"/>
      <c r="L1549" s="418"/>
      <c r="M1549" s="268"/>
      <c r="N1549" s="317"/>
      <c r="O1549" s="418"/>
      <c r="P1549" s="418"/>
      <c r="Q1549" s="418"/>
    </row>
    <row r="1550" spans="2:17" ht="12.75" customHeight="1" x14ac:dyDescent="0.2">
      <c r="B1550" s="273"/>
      <c r="F1550" s="265"/>
      <c r="G1550" s="268"/>
      <c r="H1550" s="317"/>
      <c r="I1550" s="418"/>
      <c r="J1550" s="268"/>
      <c r="K1550" s="456"/>
      <c r="L1550" s="418"/>
      <c r="M1550" s="268"/>
      <c r="N1550" s="317"/>
      <c r="O1550" s="418"/>
      <c r="P1550" s="418"/>
      <c r="Q1550" s="418"/>
    </row>
    <row r="1551" spans="2:17" ht="12.75" customHeight="1" x14ac:dyDescent="0.2">
      <c r="B1551" s="273"/>
      <c r="F1551" s="265"/>
      <c r="G1551" s="268"/>
      <c r="H1551" s="317"/>
      <c r="I1551" s="418"/>
      <c r="J1551" s="268"/>
      <c r="K1551" s="456"/>
      <c r="L1551" s="418"/>
      <c r="M1551" s="268"/>
      <c r="N1551" s="317"/>
      <c r="O1551" s="418"/>
      <c r="P1551" s="418"/>
      <c r="Q1551" s="418"/>
    </row>
    <row r="1552" spans="2:17" ht="12.75" customHeight="1" x14ac:dyDescent="0.2">
      <c r="B1552" s="273"/>
      <c r="F1552" s="265"/>
      <c r="G1552" s="268"/>
      <c r="H1552" s="317"/>
      <c r="I1552" s="418"/>
      <c r="J1552" s="268"/>
      <c r="K1552" s="456"/>
      <c r="L1552" s="418"/>
      <c r="M1552" s="268"/>
      <c r="N1552" s="317"/>
      <c r="O1552" s="418"/>
      <c r="P1552" s="418"/>
      <c r="Q1552" s="418"/>
    </row>
    <row r="1553" spans="2:17" ht="12.75" customHeight="1" x14ac:dyDescent="0.2">
      <c r="B1553" s="273"/>
      <c r="F1553" s="265"/>
      <c r="G1553" s="268"/>
      <c r="H1553" s="317"/>
      <c r="I1553" s="418"/>
      <c r="J1553" s="268"/>
      <c r="K1553" s="456"/>
      <c r="L1553" s="418"/>
      <c r="M1553" s="268"/>
      <c r="N1553" s="317"/>
      <c r="O1553" s="418"/>
      <c r="P1553" s="418"/>
      <c r="Q1553" s="418"/>
    </row>
    <row r="1554" spans="2:17" ht="12.75" customHeight="1" x14ac:dyDescent="0.2">
      <c r="B1554" s="273"/>
      <c r="F1554" s="265"/>
      <c r="G1554" s="268"/>
      <c r="H1554" s="317"/>
      <c r="I1554" s="418"/>
      <c r="J1554" s="268"/>
      <c r="K1554" s="456"/>
      <c r="L1554" s="418"/>
      <c r="M1554" s="268"/>
      <c r="N1554" s="317"/>
      <c r="O1554" s="418"/>
      <c r="P1554" s="418"/>
      <c r="Q1554" s="418"/>
    </row>
    <row r="1555" spans="2:17" ht="12.75" customHeight="1" x14ac:dyDescent="0.2">
      <c r="B1555" s="273"/>
      <c r="F1555" s="265"/>
      <c r="G1555" s="268"/>
      <c r="H1555" s="317"/>
      <c r="I1555" s="418"/>
      <c r="J1555" s="268"/>
      <c r="K1555" s="456"/>
      <c r="L1555" s="418"/>
      <c r="M1555" s="268"/>
      <c r="N1555" s="317"/>
      <c r="O1555" s="418"/>
      <c r="P1555" s="418"/>
      <c r="Q1555" s="418"/>
    </row>
    <row r="1556" spans="2:17" ht="12.75" customHeight="1" x14ac:dyDescent="0.2">
      <c r="B1556" s="273"/>
      <c r="F1556" s="265"/>
      <c r="G1556" s="268"/>
      <c r="H1556" s="317"/>
      <c r="I1556" s="418"/>
      <c r="J1556" s="268"/>
      <c r="K1556" s="456"/>
      <c r="L1556" s="418"/>
      <c r="M1556" s="268"/>
      <c r="N1556" s="317"/>
      <c r="O1556" s="418"/>
      <c r="P1556" s="418"/>
      <c r="Q1556" s="418"/>
    </row>
    <row r="1557" spans="2:17" ht="12.75" customHeight="1" x14ac:dyDescent="0.2">
      <c r="B1557" s="273"/>
      <c r="F1557" s="265"/>
      <c r="G1557" s="268"/>
      <c r="H1557" s="317"/>
      <c r="I1557" s="418"/>
      <c r="J1557" s="268"/>
      <c r="K1557" s="456"/>
      <c r="L1557" s="418"/>
      <c r="M1557" s="268"/>
      <c r="N1557" s="317"/>
      <c r="O1557" s="418"/>
      <c r="P1557" s="418"/>
      <c r="Q1557" s="418"/>
    </row>
    <row r="1558" spans="2:17" ht="12.75" customHeight="1" x14ac:dyDescent="0.2">
      <c r="B1558" s="273"/>
      <c r="F1558" s="265"/>
      <c r="G1558" s="268"/>
      <c r="H1558" s="317"/>
      <c r="I1558" s="318" t="str">
        <f>IF(G1433=0," ",G1433*H1561)</f>
        <v xml:space="preserve"> </v>
      </c>
      <c r="J1558" s="268"/>
      <c r="K1558" s="456"/>
      <c r="L1558" s="318" t="str">
        <f t="shared" ref="L1558" si="543">IF(J1433=0," ",J1433*K1561)</f>
        <v xml:space="preserve"> </v>
      </c>
      <c r="M1558" s="268"/>
      <c r="N1558" s="317"/>
      <c r="O1558" s="318" t="str">
        <f t="shared" ref="O1558" si="544">IF(M1433=0," ",M1433*N1561)</f>
        <v xml:space="preserve"> </v>
      </c>
      <c r="P1558" s="318" t="str">
        <f t="shared" ref="P1558" si="545">IF(N1433=0," ",N1433*O1561)</f>
        <v xml:space="preserve"> </v>
      </c>
      <c r="Q1558" s="318" t="str">
        <f t="shared" ref="Q1558" si="546">IF(O1433=0," ",O1433*P1561)</f>
        <v xml:space="preserve"> </v>
      </c>
    </row>
    <row r="1559" spans="2:17" ht="12.75" customHeight="1" x14ac:dyDescent="0.2">
      <c r="B1559" s="287">
        <v>5500</v>
      </c>
      <c r="C1559" s="288" t="s">
        <v>268</v>
      </c>
      <c r="D1559" s="289"/>
      <c r="E1559" s="290"/>
      <c r="F1559" s="291"/>
      <c r="G1559" s="291"/>
      <c r="H1559" s="422"/>
      <c r="I1559" s="423">
        <f>SUM(I1500:I1558)</f>
        <v>248078</v>
      </c>
      <c r="J1559" s="412"/>
      <c r="K1559" s="457"/>
      <c r="L1559" s="423">
        <f>SUM(L1500:L1558)</f>
        <v>727912</v>
      </c>
      <c r="M1559" s="291"/>
      <c r="N1559" s="422"/>
      <c r="O1559" s="423">
        <f>SUM(O1500:O1558)</f>
        <v>727912</v>
      </c>
      <c r="P1559" s="423"/>
      <c r="Q1559" s="423">
        <f t="shared" ref="Q1559" si="547">SUM(Q1502:Q1558)</f>
        <v>0</v>
      </c>
    </row>
    <row r="1560" spans="2:17" ht="12.75" customHeight="1" x14ac:dyDescent="0.2">
      <c r="B1560" s="239" t="s">
        <v>79</v>
      </c>
      <c r="C1560" s="239"/>
      <c r="D1560" s="263"/>
      <c r="E1560" s="297"/>
      <c r="G1560" s="364"/>
      <c r="H1560" s="450"/>
      <c r="I1560" s="451"/>
      <c r="K1560" s="456"/>
      <c r="L1560" s="451"/>
      <c r="M1560" s="364"/>
      <c r="N1560" s="450"/>
      <c r="O1560" s="451"/>
      <c r="P1560" s="451"/>
      <c r="Q1560" s="451"/>
    </row>
    <row r="1561" spans="2:17" ht="12.75" customHeight="1" x14ac:dyDescent="0.2">
      <c r="B1561" s="239" t="s">
        <v>267</v>
      </c>
      <c r="C1561" s="240"/>
      <c r="E1561" s="238"/>
      <c r="I1561" s="427"/>
      <c r="K1561" s="456"/>
      <c r="L1561" s="427"/>
      <c r="O1561" s="427"/>
      <c r="P1561" s="427"/>
      <c r="Q1561" s="427"/>
    </row>
    <row r="1562" spans="2:17" ht="12.75" customHeight="1" x14ac:dyDescent="0.2">
      <c r="B1562" s="243"/>
      <c r="C1562" s="243"/>
      <c r="D1562" s="244"/>
      <c r="E1562" s="245"/>
      <c r="F1562" s="246"/>
      <c r="G1562" s="246"/>
      <c r="H1562" s="452"/>
      <c r="I1562" s="453"/>
      <c r="J1562" s="246"/>
      <c r="K1562" s="456"/>
      <c r="L1562" s="453"/>
      <c r="M1562" s="246"/>
      <c r="N1562" s="452"/>
      <c r="O1562" s="453"/>
      <c r="P1562" s="453"/>
      <c r="Q1562" s="453"/>
    </row>
    <row r="1563" spans="2:17" ht="12.75" customHeight="1" x14ac:dyDescent="0.2">
      <c r="B1563" s="247" t="s">
        <v>263</v>
      </c>
      <c r="C1563" s="248" t="s">
        <v>264</v>
      </c>
      <c r="D1563" s="249"/>
      <c r="E1563" s="250"/>
      <c r="F1563" s="250" t="s">
        <v>265</v>
      </c>
      <c r="G1563" s="356" t="s">
        <v>68</v>
      </c>
      <c r="H1563" s="251" t="s">
        <v>849</v>
      </c>
      <c r="I1563" s="252" t="s">
        <v>849</v>
      </c>
      <c r="J1563" s="356" t="s">
        <v>68</v>
      </c>
      <c r="K1563" s="457" t="s">
        <v>849</v>
      </c>
      <c r="L1563" s="252" t="s">
        <v>849</v>
      </c>
      <c r="M1563" s="356" t="s">
        <v>68</v>
      </c>
      <c r="N1563" s="251" t="s">
        <v>849</v>
      </c>
      <c r="O1563" s="252" t="s">
        <v>849</v>
      </c>
      <c r="P1563" s="252" t="s">
        <v>849</v>
      </c>
      <c r="Q1563" s="252" t="s">
        <v>849</v>
      </c>
    </row>
    <row r="1564" spans="2:17" ht="12.75" customHeight="1" x14ac:dyDescent="0.2">
      <c r="B1564" s="253" t="s">
        <v>266</v>
      </c>
      <c r="C1564" s="254"/>
      <c r="D1564" s="255"/>
      <c r="E1564" s="256"/>
      <c r="F1564" s="256"/>
      <c r="G1564" s="357" t="s">
        <v>69</v>
      </c>
      <c r="H1564" s="257" t="s">
        <v>262</v>
      </c>
      <c r="I1564" s="258" t="s">
        <v>70</v>
      </c>
      <c r="J1564" s="357" t="s">
        <v>69</v>
      </c>
      <c r="K1564" s="457" t="s">
        <v>262</v>
      </c>
      <c r="L1564" s="258" t="s">
        <v>70</v>
      </c>
      <c r="M1564" s="357" t="s">
        <v>69</v>
      </c>
      <c r="N1564" s="257" t="s">
        <v>262</v>
      </c>
      <c r="O1564" s="258" t="s">
        <v>70</v>
      </c>
      <c r="P1564" s="258" t="s">
        <v>70</v>
      </c>
      <c r="Q1564" s="258" t="s">
        <v>70</v>
      </c>
    </row>
    <row r="1565" spans="2:17" ht="12.75" customHeight="1" x14ac:dyDescent="0.2">
      <c r="B1565" s="273"/>
      <c r="F1565" s="265"/>
      <c r="G1565" s="268"/>
      <c r="H1565" s="251"/>
      <c r="I1565" s="252"/>
      <c r="J1565" s="268"/>
      <c r="K1565" s="456"/>
      <c r="L1565" s="252"/>
      <c r="M1565" s="268"/>
      <c r="N1565" s="251"/>
      <c r="O1565" s="252"/>
      <c r="P1565" s="252"/>
      <c r="Q1565" s="252"/>
    </row>
    <row r="1566" spans="2:17" ht="12.75" customHeight="1" x14ac:dyDescent="0.2">
      <c r="B1566" s="261">
        <v>5600</v>
      </c>
      <c r="C1566" s="262" t="s">
        <v>492</v>
      </c>
      <c r="D1566" s="263"/>
      <c r="E1566" s="264"/>
      <c r="F1566" s="265"/>
      <c r="G1566" s="268"/>
      <c r="H1566" s="317"/>
      <c r="I1566" s="418" t="str">
        <f>IF(G1450=0," ",G1450*H1569)</f>
        <v xml:space="preserve"> </v>
      </c>
      <c r="J1566" s="268"/>
      <c r="K1566" s="456"/>
      <c r="L1566" s="418" t="str">
        <f t="shared" ref="L1566" si="548">IF(J1450=0," ",J1450*K1569)</f>
        <v xml:space="preserve"> </v>
      </c>
      <c r="M1566" s="268"/>
      <c r="N1566" s="317"/>
      <c r="O1566" s="418" t="str">
        <f t="shared" ref="O1566" si="549">IF(M1450=0," ",M1450*N1569)</f>
        <v xml:space="preserve"> </v>
      </c>
      <c r="P1566" s="418" t="str">
        <f t="shared" ref="P1566" si="550">IF(N1450=0," ",N1450*O1569)</f>
        <v xml:space="preserve"> </v>
      </c>
      <c r="Q1566" s="418" t="str">
        <f t="shared" ref="Q1566" si="551">IF(O1450=0," ",O1450*P1569)</f>
        <v xml:space="preserve"> </v>
      </c>
    </row>
    <row r="1567" spans="2:17" ht="12.75" customHeight="1" x14ac:dyDescent="0.2">
      <c r="B1567" s="267"/>
      <c r="F1567" s="265"/>
      <c r="G1567" s="268"/>
      <c r="H1567" s="317"/>
      <c r="I1567" s="418" t="str">
        <f>IF(G1436=0," ",G1436*H1570)</f>
        <v xml:space="preserve"> </v>
      </c>
      <c r="J1567" s="268"/>
      <c r="K1567" s="456"/>
      <c r="L1567" s="418" t="str">
        <f t="shared" ref="L1567" si="552">IF(J1436=0," ",J1436*K1570)</f>
        <v xml:space="preserve"> </v>
      </c>
      <c r="M1567" s="268"/>
      <c r="N1567" s="317"/>
      <c r="O1567" s="418" t="str">
        <f t="shared" ref="O1567" si="553">IF(M1436=0," ",M1436*N1570)</f>
        <v xml:space="preserve"> </v>
      </c>
      <c r="P1567" s="418" t="str">
        <f t="shared" ref="P1567" si="554">IF(N1436=0," ",N1436*O1570)</f>
        <v xml:space="preserve"> </v>
      </c>
      <c r="Q1567" s="418"/>
    </row>
    <row r="1568" spans="2:17" ht="12.75" customHeight="1" x14ac:dyDescent="0.2">
      <c r="B1568" s="267">
        <v>56.01</v>
      </c>
      <c r="C1568" s="273" t="s">
        <v>451</v>
      </c>
      <c r="D1568" s="285"/>
      <c r="E1568" s="286"/>
      <c r="F1568" s="265"/>
      <c r="G1568" s="268"/>
      <c r="H1568" s="317"/>
      <c r="I1568" s="418"/>
      <c r="J1568" s="268"/>
      <c r="K1568" s="456"/>
      <c r="L1568" s="418"/>
      <c r="M1568" s="268"/>
      <c r="N1568" s="317"/>
      <c r="O1568" s="418"/>
      <c r="P1568" s="418"/>
      <c r="Q1568" s="418"/>
    </row>
    <row r="1569" spans="2:17" ht="12.75" customHeight="1" x14ac:dyDescent="0.2">
      <c r="B1569" s="267"/>
      <c r="C1569" s="273" t="s">
        <v>388</v>
      </c>
      <c r="D1569" s="285"/>
      <c r="E1569" s="286"/>
      <c r="F1569" s="265"/>
      <c r="G1569" s="268"/>
      <c r="H1569" s="317"/>
      <c r="I1569" s="418" t="str">
        <f>IF(G1568=0," ",G1568*H1572)</f>
        <v xml:space="preserve"> </v>
      </c>
      <c r="J1569" s="268"/>
      <c r="K1569" s="456"/>
      <c r="L1569" s="418" t="str">
        <f t="shared" ref="L1569" si="555">IF(J1568=0," ",J1568*K1572)</f>
        <v xml:space="preserve"> </v>
      </c>
      <c r="M1569" s="268"/>
      <c r="N1569" s="317"/>
      <c r="O1569" s="418" t="str">
        <f t="shared" ref="O1569" si="556">IF(M1568=0," ",M1568*N1572)</f>
        <v xml:space="preserve"> </v>
      </c>
      <c r="P1569" s="418" t="str">
        <f t="shared" ref="P1569" si="557">IF(N1568=0," ",N1568*O1572)</f>
        <v xml:space="preserve"> </v>
      </c>
      <c r="Q1569" s="418"/>
    </row>
    <row r="1570" spans="2:17" ht="12.75" customHeight="1" x14ac:dyDescent="0.2">
      <c r="B1570" s="267"/>
      <c r="C1570" s="273" t="s">
        <v>452</v>
      </c>
      <c r="D1570" s="285"/>
      <c r="E1570" s="286"/>
      <c r="F1570" s="265"/>
      <c r="G1570" s="268"/>
      <c r="H1570" s="317"/>
      <c r="I1570" s="418" t="str">
        <f>IF(G1570=0," ",G1570*H1573)</f>
        <v xml:space="preserve"> </v>
      </c>
      <c r="J1570" s="268"/>
      <c r="K1570" s="456"/>
      <c r="L1570" s="418" t="str">
        <f t="shared" ref="L1570" si="558">IF(J1570=0," ",J1570*K1573)</f>
        <v xml:space="preserve"> </v>
      </c>
      <c r="M1570" s="268"/>
      <c r="N1570" s="317"/>
      <c r="O1570" s="418" t="str">
        <f t="shared" ref="O1570" si="559">IF(M1570=0," ",M1570*N1573)</f>
        <v xml:space="preserve"> </v>
      </c>
      <c r="P1570" s="418" t="str">
        <f t="shared" ref="P1570" si="560">IF(N1570=0," ",N1570*O1573)</f>
        <v xml:space="preserve"> </v>
      </c>
      <c r="Q1570" s="418"/>
    </row>
    <row r="1571" spans="2:17" ht="12.75" customHeight="1" x14ac:dyDescent="0.2">
      <c r="B1571" s="267"/>
      <c r="C1571" s="273" t="s">
        <v>493</v>
      </c>
      <c r="F1571" s="265"/>
      <c r="G1571" s="268"/>
      <c r="H1571" s="317"/>
      <c r="I1571" s="418" t="str">
        <f>IF(G1571=0," ",G1571*H1575)</f>
        <v xml:space="preserve"> </v>
      </c>
      <c r="J1571" s="268"/>
      <c r="K1571" s="456"/>
      <c r="L1571" s="418" t="str">
        <f t="shared" ref="L1571:L1572" si="561">IF(J1571=0," ",J1571*K1575)</f>
        <v xml:space="preserve"> </v>
      </c>
      <c r="M1571" s="268"/>
      <c r="N1571" s="317"/>
      <c r="O1571" s="418" t="str">
        <f t="shared" ref="O1571:O1572" si="562">IF(M1571=0," ",M1571*N1575)</f>
        <v xml:space="preserve"> </v>
      </c>
      <c r="P1571" s="418" t="str">
        <f t="shared" ref="P1571:P1572" si="563">IF(N1571=0," ",N1571*O1575)</f>
        <v xml:space="preserve"> </v>
      </c>
      <c r="Q1571" s="418"/>
    </row>
    <row r="1572" spans="2:17" ht="12.75" customHeight="1" x14ac:dyDescent="0.2">
      <c r="B1572" s="267"/>
      <c r="C1572" s="273" t="s">
        <v>276</v>
      </c>
      <c r="D1572" s="241" t="s">
        <v>497</v>
      </c>
      <c r="F1572" s="265"/>
      <c r="G1572" s="268"/>
      <c r="H1572" s="317"/>
      <c r="I1572" s="418" t="str">
        <f>IF(G1572=0," ",G1572*H1576)</f>
        <v xml:space="preserve"> </v>
      </c>
      <c r="J1572" s="268"/>
      <c r="K1572" s="456"/>
      <c r="L1572" s="418" t="str">
        <f t="shared" si="561"/>
        <v xml:space="preserve"> </v>
      </c>
      <c r="M1572" s="268"/>
      <c r="N1572" s="317"/>
      <c r="O1572" s="418" t="str">
        <f t="shared" si="562"/>
        <v xml:space="preserve"> </v>
      </c>
      <c r="P1572" s="418" t="str">
        <f t="shared" si="563"/>
        <v xml:space="preserve"> </v>
      </c>
      <c r="Q1572" s="418"/>
    </row>
    <row r="1573" spans="2:17" ht="12.75" customHeight="1" x14ac:dyDescent="0.2">
      <c r="B1573" s="267"/>
      <c r="D1573" s="241" t="s">
        <v>277</v>
      </c>
      <c r="E1573" s="274" t="s">
        <v>832</v>
      </c>
      <c r="F1573" s="265" t="s">
        <v>275</v>
      </c>
      <c r="G1573" s="268">
        <v>83</v>
      </c>
      <c r="H1573" s="418">
        <v>1100</v>
      </c>
      <c r="I1573" s="418">
        <f t="shared" ref="I1573:I1607" si="564">IF(G1573=0," ",G1573*H1573)</f>
        <v>91300</v>
      </c>
      <c r="J1573" s="268">
        <v>83</v>
      </c>
      <c r="K1573" s="456">
        <v>650</v>
      </c>
      <c r="L1573" s="418">
        <f t="shared" ref="L1573:L1607" si="565">IF(J1573=0," ",J1573*K1573)</f>
        <v>53950</v>
      </c>
      <c r="M1573" s="268">
        <v>83</v>
      </c>
      <c r="N1573" s="418">
        <v>650</v>
      </c>
      <c r="O1573" s="418">
        <f t="shared" ref="O1573:O1607" si="566">IF(M1573=0," ",M1573*N1573)</f>
        <v>53950</v>
      </c>
      <c r="P1573" s="418">
        <f>K1573-N1573</f>
        <v>0</v>
      </c>
      <c r="Q1573" s="418">
        <f>L1573-O1573</f>
        <v>0</v>
      </c>
    </row>
    <row r="1574" spans="2:17" ht="12.75" customHeight="1" x14ac:dyDescent="0.2">
      <c r="B1574" s="267"/>
      <c r="F1574" s="265"/>
      <c r="G1574" s="268"/>
      <c r="H1574" s="418" t="str">
        <f t="shared" ref="H1574:H1603" si="567">IF(F1574=0," ",F1574*G1574)</f>
        <v xml:space="preserve"> </v>
      </c>
      <c r="I1574" s="418" t="str">
        <f t="shared" si="564"/>
        <v xml:space="preserve"> </v>
      </c>
      <c r="J1574" s="268"/>
      <c r="K1574" s="456" t="s">
        <v>849</v>
      </c>
      <c r="L1574" s="418" t="str">
        <f t="shared" si="565"/>
        <v xml:space="preserve"> </v>
      </c>
      <c r="M1574" s="268"/>
      <c r="N1574" s="418"/>
      <c r="O1574" s="418" t="str">
        <f t="shared" si="566"/>
        <v xml:space="preserve"> </v>
      </c>
      <c r="P1574" s="418"/>
      <c r="Q1574" s="418"/>
    </row>
    <row r="1575" spans="2:17" ht="12.75" customHeight="1" x14ac:dyDescent="0.2">
      <c r="B1575" s="267"/>
      <c r="D1575" s="241" t="s">
        <v>124</v>
      </c>
      <c r="E1575" s="274" t="s">
        <v>833</v>
      </c>
      <c r="F1575" s="265" t="s">
        <v>275</v>
      </c>
      <c r="G1575" s="268">
        <v>69</v>
      </c>
      <c r="H1575" s="418">
        <v>1100</v>
      </c>
      <c r="I1575" s="418">
        <f t="shared" si="564"/>
        <v>75900</v>
      </c>
      <c r="J1575" s="268">
        <v>69</v>
      </c>
      <c r="K1575" s="456">
        <v>650</v>
      </c>
      <c r="L1575" s="418">
        <f t="shared" si="565"/>
        <v>44850</v>
      </c>
      <c r="M1575" s="268">
        <v>69</v>
      </c>
      <c r="N1575" s="418">
        <v>650</v>
      </c>
      <c r="O1575" s="418">
        <f t="shared" si="566"/>
        <v>44850</v>
      </c>
      <c r="P1575" s="418">
        <f t="shared" ref="P1575:P1604" si="568">K1575-N1575</f>
        <v>0</v>
      </c>
      <c r="Q1575" s="418">
        <f t="shared" ref="Q1575:Q1604" si="569">L1575-O1575</f>
        <v>0</v>
      </c>
    </row>
    <row r="1576" spans="2:17" ht="12.75" customHeight="1" x14ac:dyDescent="0.2">
      <c r="B1576" s="267"/>
      <c r="F1576" s="265"/>
      <c r="G1576" s="268"/>
      <c r="H1576" s="418" t="str">
        <f t="shared" si="567"/>
        <v xml:space="preserve"> </v>
      </c>
      <c r="I1576" s="418" t="str">
        <f t="shared" si="564"/>
        <v xml:space="preserve"> </v>
      </c>
      <c r="J1576" s="268"/>
      <c r="K1576" s="456" t="s">
        <v>849</v>
      </c>
      <c r="L1576" s="418" t="str">
        <f t="shared" si="565"/>
        <v xml:space="preserve"> </v>
      </c>
      <c r="M1576" s="268"/>
      <c r="N1576" s="418"/>
      <c r="O1576" s="418" t="str">
        <f t="shared" si="566"/>
        <v xml:space="preserve"> </v>
      </c>
      <c r="P1576" s="418"/>
      <c r="Q1576" s="418"/>
    </row>
    <row r="1577" spans="2:17" ht="12.75" customHeight="1" x14ac:dyDescent="0.2">
      <c r="B1577" s="302">
        <v>56.03</v>
      </c>
      <c r="C1577" s="315" t="s">
        <v>519</v>
      </c>
      <c r="D1577" s="299"/>
      <c r="E1577" s="308"/>
      <c r="F1577" s="310"/>
      <c r="G1577" s="298"/>
      <c r="H1577" s="418" t="str">
        <f t="shared" si="567"/>
        <v xml:space="preserve"> </v>
      </c>
      <c r="I1577" s="418" t="str">
        <f t="shared" si="564"/>
        <v xml:space="preserve"> </v>
      </c>
      <c r="J1577" s="298"/>
      <c r="K1577" s="456" t="s">
        <v>849</v>
      </c>
      <c r="L1577" s="418" t="str">
        <f t="shared" si="565"/>
        <v xml:space="preserve"> </v>
      </c>
      <c r="M1577" s="298"/>
      <c r="N1577" s="418"/>
      <c r="O1577" s="418" t="str">
        <f t="shared" si="566"/>
        <v xml:space="preserve"> </v>
      </c>
      <c r="P1577" s="418"/>
      <c r="Q1577" s="418"/>
    </row>
    <row r="1578" spans="2:17" ht="12.75" customHeight="1" x14ac:dyDescent="0.2">
      <c r="B1578" s="302"/>
      <c r="C1578" s="315" t="s">
        <v>278</v>
      </c>
      <c r="D1578" s="316" t="s">
        <v>642</v>
      </c>
      <c r="E1578" s="308"/>
      <c r="F1578" s="310" t="s">
        <v>317</v>
      </c>
      <c r="G1578" s="298">
        <v>3</v>
      </c>
      <c r="H1578" s="418">
        <v>40000</v>
      </c>
      <c r="I1578" s="418">
        <f t="shared" si="564"/>
        <v>120000</v>
      </c>
      <c r="J1578" s="298">
        <v>3</v>
      </c>
      <c r="K1578" s="456">
        <v>56500</v>
      </c>
      <c r="L1578" s="418">
        <f t="shared" si="565"/>
        <v>169500</v>
      </c>
      <c r="M1578" s="298">
        <v>3</v>
      </c>
      <c r="N1578" s="418">
        <v>40000</v>
      </c>
      <c r="O1578" s="418">
        <f t="shared" si="566"/>
        <v>120000</v>
      </c>
      <c r="P1578" s="460">
        <f t="shared" si="568"/>
        <v>16500</v>
      </c>
      <c r="Q1578" s="460">
        <f t="shared" si="569"/>
        <v>49500</v>
      </c>
    </row>
    <row r="1579" spans="2:17" ht="12.75" customHeight="1" x14ac:dyDescent="0.2">
      <c r="B1579" s="267"/>
      <c r="F1579" s="265"/>
      <c r="G1579" s="268"/>
      <c r="H1579" s="418" t="str">
        <f t="shared" si="567"/>
        <v xml:space="preserve"> </v>
      </c>
      <c r="I1579" s="418" t="str">
        <f t="shared" si="564"/>
        <v xml:space="preserve"> </v>
      </c>
      <c r="J1579" s="268"/>
      <c r="K1579" s="456" t="s">
        <v>849</v>
      </c>
      <c r="L1579" s="418" t="str">
        <f t="shared" si="565"/>
        <v xml:space="preserve"> </v>
      </c>
      <c r="M1579" s="268"/>
      <c r="N1579" s="418"/>
      <c r="O1579" s="418" t="str">
        <f t="shared" si="566"/>
        <v xml:space="preserve"> </v>
      </c>
      <c r="P1579" s="418"/>
      <c r="Q1579" s="418"/>
    </row>
    <row r="1580" spans="2:17" ht="12.75" customHeight="1" x14ac:dyDescent="0.2">
      <c r="B1580" s="302"/>
      <c r="C1580" s="315" t="s">
        <v>279</v>
      </c>
      <c r="D1580" s="316" t="s">
        <v>643</v>
      </c>
      <c r="E1580" s="308"/>
      <c r="F1580" s="310"/>
      <c r="G1580" s="298"/>
      <c r="H1580" s="418" t="str">
        <f t="shared" si="567"/>
        <v xml:space="preserve"> </v>
      </c>
      <c r="I1580" s="418" t="str">
        <f t="shared" si="564"/>
        <v xml:space="preserve"> </v>
      </c>
      <c r="J1580" s="298"/>
      <c r="K1580" s="456" t="s">
        <v>849</v>
      </c>
      <c r="L1580" s="418" t="str">
        <f t="shared" si="565"/>
        <v xml:space="preserve"> </v>
      </c>
      <c r="M1580" s="298"/>
      <c r="N1580" s="418"/>
      <c r="O1580" s="418" t="str">
        <f t="shared" si="566"/>
        <v xml:space="preserve"> </v>
      </c>
      <c r="P1580" s="418"/>
      <c r="Q1580" s="418"/>
    </row>
    <row r="1581" spans="2:17" ht="12.75" customHeight="1" x14ac:dyDescent="0.2">
      <c r="B1581" s="302"/>
      <c r="C1581" s="303"/>
      <c r="D1581" s="316" t="s">
        <v>277</v>
      </c>
      <c r="E1581" s="308" t="s">
        <v>644</v>
      </c>
      <c r="F1581" s="310" t="s">
        <v>310</v>
      </c>
      <c r="G1581" s="298">
        <v>367.5</v>
      </c>
      <c r="H1581" s="418">
        <v>200</v>
      </c>
      <c r="I1581" s="418">
        <f t="shared" si="564"/>
        <v>73500</v>
      </c>
      <c r="J1581" s="298">
        <v>367.5</v>
      </c>
      <c r="K1581" s="456">
        <v>65</v>
      </c>
      <c r="L1581" s="418">
        <f t="shared" si="565"/>
        <v>23887.5</v>
      </c>
      <c r="M1581" s="298">
        <v>367.5</v>
      </c>
      <c r="N1581" s="418">
        <v>65</v>
      </c>
      <c r="O1581" s="418">
        <f t="shared" si="566"/>
        <v>23887.5</v>
      </c>
      <c r="P1581" s="418">
        <f t="shared" si="568"/>
        <v>0</v>
      </c>
      <c r="Q1581" s="418">
        <f t="shared" si="569"/>
        <v>0</v>
      </c>
    </row>
    <row r="1582" spans="2:17" ht="12.75" customHeight="1" x14ac:dyDescent="0.2">
      <c r="B1582" s="302"/>
      <c r="C1582" s="303"/>
      <c r="D1582" s="299"/>
      <c r="E1582" s="308"/>
      <c r="F1582" s="310"/>
      <c r="G1582" s="298"/>
      <c r="H1582" s="418" t="str">
        <f t="shared" si="567"/>
        <v xml:space="preserve"> </v>
      </c>
      <c r="I1582" s="418" t="str">
        <f t="shared" si="564"/>
        <v xml:space="preserve"> </v>
      </c>
      <c r="J1582" s="298"/>
      <c r="K1582" s="456" t="s">
        <v>849</v>
      </c>
      <c r="L1582" s="418" t="str">
        <f t="shared" si="565"/>
        <v xml:space="preserve"> </v>
      </c>
      <c r="M1582" s="298"/>
      <c r="N1582" s="418"/>
      <c r="O1582" s="418" t="str">
        <f t="shared" si="566"/>
        <v xml:space="preserve"> </v>
      </c>
      <c r="P1582" s="418"/>
      <c r="Q1582" s="418"/>
    </row>
    <row r="1583" spans="2:17" ht="12.75" customHeight="1" x14ac:dyDescent="0.2">
      <c r="B1583" s="302"/>
      <c r="C1583" s="303"/>
      <c r="D1583" s="316" t="s">
        <v>124</v>
      </c>
      <c r="E1583" s="308" t="s">
        <v>645</v>
      </c>
      <c r="F1583" s="310" t="s">
        <v>310</v>
      </c>
      <c r="G1583" s="298">
        <v>160</v>
      </c>
      <c r="H1583" s="418">
        <v>200</v>
      </c>
      <c r="I1583" s="418">
        <f t="shared" si="564"/>
        <v>32000</v>
      </c>
      <c r="J1583" s="298">
        <v>160</v>
      </c>
      <c r="K1583" s="456">
        <v>165</v>
      </c>
      <c r="L1583" s="418">
        <f t="shared" si="565"/>
        <v>26400</v>
      </c>
      <c r="M1583" s="298">
        <v>160</v>
      </c>
      <c r="N1583" s="418">
        <v>165</v>
      </c>
      <c r="O1583" s="418">
        <f t="shared" si="566"/>
        <v>26400</v>
      </c>
      <c r="P1583" s="418">
        <f t="shared" si="568"/>
        <v>0</v>
      </c>
      <c r="Q1583" s="418">
        <f t="shared" si="569"/>
        <v>0</v>
      </c>
    </row>
    <row r="1584" spans="2:17" ht="12.75" customHeight="1" x14ac:dyDescent="0.2">
      <c r="B1584" s="302"/>
      <c r="C1584" s="303"/>
      <c r="D1584" s="299"/>
      <c r="E1584" s="308"/>
      <c r="F1584" s="310"/>
      <c r="G1584" s="298"/>
      <c r="H1584" s="418" t="str">
        <f t="shared" si="567"/>
        <v xml:space="preserve"> </v>
      </c>
      <c r="I1584" s="418" t="str">
        <f t="shared" si="564"/>
        <v xml:space="preserve"> </v>
      </c>
      <c r="J1584" s="298"/>
      <c r="K1584" s="456" t="s">
        <v>849</v>
      </c>
      <c r="L1584" s="418" t="str">
        <f t="shared" si="565"/>
        <v xml:space="preserve"> </v>
      </c>
      <c r="M1584" s="298"/>
      <c r="N1584" s="418"/>
      <c r="O1584" s="418" t="str">
        <f t="shared" si="566"/>
        <v xml:space="preserve"> </v>
      </c>
      <c r="P1584" s="418"/>
      <c r="Q1584" s="418"/>
    </row>
    <row r="1585" spans="2:17" ht="12.75" customHeight="1" x14ac:dyDescent="0.2">
      <c r="B1585" s="267">
        <v>56.04</v>
      </c>
      <c r="C1585" s="273" t="s">
        <v>389</v>
      </c>
      <c r="F1585" s="265" t="s">
        <v>254</v>
      </c>
      <c r="G1585" s="268">
        <v>8</v>
      </c>
      <c r="H1585" s="418">
        <v>1000</v>
      </c>
      <c r="I1585" s="418">
        <f t="shared" si="564"/>
        <v>8000</v>
      </c>
      <c r="J1585" s="268">
        <v>8</v>
      </c>
      <c r="K1585" s="456">
        <v>1500</v>
      </c>
      <c r="L1585" s="418">
        <f t="shared" si="565"/>
        <v>12000</v>
      </c>
      <c r="M1585" s="268">
        <v>8</v>
      </c>
      <c r="N1585" s="418">
        <v>1500</v>
      </c>
      <c r="O1585" s="418">
        <f t="shared" si="566"/>
        <v>12000</v>
      </c>
      <c r="P1585" s="418">
        <f t="shared" si="568"/>
        <v>0</v>
      </c>
      <c r="Q1585" s="418">
        <f t="shared" si="569"/>
        <v>0</v>
      </c>
    </row>
    <row r="1586" spans="2:17" ht="12.75" customHeight="1" x14ac:dyDescent="0.2">
      <c r="B1586" s="267"/>
      <c r="F1586" s="265"/>
      <c r="G1586" s="268"/>
      <c r="H1586" s="418" t="str">
        <f t="shared" si="567"/>
        <v xml:space="preserve"> </v>
      </c>
      <c r="I1586" s="418" t="str">
        <f t="shared" si="564"/>
        <v xml:space="preserve"> </v>
      </c>
      <c r="J1586" s="268"/>
      <c r="K1586" s="456" t="s">
        <v>849</v>
      </c>
      <c r="L1586" s="418" t="str">
        <f t="shared" si="565"/>
        <v xml:space="preserve"> </v>
      </c>
      <c r="M1586" s="268"/>
      <c r="N1586" s="418"/>
      <c r="O1586" s="418" t="str">
        <f t="shared" si="566"/>
        <v xml:space="preserve"> </v>
      </c>
      <c r="P1586" s="418"/>
      <c r="Q1586" s="418"/>
    </row>
    <row r="1587" spans="2:17" ht="12.75" customHeight="1" x14ac:dyDescent="0.2">
      <c r="B1587" s="302" t="s">
        <v>448</v>
      </c>
      <c r="C1587" s="315" t="s">
        <v>498</v>
      </c>
      <c r="D1587" s="299"/>
      <c r="E1587" s="308"/>
      <c r="F1587" s="310" t="s">
        <v>829</v>
      </c>
      <c r="G1587" s="298">
        <v>129</v>
      </c>
      <c r="H1587" s="418">
        <v>400</v>
      </c>
      <c r="I1587" s="418">
        <f t="shared" si="564"/>
        <v>51600</v>
      </c>
      <c r="J1587" s="298">
        <v>129</v>
      </c>
      <c r="K1587" s="456">
        <v>165</v>
      </c>
      <c r="L1587" s="418">
        <f t="shared" si="565"/>
        <v>21285</v>
      </c>
      <c r="M1587" s="298">
        <v>129</v>
      </c>
      <c r="N1587" s="418">
        <v>165</v>
      </c>
      <c r="O1587" s="418">
        <f t="shared" si="566"/>
        <v>21285</v>
      </c>
      <c r="P1587" s="418">
        <f t="shared" si="568"/>
        <v>0</v>
      </c>
      <c r="Q1587" s="418">
        <f t="shared" si="569"/>
        <v>0</v>
      </c>
    </row>
    <row r="1588" spans="2:17" ht="12.75" customHeight="1" x14ac:dyDescent="0.2">
      <c r="B1588" s="302"/>
      <c r="C1588" s="303"/>
      <c r="D1588" s="299"/>
      <c r="E1588" s="308"/>
      <c r="F1588" s="310"/>
      <c r="G1588" s="298"/>
      <c r="H1588" s="418" t="str">
        <f t="shared" si="567"/>
        <v xml:space="preserve"> </v>
      </c>
      <c r="I1588" s="418" t="str">
        <f t="shared" si="564"/>
        <v xml:space="preserve"> </v>
      </c>
      <c r="J1588" s="298"/>
      <c r="K1588" s="456" t="s">
        <v>849</v>
      </c>
      <c r="L1588" s="418" t="str">
        <f t="shared" si="565"/>
        <v xml:space="preserve"> </v>
      </c>
      <c r="M1588" s="298"/>
      <c r="N1588" s="418"/>
      <c r="O1588" s="418" t="str">
        <f t="shared" si="566"/>
        <v xml:space="preserve"> </v>
      </c>
      <c r="P1588" s="418"/>
      <c r="Q1588" s="418"/>
    </row>
    <row r="1589" spans="2:17" ht="12.75" customHeight="1" x14ac:dyDescent="0.2">
      <c r="B1589" s="302" t="s">
        <v>449</v>
      </c>
      <c r="C1589" s="315" t="s">
        <v>11</v>
      </c>
      <c r="D1589" s="299"/>
      <c r="E1589" s="308"/>
      <c r="F1589" s="310" t="s">
        <v>829</v>
      </c>
      <c r="G1589" s="298">
        <v>129</v>
      </c>
      <c r="H1589" s="418">
        <v>500</v>
      </c>
      <c r="I1589" s="418">
        <f t="shared" si="564"/>
        <v>64500</v>
      </c>
      <c r="J1589" s="298">
        <v>129</v>
      </c>
      <c r="K1589" s="456">
        <v>300</v>
      </c>
      <c r="L1589" s="418">
        <f t="shared" si="565"/>
        <v>38700</v>
      </c>
      <c r="M1589" s="298">
        <v>129</v>
      </c>
      <c r="N1589" s="418">
        <v>300</v>
      </c>
      <c r="O1589" s="418">
        <f t="shared" si="566"/>
        <v>38700</v>
      </c>
      <c r="P1589" s="418">
        <f t="shared" si="568"/>
        <v>0</v>
      </c>
      <c r="Q1589" s="418">
        <f t="shared" si="569"/>
        <v>0</v>
      </c>
    </row>
    <row r="1590" spans="2:17" ht="12.75" customHeight="1" x14ac:dyDescent="0.2">
      <c r="B1590" s="315"/>
      <c r="C1590" s="303"/>
      <c r="D1590" s="299"/>
      <c r="E1590" s="308"/>
      <c r="F1590" s="310"/>
      <c r="G1590" s="298"/>
      <c r="H1590" s="418" t="str">
        <f t="shared" si="567"/>
        <v xml:space="preserve"> </v>
      </c>
      <c r="I1590" s="418" t="str">
        <f t="shared" si="564"/>
        <v xml:space="preserve"> </v>
      </c>
      <c r="J1590" s="298"/>
      <c r="K1590" s="456" t="s">
        <v>849</v>
      </c>
      <c r="L1590" s="418" t="str">
        <f t="shared" si="565"/>
        <v xml:space="preserve"> </v>
      </c>
      <c r="M1590" s="298"/>
      <c r="N1590" s="418"/>
      <c r="O1590" s="418" t="str">
        <f t="shared" si="566"/>
        <v xml:space="preserve"> </v>
      </c>
      <c r="P1590" s="418"/>
      <c r="Q1590" s="418"/>
    </row>
    <row r="1591" spans="2:17" ht="12.75" customHeight="1" x14ac:dyDescent="0.2">
      <c r="B1591" s="302">
        <v>56.07</v>
      </c>
      <c r="C1591" s="315" t="s">
        <v>12</v>
      </c>
      <c r="D1591" s="299"/>
      <c r="E1591" s="308"/>
      <c r="F1591" s="310" t="s">
        <v>829</v>
      </c>
      <c r="G1591" s="298">
        <v>5</v>
      </c>
      <c r="H1591" s="418">
        <v>400</v>
      </c>
      <c r="I1591" s="418">
        <f t="shared" si="564"/>
        <v>2000</v>
      </c>
      <c r="J1591" s="298">
        <v>5</v>
      </c>
      <c r="K1591" s="456">
        <v>950</v>
      </c>
      <c r="L1591" s="418">
        <f t="shared" si="565"/>
        <v>4750</v>
      </c>
      <c r="M1591" s="298">
        <v>5</v>
      </c>
      <c r="N1591" s="418">
        <v>950</v>
      </c>
      <c r="O1591" s="418">
        <f t="shared" si="566"/>
        <v>4750</v>
      </c>
      <c r="P1591" s="418">
        <f t="shared" si="568"/>
        <v>0</v>
      </c>
      <c r="Q1591" s="418">
        <f t="shared" si="569"/>
        <v>0</v>
      </c>
    </row>
    <row r="1592" spans="2:17" ht="12.75" customHeight="1" x14ac:dyDescent="0.2">
      <c r="B1592" s="302"/>
      <c r="C1592" s="303"/>
      <c r="D1592" s="299"/>
      <c r="E1592" s="308"/>
      <c r="F1592" s="310"/>
      <c r="G1592" s="298"/>
      <c r="H1592" s="418" t="str">
        <f t="shared" si="567"/>
        <v xml:space="preserve"> </v>
      </c>
      <c r="I1592" s="418" t="str">
        <f t="shared" si="564"/>
        <v xml:space="preserve"> </v>
      </c>
      <c r="J1592" s="298"/>
      <c r="K1592" s="456" t="s">
        <v>849</v>
      </c>
      <c r="L1592" s="418" t="str">
        <f t="shared" si="565"/>
        <v xml:space="preserve"> </v>
      </c>
      <c r="M1592" s="298"/>
      <c r="N1592" s="418"/>
      <c r="O1592" s="418" t="str">
        <f t="shared" si="566"/>
        <v xml:space="preserve"> </v>
      </c>
      <c r="P1592" s="418"/>
      <c r="Q1592" s="418"/>
    </row>
    <row r="1593" spans="2:17" ht="12.75" customHeight="1" x14ac:dyDescent="0.2">
      <c r="B1593" s="302" t="s">
        <v>442</v>
      </c>
      <c r="C1593" s="315" t="s">
        <v>499</v>
      </c>
      <c r="D1593" s="299"/>
      <c r="E1593" s="308"/>
      <c r="F1593" s="310"/>
      <c r="G1593" s="298"/>
      <c r="H1593" s="418" t="str">
        <f t="shared" si="567"/>
        <v xml:space="preserve"> </v>
      </c>
      <c r="I1593" s="418" t="str">
        <f t="shared" si="564"/>
        <v xml:space="preserve"> </v>
      </c>
      <c r="J1593" s="298"/>
      <c r="K1593" s="456" t="s">
        <v>849</v>
      </c>
      <c r="L1593" s="418" t="str">
        <f t="shared" si="565"/>
        <v xml:space="preserve"> </v>
      </c>
      <c r="M1593" s="298"/>
      <c r="N1593" s="418"/>
      <c r="O1593" s="418" t="str">
        <f t="shared" si="566"/>
        <v xml:space="preserve"> </v>
      </c>
      <c r="P1593" s="418"/>
      <c r="Q1593" s="418"/>
    </row>
    <row r="1594" spans="2:17" ht="12.75" customHeight="1" x14ac:dyDescent="0.2">
      <c r="B1594" s="302"/>
      <c r="C1594" s="315" t="s">
        <v>500</v>
      </c>
      <c r="D1594" s="299"/>
      <c r="E1594" s="308"/>
      <c r="F1594" s="310"/>
      <c r="G1594" s="298"/>
      <c r="H1594" s="418" t="str">
        <f t="shared" si="567"/>
        <v xml:space="preserve"> </v>
      </c>
      <c r="I1594" s="418" t="str">
        <f t="shared" si="564"/>
        <v xml:space="preserve"> </v>
      </c>
      <c r="J1594" s="298"/>
      <c r="K1594" s="456" t="s">
        <v>849</v>
      </c>
      <c r="L1594" s="418" t="str">
        <f t="shared" si="565"/>
        <v xml:space="preserve"> </v>
      </c>
      <c r="M1594" s="298"/>
      <c r="N1594" s="418"/>
      <c r="O1594" s="418" t="str">
        <f t="shared" si="566"/>
        <v xml:space="preserve"> </v>
      </c>
      <c r="P1594" s="418"/>
      <c r="Q1594" s="418"/>
    </row>
    <row r="1595" spans="2:17" ht="12.75" customHeight="1" x14ac:dyDescent="0.2">
      <c r="B1595" s="302"/>
      <c r="C1595" s="315" t="s">
        <v>278</v>
      </c>
      <c r="D1595" s="316" t="s">
        <v>834</v>
      </c>
      <c r="E1595" s="308"/>
      <c r="F1595" s="310" t="s">
        <v>254</v>
      </c>
      <c r="G1595" s="298">
        <v>20</v>
      </c>
      <c r="H1595" s="418">
        <v>300</v>
      </c>
      <c r="I1595" s="418">
        <f t="shared" si="564"/>
        <v>6000</v>
      </c>
      <c r="J1595" s="298">
        <v>20</v>
      </c>
      <c r="K1595" s="456">
        <v>150</v>
      </c>
      <c r="L1595" s="418">
        <f t="shared" si="565"/>
        <v>3000</v>
      </c>
      <c r="M1595" s="298">
        <v>20</v>
      </c>
      <c r="N1595" s="418">
        <v>150</v>
      </c>
      <c r="O1595" s="418">
        <f t="shared" si="566"/>
        <v>3000</v>
      </c>
      <c r="P1595" s="418">
        <f t="shared" si="568"/>
        <v>0</v>
      </c>
      <c r="Q1595" s="418">
        <f t="shared" si="569"/>
        <v>0</v>
      </c>
    </row>
    <row r="1596" spans="2:17" ht="12.75" customHeight="1" x14ac:dyDescent="0.2">
      <c r="B1596" s="302"/>
      <c r="C1596" s="303"/>
      <c r="D1596" s="299"/>
      <c r="E1596" s="308"/>
      <c r="F1596" s="310"/>
      <c r="G1596" s="298"/>
      <c r="H1596" s="418" t="str">
        <f t="shared" si="567"/>
        <v xml:space="preserve"> </v>
      </c>
      <c r="I1596" s="418" t="str">
        <f t="shared" si="564"/>
        <v xml:space="preserve"> </v>
      </c>
      <c r="J1596" s="298"/>
      <c r="K1596" s="456" t="s">
        <v>849</v>
      </c>
      <c r="L1596" s="418" t="str">
        <f t="shared" si="565"/>
        <v xml:space="preserve"> </v>
      </c>
      <c r="M1596" s="298"/>
      <c r="N1596" s="418"/>
      <c r="O1596" s="418" t="str">
        <f t="shared" si="566"/>
        <v xml:space="preserve"> </v>
      </c>
      <c r="P1596" s="418"/>
      <c r="Q1596" s="418"/>
    </row>
    <row r="1597" spans="2:17" ht="12.75" customHeight="1" x14ac:dyDescent="0.2">
      <c r="B1597" s="302"/>
      <c r="C1597" s="315" t="s">
        <v>279</v>
      </c>
      <c r="D1597" s="316" t="s">
        <v>835</v>
      </c>
      <c r="E1597" s="308"/>
      <c r="F1597" s="310" t="s">
        <v>254</v>
      </c>
      <c r="G1597" s="298">
        <v>4</v>
      </c>
      <c r="H1597" s="418">
        <v>300</v>
      </c>
      <c r="I1597" s="418">
        <f t="shared" si="564"/>
        <v>1200</v>
      </c>
      <c r="J1597" s="298">
        <v>4</v>
      </c>
      <c r="K1597" s="456">
        <v>150</v>
      </c>
      <c r="L1597" s="418">
        <f t="shared" si="565"/>
        <v>600</v>
      </c>
      <c r="M1597" s="298">
        <v>4</v>
      </c>
      <c r="N1597" s="418">
        <v>150</v>
      </c>
      <c r="O1597" s="418">
        <f t="shared" si="566"/>
        <v>600</v>
      </c>
      <c r="P1597" s="418">
        <f t="shared" si="568"/>
        <v>0</v>
      </c>
      <c r="Q1597" s="418">
        <f t="shared" si="569"/>
        <v>0</v>
      </c>
    </row>
    <row r="1598" spans="2:17" ht="12.75" customHeight="1" x14ac:dyDescent="0.2">
      <c r="B1598" s="302"/>
      <c r="C1598" s="303"/>
      <c r="D1598" s="299"/>
      <c r="E1598" s="308"/>
      <c r="F1598" s="310"/>
      <c r="G1598" s="298"/>
      <c r="H1598" s="418" t="str">
        <f t="shared" si="567"/>
        <v xml:space="preserve"> </v>
      </c>
      <c r="I1598" s="418" t="str">
        <f t="shared" si="564"/>
        <v xml:space="preserve"> </v>
      </c>
      <c r="J1598" s="298"/>
      <c r="K1598" s="456" t="s">
        <v>849</v>
      </c>
      <c r="L1598" s="418" t="str">
        <f t="shared" si="565"/>
        <v xml:space="preserve"> </v>
      </c>
      <c r="M1598" s="298"/>
      <c r="N1598" s="418"/>
      <c r="O1598" s="418" t="str">
        <f t="shared" si="566"/>
        <v xml:space="preserve"> </v>
      </c>
      <c r="P1598" s="418"/>
      <c r="Q1598" s="418"/>
    </row>
    <row r="1599" spans="2:17" ht="12.75" customHeight="1" x14ac:dyDescent="0.2">
      <c r="B1599" s="302" t="s">
        <v>390</v>
      </c>
      <c r="C1599" s="315" t="s">
        <v>391</v>
      </c>
      <c r="D1599" s="299"/>
      <c r="E1599" s="308"/>
      <c r="F1599" s="310"/>
      <c r="G1599" s="298"/>
      <c r="H1599" s="418" t="str">
        <f t="shared" si="567"/>
        <v xml:space="preserve"> </v>
      </c>
      <c r="I1599" s="418" t="str">
        <f t="shared" si="564"/>
        <v xml:space="preserve"> </v>
      </c>
      <c r="J1599" s="298"/>
      <c r="K1599" s="456" t="s">
        <v>849</v>
      </c>
      <c r="L1599" s="418" t="str">
        <f t="shared" si="565"/>
        <v xml:space="preserve"> </v>
      </c>
      <c r="M1599" s="298"/>
      <c r="N1599" s="418"/>
      <c r="O1599" s="418" t="str">
        <f t="shared" si="566"/>
        <v xml:space="preserve"> </v>
      </c>
      <c r="P1599" s="418"/>
      <c r="Q1599" s="418"/>
    </row>
    <row r="1600" spans="2:17" ht="12.75" customHeight="1" x14ac:dyDescent="0.2">
      <c r="B1600" s="302"/>
      <c r="C1600" s="315" t="s">
        <v>278</v>
      </c>
      <c r="D1600" s="316" t="s">
        <v>392</v>
      </c>
      <c r="E1600" s="308"/>
      <c r="F1600" s="310" t="s">
        <v>254</v>
      </c>
      <c r="G1600" s="298">
        <v>200</v>
      </c>
      <c r="H1600" s="418">
        <v>500</v>
      </c>
      <c r="I1600" s="418">
        <f t="shared" si="564"/>
        <v>100000</v>
      </c>
      <c r="J1600" s="298">
        <v>200</v>
      </c>
      <c r="K1600" s="456">
        <v>350</v>
      </c>
      <c r="L1600" s="418">
        <f t="shared" si="565"/>
        <v>70000</v>
      </c>
      <c r="M1600" s="298">
        <v>200</v>
      </c>
      <c r="N1600" s="418">
        <v>350</v>
      </c>
      <c r="O1600" s="418">
        <f t="shared" si="566"/>
        <v>70000</v>
      </c>
      <c r="P1600" s="418">
        <f t="shared" si="568"/>
        <v>0</v>
      </c>
      <c r="Q1600" s="418">
        <f t="shared" si="569"/>
        <v>0</v>
      </c>
    </row>
    <row r="1601" spans="2:17" ht="12.75" customHeight="1" x14ac:dyDescent="0.2">
      <c r="B1601" s="302"/>
      <c r="C1601" s="303"/>
      <c r="D1601" s="299"/>
      <c r="E1601" s="308"/>
      <c r="F1601" s="310"/>
      <c r="G1601" s="298"/>
      <c r="H1601" s="418" t="str">
        <f t="shared" si="567"/>
        <v xml:space="preserve"> </v>
      </c>
      <c r="I1601" s="418" t="str">
        <f t="shared" si="564"/>
        <v xml:space="preserve"> </v>
      </c>
      <c r="J1601" s="298"/>
      <c r="K1601" s="456" t="s">
        <v>849</v>
      </c>
      <c r="L1601" s="418" t="str">
        <f t="shared" si="565"/>
        <v xml:space="preserve"> </v>
      </c>
      <c r="M1601" s="298"/>
      <c r="N1601" s="418"/>
      <c r="O1601" s="418" t="str">
        <f t="shared" si="566"/>
        <v xml:space="preserve"> </v>
      </c>
      <c r="P1601" s="418"/>
      <c r="Q1601" s="418"/>
    </row>
    <row r="1602" spans="2:17" ht="12.75" customHeight="1" x14ac:dyDescent="0.2">
      <c r="B1602" s="302"/>
      <c r="C1602" s="315" t="s">
        <v>279</v>
      </c>
      <c r="D1602" s="316" t="s">
        <v>393</v>
      </c>
      <c r="E1602" s="308"/>
      <c r="F1602" s="310" t="s">
        <v>254</v>
      </c>
      <c r="G1602" s="298">
        <v>50</v>
      </c>
      <c r="H1602" s="418">
        <v>600</v>
      </c>
      <c r="I1602" s="418">
        <f t="shared" si="564"/>
        <v>30000</v>
      </c>
      <c r="J1602" s="298">
        <v>50</v>
      </c>
      <c r="K1602" s="456">
        <v>300</v>
      </c>
      <c r="L1602" s="418">
        <f t="shared" si="565"/>
        <v>15000</v>
      </c>
      <c r="M1602" s="298">
        <v>50</v>
      </c>
      <c r="N1602" s="418">
        <v>300</v>
      </c>
      <c r="O1602" s="418">
        <f t="shared" si="566"/>
        <v>15000</v>
      </c>
      <c r="P1602" s="418">
        <f t="shared" si="568"/>
        <v>0</v>
      </c>
      <c r="Q1602" s="418">
        <f t="shared" si="569"/>
        <v>0</v>
      </c>
    </row>
    <row r="1603" spans="2:17" ht="12.75" customHeight="1" x14ac:dyDescent="0.2">
      <c r="B1603" s="302"/>
      <c r="C1603" s="303"/>
      <c r="D1603" s="299"/>
      <c r="E1603" s="308"/>
      <c r="F1603" s="310"/>
      <c r="G1603" s="298"/>
      <c r="H1603" s="418" t="str">
        <f t="shared" si="567"/>
        <v xml:space="preserve"> </v>
      </c>
      <c r="I1603" s="418" t="str">
        <f t="shared" si="564"/>
        <v xml:space="preserve"> </v>
      </c>
      <c r="J1603" s="298"/>
      <c r="K1603" s="456" t="s">
        <v>849</v>
      </c>
      <c r="L1603" s="418" t="str">
        <f t="shared" si="565"/>
        <v xml:space="preserve"> </v>
      </c>
      <c r="M1603" s="298"/>
      <c r="N1603" s="418"/>
      <c r="O1603" s="418" t="str">
        <f t="shared" si="566"/>
        <v xml:space="preserve"> </v>
      </c>
      <c r="P1603" s="418"/>
      <c r="Q1603" s="418"/>
    </row>
    <row r="1604" spans="2:17" ht="12.75" customHeight="1" x14ac:dyDescent="0.2">
      <c r="B1604" s="302" t="s">
        <v>443</v>
      </c>
      <c r="C1604" s="315" t="s">
        <v>394</v>
      </c>
      <c r="D1604" s="299"/>
      <c r="E1604" s="308"/>
      <c r="F1604" s="310" t="s">
        <v>829</v>
      </c>
      <c r="G1604" s="298">
        <v>15</v>
      </c>
      <c r="H1604" s="418">
        <v>1500</v>
      </c>
      <c r="I1604" s="418">
        <f t="shared" si="564"/>
        <v>22500</v>
      </c>
      <c r="J1604" s="298">
        <v>15</v>
      </c>
      <c r="K1604" s="456">
        <v>1850</v>
      </c>
      <c r="L1604" s="418">
        <f t="shared" si="565"/>
        <v>27750</v>
      </c>
      <c r="M1604" s="298">
        <v>15</v>
      </c>
      <c r="N1604" s="418">
        <v>3000</v>
      </c>
      <c r="O1604" s="418">
        <f t="shared" si="566"/>
        <v>45000</v>
      </c>
      <c r="P1604" s="460">
        <f t="shared" si="568"/>
        <v>-1150</v>
      </c>
      <c r="Q1604" s="460">
        <f t="shared" si="569"/>
        <v>-17250</v>
      </c>
    </row>
    <row r="1605" spans="2:17" ht="12.75" customHeight="1" x14ac:dyDescent="0.2">
      <c r="B1605" s="302"/>
      <c r="C1605" s="303"/>
      <c r="D1605" s="299"/>
      <c r="E1605" s="308"/>
      <c r="F1605" s="310"/>
      <c r="G1605" s="298"/>
      <c r="H1605" s="436"/>
      <c r="I1605" s="418" t="str">
        <f t="shared" si="564"/>
        <v xml:space="preserve"> </v>
      </c>
      <c r="J1605" s="298"/>
      <c r="K1605" s="456"/>
      <c r="L1605" s="418" t="str">
        <f t="shared" si="565"/>
        <v xml:space="preserve"> </v>
      </c>
      <c r="M1605" s="298"/>
      <c r="N1605" s="436"/>
      <c r="O1605" s="418" t="str">
        <f t="shared" si="566"/>
        <v xml:space="preserve"> </v>
      </c>
      <c r="P1605" s="418" t="str">
        <f t="shared" ref="P1605:P1607" si="570">IF(N1605=0," ",N1605*O1605)</f>
        <v xml:space="preserve"> </v>
      </c>
      <c r="Q1605" s="418"/>
    </row>
    <row r="1606" spans="2:17" ht="12.75" customHeight="1" x14ac:dyDescent="0.2">
      <c r="B1606" s="302"/>
      <c r="C1606" s="303"/>
      <c r="D1606" s="299"/>
      <c r="E1606" s="308"/>
      <c r="F1606" s="310"/>
      <c r="G1606" s="298"/>
      <c r="H1606" s="436"/>
      <c r="I1606" s="418" t="str">
        <f t="shared" si="564"/>
        <v xml:space="preserve"> </v>
      </c>
      <c r="J1606" s="298"/>
      <c r="K1606" s="456"/>
      <c r="L1606" s="418" t="str">
        <f t="shared" si="565"/>
        <v xml:space="preserve"> </v>
      </c>
      <c r="M1606" s="298"/>
      <c r="N1606" s="436"/>
      <c r="O1606" s="418" t="str">
        <f t="shared" si="566"/>
        <v xml:space="preserve"> </v>
      </c>
      <c r="P1606" s="418" t="str">
        <f t="shared" si="570"/>
        <v xml:space="preserve"> </v>
      </c>
      <c r="Q1606" s="418"/>
    </row>
    <row r="1607" spans="2:17" ht="12.75" customHeight="1" x14ac:dyDescent="0.2">
      <c r="B1607" s="267"/>
      <c r="F1607" s="265"/>
      <c r="G1607" s="268"/>
      <c r="H1607" s="317"/>
      <c r="I1607" s="418" t="str">
        <f t="shared" si="564"/>
        <v xml:space="preserve"> </v>
      </c>
      <c r="J1607" s="268"/>
      <c r="K1607" s="456"/>
      <c r="L1607" s="418" t="str">
        <f t="shared" si="565"/>
        <v xml:space="preserve"> </v>
      </c>
      <c r="M1607" s="268"/>
      <c r="N1607" s="317"/>
      <c r="O1607" s="418" t="str">
        <f t="shared" si="566"/>
        <v xml:space="preserve"> </v>
      </c>
      <c r="P1607" s="418" t="str">
        <f t="shared" si="570"/>
        <v xml:space="preserve"> </v>
      </c>
      <c r="Q1607" s="418"/>
    </row>
    <row r="1608" spans="2:17" ht="12.75" customHeight="1" x14ac:dyDescent="0.2">
      <c r="B1608" s="267"/>
      <c r="F1608" s="265"/>
      <c r="G1608" s="268"/>
      <c r="H1608" s="317"/>
      <c r="I1608" s="418"/>
      <c r="J1608" s="268"/>
      <c r="K1608" s="456"/>
      <c r="L1608" s="418"/>
      <c r="M1608" s="268"/>
      <c r="N1608" s="317"/>
      <c r="O1608" s="418"/>
      <c r="P1608" s="418"/>
      <c r="Q1608" s="418"/>
    </row>
    <row r="1609" spans="2:17" ht="12.75" customHeight="1" x14ac:dyDescent="0.2">
      <c r="B1609" s="267"/>
      <c r="F1609" s="265"/>
      <c r="G1609" s="268"/>
      <c r="H1609" s="317"/>
      <c r="I1609" s="418"/>
      <c r="J1609" s="268"/>
      <c r="K1609" s="456"/>
      <c r="L1609" s="418"/>
      <c r="M1609" s="268"/>
      <c r="N1609" s="317"/>
      <c r="O1609" s="418"/>
      <c r="P1609" s="418"/>
      <c r="Q1609" s="418"/>
    </row>
    <row r="1610" spans="2:17" ht="12.75" customHeight="1" x14ac:dyDescent="0.2">
      <c r="B1610" s="267"/>
      <c r="F1610" s="265"/>
      <c r="G1610" s="268"/>
      <c r="H1610" s="317"/>
      <c r="I1610" s="418"/>
      <c r="J1610" s="268"/>
      <c r="K1610" s="456"/>
      <c r="L1610" s="418"/>
      <c r="M1610" s="268"/>
      <c r="N1610" s="317"/>
      <c r="O1610" s="418"/>
      <c r="P1610" s="418"/>
      <c r="Q1610" s="418"/>
    </row>
    <row r="1611" spans="2:17" ht="12.75" customHeight="1" x14ac:dyDescent="0.2">
      <c r="B1611" s="267"/>
      <c r="F1611" s="265"/>
      <c r="G1611" s="268"/>
      <c r="H1611" s="317"/>
      <c r="I1611" s="418"/>
      <c r="J1611" s="268"/>
      <c r="K1611" s="456"/>
      <c r="L1611" s="418"/>
      <c r="M1611" s="268"/>
      <c r="N1611" s="317"/>
      <c r="O1611" s="418"/>
      <c r="P1611" s="418"/>
      <c r="Q1611" s="418"/>
    </row>
    <row r="1612" spans="2:17" ht="12.75" customHeight="1" x14ac:dyDescent="0.2">
      <c r="B1612" s="267"/>
      <c r="F1612" s="265"/>
      <c r="G1612" s="268"/>
      <c r="H1612" s="317"/>
      <c r="I1612" s="418"/>
      <c r="J1612" s="268"/>
      <c r="K1612" s="456"/>
      <c r="L1612" s="418"/>
      <c r="M1612" s="268"/>
      <c r="N1612" s="317"/>
      <c r="O1612" s="418"/>
      <c r="P1612" s="418"/>
      <c r="Q1612" s="418"/>
    </row>
    <row r="1613" spans="2:17" ht="12.75" customHeight="1" x14ac:dyDescent="0.2">
      <c r="B1613" s="267"/>
      <c r="F1613" s="265"/>
      <c r="G1613" s="268"/>
      <c r="H1613" s="317"/>
      <c r="I1613" s="418"/>
      <c r="J1613" s="268"/>
      <c r="K1613" s="456"/>
      <c r="L1613" s="418"/>
      <c r="M1613" s="268"/>
      <c r="N1613" s="317"/>
      <c r="O1613" s="418"/>
      <c r="P1613" s="418"/>
      <c r="Q1613" s="418"/>
    </row>
    <row r="1614" spans="2:17" ht="12.75" customHeight="1" x14ac:dyDescent="0.2">
      <c r="B1614" s="267"/>
      <c r="F1614" s="265"/>
      <c r="G1614" s="268"/>
      <c r="H1614" s="317"/>
      <c r="I1614" s="418"/>
      <c r="J1614" s="268"/>
      <c r="K1614" s="456"/>
      <c r="L1614" s="418"/>
      <c r="M1614" s="268"/>
      <c r="N1614" s="317"/>
      <c r="O1614" s="418"/>
      <c r="P1614" s="418"/>
      <c r="Q1614" s="418"/>
    </row>
    <row r="1615" spans="2:17" ht="12.75" customHeight="1" x14ac:dyDescent="0.2">
      <c r="B1615" s="267"/>
      <c r="F1615" s="265"/>
      <c r="G1615" s="268"/>
      <c r="H1615" s="317"/>
      <c r="I1615" s="418"/>
      <c r="J1615" s="268"/>
      <c r="K1615" s="456"/>
      <c r="L1615" s="418"/>
      <c r="M1615" s="268"/>
      <c r="N1615" s="317"/>
      <c r="O1615" s="418"/>
      <c r="P1615" s="418"/>
      <c r="Q1615" s="418"/>
    </row>
    <row r="1616" spans="2:17" ht="12.75" customHeight="1" x14ac:dyDescent="0.2">
      <c r="B1616" s="267"/>
      <c r="F1616" s="265"/>
      <c r="G1616" s="268"/>
      <c r="H1616" s="317"/>
      <c r="I1616" s="418"/>
      <c r="J1616" s="268"/>
      <c r="K1616" s="456"/>
      <c r="L1616" s="418"/>
      <c r="M1616" s="268"/>
      <c r="N1616" s="317"/>
      <c r="O1616" s="418"/>
      <c r="P1616" s="418"/>
      <c r="Q1616" s="418"/>
    </row>
    <row r="1617" spans="2:17" ht="12.75" customHeight="1" x14ac:dyDescent="0.2">
      <c r="B1617" s="267"/>
      <c r="F1617" s="265"/>
      <c r="G1617" s="268"/>
      <c r="H1617" s="317"/>
      <c r="I1617" s="418"/>
      <c r="J1617" s="268"/>
      <c r="K1617" s="456"/>
      <c r="L1617" s="418"/>
      <c r="M1617" s="268"/>
      <c r="N1617" s="317"/>
      <c r="O1617" s="418"/>
      <c r="P1617" s="418"/>
      <c r="Q1617" s="418"/>
    </row>
    <row r="1618" spans="2:17" ht="12.75" customHeight="1" x14ac:dyDescent="0.2">
      <c r="B1618" s="267"/>
      <c r="F1618" s="265"/>
      <c r="G1618" s="268"/>
      <c r="H1618" s="317"/>
      <c r="I1618" s="418"/>
      <c r="J1618" s="268"/>
      <c r="K1618" s="456"/>
      <c r="L1618" s="418"/>
      <c r="M1618" s="268"/>
      <c r="N1618" s="317"/>
      <c r="O1618" s="418"/>
      <c r="P1618" s="418"/>
      <c r="Q1618" s="418"/>
    </row>
    <row r="1619" spans="2:17" ht="12.75" customHeight="1" x14ac:dyDescent="0.2">
      <c r="B1619" s="267"/>
      <c r="F1619" s="265"/>
      <c r="G1619" s="268"/>
      <c r="H1619" s="317"/>
      <c r="I1619" s="418"/>
      <c r="J1619" s="268"/>
      <c r="K1619" s="456"/>
      <c r="L1619" s="418"/>
      <c r="M1619" s="268"/>
      <c r="N1619" s="317"/>
      <c r="O1619" s="418"/>
      <c r="P1619" s="418"/>
      <c r="Q1619" s="418"/>
    </row>
    <row r="1620" spans="2:17" ht="12.75" customHeight="1" x14ac:dyDescent="0.2">
      <c r="B1620" s="267"/>
      <c r="F1620" s="265"/>
      <c r="G1620" s="268"/>
      <c r="H1620" s="317"/>
      <c r="I1620" s="418"/>
      <c r="J1620" s="268"/>
      <c r="K1620" s="456"/>
      <c r="L1620" s="418"/>
      <c r="M1620" s="268"/>
      <c r="N1620" s="317"/>
      <c r="O1620" s="418"/>
      <c r="P1620" s="418"/>
      <c r="Q1620" s="418"/>
    </row>
    <row r="1621" spans="2:17" ht="12.75" customHeight="1" x14ac:dyDescent="0.2">
      <c r="B1621" s="267"/>
      <c r="F1621" s="265"/>
      <c r="G1621" s="268"/>
      <c r="H1621" s="317"/>
      <c r="I1621" s="418"/>
      <c r="J1621" s="268"/>
      <c r="K1621" s="456"/>
      <c r="L1621" s="418"/>
      <c r="M1621" s="268"/>
      <c r="N1621" s="317"/>
      <c r="O1621" s="418"/>
      <c r="P1621" s="418"/>
      <c r="Q1621" s="418"/>
    </row>
    <row r="1622" spans="2:17" ht="12.75" customHeight="1" x14ac:dyDescent="0.2">
      <c r="B1622" s="267"/>
      <c r="F1622" s="265"/>
      <c r="G1622" s="268"/>
      <c r="H1622" s="317"/>
      <c r="I1622" s="418"/>
      <c r="J1622" s="268"/>
      <c r="K1622" s="456"/>
      <c r="L1622" s="418"/>
      <c r="M1622" s="268"/>
      <c r="N1622" s="317"/>
      <c r="O1622" s="418"/>
      <c r="P1622" s="418"/>
      <c r="Q1622" s="418"/>
    </row>
    <row r="1623" spans="2:17" ht="12.75" customHeight="1" x14ac:dyDescent="0.2">
      <c r="B1623" s="267"/>
      <c r="F1623" s="265"/>
      <c r="G1623" s="268"/>
      <c r="H1623" s="317"/>
      <c r="I1623" s="418"/>
      <c r="J1623" s="268"/>
      <c r="K1623" s="456"/>
      <c r="L1623" s="418"/>
      <c r="M1623" s="268"/>
      <c r="N1623" s="317"/>
      <c r="O1623" s="418"/>
      <c r="P1623" s="418"/>
      <c r="Q1623" s="418"/>
    </row>
    <row r="1624" spans="2:17" ht="12.75" customHeight="1" x14ac:dyDescent="0.2">
      <c r="B1624" s="267"/>
      <c r="F1624" s="265"/>
      <c r="G1624" s="268"/>
      <c r="H1624" s="317"/>
      <c r="I1624" s="418"/>
      <c r="J1624" s="268"/>
      <c r="K1624" s="456"/>
      <c r="L1624" s="418"/>
      <c r="M1624" s="268"/>
      <c r="N1624" s="317"/>
      <c r="O1624" s="418"/>
      <c r="P1624" s="418"/>
      <c r="Q1624" s="418"/>
    </row>
    <row r="1625" spans="2:17" ht="12.75" customHeight="1" x14ac:dyDescent="0.2">
      <c r="B1625" s="273"/>
      <c r="F1625" s="265"/>
      <c r="G1625" s="268"/>
      <c r="H1625" s="317"/>
      <c r="I1625" s="318" t="str">
        <f>IF(G1497=0," ",G1497*H1628)</f>
        <v xml:space="preserve"> </v>
      </c>
      <c r="J1625" s="268"/>
      <c r="K1625" s="456"/>
      <c r="L1625" s="318" t="str">
        <f t="shared" ref="L1625" si="571">IF(J1497=0," ",J1497*K1628)</f>
        <v xml:space="preserve"> </v>
      </c>
      <c r="M1625" s="268"/>
      <c r="N1625" s="317"/>
      <c r="O1625" s="318" t="str">
        <f t="shared" ref="O1625" si="572">IF(M1497=0," ",M1497*N1628)</f>
        <v xml:space="preserve"> </v>
      </c>
      <c r="P1625" s="318" t="str">
        <f t="shared" ref="P1625" si="573">IF(N1497=0," ",N1497*O1628)</f>
        <v xml:space="preserve"> </v>
      </c>
      <c r="Q1625" s="318" t="str">
        <f t="shared" ref="Q1625" si="574">IF(O1497=0," ",O1497*P1628)</f>
        <v xml:space="preserve"> </v>
      </c>
    </row>
    <row r="1626" spans="2:17" ht="12.75" customHeight="1" x14ac:dyDescent="0.2">
      <c r="B1626" s="287">
        <v>5600</v>
      </c>
      <c r="C1626" s="288" t="s">
        <v>268</v>
      </c>
      <c r="D1626" s="289"/>
      <c r="E1626" s="290"/>
      <c r="F1626" s="291"/>
      <c r="G1626" s="291"/>
      <c r="H1626" s="422"/>
      <c r="I1626" s="423">
        <f>SUM(I1569:I1625)</f>
        <v>678500</v>
      </c>
      <c r="J1626" s="412"/>
      <c r="K1626" s="457"/>
      <c r="L1626" s="423">
        <f>SUM(L1569:L1625)</f>
        <v>511672.5</v>
      </c>
      <c r="M1626" s="291"/>
      <c r="N1626" s="422"/>
      <c r="O1626" s="423">
        <f>SUM(O1569:O1625)</f>
        <v>479422.5</v>
      </c>
      <c r="P1626" s="423"/>
      <c r="Q1626" s="423">
        <f t="shared" ref="Q1626" si="575">SUM(Q1569:Q1625)</f>
        <v>32250</v>
      </c>
    </row>
    <row r="1627" spans="2:17" ht="12.75" customHeight="1" x14ac:dyDescent="0.2">
      <c r="B1627" s="239" t="s">
        <v>79</v>
      </c>
      <c r="C1627" s="239"/>
      <c r="D1627" s="263"/>
      <c r="E1627" s="297"/>
      <c r="G1627" s="364"/>
      <c r="H1627" s="450"/>
      <c r="I1627" s="451"/>
      <c r="K1627" s="456"/>
      <c r="L1627" s="451"/>
      <c r="M1627" s="364"/>
      <c r="N1627" s="450"/>
      <c r="O1627" s="451"/>
      <c r="P1627" s="451"/>
      <c r="Q1627" s="451"/>
    </row>
    <row r="1628" spans="2:17" ht="12.75" customHeight="1" x14ac:dyDescent="0.2">
      <c r="B1628" s="239" t="s">
        <v>267</v>
      </c>
      <c r="C1628" s="240"/>
      <c r="E1628" s="238"/>
      <c r="I1628" s="427"/>
      <c r="K1628" s="456"/>
      <c r="L1628" s="427"/>
      <c r="O1628" s="427"/>
      <c r="P1628" s="427"/>
      <c r="Q1628" s="427"/>
    </row>
    <row r="1629" spans="2:17" ht="12.75" customHeight="1" x14ac:dyDescent="0.2">
      <c r="B1629" s="243"/>
      <c r="C1629" s="243"/>
      <c r="D1629" s="244"/>
      <c r="E1629" s="245"/>
      <c r="F1629" s="246"/>
      <c r="G1629" s="246"/>
      <c r="H1629" s="452"/>
      <c r="I1629" s="453"/>
      <c r="J1629" s="246"/>
      <c r="K1629" s="456"/>
      <c r="L1629" s="453"/>
      <c r="M1629" s="246"/>
      <c r="N1629" s="452"/>
      <c r="O1629" s="453"/>
      <c r="P1629" s="453"/>
      <c r="Q1629" s="453"/>
    </row>
    <row r="1630" spans="2:17" ht="12.75" customHeight="1" x14ac:dyDescent="0.2">
      <c r="B1630" s="267" t="s">
        <v>263</v>
      </c>
      <c r="C1630" s="273" t="s">
        <v>264</v>
      </c>
      <c r="D1630" s="353"/>
      <c r="E1630" s="265"/>
      <c r="F1630" s="265" t="s">
        <v>265</v>
      </c>
      <c r="G1630" s="268" t="s">
        <v>68</v>
      </c>
      <c r="H1630" s="317" t="s">
        <v>849</v>
      </c>
      <c r="I1630" s="318" t="s">
        <v>849</v>
      </c>
      <c r="J1630" s="268" t="s">
        <v>68</v>
      </c>
      <c r="K1630" s="454" t="s">
        <v>849</v>
      </c>
      <c r="L1630" s="318" t="s">
        <v>849</v>
      </c>
      <c r="M1630" s="268" t="s">
        <v>68</v>
      </c>
      <c r="N1630" s="317" t="s">
        <v>849</v>
      </c>
      <c r="O1630" s="318" t="s">
        <v>849</v>
      </c>
      <c r="P1630" s="318" t="s">
        <v>849</v>
      </c>
      <c r="Q1630" s="318" t="s">
        <v>849</v>
      </c>
    </row>
    <row r="1631" spans="2:17" ht="12.75" customHeight="1" x14ac:dyDescent="0.2">
      <c r="B1631" s="253" t="s">
        <v>266</v>
      </c>
      <c r="C1631" s="254"/>
      <c r="D1631" s="255"/>
      <c r="E1631" s="256"/>
      <c r="F1631" s="256"/>
      <c r="G1631" s="357" t="s">
        <v>69</v>
      </c>
      <c r="H1631" s="257" t="s">
        <v>262</v>
      </c>
      <c r="I1631" s="258" t="s">
        <v>70</v>
      </c>
      <c r="J1631" s="357" t="s">
        <v>69</v>
      </c>
      <c r="K1631" s="455" t="s">
        <v>262</v>
      </c>
      <c r="L1631" s="258" t="s">
        <v>70</v>
      </c>
      <c r="M1631" s="357" t="s">
        <v>69</v>
      </c>
      <c r="N1631" s="257" t="s">
        <v>262</v>
      </c>
      <c r="O1631" s="258" t="s">
        <v>70</v>
      </c>
      <c r="P1631" s="258" t="s">
        <v>70</v>
      </c>
      <c r="Q1631" s="258" t="s">
        <v>70</v>
      </c>
    </row>
    <row r="1632" spans="2:17" ht="12.75" customHeight="1" x14ac:dyDescent="0.2">
      <c r="B1632" s="273"/>
      <c r="F1632" s="265"/>
      <c r="G1632" s="268"/>
      <c r="H1632" s="251"/>
      <c r="I1632" s="252"/>
      <c r="J1632" s="268"/>
      <c r="K1632" s="456"/>
      <c r="L1632" s="252"/>
      <c r="M1632" s="268"/>
      <c r="N1632" s="251"/>
      <c r="O1632" s="252"/>
      <c r="P1632" s="252"/>
      <c r="Q1632" s="252"/>
    </row>
    <row r="1633" spans="2:17" ht="12.75" customHeight="1" x14ac:dyDescent="0.2">
      <c r="B1633" s="261">
        <v>5700</v>
      </c>
      <c r="C1633" s="262" t="s">
        <v>13</v>
      </c>
      <c r="D1633" s="263"/>
      <c r="E1633" s="264"/>
      <c r="F1633" s="265"/>
      <c r="G1633" s="268"/>
      <c r="H1633" s="317"/>
      <c r="I1633" s="418"/>
      <c r="J1633" s="268"/>
      <c r="K1633" s="456"/>
      <c r="L1633" s="418"/>
      <c r="M1633" s="268"/>
      <c r="N1633" s="317"/>
      <c r="O1633" s="418"/>
      <c r="P1633" s="418"/>
      <c r="Q1633" s="418"/>
    </row>
    <row r="1634" spans="2:17" ht="12.75" customHeight="1" x14ac:dyDescent="0.2">
      <c r="B1634" s="267"/>
      <c r="F1634" s="265"/>
      <c r="G1634" s="268"/>
      <c r="H1634" s="317"/>
      <c r="I1634" s="418"/>
      <c r="J1634" s="268"/>
      <c r="K1634" s="456"/>
      <c r="L1634" s="418"/>
      <c r="M1634" s="268"/>
      <c r="N1634" s="317"/>
      <c r="O1634" s="418"/>
      <c r="P1634" s="418"/>
      <c r="Q1634" s="418"/>
    </row>
    <row r="1635" spans="2:17" ht="12.75" customHeight="1" x14ac:dyDescent="0.2">
      <c r="B1635" s="267">
        <v>57.01</v>
      </c>
      <c r="C1635" s="273" t="s">
        <v>14</v>
      </c>
      <c r="D1635" s="285"/>
      <c r="E1635" s="286"/>
      <c r="F1635" s="265"/>
      <c r="G1635" s="268"/>
      <c r="H1635" s="317"/>
      <c r="I1635" s="418" t="str">
        <f>IF(G1635=0," ",G1635*H1639)</f>
        <v xml:space="preserve"> </v>
      </c>
      <c r="J1635" s="268"/>
      <c r="K1635" s="456"/>
      <c r="L1635" s="418" t="str">
        <f t="shared" ref="L1635" si="576">IF(J1635=0," ",J1635*K1639)</f>
        <v xml:space="preserve"> </v>
      </c>
      <c r="M1635" s="268"/>
      <c r="N1635" s="317"/>
      <c r="O1635" s="418" t="str">
        <f t="shared" ref="O1635" si="577">IF(M1635=0," ",M1635*N1639)</f>
        <v xml:space="preserve"> </v>
      </c>
      <c r="P1635" s="418" t="str">
        <f t="shared" ref="P1635" si="578">IF(N1635=0," ",N1635*O1639)</f>
        <v xml:space="preserve"> </v>
      </c>
      <c r="Q1635" s="418"/>
    </row>
    <row r="1636" spans="2:17" ht="12.75" customHeight="1" x14ac:dyDescent="0.2">
      <c r="B1636" s="267"/>
      <c r="C1636" s="273" t="s">
        <v>278</v>
      </c>
      <c r="D1636" s="285" t="s">
        <v>501</v>
      </c>
      <c r="E1636" s="286"/>
      <c r="F1636" s="265"/>
      <c r="G1636" s="268"/>
      <c r="H1636" s="317"/>
      <c r="I1636" s="418"/>
      <c r="J1636" s="268"/>
      <c r="K1636" s="456"/>
      <c r="L1636" s="418"/>
      <c r="M1636" s="268"/>
      <c r="N1636" s="317"/>
      <c r="O1636" s="418"/>
      <c r="P1636" s="418"/>
      <c r="Q1636" s="418"/>
    </row>
    <row r="1637" spans="2:17" ht="12.75" customHeight="1" x14ac:dyDescent="0.2">
      <c r="B1637" s="267"/>
      <c r="D1637" s="285" t="s">
        <v>277</v>
      </c>
      <c r="E1637" s="286" t="s">
        <v>502</v>
      </c>
      <c r="F1637" s="265" t="s">
        <v>288</v>
      </c>
      <c r="G1637" s="268">
        <v>22</v>
      </c>
      <c r="H1637" s="418">
        <v>4000</v>
      </c>
      <c r="I1637" s="418">
        <f t="shared" ref="I1637:I1669" si="579">IF(G1637=0," ",G1637*H1637)</f>
        <v>88000</v>
      </c>
      <c r="J1637" s="268">
        <v>22</v>
      </c>
      <c r="K1637" s="456">
        <v>8500</v>
      </c>
      <c r="L1637" s="418">
        <f t="shared" ref="L1637:L1669" si="580">IF(J1637=0," ",J1637*K1637)</f>
        <v>187000</v>
      </c>
      <c r="M1637" s="268">
        <v>22</v>
      </c>
      <c r="N1637" s="418">
        <v>8500</v>
      </c>
      <c r="O1637" s="418">
        <f t="shared" ref="O1637:O1669" si="581">IF(M1637=0," ",M1637*N1637)</f>
        <v>187000</v>
      </c>
      <c r="P1637" s="418">
        <f>K1637-N1637</f>
        <v>0</v>
      </c>
      <c r="Q1637" s="418">
        <f>L1637-O1637</f>
        <v>0</v>
      </c>
    </row>
    <row r="1638" spans="2:17" ht="12.75" customHeight="1" x14ac:dyDescent="0.2">
      <c r="B1638" s="267"/>
      <c r="F1638" s="265"/>
      <c r="G1638" s="268"/>
      <c r="H1638" s="418" t="str">
        <f>IF(F1530=0," ",F1530*G1643)</f>
        <v xml:space="preserve"> </v>
      </c>
      <c r="I1638" s="418" t="str">
        <f t="shared" si="579"/>
        <v xml:space="preserve"> </v>
      </c>
      <c r="J1638" s="268"/>
      <c r="K1638" s="456" t="s">
        <v>849</v>
      </c>
      <c r="L1638" s="418" t="str">
        <f t="shared" si="580"/>
        <v xml:space="preserve"> </v>
      </c>
      <c r="M1638" s="268"/>
      <c r="N1638" s="418"/>
      <c r="O1638" s="418" t="str">
        <f t="shared" si="581"/>
        <v xml:space="preserve"> </v>
      </c>
      <c r="P1638" s="418"/>
      <c r="Q1638" s="418"/>
    </row>
    <row r="1639" spans="2:17" ht="12.75" customHeight="1" x14ac:dyDescent="0.2">
      <c r="B1639" s="267"/>
      <c r="D1639" s="285" t="s">
        <v>124</v>
      </c>
      <c r="E1639" s="286" t="s">
        <v>503</v>
      </c>
      <c r="F1639" s="265" t="s">
        <v>288</v>
      </c>
      <c r="G1639" s="268">
        <v>3.2</v>
      </c>
      <c r="H1639" s="418">
        <v>10000</v>
      </c>
      <c r="I1639" s="418">
        <f t="shared" si="579"/>
        <v>32000</v>
      </c>
      <c r="J1639" s="268">
        <v>3.2</v>
      </c>
      <c r="K1639" s="456">
        <v>33500</v>
      </c>
      <c r="L1639" s="418">
        <f t="shared" si="580"/>
        <v>107200</v>
      </c>
      <c r="M1639" s="268">
        <v>3.2</v>
      </c>
      <c r="N1639" s="418">
        <v>20000</v>
      </c>
      <c r="O1639" s="418">
        <f t="shared" si="581"/>
        <v>64000</v>
      </c>
      <c r="P1639" s="460">
        <f t="shared" ref="P1639:P1657" si="582">K1639-N1639</f>
        <v>13500</v>
      </c>
      <c r="Q1639" s="460">
        <f t="shared" ref="Q1639:Q1657" si="583">L1639-O1639</f>
        <v>43200</v>
      </c>
    </row>
    <row r="1640" spans="2:17" ht="12.75" customHeight="1" x14ac:dyDescent="0.2">
      <c r="B1640" s="273"/>
      <c r="F1640" s="265"/>
      <c r="G1640" s="268"/>
      <c r="H1640" s="418"/>
      <c r="I1640" s="418" t="str">
        <f t="shared" si="579"/>
        <v xml:space="preserve"> </v>
      </c>
      <c r="J1640" s="268"/>
      <c r="K1640" s="456"/>
      <c r="L1640" s="418" t="str">
        <f t="shared" si="580"/>
        <v xml:space="preserve"> </v>
      </c>
      <c r="M1640" s="268"/>
      <c r="N1640" s="418"/>
      <c r="O1640" s="418" t="str">
        <f t="shared" si="581"/>
        <v xml:space="preserve"> </v>
      </c>
      <c r="P1640" s="418"/>
      <c r="Q1640" s="418"/>
    </row>
    <row r="1641" spans="2:17" ht="12.75" customHeight="1" x14ac:dyDescent="0.2">
      <c r="B1641" s="267"/>
      <c r="C1641" s="273" t="s">
        <v>279</v>
      </c>
      <c r="D1641" s="241" t="s">
        <v>504</v>
      </c>
      <c r="F1641" s="265"/>
      <c r="G1641" s="268"/>
      <c r="H1641" s="418" t="str">
        <f t="shared" ref="H1641:H1656" si="584">IF(F1641=0," ",F1641*G1641)</f>
        <v xml:space="preserve"> </v>
      </c>
      <c r="I1641" s="418" t="str">
        <f t="shared" si="579"/>
        <v xml:space="preserve"> </v>
      </c>
      <c r="J1641" s="268"/>
      <c r="K1641" s="456" t="s">
        <v>849</v>
      </c>
      <c r="L1641" s="418" t="str">
        <f t="shared" si="580"/>
        <v xml:space="preserve"> </v>
      </c>
      <c r="M1641" s="268"/>
      <c r="N1641" s="418"/>
      <c r="O1641" s="418" t="str">
        <f t="shared" si="581"/>
        <v xml:space="preserve"> </v>
      </c>
      <c r="P1641" s="418"/>
      <c r="Q1641" s="418"/>
    </row>
    <row r="1642" spans="2:17" ht="12.75" customHeight="1" x14ac:dyDescent="0.2">
      <c r="B1642" s="267"/>
      <c r="D1642" s="285" t="s">
        <v>277</v>
      </c>
      <c r="E1642" s="286" t="s">
        <v>646</v>
      </c>
      <c r="F1642" s="265" t="s">
        <v>288</v>
      </c>
      <c r="G1642" s="268">
        <v>28.8</v>
      </c>
      <c r="H1642" s="418">
        <v>5500</v>
      </c>
      <c r="I1642" s="418">
        <f t="shared" si="579"/>
        <v>158400</v>
      </c>
      <c r="J1642" s="268">
        <v>28.8</v>
      </c>
      <c r="K1642" s="456">
        <v>8500</v>
      </c>
      <c r="L1642" s="418">
        <f t="shared" si="580"/>
        <v>244800</v>
      </c>
      <c r="M1642" s="268">
        <v>28.8</v>
      </c>
      <c r="N1642" s="418">
        <v>8500</v>
      </c>
      <c r="O1642" s="418">
        <f t="shared" si="581"/>
        <v>244800</v>
      </c>
      <c r="P1642" s="418">
        <f t="shared" si="582"/>
        <v>0</v>
      </c>
      <c r="Q1642" s="418">
        <f t="shared" si="583"/>
        <v>0</v>
      </c>
    </row>
    <row r="1643" spans="2:17" ht="12.75" customHeight="1" x14ac:dyDescent="0.2">
      <c r="B1643" s="267"/>
      <c r="F1643" s="265"/>
      <c r="G1643" s="268"/>
      <c r="H1643" s="418" t="str">
        <f>IF(F1533=0," ",F1533*G1664)</f>
        <v xml:space="preserve"> </v>
      </c>
      <c r="I1643" s="418" t="str">
        <f t="shared" si="579"/>
        <v xml:space="preserve"> </v>
      </c>
      <c r="J1643" s="268"/>
      <c r="K1643" s="456" t="s">
        <v>849</v>
      </c>
      <c r="L1643" s="418" t="str">
        <f t="shared" si="580"/>
        <v xml:space="preserve"> </v>
      </c>
      <c r="M1643" s="268"/>
      <c r="N1643" s="418"/>
      <c r="O1643" s="418" t="str">
        <f t="shared" si="581"/>
        <v xml:space="preserve"> </v>
      </c>
      <c r="P1643" s="418"/>
      <c r="Q1643" s="418"/>
    </row>
    <row r="1644" spans="2:17" ht="12.75" customHeight="1" x14ac:dyDescent="0.2">
      <c r="B1644" s="267"/>
      <c r="C1644" s="273" t="s">
        <v>281</v>
      </c>
      <c r="D1644" s="241" t="s">
        <v>505</v>
      </c>
      <c r="F1644" s="265" t="s">
        <v>275</v>
      </c>
      <c r="G1644" s="268">
        <v>150</v>
      </c>
      <c r="H1644" s="418">
        <v>100</v>
      </c>
      <c r="I1644" s="418">
        <f t="shared" si="579"/>
        <v>15000</v>
      </c>
      <c r="J1644" s="268">
        <v>150</v>
      </c>
      <c r="K1644" s="456">
        <v>95</v>
      </c>
      <c r="L1644" s="418">
        <f t="shared" si="580"/>
        <v>14250</v>
      </c>
      <c r="M1644" s="268">
        <v>150</v>
      </c>
      <c r="N1644" s="418">
        <v>95</v>
      </c>
      <c r="O1644" s="418">
        <f t="shared" si="581"/>
        <v>14250</v>
      </c>
      <c r="P1644" s="418">
        <f t="shared" si="582"/>
        <v>0</v>
      </c>
      <c r="Q1644" s="418">
        <f t="shared" si="583"/>
        <v>0</v>
      </c>
    </row>
    <row r="1645" spans="2:17" ht="12.75" customHeight="1" x14ac:dyDescent="0.2">
      <c r="B1645" s="267"/>
      <c r="F1645" s="265"/>
      <c r="G1645" s="268"/>
      <c r="H1645" s="317"/>
      <c r="I1645" s="418" t="str">
        <f t="shared" si="579"/>
        <v xml:space="preserve"> </v>
      </c>
      <c r="J1645" s="268"/>
      <c r="K1645" s="456"/>
      <c r="L1645" s="418" t="str">
        <f t="shared" si="580"/>
        <v xml:space="preserve"> </v>
      </c>
      <c r="M1645" s="268"/>
      <c r="N1645" s="317"/>
      <c r="O1645" s="418" t="str">
        <f t="shared" si="581"/>
        <v xml:space="preserve"> </v>
      </c>
      <c r="P1645" s="418"/>
      <c r="Q1645" s="418"/>
    </row>
    <row r="1646" spans="2:17" ht="12.75" customHeight="1" x14ac:dyDescent="0.2">
      <c r="B1646" s="267">
        <v>57.04</v>
      </c>
      <c r="C1646" s="273" t="s">
        <v>15</v>
      </c>
      <c r="F1646" s="265"/>
      <c r="G1646" s="268"/>
      <c r="H1646" s="317"/>
      <c r="I1646" s="418" t="str">
        <f t="shared" si="579"/>
        <v xml:space="preserve"> </v>
      </c>
      <c r="J1646" s="268"/>
      <c r="K1646" s="456"/>
      <c r="L1646" s="418" t="str">
        <f t="shared" si="580"/>
        <v xml:space="preserve"> </v>
      </c>
      <c r="M1646" s="268"/>
      <c r="N1646" s="317"/>
      <c r="O1646" s="418" t="str">
        <f t="shared" si="581"/>
        <v xml:space="preserve"> </v>
      </c>
      <c r="P1646" s="418"/>
      <c r="Q1646" s="418"/>
    </row>
    <row r="1647" spans="2:17" ht="12.75" customHeight="1" x14ac:dyDescent="0.2">
      <c r="B1647" s="267"/>
      <c r="C1647" s="273" t="s">
        <v>278</v>
      </c>
      <c r="D1647" s="241" t="s">
        <v>506</v>
      </c>
      <c r="F1647" s="265" t="s">
        <v>456</v>
      </c>
      <c r="G1647" s="268">
        <v>55</v>
      </c>
      <c r="H1647" s="421">
        <v>100</v>
      </c>
      <c r="I1647" s="418">
        <f t="shared" si="579"/>
        <v>5500</v>
      </c>
      <c r="J1647" s="268">
        <v>55</v>
      </c>
      <c r="K1647" s="456">
        <v>19.5</v>
      </c>
      <c r="L1647" s="418">
        <f t="shared" si="580"/>
        <v>1072.5</v>
      </c>
      <c r="M1647" s="268">
        <v>55</v>
      </c>
      <c r="N1647" s="421">
        <v>19.5</v>
      </c>
      <c r="O1647" s="418">
        <f t="shared" si="581"/>
        <v>1072.5</v>
      </c>
      <c r="P1647" s="418">
        <f t="shared" si="582"/>
        <v>0</v>
      </c>
      <c r="Q1647" s="418">
        <f t="shared" si="583"/>
        <v>0</v>
      </c>
    </row>
    <row r="1648" spans="2:17" ht="12.75" customHeight="1" x14ac:dyDescent="0.2">
      <c r="B1648" s="267"/>
      <c r="F1648" s="265"/>
      <c r="G1648" s="268"/>
      <c r="H1648" s="317"/>
      <c r="I1648" s="418" t="str">
        <f t="shared" si="579"/>
        <v xml:space="preserve"> </v>
      </c>
      <c r="J1648" s="268"/>
      <c r="K1648" s="456"/>
      <c r="L1648" s="418" t="str">
        <f t="shared" si="580"/>
        <v xml:space="preserve"> </v>
      </c>
      <c r="M1648" s="268"/>
      <c r="N1648" s="317"/>
      <c r="O1648" s="418" t="str">
        <f t="shared" si="581"/>
        <v xml:space="preserve"> </v>
      </c>
      <c r="P1648" s="418"/>
      <c r="Q1648" s="418"/>
    </row>
    <row r="1649" spans="2:17" ht="12.75" customHeight="1" x14ac:dyDescent="0.2">
      <c r="B1649" s="267"/>
      <c r="C1649" s="273" t="s">
        <v>279</v>
      </c>
      <c r="D1649" s="241" t="s">
        <v>507</v>
      </c>
      <c r="F1649" s="265" t="s">
        <v>456</v>
      </c>
      <c r="G1649" s="268">
        <v>55</v>
      </c>
      <c r="H1649" s="421">
        <v>100</v>
      </c>
      <c r="I1649" s="418">
        <f t="shared" si="579"/>
        <v>5500</v>
      </c>
      <c r="J1649" s="268">
        <v>55</v>
      </c>
      <c r="K1649" s="456">
        <v>19.5</v>
      </c>
      <c r="L1649" s="418">
        <f t="shared" si="580"/>
        <v>1072.5</v>
      </c>
      <c r="M1649" s="268">
        <v>55</v>
      </c>
      <c r="N1649" s="421">
        <v>19.5</v>
      </c>
      <c r="O1649" s="418">
        <f t="shared" si="581"/>
        <v>1072.5</v>
      </c>
      <c r="P1649" s="418">
        <f t="shared" si="582"/>
        <v>0</v>
      </c>
      <c r="Q1649" s="418">
        <f t="shared" si="583"/>
        <v>0</v>
      </c>
    </row>
    <row r="1650" spans="2:17" ht="12.75" customHeight="1" x14ac:dyDescent="0.2">
      <c r="B1650" s="267"/>
      <c r="F1650" s="265"/>
      <c r="G1650" s="268"/>
      <c r="H1650" s="317"/>
      <c r="I1650" s="418" t="str">
        <f t="shared" si="579"/>
        <v xml:space="preserve"> </v>
      </c>
      <c r="J1650" s="268"/>
      <c r="K1650" s="456"/>
      <c r="L1650" s="418" t="str">
        <f t="shared" si="580"/>
        <v xml:space="preserve"> </v>
      </c>
      <c r="M1650" s="268"/>
      <c r="N1650" s="317"/>
      <c r="O1650" s="418" t="str">
        <f t="shared" si="581"/>
        <v xml:space="preserve"> </v>
      </c>
      <c r="P1650" s="418"/>
      <c r="Q1650" s="418"/>
    </row>
    <row r="1651" spans="2:17" ht="12.75" customHeight="1" x14ac:dyDescent="0.2">
      <c r="B1651" s="267" t="s">
        <v>395</v>
      </c>
      <c r="C1651" s="315" t="s">
        <v>647</v>
      </c>
      <c r="F1651" s="265" t="s">
        <v>266</v>
      </c>
      <c r="G1651" s="268">
        <v>1050</v>
      </c>
      <c r="H1651" s="418">
        <v>110</v>
      </c>
      <c r="I1651" s="418">
        <f t="shared" si="579"/>
        <v>115500</v>
      </c>
      <c r="J1651" s="268">
        <v>1050</v>
      </c>
      <c r="K1651" s="456">
        <v>185</v>
      </c>
      <c r="L1651" s="418">
        <f t="shared" si="580"/>
        <v>194250</v>
      </c>
      <c r="M1651" s="268">
        <v>1050</v>
      </c>
      <c r="N1651" s="418">
        <v>185</v>
      </c>
      <c r="O1651" s="418">
        <f t="shared" si="581"/>
        <v>194250</v>
      </c>
      <c r="P1651" s="418">
        <f t="shared" si="582"/>
        <v>0</v>
      </c>
      <c r="Q1651" s="418">
        <f t="shared" si="583"/>
        <v>0</v>
      </c>
    </row>
    <row r="1652" spans="2:17" ht="12.75" customHeight="1" x14ac:dyDescent="0.2">
      <c r="B1652" s="267"/>
      <c r="C1652" s="273" t="s">
        <v>648</v>
      </c>
      <c r="F1652" s="265"/>
      <c r="G1652" s="268"/>
      <c r="H1652" s="418" t="str">
        <f t="shared" si="584"/>
        <v xml:space="preserve"> </v>
      </c>
      <c r="I1652" s="418" t="str">
        <f t="shared" si="579"/>
        <v xml:space="preserve"> </v>
      </c>
      <c r="J1652" s="268"/>
      <c r="K1652" s="456" t="s">
        <v>849</v>
      </c>
      <c r="L1652" s="418" t="str">
        <f t="shared" si="580"/>
        <v xml:space="preserve"> </v>
      </c>
      <c r="M1652" s="268"/>
      <c r="N1652" s="418"/>
      <c r="O1652" s="418" t="str">
        <f t="shared" si="581"/>
        <v xml:space="preserve"> </v>
      </c>
      <c r="P1652" s="418"/>
      <c r="Q1652" s="418"/>
    </row>
    <row r="1653" spans="2:17" ht="12.75" customHeight="1" x14ac:dyDescent="0.2">
      <c r="B1653" s="267"/>
      <c r="F1653" s="265"/>
      <c r="G1653" s="268"/>
      <c r="H1653" s="418" t="str">
        <f t="shared" si="584"/>
        <v xml:space="preserve"> </v>
      </c>
      <c r="I1653" s="418" t="str">
        <f t="shared" si="579"/>
        <v xml:space="preserve"> </v>
      </c>
      <c r="J1653" s="268"/>
      <c r="K1653" s="456" t="s">
        <v>849</v>
      </c>
      <c r="L1653" s="418" t="str">
        <f t="shared" si="580"/>
        <v xml:space="preserve"> </v>
      </c>
      <c r="M1653" s="268"/>
      <c r="N1653" s="418"/>
      <c r="O1653" s="418" t="str">
        <f t="shared" si="581"/>
        <v xml:space="preserve"> </v>
      </c>
      <c r="P1653" s="418"/>
      <c r="Q1653" s="418"/>
    </row>
    <row r="1654" spans="2:17" ht="12.75" customHeight="1" x14ac:dyDescent="0.2">
      <c r="B1654" s="267">
        <v>57.06</v>
      </c>
      <c r="C1654" s="273" t="s">
        <v>508</v>
      </c>
      <c r="F1654" s="265" t="s">
        <v>288</v>
      </c>
      <c r="G1654" s="268">
        <v>30.24</v>
      </c>
      <c r="H1654" s="418">
        <v>1000</v>
      </c>
      <c r="I1654" s="418">
        <f t="shared" si="579"/>
        <v>30240</v>
      </c>
      <c r="J1654" s="268">
        <v>30.24</v>
      </c>
      <c r="K1654" s="456">
        <v>1450</v>
      </c>
      <c r="L1654" s="418">
        <f t="shared" si="580"/>
        <v>43848</v>
      </c>
      <c r="M1654" s="268">
        <v>30.24</v>
      </c>
      <c r="N1654" s="418">
        <v>1450</v>
      </c>
      <c r="O1654" s="418">
        <f t="shared" si="581"/>
        <v>43848</v>
      </c>
      <c r="P1654" s="418">
        <f t="shared" si="582"/>
        <v>0</v>
      </c>
      <c r="Q1654" s="418">
        <f t="shared" si="583"/>
        <v>0</v>
      </c>
    </row>
    <row r="1655" spans="2:17" ht="12.75" customHeight="1" x14ac:dyDescent="0.2">
      <c r="B1655" s="267"/>
      <c r="C1655" s="273" t="s">
        <v>509</v>
      </c>
      <c r="F1655" s="265"/>
      <c r="G1655" s="268"/>
      <c r="H1655" s="418" t="str">
        <f t="shared" si="584"/>
        <v xml:space="preserve"> </v>
      </c>
      <c r="I1655" s="418" t="str">
        <f t="shared" si="579"/>
        <v xml:space="preserve"> </v>
      </c>
      <c r="J1655" s="268"/>
      <c r="K1655" s="456" t="s">
        <v>849</v>
      </c>
      <c r="L1655" s="418" t="str">
        <f t="shared" si="580"/>
        <v xml:space="preserve"> </v>
      </c>
      <c r="M1655" s="268"/>
      <c r="N1655" s="418"/>
      <c r="O1655" s="418" t="str">
        <f t="shared" si="581"/>
        <v xml:space="preserve"> </v>
      </c>
      <c r="P1655" s="418"/>
      <c r="Q1655" s="418"/>
    </row>
    <row r="1656" spans="2:17" ht="12.75" customHeight="1" x14ac:dyDescent="0.2">
      <c r="B1656" s="267"/>
      <c r="F1656" s="265"/>
      <c r="G1656" s="268"/>
      <c r="H1656" s="418" t="str">
        <f t="shared" si="584"/>
        <v xml:space="preserve"> </v>
      </c>
      <c r="I1656" s="418" t="str">
        <f t="shared" si="579"/>
        <v xml:space="preserve"> </v>
      </c>
      <c r="J1656" s="268"/>
      <c r="K1656" s="456" t="s">
        <v>849</v>
      </c>
      <c r="L1656" s="418" t="str">
        <f t="shared" si="580"/>
        <v xml:space="preserve"> </v>
      </c>
      <c r="M1656" s="268"/>
      <c r="N1656" s="418"/>
      <c r="O1656" s="418" t="str">
        <f t="shared" si="581"/>
        <v xml:space="preserve"> </v>
      </c>
      <c r="P1656" s="418"/>
      <c r="Q1656" s="418"/>
    </row>
    <row r="1657" spans="2:17" ht="12.75" customHeight="1" x14ac:dyDescent="0.2">
      <c r="B1657" s="267">
        <v>57.07</v>
      </c>
      <c r="C1657" s="273" t="s">
        <v>510</v>
      </c>
      <c r="F1657" s="265" t="s">
        <v>844</v>
      </c>
      <c r="G1657" s="268">
        <v>1</v>
      </c>
      <c r="H1657" s="418">
        <v>20000</v>
      </c>
      <c r="I1657" s="418">
        <f t="shared" si="579"/>
        <v>20000</v>
      </c>
      <c r="J1657" s="268">
        <v>1</v>
      </c>
      <c r="K1657" s="456">
        <v>5000</v>
      </c>
      <c r="L1657" s="418">
        <f t="shared" si="580"/>
        <v>5000</v>
      </c>
      <c r="M1657" s="268">
        <v>1</v>
      </c>
      <c r="N1657" s="418">
        <v>5000</v>
      </c>
      <c r="O1657" s="418">
        <f t="shared" si="581"/>
        <v>5000</v>
      </c>
      <c r="P1657" s="418">
        <f t="shared" si="582"/>
        <v>0</v>
      </c>
      <c r="Q1657" s="418">
        <f t="shared" si="583"/>
        <v>0</v>
      </c>
    </row>
    <row r="1658" spans="2:17" ht="12.75" customHeight="1" x14ac:dyDescent="0.2">
      <c r="B1658" s="267"/>
      <c r="C1658" s="273" t="s">
        <v>511</v>
      </c>
      <c r="F1658" s="265"/>
      <c r="G1658" s="268"/>
      <c r="H1658" s="317"/>
      <c r="I1658" s="418" t="str">
        <f t="shared" si="579"/>
        <v xml:space="preserve"> </v>
      </c>
      <c r="J1658" s="268"/>
      <c r="K1658" s="456"/>
      <c r="L1658" s="418" t="str">
        <f t="shared" si="580"/>
        <v xml:space="preserve"> </v>
      </c>
      <c r="M1658" s="268"/>
      <c r="N1658" s="317"/>
      <c r="O1658" s="418" t="str">
        <f t="shared" si="581"/>
        <v xml:space="preserve"> </v>
      </c>
      <c r="P1658" s="418" t="str">
        <f t="shared" ref="P1658:P1669" si="585">IF(N1658=0," ",N1658*O1658)</f>
        <v xml:space="preserve"> </v>
      </c>
      <c r="Q1658" s="418"/>
    </row>
    <row r="1659" spans="2:17" ht="12.75" customHeight="1" x14ac:dyDescent="0.2">
      <c r="B1659" s="273"/>
      <c r="F1659" s="265"/>
      <c r="G1659" s="268"/>
      <c r="H1659" s="317"/>
      <c r="I1659" s="418" t="str">
        <f t="shared" si="579"/>
        <v xml:space="preserve"> </v>
      </c>
      <c r="J1659" s="268"/>
      <c r="K1659" s="456"/>
      <c r="L1659" s="418" t="str">
        <f t="shared" si="580"/>
        <v xml:space="preserve"> </v>
      </c>
      <c r="M1659" s="268"/>
      <c r="N1659" s="317"/>
      <c r="O1659" s="418" t="str">
        <f t="shared" si="581"/>
        <v xml:space="preserve"> </v>
      </c>
      <c r="P1659" s="418" t="str">
        <f t="shared" si="585"/>
        <v xml:space="preserve"> </v>
      </c>
      <c r="Q1659" s="418"/>
    </row>
    <row r="1660" spans="2:17" ht="12.75" customHeight="1" x14ac:dyDescent="0.2">
      <c r="B1660" s="273"/>
      <c r="F1660" s="265"/>
      <c r="G1660" s="268"/>
      <c r="H1660" s="317"/>
      <c r="I1660" s="418" t="str">
        <f t="shared" si="579"/>
        <v xml:space="preserve"> </v>
      </c>
      <c r="J1660" s="268"/>
      <c r="K1660" s="456"/>
      <c r="L1660" s="418" t="str">
        <f t="shared" si="580"/>
        <v xml:space="preserve"> </v>
      </c>
      <c r="M1660" s="268"/>
      <c r="N1660" s="317"/>
      <c r="O1660" s="418" t="str">
        <f t="shared" si="581"/>
        <v xml:space="preserve"> </v>
      </c>
      <c r="P1660" s="418" t="str">
        <f t="shared" si="585"/>
        <v xml:space="preserve"> </v>
      </c>
      <c r="Q1660" s="418"/>
    </row>
    <row r="1661" spans="2:17" ht="12.75" customHeight="1" x14ac:dyDescent="0.2">
      <c r="B1661" s="267"/>
      <c r="F1661" s="265"/>
      <c r="G1661" s="268"/>
      <c r="H1661" s="317"/>
      <c r="I1661" s="418" t="str">
        <f t="shared" si="579"/>
        <v xml:space="preserve"> </v>
      </c>
      <c r="J1661" s="268"/>
      <c r="K1661" s="456"/>
      <c r="L1661" s="418" t="str">
        <f t="shared" si="580"/>
        <v xml:space="preserve"> </v>
      </c>
      <c r="M1661" s="268"/>
      <c r="N1661" s="317"/>
      <c r="O1661" s="418" t="str">
        <f t="shared" si="581"/>
        <v xml:space="preserve"> </v>
      </c>
      <c r="P1661" s="418" t="str">
        <f t="shared" si="585"/>
        <v xml:space="preserve"> </v>
      </c>
      <c r="Q1661" s="418"/>
    </row>
    <row r="1662" spans="2:17" ht="12.75" customHeight="1" x14ac:dyDescent="0.2">
      <c r="B1662" s="267"/>
      <c r="F1662" s="265"/>
      <c r="G1662" s="268"/>
      <c r="H1662" s="317"/>
      <c r="I1662" s="418" t="str">
        <f t="shared" si="579"/>
        <v xml:space="preserve"> </v>
      </c>
      <c r="J1662" s="268"/>
      <c r="K1662" s="456"/>
      <c r="L1662" s="418" t="str">
        <f t="shared" si="580"/>
        <v xml:space="preserve"> </v>
      </c>
      <c r="M1662" s="268"/>
      <c r="N1662" s="317"/>
      <c r="O1662" s="418" t="str">
        <f t="shared" si="581"/>
        <v xml:space="preserve"> </v>
      </c>
      <c r="P1662" s="418" t="str">
        <f t="shared" si="585"/>
        <v xml:space="preserve"> </v>
      </c>
      <c r="Q1662" s="418"/>
    </row>
    <row r="1663" spans="2:17" ht="12.75" customHeight="1" x14ac:dyDescent="0.2">
      <c r="B1663" s="267"/>
      <c r="F1663" s="265"/>
      <c r="G1663" s="268"/>
      <c r="H1663" s="317"/>
      <c r="I1663" s="418" t="str">
        <f t="shared" si="579"/>
        <v xml:space="preserve"> </v>
      </c>
      <c r="J1663" s="268"/>
      <c r="K1663" s="456"/>
      <c r="L1663" s="418" t="str">
        <f t="shared" si="580"/>
        <v xml:space="preserve"> </v>
      </c>
      <c r="M1663" s="268"/>
      <c r="N1663" s="317"/>
      <c r="O1663" s="418" t="str">
        <f t="shared" si="581"/>
        <v xml:space="preserve"> </v>
      </c>
      <c r="P1663" s="418" t="str">
        <f t="shared" si="585"/>
        <v xml:space="preserve"> </v>
      </c>
      <c r="Q1663" s="418"/>
    </row>
    <row r="1664" spans="2:17" ht="12.75" customHeight="1" x14ac:dyDescent="0.2">
      <c r="B1664" s="267"/>
      <c r="F1664" s="265"/>
      <c r="G1664" s="268"/>
      <c r="H1664" s="317"/>
      <c r="I1664" s="418" t="str">
        <f t="shared" si="579"/>
        <v xml:space="preserve"> </v>
      </c>
      <c r="J1664" s="268"/>
      <c r="K1664" s="456"/>
      <c r="L1664" s="418" t="str">
        <f t="shared" si="580"/>
        <v xml:space="preserve"> </v>
      </c>
      <c r="M1664" s="268"/>
      <c r="N1664" s="317"/>
      <c r="O1664" s="418" t="str">
        <f t="shared" si="581"/>
        <v xml:space="preserve"> </v>
      </c>
      <c r="P1664" s="418" t="str">
        <f t="shared" si="585"/>
        <v xml:space="preserve"> </v>
      </c>
      <c r="Q1664" s="418"/>
    </row>
    <row r="1665" spans="2:17" ht="12.75" customHeight="1" x14ac:dyDescent="0.2">
      <c r="B1665" s="267"/>
      <c r="F1665" s="265"/>
      <c r="G1665" s="268"/>
      <c r="H1665" s="317"/>
      <c r="I1665" s="418" t="str">
        <f t="shared" si="579"/>
        <v xml:space="preserve"> </v>
      </c>
      <c r="J1665" s="268"/>
      <c r="K1665" s="456"/>
      <c r="L1665" s="418" t="str">
        <f t="shared" si="580"/>
        <v xml:space="preserve"> </v>
      </c>
      <c r="M1665" s="268"/>
      <c r="N1665" s="317"/>
      <c r="O1665" s="418" t="str">
        <f t="shared" si="581"/>
        <v xml:space="preserve"> </v>
      </c>
      <c r="P1665" s="418" t="str">
        <f t="shared" si="585"/>
        <v xml:space="preserve"> </v>
      </c>
      <c r="Q1665" s="418"/>
    </row>
    <row r="1666" spans="2:17" ht="12.75" customHeight="1" x14ac:dyDescent="0.2">
      <c r="B1666" s="267"/>
      <c r="F1666" s="265"/>
      <c r="G1666" s="268"/>
      <c r="H1666" s="317"/>
      <c r="I1666" s="418" t="str">
        <f t="shared" si="579"/>
        <v xml:space="preserve"> </v>
      </c>
      <c r="J1666" s="268"/>
      <c r="K1666" s="456"/>
      <c r="L1666" s="418" t="str">
        <f t="shared" si="580"/>
        <v xml:space="preserve"> </v>
      </c>
      <c r="M1666" s="268"/>
      <c r="N1666" s="317"/>
      <c r="O1666" s="418" t="str">
        <f t="shared" si="581"/>
        <v xml:space="preserve"> </v>
      </c>
      <c r="P1666" s="418" t="str">
        <f t="shared" si="585"/>
        <v xml:space="preserve"> </v>
      </c>
      <c r="Q1666" s="418"/>
    </row>
    <row r="1667" spans="2:17" ht="12.75" customHeight="1" x14ac:dyDescent="0.2">
      <c r="B1667" s="267"/>
      <c r="F1667" s="265"/>
      <c r="G1667" s="268"/>
      <c r="H1667" s="317"/>
      <c r="I1667" s="418" t="str">
        <f t="shared" si="579"/>
        <v xml:space="preserve"> </v>
      </c>
      <c r="J1667" s="268"/>
      <c r="K1667" s="456"/>
      <c r="L1667" s="418" t="str">
        <f t="shared" si="580"/>
        <v xml:space="preserve"> </v>
      </c>
      <c r="M1667" s="268"/>
      <c r="N1667" s="317"/>
      <c r="O1667" s="418" t="str">
        <f t="shared" si="581"/>
        <v xml:space="preserve"> </v>
      </c>
      <c r="P1667" s="418" t="str">
        <f t="shared" si="585"/>
        <v xml:space="preserve"> </v>
      </c>
      <c r="Q1667" s="418"/>
    </row>
    <row r="1668" spans="2:17" ht="12.75" customHeight="1" x14ac:dyDescent="0.2">
      <c r="B1668" s="267"/>
      <c r="F1668" s="265"/>
      <c r="G1668" s="268"/>
      <c r="H1668" s="317"/>
      <c r="I1668" s="418" t="str">
        <f t="shared" si="579"/>
        <v xml:space="preserve"> </v>
      </c>
      <c r="J1668" s="268"/>
      <c r="K1668" s="456"/>
      <c r="L1668" s="418" t="str">
        <f t="shared" si="580"/>
        <v xml:space="preserve"> </v>
      </c>
      <c r="M1668" s="268"/>
      <c r="N1668" s="317"/>
      <c r="O1668" s="418" t="str">
        <f t="shared" si="581"/>
        <v xml:space="preserve"> </v>
      </c>
      <c r="P1668" s="418" t="str">
        <f t="shared" si="585"/>
        <v xml:space="preserve"> </v>
      </c>
      <c r="Q1668" s="418"/>
    </row>
    <row r="1669" spans="2:17" ht="12.75" customHeight="1" x14ac:dyDescent="0.2">
      <c r="B1669" s="267"/>
      <c r="F1669" s="265"/>
      <c r="G1669" s="268"/>
      <c r="H1669" s="317"/>
      <c r="I1669" s="418" t="str">
        <f t="shared" si="579"/>
        <v xml:space="preserve"> </v>
      </c>
      <c r="J1669" s="268"/>
      <c r="K1669" s="456"/>
      <c r="L1669" s="418" t="str">
        <f t="shared" si="580"/>
        <v xml:space="preserve"> </v>
      </c>
      <c r="M1669" s="268"/>
      <c r="N1669" s="317"/>
      <c r="O1669" s="418" t="str">
        <f t="shared" si="581"/>
        <v xml:space="preserve"> </v>
      </c>
      <c r="P1669" s="418" t="str">
        <f t="shared" si="585"/>
        <v xml:space="preserve"> </v>
      </c>
      <c r="Q1669" s="418"/>
    </row>
    <row r="1670" spans="2:17" ht="12.75" customHeight="1" x14ac:dyDescent="0.2">
      <c r="B1670" s="267"/>
      <c r="F1670" s="265"/>
      <c r="G1670" s="268"/>
      <c r="H1670" s="317"/>
      <c r="I1670" s="418"/>
      <c r="J1670" s="268"/>
      <c r="K1670" s="456"/>
      <c r="L1670" s="418"/>
      <c r="M1670" s="268"/>
      <c r="N1670" s="317"/>
      <c r="O1670" s="418"/>
      <c r="P1670" s="418"/>
      <c r="Q1670" s="418"/>
    </row>
    <row r="1671" spans="2:17" ht="12.75" customHeight="1" x14ac:dyDescent="0.2">
      <c r="B1671" s="267"/>
      <c r="F1671" s="265"/>
      <c r="G1671" s="268"/>
      <c r="H1671" s="317"/>
      <c r="I1671" s="418"/>
      <c r="J1671" s="268"/>
      <c r="K1671" s="456"/>
      <c r="L1671" s="418"/>
      <c r="M1671" s="268"/>
      <c r="N1671" s="317"/>
      <c r="O1671" s="418"/>
      <c r="P1671" s="418"/>
      <c r="Q1671" s="418"/>
    </row>
    <row r="1672" spans="2:17" ht="12.75" customHeight="1" x14ac:dyDescent="0.2">
      <c r="B1672" s="267"/>
      <c r="F1672" s="265"/>
      <c r="G1672" s="268"/>
      <c r="H1672" s="317"/>
      <c r="I1672" s="418"/>
      <c r="J1672" s="268"/>
      <c r="K1672" s="456"/>
      <c r="L1672" s="418"/>
      <c r="M1672" s="268"/>
      <c r="N1672" s="317"/>
      <c r="O1672" s="418"/>
      <c r="P1672" s="418"/>
      <c r="Q1672" s="418"/>
    </row>
    <row r="1673" spans="2:17" ht="12.75" customHeight="1" x14ac:dyDescent="0.2">
      <c r="B1673" s="267"/>
      <c r="F1673" s="265"/>
      <c r="G1673" s="268"/>
      <c r="H1673" s="317"/>
      <c r="I1673" s="418"/>
      <c r="J1673" s="268"/>
      <c r="K1673" s="456"/>
      <c r="L1673" s="418"/>
      <c r="M1673" s="268"/>
      <c r="N1673" s="317"/>
      <c r="O1673" s="418"/>
      <c r="P1673" s="418"/>
      <c r="Q1673" s="418"/>
    </row>
    <row r="1674" spans="2:17" ht="12.75" customHeight="1" x14ac:dyDescent="0.2">
      <c r="B1674" s="267"/>
      <c r="F1674" s="265"/>
      <c r="G1674" s="268"/>
      <c r="H1674" s="317"/>
      <c r="I1674" s="418"/>
      <c r="J1674" s="268"/>
      <c r="K1674" s="456"/>
      <c r="L1674" s="418"/>
      <c r="M1674" s="268"/>
      <c r="N1674" s="317"/>
      <c r="O1674" s="418"/>
      <c r="P1674" s="418"/>
      <c r="Q1674" s="418"/>
    </row>
    <row r="1675" spans="2:17" ht="12.75" customHeight="1" x14ac:dyDescent="0.2">
      <c r="B1675" s="267"/>
      <c r="F1675" s="265"/>
      <c r="G1675" s="268"/>
      <c r="H1675" s="317"/>
      <c r="I1675" s="418"/>
      <c r="J1675" s="268"/>
      <c r="K1675" s="456"/>
      <c r="L1675" s="418"/>
      <c r="M1675" s="268"/>
      <c r="N1675" s="317"/>
      <c r="O1675" s="418"/>
      <c r="P1675" s="418"/>
      <c r="Q1675" s="418"/>
    </row>
    <row r="1676" spans="2:17" ht="12.75" customHeight="1" x14ac:dyDescent="0.2">
      <c r="B1676" s="267"/>
      <c r="F1676" s="265"/>
      <c r="G1676" s="268"/>
      <c r="H1676" s="317"/>
      <c r="I1676" s="418"/>
      <c r="J1676" s="268"/>
      <c r="K1676" s="456"/>
      <c r="L1676" s="418"/>
      <c r="M1676" s="268"/>
      <c r="N1676" s="317"/>
      <c r="O1676" s="418"/>
      <c r="P1676" s="418"/>
      <c r="Q1676" s="418"/>
    </row>
    <row r="1677" spans="2:17" ht="12.75" customHeight="1" x14ac:dyDescent="0.2">
      <c r="B1677" s="267"/>
      <c r="F1677" s="265"/>
      <c r="G1677" s="268"/>
      <c r="H1677" s="317"/>
      <c r="I1677" s="418"/>
      <c r="J1677" s="268"/>
      <c r="K1677" s="456"/>
      <c r="L1677" s="418"/>
      <c r="M1677" s="268"/>
      <c r="N1677" s="317"/>
      <c r="O1677" s="418"/>
      <c r="P1677" s="418"/>
      <c r="Q1677" s="418"/>
    </row>
    <row r="1678" spans="2:17" ht="12.75" customHeight="1" x14ac:dyDescent="0.2">
      <c r="B1678" s="267"/>
      <c r="F1678" s="265"/>
      <c r="G1678" s="268"/>
      <c r="H1678" s="317"/>
      <c r="I1678" s="418"/>
      <c r="J1678" s="268"/>
      <c r="K1678" s="456"/>
      <c r="L1678" s="418"/>
      <c r="M1678" s="268"/>
      <c r="N1678" s="317"/>
      <c r="O1678" s="418"/>
      <c r="P1678" s="418"/>
      <c r="Q1678" s="418"/>
    </row>
    <row r="1679" spans="2:17" ht="12.75" customHeight="1" x14ac:dyDescent="0.2">
      <c r="B1679" s="267"/>
      <c r="F1679" s="265"/>
      <c r="G1679" s="268"/>
      <c r="H1679" s="317"/>
      <c r="I1679" s="418"/>
      <c r="J1679" s="268"/>
      <c r="K1679" s="456"/>
      <c r="L1679" s="418"/>
      <c r="M1679" s="268"/>
      <c r="N1679" s="317"/>
      <c r="O1679" s="418"/>
      <c r="P1679" s="418"/>
      <c r="Q1679" s="418"/>
    </row>
    <row r="1680" spans="2:17" ht="12.75" customHeight="1" x14ac:dyDescent="0.2">
      <c r="B1680" s="267"/>
      <c r="F1680" s="265"/>
      <c r="G1680" s="268"/>
      <c r="H1680" s="317"/>
      <c r="I1680" s="418"/>
      <c r="J1680" s="268"/>
      <c r="K1680" s="456"/>
      <c r="L1680" s="418"/>
      <c r="M1680" s="268"/>
      <c r="N1680" s="317"/>
      <c r="O1680" s="418"/>
      <c r="P1680" s="418"/>
      <c r="Q1680" s="418"/>
    </row>
    <row r="1681" spans="2:17" ht="12.75" customHeight="1" x14ac:dyDescent="0.2">
      <c r="B1681" s="267"/>
      <c r="F1681" s="265"/>
      <c r="G1681" s="268"/>
      <c r="H1681" s="317"/>
      <c r="I1681" s="418"/>
      <c r="J1681" s="268"/>
      <c r="K1681" s="456"/>
      <c r="L1681" s="418"/>
      <c r="M1681" s="268"/>
      <c r="N1681" s="317"/>
      <c r="O1681" s="418"/>
      <c r="P1681" s="418"/>
      <c r="Q1681" s="418"/>
    </row>
    <row r="1682" spans="2:17" ht="12.75" customHeight="1" x14ac:dyDescent="0.2">
      <c r="B1682" s="267"/>
      <c r="F1682" s="265"/>
      <c r="G1682" s="268"/>
      <c r="H1682" s="317"/>
      <c r="I1682" s="418"/>
      <c r="J1682" s="268"/>
      <c r="K1682" s="456"/>
      <c r="L1682" s="418"/>
      <c r="M1682" s="268"/>
      <c r="N1682" s="317"/>
      <c r="O1682" s="418"/>
      <c r="P1682" s="418"/>
      <c r="Q1682" s="418"/>
    </row>
    <row r="1683" spans="2:17" ht="12.75" customHeight="1" x14ac:dyDescent="0.2">
      <c r="B1683" s="267"/>
      <c r="F1683" s="265"/>
      <c r="G1683" s="268"/>
      <c r="H1683" s="317"/>
      <c r="I1683" s="418"/>
      <c r="J1683" s="268"/>
      <c r="K1683" s="456"/>
      <c r="L1683" s="418"/>
      <c r="M1683" s="268"/>
      <c r="N1683" s="317"/>
      <c r="O1683" s="418"/>
      <c r="P1683" s="418"/>
      <c r="Q1683" s="418"/>
    </row>
    <row r="1684" spans="2:17" ht="12.75" customHeight="1" x14ac:dyDescent="0.2">
      <c r="B1684" s="267"/>
      <c r="F1684" s="265"/>
      <c r="G1684" s="268"/>
      <c r="H1684" s="317"/>
      <c r="I1684" s="418" t="str">
        <f>IF(G1561=0," ",G1561*H1687)</f>
        <v xml:space="preserve"> </v>
      </c>
      <c r="J1684" s="268"/>
      <c r="K1684" s="456"/>
      <c r="L1684" s="418" t="str">
        <f t="shared" ref="L1684:L1685" si="586">IF(J1561=0," ",J1561*K1687)</f>
        <v xml:space="preserve"> </v>
      </c>
      <c r="M1684" s="268"/>
      <c r="N1684" s="317"/>
      <c r="O1684" s="418" t="str">
        <f t="shared" ref="O1684:O1685" si="587">IF(M1561=0," ",M1561*N1687)</f>
        <v xml:space="preserve"> </v>
      </c>
      <c r="P1684" s="418" t="str">
        <f t="shared" ref="P1684:P1685" si="588">IF(N1561=0," ",N1561*O1687)</f>
        <v xml:space="preserve"> </v>
      </c>
      <c r="Q1684" s="418" t="str">
        <f t="shared" ref="Q1684:Q1685" si="589">IF(O1561=0," ",O1561*P1687)</f>
        <v xml:space="preserve"> </v>
      </c>
    </row>
    <row r="1685" spans="2:17" ht="12.75" customHeight="1" x14ac:dyDescent="0.2">
      <c r="B1685" s="267"/>
      <c r="F1685" s="265"/>
      <c r="G1685" s="268"/>
      <c r="H1685" s="317"/>
      <c r="I1685" s="418" t="str">
        <f>IF(G1562=0," ",G1562*H1688)</f>
        <v xml:space="preserve"> </v>
      </c>
      <c r="J1685" s="268"/>
      <c r="K1685" s="456"/>
      <c r="L1685" s="418" t="str">
        <f t="shared" si="586"/>
        <v xml:space="preserve"> </v>
      </c>
      <c r="M1685" s="268"/>
      <c r="N1685" s="317"/>
      <c r="O1685" s="418" t="str">
        <f t="shared" si="587"/>
        <v xml:space="preserve"> </v>
      </c>
      <c r="P1685" s="418" t="str">
        <f t="shared" si="588"/>
        <v xml:space="preserve"> </v>
      </c>
      <c r="Q1685" s="418" t="str">
        <f t="shared" si="589"/>
        <v xml:space="preserve"> </v>
      </c>
    </row>
    <row r="1686" spans="2:17" ht="12.75" customHeight="1" x14ac:dyDescent="0.2">
      <c r="B1686" s="267"/>
      <c r="F1686" s="265"/>
      <c r="G1686" s="268"/>
      <c r="H1686" s="317"/>
      <c r="I1686" s="418"/>
      <c r="J1686" s="268"/>
      <c r="K1686" s="456"/>
      <c r="L1686" s="418"/>
      <c r="M1686" s="268"/>
      <c r="N1686" s="317"/>
      <c r="O1686" s="418"/>
      <c r="P1686" s="418"/>
      <c r="Q1686" s="418"/>
    </row>
    <row r="1687" spans="2:17" ht="12.75" customHeight="1" x14ac:dyDescent="0.2">
      <c r="B1687" s="267"/>
      <c r="F1687" s="265"/>
      <c r="G1687" s="268"/>
      <c r="H1687" s="317"/>
      <c r="I1687" s="418"/>
      <c r="J1687" s="268"/>
      <c r="K1687" s="456"/>
      <c r="L1687" s="418"/>
      <c r="M1687" s="268"/>
      <c r="N1687" s="317"/>
      <c r="O1687" s="418"/>
      <c r="P1687" s="418"/>
      <c r="Q1687" s="418"/>
    </row>
    <row r="1688" spans="2:17" ht="12.75" customHeight="1" x14ac:dyDescent="0.2">
      <c r="B1688" s="267"/>
      <c r="F1688" s="265"/>
      <c r="G1688" s="268"/>
      <c r="H1688" s="317"/>
      <c r="I1688" s="418"/>
      <c r="J1688" s="268"/>
      <c r="K1688" s="456"/>
      <c r="L1688" s="418"/>
      <c r="M1688" s="268"/>
      <c r="N1688" s="317"/>
      <c r="O1688" s="418"/>
      <c r="P1688" s="418"/>
      <c r="Q1688" s="418"/>
    </row>
    <row r="1689" spans="2:17" ht="12.75" customHeight="1" x14ac:dyDescent="0.2">
      <c r="B1689" s="267"/>
      <c r="F1689" s="265"/>
      <c r="G1689" s="268"/>
      <c r="H1689" s="317"/>
      <c r="I1689" s="418"/>
      <c r="J1689" s="268"/>
      <c r="K1689" s="456"/>
      <c r="L1689" s="418"/>
      <c r="M1689" s="268"/>
      <c r="N1689" s="317"/>
      <c r="O1689" s="418"/>
      <c r="P1689" s="418"/>
      <c r="Q1689" s="418"/>
    </row>
    <row r="1690" spans="2:17" ht="12.75" customHeight="1" x14ac:dyDescent="0.2">
      <c r="B1690" s="267"/>
      <c r="F1690" s="265"/>
      <c r="G1690" s="268"/>
      <c r="H1690" s="317"/>
      <c r="I1690" s="418"/>
      <c r="J1690" s="268"/>
      <c r="K1690" s="456"/>
      <c r="L1690" s="418"/>
      <c r="M1690" s="268"/>
      <c r="N1690" s="317"/>
      <c r="O1690" s="418"/>
      <c r="P1690" s="418"/>
      <c r="Q1690" s="418"/>
    </row>
    <row r="1691" spans="2:17" ht="12.75" customHeight="1" x14ac:dyDescent="0.2">
      <c r="B1691" s="273"/>
      <c r="F1691" s="265"/>
      <c r="G1691" s="268"/>
      <c r="H1691" s="317"/>
      <c r="I1691" s="318" t="str">
        <f>IF(G1568=0," ",G1568*H1694)</f>
        <v xml:space="preserve"> </v>
      </c>
      <c r="J1691" s="268"/>
      <c r="K1691" s="456"/>
      <c r="L1691" s="318" t="str">
        <f t="shared" ref="L1691" si="590">IF(J1568=0," ",J1568*K1694)</f>
        <v xml:space="preserve"> </v>
      </c>
      <c r="M1691" s="268"/>
      <c r="N1691" s="317"/>
      <c r="O1691" s="318" t="str">
        <f t="shared" ref="O1691" si="591">IF(M1568=0," ",M1568*N1694)</f>
        <v xml:space="preserve"> </v>
      </c>
      <c r="P1691" s="318" t="str">
        <f t="shared" ref="P1691" si="592">IF(N1568=0," ",N1568*O1694)</f>
        <v xml:space="preserve"> </v>
      </c>
      <c r="Q1691" s="318" t="str">
        <f t="shared" ref="Q1691" si="593">IF(O1568=0," ",O1568*P1694)</f>
        <v xml:space="preserve"> </v>
      </c>
    </row>
    <row r="1692" spans="2:17" ht="12.75" customHeight="1" x14ac:dyDescent="0.2">
      <c r="B1692" s="287">
        <v>5700</v>
      </c>
      <c r="C1692" s="288" t="s">
        <v>268</v>
      </c>
      <c r="D1692" s="289"/>
      <c r="E1692" s="290"/>
      <c r="F1692" s="291"/>
      <c r="G1692" s="291"/>
      <c r="H1692" s="422"/>
      <c r="I1692" s="423">
        <f>SUM(I1635:I1691)</f>
        <v>470140</v>
      </c>
      <c r="J1692" s="412"/>
      <c r="K1692" s="457"/>
      <c r="L1692" s="423">
        <f t="shared" ref="L1692" si="594">SUM(L1635:L1691)</f>
        <v>798493</v>
      </c>
      <c r="M1692" s="291"/>
      <c r="N1692" s="422"/>
      <c r="O1692" s="423">
        <f>SUM(O1635:O1691)</f>
        <v>755293</v>
      </c>
      <c r="P1692" s="423"/>
      <c r="Q1692" s="423">
        <f t="shared" ref="Q1692" si="595">SUM(Q1635:Q1691)</f>
        <v>43200</v>
      </c>
    </row>
    <row r="1693" spans="2:17" ht="12.75" customHeight="1" x14ac:dyDescent="0.2">
      <c r="B1693" s="239" t="s">
        <v>79</v>
      </c>
      <c r="C1693" s="239"/>
      <c r="D1693" s="263"/>
      <c r="E1693" s="297"/>
      <c r="G1693" s="364"/>
      <c r="H1693" s="450"/>
      <c r="I1693" s="451"/>
      <c r="K1693" s="456"/>
      <c r="L1693" s="451"/>
      <c r="M1693" s="364"/>
      <c r="N1693" s="450"/>
      <c r="O1693" s="451"/>
      <c r="P1693" s="451"/>
      <c r="Q1693" s="451"/>
    </row>
    <row r="1694" spans="2:17" ht="12.75" customHeight="1" x14ac:dyDescent="0.2">
      <c r="B1694" s="239" t="s">
        <v>267</v>
      </c>
      <c r="C1694" s="240"/>
      <c r="E1694" s="238"/>
      <c r="I1694" s="427"/>
      <c r="K1694" s="456"/>
      <c r="L1694" s="427"/>
      <c r="O1694" s="427"/>
      <c r="P1694" s="427"/>
      <c r="Q1694" s="427"/>
    </row>
    <row r="1695" spans="2:17" ht="12.75" customHeight="1" x14ac:dyDescent="0.2">
      <c r="C1695" s="240"/>
      <c r="E1695" s="238"/>
      <c r="G1695" s="246"/>
      <c r="H1695" s="452"/>
      <c r="I1695" s="453"/>
      <c r="J1695" s="246"/>
      <c r="K1695" s="456"/>
      <c r="L1695" s="453"/>
      <c r="M1695" s="246"/>
      <c r="N1695" s="452"/>
      <c r="O1695" s="453"/>
      <c r="P1695" s="453"/>
      <c r="Q1695" s="453"/>
    </row>
    <row r="1696" spans="2:17" ht="12.75" customHeight="1" x14ac:dyDescent="0.2">
      <c r="B1696" s="247" t="s">
        <v>263</v>
      </c>
      <c r="C1696" s="248" t="s">
        <v>264</v>
      </c>
      <c r="D1696" s="249"/>
      <c r="E1696" s="250"/>
      <c r="F1696" s="250" t="s">
        <v>265</v>
      </c>
      <c r="G1696" s="356" t="s">
        <v>68</v>
      </c>
      <c r="H1696" s="251" t="s">
        <v>849</v>
      </c>
      <c r="I1696" s="252" t="s">
        <v>849</v>
      </c>
      <c r="J1696" s="356" t="s">
        <v>68</v>
      </c>
      <c r="K1696" s="457" t="s">
        <v>849</v>
      </c>
      <c r="L1696" s="252" t="s">
        <v>849</v>
      </c>
      <c r="M1696" s="356" t="s">
        <v>68</v>
      </c>
      <c r="N1696" s="251" t="s">
        <v>849</v>
      </c>
      <c r="O1696" s="252" t="s">
        <v>849</v>
      </c>
      <c r="P1696" s="252" t="s">
        <v>849</v>
      </c>
      <c r="Q1696" s="252" t="s">
        <v>849</v>
      </c>
    </row>
    <row r="1697" spans="2:17" ht="12.75" customHeight="1" x14ac:dyDescent="0.2">
      <c r="B1697" s="253" t="s">
        <v>266</v>
      </c>
      <c r="C1697" s="254"/>
      <c r="D1697" s="255"/>
      <c r="E1697" s="256"/>
      <c r="F1697" s="256"/>
      <c r="G1697" s="357" t="s">
        <v>69</v>
      </c>
      <c r="H1697" s="257" t="s">
        <v>262</v>
      </c>
      <c r="I1697" s="258" t="s">
        <v>70</v>
      </c>
      <c r="J1697" s="357" t="s">
        <v>69</v>
      </c>
      <c r="K1697" s="457" t="s">
        <v>262</v>
      </c>
      <c r="L1697" s="258" t="s">
        <v>70</v>
      </c>
      <c r="M1697" s="357" t="s">
        <v>69</v>
      </c>
      <c r="N1697" s="257" t="s">
        <v>262</v>
      </c>
      <c r="O1697" s="258" t="s">
        <v>70</v>
      </c>
      <c r="P1697" s="258" t="s">
        <v>70</v>
      </c>
      <c r="Q1697" s="258" t="s">
        <v>70</v>
      </c>
    </row>
    <row r="1698" spans="2:17" ht="12.75" customHeight="1" x14ac:dyDescent="0.2">
      <c r="B1698" s="273"/>
      <c r="F1698" s="265"/>
      <c r="G1698" s="268"/>
      <c r="H1698" s="317"/>
      <c r="I1698" s="318"/>
      <c r="J1698" s="268"/>
      <c r="K1698" s="456"/>
      <c r="L1698" s="318"/>
      <c r="M1698" s="268"/>
      <c r="N1698" s="317"/>
      <c r="O1698" s="318"/>
      <c r="P1698" s="318"/>
      <c r="Q1698" s="318"/>
    </row>
    <row r="1699" spans="2:17" ht="12.75" customHeight="1" x14ac:dyDescent="0.2">
      <c r="B1699" s="261">
        <v>5800</v>
      </c>
      <c r="C1699" s="262" t="s">
        <v>407</v>
      </c>
      <c r="D1699" s="263"/>
      <c r="E1699" s="264"/>
      <c r="F1699" s="265"/>
      <c r="G1699" s="268"/>
      <c r="H1699" s="317"/>
      <c r="I1699" s="418"/>
      <c r="J1699" s="268"/>
      <c r="K1699" s="456"/>
      <c r="L1699" s="418"/>
      <c r="M1699" s="268"/>
      <c r="N1699" s="317"/>
      <c r="O1699" s="418"/>
      <c r="P1699" s="418"/>
      <c r="Q1699" s="418"/>
    </row>
    <row r="1700" spans="2:17" ht="12.75" customHeight="1" x14ac:dyDescent="0.2">
      <c r="B1700" s="267"/>
      <c r="F1700" s="265"/>
      <c r="G1700" s="268"/>
      <c r="H1700" s="317"/>
      <c r="I1700" s="418"/>
      <c r="J1700" s="268"/>
      <c r="K1700" s="456"/>
      <c r="L1700" s="418"/>
      <c r="M1700" s="268"/>
      <c r="N1700" s="317"/>
      <c r="O1700" s="418"/>
      <c r="P1700" s="418"/>
      <c r="Q1700" s="418"/>
    </row>
    <row r="1701" spans="2:17" ht="12.75" customHeight="1" x14ac:dyDescent="0.2">
      <c r="B1701" s="302">
        <v>58.01</v>
      </c>
      <c r="C1701" s="315" t="s">
        <v>91</v>
      </c>
      <c r="D1701" s="354"/>
      <c r="E1701" s="304"/>
      <c r="F1701" s="310"/>
      <c r="G1701" s="298"/>
      <c r="H1701" s="436"/>
      <c r="I1701" s="418"/>
      <c r="J1701" s="298"/>
      <c r="K1701" s="456"/>
      <c r="L1701" s="418"/>
      <c r="M1701" s="298"/>
      <c r="N1701" s="436"/>
      <c r="O1701" s="418"/>
      <c r="P1701" s="418"/>
      <c r="Q1701" s="418"/>
    </row>
    <row r="1702" spans="2:17" ht="12.75" customHeight="1" x14ac:dyDescent="0.2">
      <c r="B1702" s="302"/>
      <c r="C1702" s="315" t="s">
        <v>278</v>
      </c>
      <c r="D1702" s="354" t="s">
        <v>94</v>
      </c>
      <c r="E1702" s="304"/>
      <c r="F1702" s="265" t="s">
        <v>275</v>
      </c>
      <c r="G1702" s="298">
        <v>10000</v>
      </c>
      <c r="H1702" s="418">
        <v>10</v>
      </c>
      <c r="I1702" s="418">
        <f t="shared" ref="I1702:I1756" si="596">IF(G1702=0," ",G1702*H1702)</f>
        <v>100000</v>
      </c>
      <c r="J1702" s="298">
        <v>10000</v>
      </c>
      <c r="K1702" s="456">
        <v>30</v>
      </c>
      <c r="L1702" s="418">
        <f t="shared" ref="L1702:L1733" si="597">IF(J1702=0," ",J1702*K1702)</f>
        <v>300000</v>
      </c>
      <c r="M1702" s="298">
        <v>10000</v>
      </c>
      <c r="N1702" s="418">
        <v>10</v>
      </c>
      <c r="O1702" s="418">
        <f t="shared" ref="O1702:O1733" si="598">IF(M1702=0," ",M1702*N1702)</f>
        <v>100000</v>
      </c>
      <c r="P1702" s="460">
        <f>K1702-N1702</f>
        <v>20</v>
      </c>
      <c r="Q1702" s="460">
        <f>L1702-O1702</f>
        <v>200000</v>
      </c>
    </row>
    <row r="1703" spans="2:17" ht="12.75" customHeight="1" x14ac:dyDescent="0.2">
      <c r="B1703" s="302"/>
      <c r="C1703" s="303"/>
      <c r="D1703" s="299"/>
      <c r="E1703" s="308"/>
      <c r="F1703" s="310"/>
      <c r="G1703" s="298"/>
      <c r="H1703" s="418" t="str">
        <f t="shared" ref="H1703:H1731" si="599">IF(F1703=0," ",F1703*G1703)</f>
        <v xml:space="preserve"> </v>
      </c>
      <c r="I1703" s="418" t="str">
        <f t="shared" si="596"/>
        <v xml:space="preserve"> </v>
      </c>
      <c r="J1703" s="298"/>
      <c r="K1703" s="456" t="s">
        <v>849</v>
      </c>
      <c r="L1703" s="418" t="str">
        <f t="shared" si="597"/>
        <v xml:space="preserve"> </v>
      </c>
      <c r="M1703" s="298"/>
      <c r="N1703" s="418"/>
      <c r="O1703" s="418" t="str">
        <f t="shared" si="598"/>
        <v xml:space="preserve"> </v>
      </c>
      <c r="P1703" s="460"/>
      <c r="Q1703" s="460"/>
    </row>
    <row r="1704" spans="2:17" ht="12.75" customHeight="1" x14ac:dyDescent="0.2">
      <c r="B1704" s="302" t="s">
        <v>24</v>
      </c>
      <c r="C1704" s="315" t="s">
        <v>279</v>
      </c>
      <c r="D1704" s="354" t="s">
        <v>95</v>
      </c>
      <c r="E1704" s="304"/>
      <c r="F1704" s="265" t="s">
        <v>275</v>
      </c>
      <c r="G1704" s="298">
        <v>8500</v>
      </c>
      <c r="H1704" s="418">
        <v>10</v>
      </c>
      <c r="I1704" s="418">
        <f t="shared" si="596"/>
        <v>85000</v>
      </c>
      <c r="J1704" s="298">
        <v>8500</v>
      </c>
      <c r="K1704" s="456">
        <v>35</v>
      </c>
      <c r="L1704" s="418">
        <f t="shared" si="597"/>
        <v>297500</v>
      </c>
      <c r="M1704" s="298">
        <v>8500</v>
      </c>
      <c r="N1704" s="418">
        <v>15</v>
      </c>
      <c r="O1704" s="418">
        <f t="shared" si="598"/>
        <v>127500</v>
      </c>
      <c r="P1704" s="460">
        <f t="shared" ref="P1704:P1732" si="600">K1704-N1704</f>
        <v>20</v>
      </c>
      <c r="Q1704" s="460">
        <f t="shared" ref="Q1704:Q1732" si="601">L1704-O1704</f>
        <v>170000</v>
      </c>
    </row>
    <row r="1705" spans="2:17" ht="12.75" customHeight="1" x14ac:dyDescent="0.2">
      <c r="B1705" s="302"/>
      <c r="C1705" s="303"/>
      <c r="D1705" s="299"/>
      <c r="E1705" s="308"/>
      <c r="F1705" s="310"/>
      <c r="G1705" s="298"/>
      <c r="H1705" s="418" t="str">
        <f t="shared" si="599"/>
        <v xml:space="preserve"> </v>
      </c>
      <c r="I1705" s="418" t="str">
        <f t="shared" si="596"/>
        <v xml:space="preserve"> </v>
      </c>
      <c r="J1705" s="298"/>
      <c r="K1705" s="456" t="s">
        <v>849</v>
      </c>
      <c r="L1705" s="418" t="str">
        <f t="shared" si="597"/>
        <v xml:space="preserve"> </v>
      </c>
      <c r="M1705" s="298"/>
      <c r="N1705" s="418"/>
      <c r="O1705" s="418" t="str">
        <f t="shared" si="598"/>
        <v xml:space="preserve"> </v>
      </c>
      <c r="P1705" s="460"/>
      <c r="Q1705" s="460"/>
    </row>
    <row r="1706" spans="2:17" ht="12.75" customHeight="1" x14ac:dyDescent="0.2">
      <c r="B1706" s="302" t="s">
        <v>92</v>
      </c>
      <c r="C1706" s="315" t="s">
        <v>446</v>
      </c>
      <c r="D1706" s="299"/>
      <c r="E1706" s="308"/>
      <c r="F1706" s="310"/>
      <c r="G1706" s="298"/>
      <c r="H1706" s="418" t="str">
        <f t="shared" si="599"/>
        <v xml:space="preserve"> </v>
      </c>
      <c r="I1706" s="418" t="str">
        <f t="shared" si="596"/>
        <v xml:space="preserve"> </v>
      </c>
      <c r="J1706" s="298"/>
      <c r="K1706" s="456" t="s">
        <v>849</v>
      </c>
      <c r="L1706" s="418" t="str">
        <f t="shared" si="597"/>
        <v xml:space="preserve"> </v>
      </c>
      <c r="M1706" s="298"/>
      <c r="N1706" s="418"/>
      <c r="O1706" s="418" t="str">
        <f t="shared" si="598"/>
        <v xml:space="preserve"> </v>
      </c>
      <c r="P1706" s="460"/>
      <c r="Q1706" s="460"/>
    </row>
    <row r="1707" spans="2:17" ht="12.75" customHeight="1" x14ac:dyDescent="0.2">
      <c r="B1707" s="302"/>
      <c r="C1707" s="315" t="s">
        <v>279</v>
      </c>
      <c r="D1707" s="316" t="s">
        <v>96</v>
      </c>
      <c r="E1707" s="308"/>
      <c r="F1707" s="310" t="s">
        <v>104</v>
      </c>
      <c r="G1707" s="298">
        <v>12</v>
      </c>
      <c r="H1707" s="418">
        <v>6500</v>
      </c>
      <c r="I1707" s="418">
        <f t="shared" si="596"/>
        <v>78000</v>
      </c>
      <c r="J1707" s="298">
        <v>12</v>
      </c>
      <c r="K1707" s="456">
        <v>18000</v>
      </c>
      <c r="L1707" s="418">
        <f t="shared" si="597"/>
        <v>216000</v>
      </c>
      <c r="M1707" s="298">
        <v>12</v>
      </c>
      <c r="N1707" s="418">
        <v>10000</v>
      </c>
      <c r="O1707" s="418">
        <f t="shared" si="598"/>
        <v>120000</v>
      </c>
      <c r="P1707" s="460">
        <f t="shared" si="600"/>
        <v>8000</v>
      </c>
      <c r="Q1707" s="460">
        <f t="shared" si="601"/>
        <v>96000</v>
      </c>
    </row>
    <row r="1708" spans="2:17" ht="12.75" customHeight="1" x14ac:dyDescent="0.2">
      <c r="B1708" s="302"/>
      <c r="C1708" s="303"/>
      <c r="D1708" s="316"/>
      <c r="E1708" s="308"/>
      <c r="F1708" s="310"/>
      <c r="G1708" s="298"/>
      <c r="H1708" s="418"/>
      <c r="I1708" s="418" t="str">
        <f t="shared" si="596"/>
        <v xml:space="preserve"> </v>
      </c>
      <c r="J1708" s="298"/>
      <c r="K1708" s="456"/>
      <c r="L1708" s="418" t="str">
        <f t="shared" si="597"/>
        <v xml:space="preserve"> </v>
      </c>
      <c r="M1708" s="298"/>
      <c r="N1708" s="418"/>
      <c r="O1708" s="418" t="str">
        <f t="shared" si="598"/>
        <v xml:space="preserve"> </v>
      </c>
      <c r="P1708" s="460"/>
      <c r="Q1708" s="460"/>
    </row>
    <row r="1709" spans="2:17" ht="12.75" customHeight="1" x14ac:dyDescent="0.2">
      <c r="B1709" s="302"/>
      <c r="C1709" s="315" t="s">
        <v>276</v>
      </c>
      <c r="D1709" s="316" t="s">
        <v>106</v>
      </c>
      <c r="E1709" s="308"/>
      <c r="F1709" s="310"/>
      <c r="G1709" s="298"/>
      <c r="H1709" s="418" t="str">
        <f t="shared" si="599"/>
        <v xml:space="preserve"> </v>
      </c>
      <c r="I1709" s="418" t="str">
        <f t="shared" si="596"/>
        <v xml:space="preserve"> </v>
      </c>
      <c r="J1709" s="298"/>
      <c r="K1709" s="456" t="s">
        <v>849</v>
      </c>
      <c r="L1709" s="418" t="str">
        <f t="shared" si="597"/>
        <v xml:space="preserve"> </v>
      </c>
      <c r="M1709" s="298"/>
      <c r="N1709" s="418"/>
      <c r="O1709" s="418" t="str">
        <f t="shared" si="598"/>
        <v xml:space="preserve"> </v>
      </c>
      <c r="P1709" s="460"/>
      <c r="Q1709" s="460"/>
    </row>
    <row r="1710" spans="2:17" ht="12.75" customHeight="1" x14ac:dyDescent="0.2">
      <c r="B1710" s="302"/>
      <c r="C1710" s="303"/>
      <c r="D1710" s="316" t="s">
        <v>107</v>
      </c>
      <c r="E1710" s="308"/>
      <c r="F1710" s="310"/>
      <c r="G1710" s="298"/>
      <c r="H1710" s="418" t="str">
        <f t="shared" si="599"/>
        <v xml:space="preserve"> </v>
      </c>
      <c r="I1710" s="418" t="str">
        <f t="shared" si="596"/>
        <v xml:space="preserve"> </v>
      </c>
      <c r="J1710" s="298"/>
      <c r="K1710" s="456" t="s">
        <v>849</v>
      </c>
      <c r="L1710" s="418" t="str">
        <f t="shared" si="597"/>
        <v xml:space="preserve"> </v>
      </c>
      <c r="M1710" s="298"/>
      <c r="N1710" s="418"/>
      <c r="O1710" s="418" t="str">
        <f t="shared" si="598"/>
        <v xml:space="preserve"> </v>
      </c>
      <c r="P1710" s="460"/>
      <c r="Q1710" s="460"/>
    </row>
    <row r="1711" spans="2:17" ht="12.75" customHeight="1" x14ac:dyDescent="0.2">
      <c r="B1711" s="302"/>
      <c r="C1711" s="303"/>
      <c r="D1711" s="316" t="s">
        <v>277</v>
      </c>
      <c r="E1711" s="308" t="s">
        <v>108</v>
      </c>
      <c r="F1711" s="310"/>
      <c r="G1711" s="298"/>
      <c r="H1711" s="418" t="str">
        <f t="shared" si="599"/>
        <v xml:space="preserve"> </v>
      </c>
      <c r="I1711" s="418" t="str">
        <f t="shared" si="596"/>
        <v xml:space="preserve"> </v>
      </c>
      <c r="J1711" s="298"/>
      <c r="K1711" s="456" t="s">
        <v>849</v>
      </c>
      <c r="L1711" s="418" t="str">
        <f t="shared" si="597"/>
        <v xml:space="preserve"> </v>
      </c>
      <c r="M1711" s="298"/>
      <c r="N1711" s="418"/>
      <c r="O1711" s="418" t="str">
        <f t="shared" si="598"/>
        <v xml:space="preserve"> </v>
      </c>
      <c r="P1711" s="460"/>
      <c r="Q1711" s="460"/>
    </row>
    <row r="1712" spans="2:17" ht="12.75" customHeight="1" x14ac:dyDescent="0.2">
      <c r="B1712" s="302"/>
      <c r="C1712" s="303"/>
      <c r="D1712" s="299"/>
      <c r="E1712" s="308" t="s">
        <v>109</v>
      </c>
      <c r="F1712" s="310" t="s">
        <v>829</v>
      </c>
      <c r="G1712" s="298">
        <f>1200*8</f>
        <v>9600</v>
      </c>
      <c r="H1712" s="418">
        <v>35</v>
      </c>
      <c r="I1712" s="418">
        <f t="shared" si="596"/>
        <v>336000</v>
      </c>
      <c r="J1712" s="298">
        <f t="shared" ref="J1712" si="602">1200*8</f>
        <v>9600</v>
      </c>
      <c r="K1712" s="456">
        <v>35</v>
      </c>
      <c r="L1712" s="418">
        <f t="shared" si="597"/>
        <v>336000</v>
      </c>
      <c r="M1712" s="298">
        <f t="shared" ref="M1712" si="603">1200*8</f>
        <v>9600</v>
      </c>
      <c r="N1712" s="418">
        <v>35</v>
      </c>
      <c r="O1712" s="418">
        <f t="shared" si="598"/>
        <v>336000</v>
      </c>
      <c r="P1712" s="460">
        <f t="shared" si="600"/>
        <v>0</v>
      </c>
      <c r="Q1712" s="460">
        <f t="shared" si="601"/>
        <v>0</v>
      </c>
    </row>
    <row r="1713" spans="2:17" ht="12.75" customHeight="1" x14ac:dyDescent="0.2">
      <c r="B1713" s="302"/>
      <c r="C1713" s="303"/>
      <c r="D1713" s="316"/>
      <c r="E1713" s="308"/>
      <c r="F1713" s="310"/>
      <c r="G1713" s="298"/>
      <c r="H1713" s="418"/>
      <c r="I1713" s="418" t="str">
        <f t="shared" si="596"/>
        <v xml:space="preserve"> </v>
      </c>
      <c r="J1713" s="298"/>
      <c r="K1713" s="456"/>
      <c r="L1713" s="418" t="str">
        <f t="shared" si="597"/>
        <v xml:space="preserve"> </v>
      </c>
      <c r="M1713" s="298"/>
      <c r="N1713" s="418"/>
      <c r="O1713" s="418" t="str">
        <f t="shared" si="598"/>
        <v xml:space="preserve"> </v>
      </c>
      <c r="P1713" s="460"/>
      <c r="Q1713" s="460"/>
    </row>
    <row r="1714" spans="2:17" ht="12.75" customHeight="1" x14ac:dyDescent="0.2">
      <c r="B1714" s="302"/>
      <c r="C1714" s="315" t="s">
        <v>281</v>
      </c>
      <c r="D1714" s="316" t="s">
        <v>680</v>
      </c>
      <c r="E1714" s="308"/>
      <c r="F1714" s="310"/>
      <c r="G1714" s="298"/>
      <c r="H1714" s="418" t="str">
        <f t="shared" si="599"/>
        <v xml:space="preserve"> </v>
      </c>
      <c r="I1714" s="418" t="str">
        <f t="shared" si="596"/>
        <v xml:space="preserve"> </v>
      </c>
      <c r="J1714" s="298"/>
      <c r="K1714" s="456" t="s">
        <v>849</v>
      </c>
      <c r="L1714" s="418" t="str">
        <f t="shared" si="597"/>
        <v xml:space="preserve"> </v>
      </c>
      <c r="M1714" s="298"/>
      <c r="N1714" s="418"/>
      <c r="O1714" s="418" t="str">
        <f t="shared" si="598"/>
        <v xml:space="preserve"> </v>
      </c>
      <c r="P1714" s="460"/>
      <c r="Q1714" s="460"/>
    </row>
    <row r="1715" spans="2:17" ht="12.75" customHeight="1" x14ac:dyDescent="0.2">
      <c r="B1715" s="302"/>
      <c r="C1715" s="303"/>
      <c r="D1715" s="316" t="s">
        <v>678</v>
      </c>
      <c r="E1715" s="308"/>
      <c r="F1715" s="310" t="s">
        <v>829</v>
      </c>
      <c r="G1715" s="298">
        <f>1000*9.5</f>
        <v>9500</v>
      </c>
      <c r="H1715" s="418">
        <v>35</v>
      </c>
      <c r="I1715" s="418">
        <f t="shared" si="596"/>
        <v>332500</v>
      </c>
      <c r="J1715" s="298">
        <f t="shared" ref="J1715" si="604">1000*9.5</f>
        <v>9500</v>
      </c>
      <c r="K1715" s="456">
        <v>35</v>
      </c>
      <c r="L1715" s="418">
        <f t="shared" si="597"/>
        <v>332500</v>
      </c>
      <c r="M1715" s="298">
        <f t="shared" ref="M1715" si="605">1000*9.5</f>
        <v>9500</v>
      </c>
      <c r="N1715" s="418">
        <v>35</v>
      </c>
      <c r="O1715" s="418">
        <f t="shared" si="598"/>
        <v>332500</v>
      </c>
      <c r="P1715" s="460">
        <f t="shared" si="600"/>
        <v>0</v>
      </c>
      <c r="Q1715" s="460">
        <f t="shared" si="601"/>
        <v>0</v>
      </c>
    </row>
    <row r="1716" spans="2:17" ht="12.75" customHeight="1" x14ac:dyDescent="0.2">
      <c r="B1716" s="302"/>
      <c r="C1716" s="303"/>
      <c r="D1716" s="316" t="s">
        <v>679</v>
      </c>
      <c r="E1716" s="308"/>
      <c r="F1716" s="310"/>
      <c r="G1716" s="49"/>
      <c r="H1716" s="418"/>
      <c r="I1716" s="418" t="str">
        <f t="shared" si="596"/>
        <v xml:space="preserve"> </v>
      </c>
      <c r="J1716" s="49"/>
      <c r="K1716" s="456"/>
      <c r="L1716" s="418" t="str">
        <f t="shared" si="597"/>
        <v xml:space="preserve"> </v>
      </c>
      <c r="M1716" s="49"/>
      <c r="N1716" s="418"/>
      <c r="O1716" s="418" t="str">
        <f t="shared" si="598"/>
        <v xml:space="preserve"> </v>
      </c>
      <c r="P1716" s="460"/>
      <c r="Q1716" s="460"/>
    </row>
    <row r="1717" spans="2:17" ht="12.75" customHeight="1" x14ac:dyDescent="0.2">
      <c r="B1717" s="302"/>
      <c r="C1717" s="303"/>
      <c r="D1717" s="316"/>
      <c r="E1717" s="308"/>
      <c r="F1717" s="310"/>
      <c r="G1717" s="298"/>
      <c r="H1717" s="418"/>
      <c r="I1717" s="418" t="str">
        <f t="shared" si="596"/>
        <v xml:space="preserve"> </v>
      </c>
      <c r="J1717" s="298"/>
      <c r="K1717" s="456"/>
      <c r="L1717" s="418" t="str">
        <f t="shared" si="597"/>
        <v xml:space="preserve"> </v>
      </c>
      <c r="M1717" s="298"/>
      <c r="N1717" s="418"/>
      <c r="O1717" s="418" t="str">
        <f t="shared" si="598"/>
        <v xml:space="preserve"> </v>
      </c>
      <c r="P1717" s="460"/>
      <c r="Q1717" s="460"/>
    </row>
    <row r="1718" spans="2:17" ht="12.75" customHeight="1" x14ac:dyDescent="0.2">
      <c r="B1718" s="302"/>
      <c r="C1718" s="315" t="s">
        <v>282</v>
      </c>
      <c r="D1718" s="316" t="s">
        <v>110</v>
      </c>
      <c r="E1718" s="308"/>
      <c r="F1718" s="310"/>
      <c r="G1718" s="298"/>
      <c r="H1718" s="418" t="str">
        <f t="shared" si="599"/>
        <v xml:space="preserve"> </v>
      </c>
      <c r="I1718" s="418" t="str">
        <f t="shared" si="596"/>
        <v xml:space="preserve"> </v>
      </c>
      <c r="J1718" s="298"/>
      <c r="K1718" s="456" t="s">
        <v>849</v>
      </c>
      <c r="L1718" s="418" t="str">
        <f t="shared" si="597"/>
        <v xml:space="preserve"> </v>
      </c>
      <c r="M1718" s="298"/>
      <c r="N1718" s="418"/>
      <c r="O1718" s="418" t="str">
        <f t="shared" si="598"/>
        <v xml:space="preserve"> </v>
      </c>
      <c r="P1718" s="460"/>
      <c r="Q1718" s="460"/>
    </row>
    <row r="1719" spans="2:17" ht="12.75" customHeight="1" x14ac:dyDescent="0.2">
      <c r="B1719" s="302"/>
      <c r="C1719" s="303"/>
      <c r="D1719" s="316" t="s">
        <v>111</v>
      </c>
      <c r="E1719" s="308"/>
      <c r="F1719" s="310"/>
      <c r="G1719" s="298"/>
      <c r="H1719" s="418" t="str">
        <f t="shared" si="599"/>
        <v xml:space="preserve"> </v>
      </c>
      <c r="I1719" s="418" t="str">
        <f t="shared" si="596"/>
        <v xml:space="preserve"> </v>
      </c>
      <c r="J1719" s="298"/>
      <c r="K1719" s="456" t="s">
        <v>849</v>
      </c>
      <c r="L1719" s="418" t="str">
        <f t="shared" si="597"/>
        <v xml:space="preserve"> </v>
      </c>
      <c r="M1719" s="298"/>
      <c r="N1719" s="418"/>
      <c r="O1719" s="418" t="str">
        <f t="shared" si="598"/>
        <v xml:space="preserve"> </v>
      </c>
      <c r="P1719" s="460"/>
      <c r="Q1719" s="460"/>
    </row>
    <row r="1720" spans="2:17" ht="12.75" customHeight="1" x14ac:dyDescent="0.2">
      <c r="B1720" s="302"/>
      <c r="C1720" s="303"/>
      <c r="D1720" s="316" t="s">
        <v>124</v>
      </c>
      <c r="E1720" s="308" t="s">
        <v>97</v>
      </c>
      <c r="F1720" s="310" t="s">
        <v>105</v>
      </c>
      <c r="G1720" s="298">
        <v>10</v>
      </c>
      <c r="H1720" s="418">
        <v>5000</v>
      </c>
      <c r="I1720" s="418">
        <f t="shared" si="596"/>
        <v>50000</v>
      </c>
      <c r="J1720" s="298">
        <v>10</v>
      </c>
      <c r="K1720" s="456">
        <v>8500</v>
      </c>
      <c r="L1720" s="418">
        <f t="shared" si="597"/>
        <v>85000</v>
      </c>
      <c r="M1720" s="298">
        <v>10</v>
      </c>
      <c r="N1720" s="418">
        <v>3000</v>
      </c>
      <c r="O1720" s="418">
        <f t="shared" si="598"/>
        <v>30000</v>
      </c>
      <c r="P1720" s="460">
        <f t="shared" si="600"/>
        <v>5500</v>
      </c>
      <c r="Q1720" s="460">
        <f t="shared" si="601"/>
        <v>55000</v>
      </c>
    </row>
    <row r="1721" spans="2:17" ht="12.75" customHeight="1" x14ac:dyDescent="0.2">
      <c r="B1721" s="302"/>
      <c r="C1721" s="303"/>
      <c r="D1721" s="299"/>
      <c r="E1721" s="308"/>
      <c r="F1721" s="310"/>
      <c r="G1721" s="298"/>
      <c r="H1721" s="418" t="str">
        <f t="shared" si="599"/>
        <v xml:space="preserve"> </v>
      </c>
      <c r="I1721" s="418" t="str">
        <f t="shared" si="596"/>
        <v xml:space="preserve"> </v>
      </c>
      <c r="J1721" s="298"/>
      <c r="K1721" s="456" t="s">
        <v>849</v>
      </c>
      <c r="L1721" s="418" t="str">
        <f t="shared" si="597"/>
        <v xml:space="preserve"> </v>
      </c>
      <c r="M1721" s="298"/>
      <c r="N1721" s="418"/>
      <c r="O1721" s="418" t="str">
        <f t="shared" si="598"/>
        <v xml:space="preserve"> </v>
      </c>
      <c r="P1721" s="460"/>
      <c r="Q1721" s="460"/>
    </row>
    <row r="1722" spans="2:17" ht="12.75" customHeight="1" x14ac:dyDescent="0.2">
      <c r="B1722" s="302"/>
      <c r="C1722" s="303"/>
      <c r="D1722" s="316" t="s">
        <v>130</v>
      </c>
      <c r="E1722" s="308" t="s">
        <v>98</v>
      </c>
      <c r="F1722" s="310" t="s">
        <v>105</v>
      </c>
      <c r="G1722" s="298">
        <v>10</v>
      </c>
      <c r="H1722" s="418">
        <v>5000</v>
      </c>
      <c r="I1722" s="418">
        <f t="shared" si="596"/>
        <v>50000</v>
      </c>
      <c r="J1722" s="298">
        <v>10</v>
      </c>
      <c r="K1722" s="456">
        <v>9500</v>
      </c>
      <c r="L1722" s="418">
        <f t="shared" si="597"/>
        <v>95000</v>
      </c>
      <c r="M1722" s="298">
        <v>10</v>
      </c>
      <c r="N1722" s="418">
        <v>3000</v>
      </c>
      <c r="O1722" s="418">
        <f t="shared" si="598"/>
        <v>30000</v>
      </c>
      <c r="P1722" s="460">
        <f t="shared" si="600"/>
        <v>6500</v>
      </c>
      <c r="Q1722" s="460">
        <f t="shared" si="601"/>
        <v>65000</v>
      </c>
    </row>
    <row r="1723" spans="2:17" ht="12.75" customHeight="1" x14ac:dyDescent="0.2">
      <c r="B1723" s="302"/>
      <c r="C1723" s="303"/>
      <c r="D1723" s="299"/>
      <c r="E1723" s="308"/>
      <c r="F1723" s="310"/>
      <c r="G1723" s="298"/>
      <c r="H1723" s="418" t="str">
        <f t="shared" si="599"/>
        <v xml:space="preserve"> </v>
      </c>
      <c r="I1723" s="418" t="str">
        <f t="shared" si="596"/>
        <v xml:space="preserve"> </v>
      </c>
      <c r="J1723" s="298"/>
      <c r="K1723" s="456" t="s">
        <v>849</v>
      </c>
      <c r="L1723" s="418" t="str">
        <f t="shared" si="597"/>
        <v xml:space="preserve"> </v>
      </c>
      <c r="M1723" s="298"/>
      <c r="N1723" s="418"/>
      <c r="O1723" s="418" t="str">
        <f t="shared" si="598"/>
        <v xml:space="preserve"> </v>
      </c>
      <c r="P1723" s="460"/>
      <c r="Q1723" s="460"/>
    </row>
    <row r="1724" spans="2:17" ht="12.75" customHeight="1" x14ac:dyDescent="0.2">
      <c r="B1724" s="302"/>
      <c r="C1724" s="303"/>
      <c r="D1724" s="316" t="s">
        <v>126</v>
      </c>
      <c r="E1724" s="308" t="s">
        <v>99</v>
      </c>
      <c r="F1724" s="310" t="s">
        <v>105</v>
      </c>
      <c r="G1724" s="298">
        <v>10</v>
      </c>
      <c r="H1724" s="418">
        <v>5000</v>
      </c>
      <c r="I1724" s="418">
        <f t="shared" si="596"/>
        <v>50000</v>
      </c>
      <c r="J1724" s="298">
        <v>10</v>
      </c>
      <c r="K1724" s="456">
        <v>14280</v>
      </c>
      <c r="L1724" s="418">
        <f t="shared" si="597"/>
        <v>142800</v>
      </c>
      <c r="M1724" s="298">
        <v>10</v>
      </c>
      <c r="N1724" s="418">
        <v>3000</v>
      </c>
      <c r="O1724" s="418">
        <f t="shared" si="598"/>
        <v>30000</v>
      </c>
      <c r="P1724" s="460">
        <f t="shared" si="600"/>
        <v>11280</v>
      </c>
      <c r="Q1724" s="460">
        <f t="shared" si="601"/>
        <v>112800</v>
      </c>
    </row>
    <row r="1725" spans="2:17" ht="12.75" customHeight="1" x14ac:dyDescent="0.2">
      <c r="B1725" s="302"/>
      <c r="C1725" s="303"/>
      <c r="D1725" s="299"/>
      <c r="E1725" s="308"/>
      <c r="F1725" s="310"/>
      <c r="G1725" s="298"/>
      <c r="H1725" s="418" t="str">
        <f t="shared" si="599"/>
        <v xml:space="preserve"> </v>
      </c>
      <c r="I1725" s="418" t="str">
        <f t="shared" si="596"/>
        <v xml:space="preserve"> </v>
      </c>
      <c r="J1725" s="298"/>
      <c r="K1725" s="456" t="s">
        <v>849</v>
      </c>
      <c r="L1725" s="418" t="str">
        <f t="shared" si="597"/>
        <v xml:space="preserve"> </v>
      </c>
      <c r="M1725" s="298"/>
      <c r="N1725" s="418"/>
      <c r="O1725" s="418" t="str">
        <f t="shared" si="598"/>
        <v xml:space="preserve"> </v>
      </c>
      <c r="P1725" s="418"/>
      <c r="Q1725" s="418"/>
    </row>
    <row r="1726" spans="2:17" ht="12.75" customHeight="1" x14ac:dyDescent="0.2">
      <c r="B1726" s="302">
        <v>58.04</v>
      </c>
      <c r="C1726" s="315" t="s">
        <v>93</v>
      </c>
      <c r="D1726" s="299"/>
      <c r="E1726" s="308"/>
      <c r="F1726" s="310"/>
      <c r="G1726" s="298"/>
      <c r="H1726" s="418" t="str">
        <f t="shared" si="599"/>
        <v xml:space="preserve"> </v>
      </c>
      <c r="I1726" s="418" t="str">
        <f t="shared" si="596"/>
        <v xml:space="preserve"> </v>
      </c>
      <c r="J1726" s="298"/>
      <c r="K1726" s="456" t="s">
        <v>849</v>
      </c>
      <c r="L1726" s="418" t="str">
        <f t="shared" si="597"/>
        <v xml:space="preserve"> </v>
      </c>
      <c r="M1726" s="298"/>
      <c r="N1726" s="418"/>
      <c r="O1726" s="418" t="str">
        <f t="shared" si="598"/>
        <v xml:space="preserve"> </v>
      </c>
      <c r="P1726" s="418"/>
      <c r="Q1726" s="418"/>
    </row>
    <row r="1727" spans="2:17" ht="12.75" customHeight="1" x14ac:dyDescent="0.2">
      <c r="B1727" s="302"/>
      <c r="C1727" s="315" t="s">
        <v>276</v>
      </c>
      <c r="D1727" s="316" t="s">
        <v>100</v>
      </c>
      <c r="E1727" s="308"/>
      <c r="F1727" s="310"/>
      <c r="G1727" s="298"/>
      <c r="H1727" s="418" t="str">
        <f t="shared" si="599"/>
        <v xml:space="preserve"> </v>
      </c>
      <c r="I1727" s="418" t="str">
        <f t="shared" si="596"/>
        <v xml:space="preserve"> </v>
      </c>
      <c r="J1727" s="298"/>
      <c r="K1727" s="456" t="s">
        <v>849</v>
      </c>
      <c r="L1727" s="418" t="str">
        <f t="shared" si="597"/>
        <v xml:space="preserve"> </v>
      </c>
      <c r="M1727" s="298"/>
      <c r="N1727" s="418"/>
      <c r="O1727" s="418" t="str">
        <f t="shared" si="598"/>
        <v xml:space="preserve"> </v>
      </c>
      <c r="P1727" s="418"/>
      <c r="Q1727" s="418"/>
    </row>
    <row r="1728" spans="2:17" ht="12.75" customHeight="1" x14ac:dyDescent="0.2">
      <c r="B1728" s="302"/>
      <c r="C1728" s="303"/>
      <c r="D1728" s="316" t="s">
        <v>277</v>
      </c>
      <c r="E1728" s="308" t="s">
        <v>101</v>
      </c>
      <c r="F1728" s="310" t="s">
        <v>318</v>
      </c>
      <c r="G1728" s="298">
        <f>603+600</f>
        <v>1203</v>
      </c>
      <c r="H1728" s="418">
        <v>85</v>
      </c>
      <c r="I1728" s="418">
        <f t="shared" si="596"/>
        <v>102255</v>
      </c>
      <c r="J1728" s="298">
        <f t="shared" ref="J1728" si="606">603+600</f>
        <v>1203</v>
      </c>
      <c r="K1728" s="456">
        <v>600</v>
      </c>
      <c r="L1728" s="418">
        <f t="shared" si="597"/>
        <v>721800</v>
      </c>
      <c r="M1728" s="298">
        <f t="shared" ref="M1728" si="607">603+600</f>
        <v>1203</v>
      </c>
      <c r="N1728" s="418">
        <v>600</v>
      </c>
      <c r="O1728" s="418">
        <f t="shared" si="598"/>
        <v>721800</v>
      </c>
      <c r="P1728" s="418">
        <f t="shared" si="600"/>
        <v>0</v>
      </c>
      <c r="Q1728" s="418">
        <f t="shared" si="601"/>
        <v>0</v>
      </c>
    </row>
    <row r="1729" spans="2:17" ht="12.75" customHeight="1" x14ac:dyDescent="0.2">
      <c r="B1729" s="302"/>
      <c r="C1729" s="303"/>
      <c r="D1729" s="299"/>
      <c r="E1729" s="308"/>
      <c r="F1729" s="310"/>
      <c r="G1729" s="298"/>
      <c r="H1729" s="418" t="str">
        <f t="shared" si="599"/>
        <v xml:space="preserve"> </v>
      </c>
      <c r="I1729" s="418" t="str">
        <f t="shared" si="596"/>
        <v xml:space="preserve"> </v>
      </c>
      <c r="J1729" s="298"/>
      <c r="K1729" s="456" t="s">
        <v>849</v>
      </c>
      <c r="L1729" s="418" t="str">
        <f t="shared" si="597"/>
        <v xml:space="preserve"> </v>
      </c>
      <c r="M1729" s="298"/>
      <c r="N1729" s="418"/>
      <c r="O1729" s="418" t="str">
        <f t="shared" si="598"/>
        <v xml:space="preserve"> </v>
      </c>
      <c r="P1729" s="418"/>
      <c r="Q1729" s="418"/>
    </row>
    <row r="1730" spans="2:17" ht="12.75" customHeight="1" x14ac:dyDescent="0.2">
      <c r="B1730" s="302"/>
      <c r="C1730" s="303"/>
      <c r="D1730" s="316" t="s">
        <v>124</v>
      </c>
      <c r="E1730" s="308" t="s">
        <v>102</v>
      </c>
      <c r="F1730" s="310" t="s">
        <v>318</v>
      </c>
      <c r="G1730" s="298">
        <v>12525</v>
      </c>
      <c r="H1730" s="418">
        <v>12</v>
      </c>
      <c r="I1730" s="418">
        <f t="shared" si="596"/>
        <v>150300</v>
      </c>
      <c r="J1730" s="298">
        <v>12525</v>
      </c>
      <c r="K1730" s="456">
        <v>1.5</v>
      </c>
      <c r="L1730" s="418">
        <f t="shared" si="597"/>
        <v>18787.5</v>
      </c>
      <c r="M1730" s="298">
        <v>12525</v>
      </c>
      <c r="N1730" s="418">
        <v>1.5</v>
      </c>
      <c r="O1730" s="418">
        <f t="shared" si="598"/>
        <v>18787.5</v>
      </c>
      <c r="P1730" s="418">
        <f t="shared" si="600"/>
        <v>0</v>
      </c>
      <c r="Q1730" s="418">
        <f t="shared" si="601"/>
        <v>0</v>
      </c>
    </row>
    <row r="1731" spans="2:17" ht="12.75" customHeight="1" x14ac:dyDescent="0.2">
      <c r="B1731" s="302"/>
      <c r="C1731" s="303"/>
      <c r="D1731" s="299"/>
      <c r="E1731" s="308"/>
      <c r="F1731" s="310"/>
      <c r="G1731" s="298"/>
      <c r="H1731" s="418" t="str">
        <f t="shared" si="599"/>
        <v xml:space="preserve"> </v>
      </c>
      <c r="I1731" s="418" t="str">
        <f t="shared" si="596"/>
        <v xml:space="preserve"> </v>
      </c>
      <c r="J1731" s="298"/>
      <c r="K1731" s="456" t="s">
        <v>849</v>
      </c>
      <c r="L1731" s="418" t="str">
        <f t="shared" si="597"/>
        <v xml:space="preserve"> </v>
      </c>
      <c r="M1731" s="298"/>
      <c r="N1731" s="418"/>
      <c r="O1731" s="418" t="str">
        <f t="shared" si="598"/>
        <v xml:space="preserve"> </v>
      </c>
      <c r="P1731" s="418"/>
      <c r="Q1731" s="418"/>
    </row>
    <row r="1732" spans="2:17" ht="12.75" customHeight="1" x14ac:dyDescent="0.2">
      <c r="B1732" s="302"/>
      <c r="C1732" s="303"/>
      <c r="D1732" s="316" t="s">
        <v>125</v>
      </c>
      <c r="E1732" s="308" t="s">
        <v>103</v>
      </c>
      <c r="F1732" s="310" t="s">
        <v>454</v>
      </c>
      <c r="G1732" s="298">
        <v>12</v>
      </c>
      <c r="H1732" s="418">
        <v>3500</v>
      </c>
      <c r="I1732" s="418">
        <f t="shared" si="596"/>
        <v>42000</v>
      </c>
      <c r="J1732" s="298">
        <v>12</v>
      </c>
      <c r="K1732" s="456">
        <v>12500</v>
      </c>
      <c r="L1732" s="418">
        <f t="shared" si="597"/>
        <v>150000</v>
      </c>
      <c r="M1732" s="298">
        <v>12</v>
      </c>
      <c r="N1732" s="418">
        <v>12500</v>
      </c>
      <c r="O1732" s="418">
        <f t="shared" si="598"/>
        <v>150000</v>
      </c>
      <c r="P1732" s="418">
        <f t="shared" si="600"/>
        <v>0</v>
      </c>
      <c r="Q1732" s="418">
        <f t="shared" si="601"/>
        <v>0</v>
      </c>
    </row>
    <row r="1733" spans="2:17" ht="12.75" customHeight="1" x14ac:dyDescent="0.2">
      <c r="B1733" s="302"/>
      <c r="C1733" s="303"/>
      <c r="D1733" s="299"/>
      <c r="E1733" s="308"/>
      <c r="F1733" s="310"/>
      <c r="G1733" s="298"/>
      <c r="H1733" s="436"/>
      <c r="I1733" s="418" t="str">
        <f t="shared" si="596"/>
        <v xml:space="preserve"> </v>
      </c>
      <c r="J1733" s="298"/>
      <c r="K1733" s="456"/>
      <c r="L1733" s="418" t="str">
        <f t="shared" si="597"/>
        <v xml:space="preserve"> </v>
      </c>
      <c r="M1733" s="298"/>
      <c r="N1733" s="436"/>
      <c r="O1733" s="418" t="str">
        <f t="shared" si="598"/>
        <v xml:space="preserve"> </v>
      </c>
      <c r="P1733" s="418" t="str">
        <f t="shared" ref="P1733" si="608">IF(N1733=0," ",N1733*O1733)</f>
        <v xml:space="preserve"> </v>
      </c>
      <c r="Q1733" s="418"/>
    </row>
    <row r="1734" spans="2:17" ht="12.75" customHeight="1" x14ac:dyDescent="0.2">
      <c r="B1734" s="355"/>
      <c r="C1734" s="315"/>
      <c r="D1734" s="299"/>
      <c r="E1734" s="308"/>
      <c r="F1734" s="310"/>
      <c r="G1734" s="419"/>
      <c r="H1734" s="266"/>
      <c r="I1734" s="418"/>
      <c r="J1734" s="419"/>
      <c r="K1734" s="456"/>
      <c r="L1734" s="418"/>
      <c r="M1734" s="419"/>
      <c r="N1734" s="266"/>
      <c r="O1734" s="418"/>
      <c r="P1734" s="418"/>
      <c r="Q1734" s="418"/>
    </row>
    <row r="1735" spans="2:17" ht="12.75" customHeight="1" x14ac:dyDescent="0.2">
      <c r="B1735" s="302"/>
      <c r="C1735" s="315"/>
      <c r="D1735" s="299"/>
      <c r="E1735" s="308"/>
      <c r="F1735" s="310"/>
      <c r="G1735" s="298"/>
      <c r="H1735" s="436"/>
      <c r="I1735" s="418"/>
      <c r="J1735" s="298"/>
      <c r="K1735" s="456"/>
      <c r="L1735" s="418"/>
      <c r="M1735" s="298"/>
      <c r="N1735" s="436"/>
      <c r="O1735" s="418"/>
      <c r="P1735" s="418"/>
      <c r="Q1735" s="418"/>
    </row>
    <row r="1736" spans="2:17" ht="12.75" customHeight="1" x14ac:dyDescent="0.2">
      <c r="B1736" s="315"/>
      <c r="C1736" s="315"/>
      <c r="D1736" s="316"/>
      <c r="E1736" s="308"/>
      <c r="F1736" s="310"/>
      <c r="G1736" s="298"/>
      <c r="H1736" s="436"/>
      <c r="I1736" s="418" t="str">
        <f t="shared" si="596"/>
        <v xml:space="preserve"> </v>
      </c>
      <c r="J1736" s="298"/>
      <c r="K1736" s="456"/>
      <c r="L1736" s="418" t="str">
        <f t="shared" ref="L1736:L1756" si="609">IF(J1736=0," ",J1736*K1736)</f>
        <v xml:space="preserve"> </v>
      </c>
      <c r="M1736" s="298"/>
      <c r="N1736" s="436"/>
      <c r="O1736" s="418" t="str">
        <f t="shared" ref="O1736:O1756" si="610">IF(M1736=0," ",M1736*N1736)</f>
        <v xml:space="preserve"> </v>
      </c>
      <c r="P1736" s="418" t="str">
        <f t="shared" ref="P1736:P1756" si="611">IF(N1736=0," ",N1736*O1736)</f>
        <v xml:space="preserve"> </v>
      </c>
      <c r="Q1736" s="418"/>
    </row>
    <row r="1737" spans="2:17" ht="12.75" customHeight="1" x14ac:dyDescent="0.2">
      <c r="B1737" s="302"/>
      <c r="C1737" s="303"/>
      <c r="D1737" s="299"/>
      <c r="E1737" s="308"/>
      <c r="F1737" s="310"/>
      <c r="G1737" s="298"/>
      <c r="H1737" s="436"/>
      <c r="I1737" s="418" t="str">
        <f t="shared" si="596"/>
        <v xml:space="preserve"> </v>
      </c>
      <c r="J1737" s="298"/>
      <c r="K1737" s="456"/>
      <c r="L1737" s="418" t="str">
        <f t="shared" si="609"/>
        <v xml:space="preserve"> </v>
      </c>
      <c r="M1737" s="298"/>
      <c r="N1737" s="436"/>
      <c r="O1737" s="418" t="str">
        <f t="shared" si="610"/>
        <v xml:space="preserve"> </v>
      </c>
      <c r="P1737" s="418" t="str">
        <f t="shared" si="611"/>
        <v xml:space="preserve"> </v>
      </c>
      <c r="Q1737" s="418"/>
    </row>
    <row r="1738" spans="2:17" ht="12.75" customHeight="1" x14ac:dyDescent="0.2">
      <c r="B1738" s="302"/>
      <c r="C1738" s="303"/>
      <c r="D1738" s="316"/>
      <c r="E1738" s="308"/>
      <c r="F1738" s="310"/>
      <c r="G1738" s="298"/>
      <c r="H1738" s="436"/>
      <c r="I1738" s="418" t="str">
        <f t="shared" si="596"/>
        <v xml:space="preserve"> </v>
      </c>
      <c r="J1738" s="298"/>
      <c r="K1738" s="456"/>
      <c r="L1738" s="418" t="str">
        <f t="shared" si="609"/>
        <v xml:space="preserve"> </v>
      </c>
      <c r="M1738" s="298"/>
      <c r="N1738" s="436"/>
      <c r="O1738" s="418" t="str">
        <f t="shared" si="610"/>
        <v xml:space="preserve"> </v>
      </c>
      <c r="P1738" s="418" t="str">
        <f t="shared" si="611"/>
        <v xml:space="preserve"> </v>
      </c>
      <c r="Q1738" s="418"/>
    </row>
    <row r="1739" spans="2:17" ht="12.75" customHeight="1" x14ac:dyDescent="0.2">
      <c r="B1739" s="302"/>
      <c r="C1739" s="303"/>
      <c r="D1739" s="299"/>
      <c r="E1739" s="308"/>
      <c r="F1739" s="310"/>
      <c r="G1739" s="298"/>
      <c r="H1739" s="436"/>
      <c r="I1739" s="418" t="str">
        <f t="shared" si="596"/>
        <v xml:space="preserve"> </v>
      </c>
      <c r="J1739" s="298"/>
      <c r="K1739" s="456"/>
      <c r="L1739" s="418" t="str">
        <f t="shared" si="609"/>
        <v xml:space="preserve"> </v>
      </c>
      <c r="M1739" s="298"/>
      <c r="N1739" s="436"/>
      <c r="O1739" s="418" t="str">
        <f t="shared" si="610"/>
        <v xml:space="preserve"> </v>
      </c>
      <c r="P1739" s="418" t="str">
        <f t="shared" si="611"/>
        <v xml:space="preserve"> </v>
      </c>
      <c r="Q1739" s="418"/>
    </row>
    <row r="1740" spans="2:17" ht="12.75" customHeight="1" x14ac:dyDescent="0.2">
      <c r="B1740" s="302"/>
      <c r="C1740" s="303"/>
      <c r="D1740" s="316"/>
      <c r="E1740" s="308"/>
      <c r="F1740" s="310"/>
      <c r="G1740" s="298"/>
      <c r="H1740" s="436"/>
      <c r="I1740" s="418" t="str">
        <f t="shared" si="596"/>
        <v xml:space="preserve"> </v>
      </c>
      <c r="J1740" s="298"/>
      <c r="K1740" s="456"/>
      <c r="L1740" s="418" t="str">
        <f t="shared" si="609"/>
        <v xml:space="preserve"> </v>
      </c>
      <c r="M1740" s="298"/>
      <c r="N1740" s="436"/>
      <c r="O1740" s="418" t="str">
        <f t="shared" si="610"/>
        <v xml:space="preserve"> </v>
      </c>
      <c r="P1740" s="418" t="str">
        <f t="shared" si="611"/>
        <v xml:space="preserve"> </v>
      </c>
      <c r="Q1740" s="418"/>
    </row>
    <row r="1741" spans="2:17" ht="12.75" customHeight="1" x14ac:dyDescent="0.2">
      <c r="B1741" s="302"/>
      <c r="C1741" s="303"/>
      <c r="D1741" s="299"/>
      <c r="E1741" s="308"/>
      <c r="F1741" s="310"/>
      <c r="G1741" s="298"/>
      <c r="H1741" s="436"/>
      <c r="I1741" s="418" t="str">
        <f t="shared" si="596"/>
        <v xml:space="preserve"> </v>
      </c>
      <c r="J1741" s="298"/>
      <c r="K1741" s="456"/>
      <c r="L1741" s="418" t="str">
        <f t="shared" si="609"/>
        <v xml:space="preserve"> </v>
      </c>
      <c r="M1741" s="298"/>
      <c r="N1741" s="436"/>
      <c r="O1741" s="418" t="str">
        <f t="shared" si="610"/>
        <v xml:space="preserve"> </v>
      </c>
      <c r="P1741" s="418" t="str">
        <f t="shared" si="611"/>
        <v xml:space="preserve"> </v>
      </c>
      <c r="Q1741" s="418"/>
    </row>
    <row r="1742" spans="2:17" ht="12.75" customHeight="1" x14ac:dyDescent="0.2">
      <c r="B1742" s="302"/>
      <c r="C1742" s="303"/>
      <c r="D1742" s="299"/>
      <c r="E1742" s="308"/>
      <c r="F1742" s="310"/>
      <c r="G1742" s="298"/>
      <c r="H1742" s="436"/>
      <c r="I1742" s="418" t="str">
        <f t="shared" si="596"/>
        <v xml:space="preserve"> </v>
      </c>
      <c r="J1742" s="298"/>
      <c r="K1742" s="456"/>
      <c r="L1742" s="418" t="str">
        <f t="shared" si="609"/>
        <v xml:space="preserve"> </v>
      </c>
      <c r="M1742" s="298"/>
      <c r="N1742" s="436"/>
      <c r="O1742" s="418" t="str">
        <f t="shared" si="610"/>
        <v xml:space="preserve"> </v>
      </c>
      <c r="P1742" s="418" t="str">
        <f t="shared" si="611"/>
        <v xml:space="preserve"> </v>
      </c>
      <c r="Q1742" s="418"/>
    </row>
    <row r="1743" spans="2:17" ht="12.75" customHeight="1" x14ac:dyDescent="0.2">
      <c r="B1743" s="302"/>
      <c r="C1743" s="303"/>
      <c r="D1743" s="299"/>
      <c r="E1743" s="308"/>
      <c r="F1743" s="310"/>
      <c r="G1743" s="298"/>
      <c r="H1743" s="436"/>
      <c r="I1743" s="418" t="str">
        <f t="shared" si="596"/>
        <v xml:space="preserve"> </v>
      </c>
      <c r="J1743" s="298"/>
      <c r="K1743" s="456"/>
      <c r="L1743" s="418" t="str">
        <f t="shared" si="609"/>
        <v xml:space="preserve"> </v>
      </c>
      <c r="M1743" s="298"/>
      <c r="N1743" s="436"/>
      <c r="O1743" s="418" t="str">
        <f t="shared" si="610"/>
        <v xml:space="preserve"> </v>
      </c>
      <c r="P1743" s="418" t="str">
        <f t="shared" si="611"/>
        <v xml:space="preserve"> </v>
      </c>
      <c r="Q1743" s="418"/>
    </row>
    <row r="1744" spans="2:17" ht="12.75" customHeight="1" x14ac:dyDescent="0.2">
      <c r="B1744" s="302"/>
      <c r="C1744" s="303"/>
      <c r="D1744" s="299"/>
      <c r="E1744" s="308"/>
      <c r="F1744" s="310"/>
      <c r="G1744" s="298"/>
      <c r="H1744" s="436"/>
      <c r="I1744" s="418" t="str">
        <f t="shared" si="596"/>
        <v xml:space="preserve"> </v>
      </c>
      <c r="J1744" s="298"/>
      <c r="K1744" s="456"/>
      <c r="L1744" s="418" t="str">
        <f t="shared" si="609"/>
        <v xml:space="preserve"> </v>
      </c>
      <c r="M1744" s="298"/>
      <c r="N1744" s="436"/>
      <c r="O1744" s="418" t="str">
        <f t="shared" si="610"/>
        <v xml:space="preserve"> </v>
      </c>
      <c r="P1744" s="418" t="str">
        <f t="shared" si="611"/>
        <v xml:space="preserve"> </v>
      </c>
      <c r="Q1744" s="418"/>
    </row>
    <row r="1745" spans="2:17" ht="12.75" customHeight="1" x14ac:dyDescent="0.2">
      <c r="B1745" s="302"/>
      <c r="C1745" s="303"/>
      <c r="D1745" s="299"/>
      <c r="E1745" s="308"/>
      <c r="F1745" s="310"/>
      <c r="G1745" s="298"/>
      <c r="H1745" s="436"/>
      <c r="I1745" s="418" t="str">
        <f t="shared" si="596"/>
        <v xml:space="preserve"> </v>
      </c>
      <c r="J1745" s="298"/>
      <c r="K1745" s="456"/>
      <c r="L1745" s="418" t="str">
        <f t="shared" si="609"/>
        <v xml:space="preserve"> </v>
      </c>
      <c r="M1745" s="298"/>
      <c r="N1745" s="436"/>
      <c r="O1745" s="418" t="str">
        <f t="shared" si="610"/>
        <v xml:space="preserve"> </v>
      </c>
      <c r="P1745" s="418" t="str">
        <f t="shared" si="611"/>
        <v xml:space="preserve"> </v>
      </c>
      <c r="Q1745" s="418"/>
    </row>
    <row r="1746" spans="2:17" ht="12.75" customHeight="1" x14ac:dyDescent="0.2">
      <c r="B1746" s="302"/>
      <c r="C1746" s="303"/>
      <c r="D1746" s="299"/>
      <c r="E1746" s="308"/>
      <c r="F1746" s="310"/>
      <c r="G1746" s="298"/>
      <c r="H1746" s="436"/>
      <c r="I1746" s="418" t="str">
        <f t="shared" si="596"/>
        <v xml:space="preserve"> </v>
      </c>
      <c r="J1746" s="298"/>
      <c r="K1746" s="456"/>
      <c r="L1746" s="418" t="str">
        <f t="shared" si="609"/>
        <v xml:space="preserve"> </v>
      </c>
      <c r="M1746" s="298"/>
      <c r="N1746" s="436"/>
      <c r="O1746" s="418" t="str">
        <f t="shared" si="610"/>
        <v xml:space="preserve"> </v>
      </c>
      <c r="P1746" s="418" t="str">
        <f t="shared" si="611"/>
        <v xml:space="preserve"> </v>
      </c>
      <c r="Q1746" s="418"/>
    </row>
    <row r="1747" spans="2:17" ht="12.75" customHeight="1" x14ac:dyDescent="0.2">
      <c r="B1747" s="302"/>
      <c r="C1747" s="303"/>
      <c r="D1747" s="299"/>
      <c r="E1747" s="308"/>
      <c r="F1747" s="310"/>
      <c r="G1747" s="298"/>
      <c r="H1747" s="436"/>
      <c r="I1747" s="418" t="str">
        <f t="shared" si="596"/>
        <v xml:space="preserve"> </v>
      </c>
      <c r="J1747" s="298"/>
      <c r="K1747" s="456"/>
      <c r="L1747" s="418" t="str">
        <f t="shared" si="609"/>
        <v xml:space="preserve"> </v>
      </c>
      <c r="M1747" s="298"/>
      <c r="N1747" s="436"/>
      <c r="O1747" s="418" t="str">
        <f t="shared" si="610"/>
        <v xml:space="preserve"> </v>
      </c>
      <c r="P1747" s="418" t="str">
        <f t="shared" si="611"/>
        <v xml:space="preserve"> </v>
      </c>
      <c r="Q1747" s="418"/>
    </row>
    <row r="1748" spans="2:17" ht="12.75" customHeight="1" x14ac:dyDescent="0.2">
      <c r="B1748" s="302"/>
      <c r="C1748" s="303"/>
      <c r="D1748" s="299"/>
      <c r="E1748" s="308"/>
      <c r="F1748" s="310"/>
      <c r="G1748" s="298"/>
      <c r="H1748" s="436"/>
      <c r="I1748" s="418" t="str">
        <f t="shared" si="596"/>
        <v xml:space="preserve"> </v>
      </c>
      <c r="J1748" s="298"/>
      <c r="K1748" s="456"/>
      <c r="L1748" s="418" t="str">
        <f t="shared" si="609"/>
        <v xml:space="preserve"> </v>
      </c>
      <c r="M1748" s="298"/>
      <c r="N1748" s="436"/>
      <c r="O1748" s="418" t="str">
        <f t="shared" si="610"/>
        <v xml:space="preserve"> </v>
      </c>
      <c r="P1748" s="418" t="str">
        <f t="shared" si="611"/>
        <v xml:space="preserve"> </v>
      </c>
      <c r="Q1748" s="418"/>
    </row>
    <row r="1749" spans="2:17" ht="12.75" customHeight="1" x14ac:dyDescent="0.2">
      <c r="B1749" s="302"/>
      <c r="C1749" s="303"/>
      <c r="D1749" s="299"/>
      <c r="E1749" s="308"/>
      <c r="F1749" s="310"/>
      <c r="G1749" s="298"/>
      <c r="H1749" s="436"/>
      <c r="I1749" s="418" t="str">
        <f t="shared" si="596"/>
        <v xml:space="preserve"> </v>
      </c>
      <c r="J1749" s="298"/>
      <c r="K1749" s="456"/>
      <c r="L1749" s="418" t="str">
        <f t="shared" si="609"/>
        <v xml:space="preserve"> </v>
      </c>
      <c r="M1749" s="298"/>
      <c r="N1749" s="436"/>
      <c r="O1749" s="418" t="str">
        <f t="shared" si="610"/>
        <v xml:space="preserve"> </v>
      </c>
      <c r="P1749" s="418" t="str">
        <f t="shared" si="611"/>
        <v xml:space="preserve"> </v>
      </c>
      <c r="Q1749" s="418"/>
    </row>
    <row r="1750" spans="2:17" ht="12.75" customHeight="1" x14ac:dyDescent="0.2">
      <c r="B1750" s="302"/>
      <c r="C1750" s="303"/>
      <c r="D1750" s="299"/>
      <c r="E1750" s="308"/>
      <c r="F1750" s="310"/>
      <c r="G1750" s="298"/>
      <c r="H1750" s="436"/>
      <c r="I1750" s="418" t="str">
        <f t="shared" si="596"/>
        <v xml:space="preserve"> </v>
      </c>
      <c r="J1750" s="298"/>
      <c r="K1750" s="456"/>
      <c r="L1750" s="418" t="str">
        <f t="shared" si="609"/>
        <v xml:space="preserve"> </v>
      </c>
      <c r="M1750" s="298"/>
      <c r="N1750" s="436"/>
      <c r="O1750" s="418" t="str">
        <f t="shared" si="610"/>
        <v xml:space="preserve"> </v>
      </c>
      <c r="P1750" s="418" t="str">
        <f t="shared" si="611"/>
        <v xml:space="preserve"> </v>
      </c>
      <c r="Q1750" s="418"/>
    </row>
    <row r="1751" spans="2:17" ht="12.75" customHeight="1" x14ac:dyDescent="0.2">
      <c r="B1751" s="302"/>
      <c r="C1751" s="303"/>
      <c r="D1751" s="299"/>
      <c r="E1751" s="308"/>
      <c r="F1751" s="310"/>
      <c r="G1751" s="298"/>
      <c r="H1751" s="436"/>
      <c r="I1751" s="418" t="str">
        <f t="shared" si="596"/>
        <v xml:space="preserve"> </v>
      </c>
      <c r="J1751" s="298"/>
      <c r="K1751" s="456"/>
      <c r="L1751" s="418" t="str">
        <f t="shared" si="609"/>
        <v xml:space="preserve"> </v>
      </c>
      <c r="M1751" s="298"/>
      <c r="N1751" s="436"/>
      <c r="O1751" s="418" t="str">
        <f t="shared" si="610"/>
        <v xml:space="preserve"> </v>
      </c>
      <c r="P1751" s="418" t="str">
        <f t="shared" si="611"/>
        <v xml:space="preserve"> </v>
      </c>
      <c r="Q1751" s="418"/>
    </row>
    <row r="1752" spans="2:17" ht="12.75" customHeight="1" x14ac:dyDescent="0.2">
      <c r="B1752" s="302"/>
      <c r="C1752" s="303"/>
      <c r="D1752" s="299"/>
      <c r="E1752" s="308"/>
      <c r="F1752" s="310"/>
      <c r="G1752" s="298"/>
      <c r="H1752" s="436"/>
      <c r="I1752" s="418" t="str">
        <f t="shared" si="596"/>
        <v xml:space="preserve"> </v>
      </c>
      <c r="J1752" s="298"/>
      <c r="K1752" s="456"/>
      <c r="L1752" s="418" t="str">
        <f t="shared" si="609"/>
        <v xml:space="preserve"> </v>
      </c>
      <c r="M1752" s="298"/>
      <c r="N1752" s="436"/>
      <c r="O1752" s="418" t="str">
        <f t="shared" si="610"/>
        <v xml:space="preserve"> </v>
      </c>
      <c r="P1752" s="418" t="str">
        <f t="shared" si="611"/>
        <v xml:space="preserve"> </v>
      </c>
      <c r="Q1752" s="418"/>
    </row>
    <row r="1753" spans="2:17" ht="12.75" customHeight="1" x14ac:dyDescent="0.2">
      <c r="B1753" s="302"/>
      <c r="C1753" s="303"/>
      <c r="D1753" s="299"/>
      <c r="E1753" s="308"/>
      <c r="F1753" s="310"/>
      <c r="G1753" s="298"/>
      <c r="H1753" s="436"/>
      <c r="I1753" s="418" t="str">
        <f t="shared" si="596"/>
        <v xml:space="preserve"> </v>
      </c>
      <c r="J1753" s="298"/>
      <c r="K1753" s="456"/>
      <c r="L1753" s="418" t="str">
        <f t="shared" si="609"/>
        <v xml:space="preserve"> </v>
      </c>
      <c r="M1753" s="298"/>
      <c r="N1753" s="436"/>
      <c r="O1753" s="418" t="str">
        <f t="shared" si="610"/>
        <v xml:space="preserve"> </v>
      </c>
      <c r="P1753" s="418" t="str">
        <f t="shared" si="611"/>
        <v xml:space="preserve"> </v>
      </c>
      <c r="Q1753" s="418"/>
    </row>
    <row r="1754" spans="2:17" ht="12.75" customHeight="1" x14ac:dyDescent="0.2">
      <c r="B1754" s="302"/>
      <c r="C1754" s="303"/>
      <c r="D1754" s="299"/>
      <c r="E1754" s="308"/>
      <c r="F1754" s="310"/>
      <c r="G1754" s="298"/>
      <c r="H1754" s="436"/>
      <c r="I1754" s="418" t="str">
        <f t="shared" si="596"/>
        <v xml:space="preserve"> </v>
      </c>
      <c r="J1754" s="298"/>
      <c r="K1754" s="456"/>
      <c r="L1754" s="418" t="str">
        <f t="shared" si="609"/>
        <v xml:space="preserve"> </v>
      </c>
      <c r="M1754" s="298"/>
      <c r="N1754" s="436"/>
      <c r="O1754" s="418" t="str">
        <f t="shared" si="610"/>
        <v xml:space="preserve"> </v>
      </c>
      <c r="P1754" s="418" t="str">
        <f t="shared" si="611"/>
        <v xml:space="preserve"> </v>
      </c>
      <c r="Q1754" s="418"/>
    </row>
    <row r="1755" spans="2:17" ht="12.75" customHeight="1" x14ac:dyDescent="0.2">
      <c r="B1755" s="267"/>
      <c r="F1755" s="265"/>
      <c r="G1755" s="268"/>
      <c r="H1755" s="317"/>
      <c r="I1755" s="418" t="str">
        <f t="shared" si="596"/>
        <v xml:space="preserve"> </v>
      </c>
      <c r="J1755" s="268"/>
      <c r="K1755" s="456"/>
      <c r="L1755" s="418" t="str">
        <f t="shared" si="609"/>
        <v xml:space="preserve"> </v>
      </c>
      <c r="M1755" s="268"/>
      <c r="N1755" s="317"/>
      <c r="O1755" s="418" t="str">
        <f t="shared" si="610"/>
        <v xml:space="preserve"> </v>
      </c>
      <c r="P1755" s="418" t="str">
        <f t="shared" si="611"/>
        <v xml:space="preserve"> </v>
      </c>
      <c r="Q1755" s="418"/>
    </row>
    <row r="1756" spans="2:17" ht="12.75" customHeight="1" x14ac:dyDescent="0.2">
      <c r="B1756" s="267"/>
      <c r="F1756" s="265"/>
      <c r="G1756" s="268"/>
      <c r="H1756" s="317"/>
      <c r="I1756" s="418" t="str">
        <f t="shared" si="596"/>
        <v xml:space="preserve"> </v>
      </c>
      <c r="J1756" s="268"/>
      <c r="K1756" s="456"/>
      <c r="L1756" s="418" t="str">
        <f t="shared" si="609"/>
        <v xml:space="preserve"> </v>
      </c>
      <c r="M1756" s="268"/>
      <c r="N1756" s="317"/>
      <c r="O1756" s="418" t="str">
        <f t="shared" si="610"/>
        <v xml:space="preserve"> </v>
      </c>
      <c r="P1756" s="418" t="str">
        <f t="shared" si="611"/>
        <v xml:space="preserve"> </v>
      </c>
      <c r="Q1756" s="418"/>
    </row>
    <row r="1757" spans="2:17" ht="12.75" customHeight="1" x14ac:dyDescent="0.2">
      <c r="B1757" s="267"/>
      <c r="F1757" s="265"/>
      <c r="G1757" s="268"/>
      <c r="H1757" s="317"/>
      <c r="I1757" s="418"/>
      <c r="J1757" s="268"/>
      <c r="K1757" s="456"/>
      <c r="L1757" s="418"/>
      <c r="M1757" s="268"/>
      <c r="N1757" s="317"/>
      <c r="O1757" s="418"/>
      <c r="P1757" s="418"/>
      <c r="Q1757" s="418"/>
    </row>
    <row r="1758" spans="2:17" ht="12.75" customHeight="1" x14ac:dyDescent="0.2">
      <c r="B1758" s="273"/>
      <c r="F1758" s="265"/>
      <c r="G1758" s="268"/>
      <c r="H1758" s="317"/>
      <c r="I1758" s="318"/>
      <c r="J1758" s="268"/>
      <c r="K1758" s="456"/>
      <c r="L1758" s="318"/>
      <c r="M1758" s="268"/>
      <c r="N1758" s="317"/>
      <c r="O1758" s="318"/>
      <c r="P1758" s="318"/>
      <c r="Q1758" s="318"/>
    </row>
    <row r="1759" spans="2:17" ht="12.75" customHeight="1" x14ac:dyDescent="0.2">
      <c r="B1759" s="287">
        <v>5800</v>
      </c>
      <c r="C1759" s="288" t="s">
        <v>268</v>
      </c>
      <c r="D1759" s="289"/>
      <c r="E1759" s="290"/>
      <c r="F1759" s="291"/>
      <c r="G1759" s="291"/>
      <c r="H1759" s="422"/>
      <c r="I1759" s="423">
        <f>SUM(I1702:I1758)</f>
        <v>1376055</v>
      </c>
      <c r="J1759" s="412"/>
      <c r="K1759" s="457"/>
      <c r="L1759" s="423">
        <f t="shared" ref="L1759" si="612">SUM(L1702:L1758)</f>
        <v>2695387.5</v>
      </c>
      <c r="M1759" s="291"/>
      <c r="N1759" s="422"/>
      <c r="O1759" s="423">
        <f>SUM(O1702:O1758)</f>
        <v>1996587.5</v>
      </c>
      <c r="P1759" s="423"/>
      <c r="Q1759" s="423">
        <f t="shared" ref="Q1759" si="613">SUM(Q1702:Q1758)</f>
        <v>698800</v>
      </c>
    </row>
    <row r="1760" spans="2:17" ht="12.75" customHeight="1" x14ac:dyDescent="0.2">
      <c r="B1760" s="239" t="s">
        <v>79</v>
      </c>
      <c r="C1760" s="239"/>
      <c r="D1760" s="263"/>
      <c r="E1760" s="297"/>
      <c r="G1760" s="364"/>
      <c r="H1760" s="450"/>
      <c r="I1760" s="451"/>
      <c r="K1760" s="456"/>
      <c r="L1760" s="451"/>
      <c r="M1760" s="364"/>
      <c r="N1760" s="450"/>
      <c r="O1760" s="451"/>
      <c r="P1760" s="451"/>
      <c r="Q1760" s="451"/>
    </row>
    <row r="1761" spans="2:17" ht="12.75" customHeight="1" x14ac:dyDescent="0.2">
      <c r="B1761" s="239" t="s">
        <v>267</v>
      </c>
      <c r="C1761" s="240"/>
      <c r="E1761" s="238"/>
      <c r="I1761" s="427"/>
      <c r="K1761" s="456"/>
      <c r="L1761" s="427"/>
      <c r="O1761" s="427"/>
      <c r="P1761" s="427"/>
      <c r="Q1761" s="427"/>
    </row>
    <row r="1762" spans="2:17" ht="12.75" customHeight="1" x14ac:dyDescent="0.2">
      <c r="C1762" s="240"/>
      <c r="E1762" s="238"/>
      <c r="G1762" s="246"/>
      <c r="H1762" s="452"/>
      <c r="I1762" s="453"/>
      <c r="J1762" s="246"/>
      <c r="K1762" s="456"/>
      <c r="L1762" s="453"/>
      <c r="M1762" s="246"/>
      <c r="N1762" s="452"/>
      <c r="O1762" s="453"/>
      <c r="P1762" s="453"/>
      <c r="Q1762" s="453"/>
    </row>
    <row r="1763" spans="2:17" ht="12.75" customHeight="1" x14ac:dyDescent="0.2">
      <c r="B1763" s="247" t="s">
        <v>263</v>
      </c>
      <c r="C1763" s="248" t="s">
        <v>264</v>
      </c>
      <c r="D1763" s="249"/>
      <c r="E1763" s="250"/>
      <c r="F1763" s="250" t="s">
        <v>265</v>
      </c>
      <c r="G1763" s="356" t="s">
        <v>68</v>
      </c>
      <c r="H1763" s="251" t="s">
        <v>849</v>
      </c>
      <c r="I1763" s="252" t="s">
        <v>849</v>
      </c>
      <c r="J1763" s="356" t="s">
        <v>68</v>
      </c>
      <c r="K1763" s="457" t="s">
        <v>849</v>
      </c>
      <c r="L1763" s="252" t="s">
        <v>849</v>
      </c>
      <c r="M1763" s="356" t="s">
        <v>68</v>
      </c>
      <c r="N1763" s="251" t="s">
        <v>849</v>
      </c>
      <c r="O1763" s="252" t="s">
        <v>849</v>
      </c>
      <c r="P1763" s="252" t="s">
        <v>849</v>
      </c>
      <c r="Q1763" s="252" t="s">
        <v>849</v>
      </c>
    </row>
    <row r="1764" spans="2:17" ht="12.75" customHeight="1" x14ac:dyDescent="0.2">
      <c r="B1764" s="253" t="s">
        <v>266</v>
      </c>
      <c r="C1764" s="254"/>
      <c r="D1764" s="255"/>
      <c r="E1764" s="256"/>
      <c r="F1764" s="256"/>
      <c r="G1764" s="357" t="s">
        <v>69</v>
      </c>
      <c r="H1764" s="257" t="s">
        <v>262</v>
      </c>
      <c r="I1764" s="258" t="s">
        <v>70</v>
      </c>
      <c r="J1764" s="357" t="s">
        <v>69</v>
      </c>
      <c r="K1764" s="457" t="s">
        <v>262</v>
      </c>
      <c r="L1764" s="258" t="s">
        <v>70</v>
      </c>
      <c r="M1764" s="357" t="s">
        <v>69</v>
      </c>
      <c r="N1764" s="257" t="s">
        <v>262</v>
      </c>
      <c r="O1764" s="258" t="s">
        <v>70</v>
      </c>
      <c r="P1764" s="258" t="s">
        <v>70</v>
      </c>
      <c r="Q1764" s="258" t="s">
        <v>70</v>
      </c>
    </row>
    <row r="1765" spans="2:17" ht="12.75" customHeight="1" x14ac:dyDescent="0.2">
      <c r="B1765" s="273"/>
      <c r="F1765" s="265"/>
      <c r="G1765" s="268"/>
      <c r="H1765" s="317"/>
      <c r="I1765" s="318" t="str">
        <f>IF(G1645=0," ",G1645*H1768)</f>
        <v xml:space="preserve"> </v>
      </c>
      <c r="J1765" s="268"/>
      <c r="K1765" s="456"/>
      <c r="L1765" s="318" t="str">
        <f t="shared" ref="L1765:L1766" si="614">IF(J1645=0," ",J1645*K1768)</f>
        <v xml:space="preserve"> </v>
      </c>
      <c r="M1765" s="268"/>
      <c r="N1765" s="317"/>
      <c r="O1765" s="318" t="str">
        <f t="shared" ref="O1765:O1766" si="615">IF(M1645=0," ",M1645*N1768)</f>
        <v xml:space="preserve"> </v>
      </c>
      <c r="P1765" s="318" t="str">
        <f t="shared" ref="P1765:P1766" si="616">IF(N1645=0," ",N1645*O1768)</f>
        <v xml:space="preserve"> </v>
      </c>
      <c r="Q1765" s="318"/>
    </row>
    <row r="1766" spans="2:17" ht="12.75" customHeight="1" x14ac:dyDescent="0.2">
      <c r="B1766" s="261">
        <v>5900</v>
      </c>
      <c r="C1766" s="262" t="s">
        <v>29</v>
      </c>
      <c r="D1766" s="263"/>
      <c r="E1766" s="264"/>
      <c r="F1766" s="265"/>
      <c r="G1766" s="268"/>
      <c r="H1766" s="317"/>
      <c r="I1766" s="418" t="str">
        <f>IF(G1646=0," ",G1646*H1769)</f>
        <v xml:space="preserve"> </v>
      </c>
      <c r="J1766" s="268"/>
      <c r="K1766" s="456"/>
      <c r="L1766" s="418" t="str">
        <f t="shared" si="614"/>
        <v xml:space="preserve"> </v>
      </c>
      <c r="M1766" s="268"/>
      <c r="N1766" s="317"/>
      <c r="O1766" s="418" t="str">
        <f t="shared" si="615"/>
        <v xml:space="preserve"> </v>
      </c>
      <c r="P1766" s="418" t="str">
        <f t="shared" si="616"/>
        <v xml:space="preserve"> </v>
      </c>
      <c r="Q1766" s="418"/>
    </row>
    <row r="1767" spans="2:17" ht="12.75" customHeight="1" x14ac:dyDescent="0.2">
      <c r="B1767" s="267"/>
      <c r="F1767" s="265"/>
      <c r="G1767" s="268"/>
      <c r="H1767" s="317"/>
      <c r="I1767" s="418"/>
      <c r="J1767" s="268"/>
      <c r="K1767" s="456"/>
      <c r="L1767" s="418"/>
      <c r="M1767" s="268"/>
      <c r="N1767" s="317"/>
      <c r="O1767" s="418"/>
      <c r="P1767" s="418"/>
      <c r="Q1767" s="418"/>
    </row>
    <row r="1768" spans="2:17" ht="12.75" customHeight="1" x14ac:dyDescent="0.2">
      <c r="B1768" s="267" t="s">
        <v>444</v>
      </c>
      <c r="C1768" s="273" t="s">
        <v>30</v>
      </c>
      <c r="D1768" s="285"/>
      <c r="E1768" s="286"/>
      <c r="F1768" s="265"/>
      <c r="G1768" s="268"/>
      <c r="H1768" s="317"/>
      <c r="I1768" s="418"/>
      <c r="J1768" s="268"/>
      <c r="K1768" s="456"/>
      <c r="L1768" s="418"/>
      <c r="M1768" s="268"/>
      <c r="N1768" s="317"/>
      <c r="O1768" s="418"/>
      <c r="P1768" s="418"/>
      <c r="Q1768" s="418"/>
    </row>
    <row r="1769" spans="2:17" ht="12.75" customHeight="1" x14ac:dyDescent="0.2">
      <c r="B1769" s="267"/>
      <c r="C1769" s="273" t="s">
        <v>279</v>
      </c>
      <c r="D1769" s="285" t="s">
        <v>512</v>
      </c>
      <c r="E1769" s="286"/>
      <c r="F1769" s="265" t="s">
        <v>288</v>
      </c>
      <c r="G1769" s="268">
        <v>7.2</v>
      </c>
      <c r="H1769" s="418">
        <v>35000</v>
      </c>
      <c r="I1769" s="418">
        <f t="shared" ref="I1769:I1781" si="617">IF(G1769=0," ",G1769*H1769)</f>
        <v>252000</v>
      </c>
      <c r="J1769" s="268">
        <v>7.2</v>
      </c>
      <c r="K1769" s="456">
        <v>18000</v>
      </c>
      <c r="L1769" s="418">
        <f t="shared" ref="L1769:L1770" si="618">IF(J1769=0," ",J1769*K1769)</f>
        <v>129600</v>
      </c>
      <c r="M1769" s="268">
        <v>7.2</v>
      </c>
      <c r="N1769" s="418">
        <v>18000</v>
      </c>
      <c r="O1769" s="418">
        <f t="shared" ref="O1769:O1770" si="619">IF(M1769=0," ",M1769*N1769)</f>
        <v>129600</v>
      </c>
      <c r="P1769" s="418">
        <f>K1769-N1769</f>
        <v>0</v>
      </c>
      <c r="Q1769" s="418">
        <f>L1769-O1769</f>
        <v>0</v>
      </c>
    </row>
    <row r="1770" spans="2:17" ht="12.75" customHeight="1" x14ac:dyDescent="0.2">
      <c r="B1770" s="267"/>
      <c r="D1770" s="285"/>
      <c r="E1770" s="286"/>
      <c r="F1770" s="265"/>
      <c r="G1770" s="268"/>
      <c r="H1770" s="317"/>
      <c r="I1770" s="418" t="str">
        <f t="shared" si="617"/>
        <v xml:space="preserve"> </v>
      </c>
      <c r="J1770" s="268"/>
      <c r="K1770" s="456"/>
      <c r="L1770" s="418" t="str">
        <f t="shared" si="618"/>
        <v xml:space="preserve"> </v>
      </c>
      <c r="M1770" s="268"/>
      <c r="N1770" s="317"/>
      <c r="O1770" s="418" t="str">
        <f t="shared" si="619"/>
        <v xml:space="preserve"> </v>
      </c>
      <c r="P1770" s="418" t="str">
        <f t="shared" ref="P1770" si="620">IF(N1770=0," ",N1770*O1770)</f>
        <v xml:space="preserve"> </v>
      </c>
      <c r="Q1770" s="418"/>
    </row>
    <row r="1771" spans="2:17" ht="12.75" customHeight="1" x14ac:dyDescent="0.2">
      <c r="B1771" s="267" t="s">
        <v>445</v>
      </c>
      <c r="C1771" s="273" t="s">
        <v>31</v>
      </c>
      <c r="F1771" s="265" t="s">
        <v>288</v>
      </c>
      <c r="G1771" s="268" t="s">
        <v>596</v>
      </c>
      <c r="H1771" s="421">
        <v>4000</v>
      </c>
      <c r="I1771" s="418">
        <v>0</v>
      </c>
      <c r="J1771" s="268" t="s">
        <v>596</v>
      </c>
      <c r="K1771" s="456">
        <v>19500</v>
      </c>
      <c r="L1771" s="418">
        <v>0</v>
      </c>
      <c r="M1771" s="268" t="s">
        <v>596</v>
      </c>
      <c r="N1771" s="421">
        <v>19500</v>
      </c>
      <c r="O1771" s="418">
        <v>0</v>
      </c>
      <c r="P1771" s="418">
        <f>K1771-N1771</f>
        <v>0</v>
      </c>
      <c r="Q1771" s="418">
        <f>L1771-O1771</f>
        <v>0</v>
      </c>
    </row>
    <row r="1772" spans="2:17" ht="12.75" customHeight="1" x14ac:dyDescent="0.2">
      <c r="B1772" s="267"/>
      <c r="F1772" s="265"/>
      <c r="G1772" s="268"/>
      <c r="H1772" s="317"/>
      <c r="I1772" s="418" t="str">
        <f t="shared" si="617"/>
        <v xml:space="preserve"> </v>
      </c>
      <c r="J1772" s="268"/>
      <c r="K1772" s="456"/>
      <c r="L1772" s="418" t="str">
        <f t="shared" ref="L1772:L1781" si="621">IF(J1772=0," ",J1772*K1772)</f>
        <v xml:space="preserve"> </v>
      </c>
      <c r="M1772" s="268"/>
      <c r="N1772" s="317"/>
      <c r="O1772" s="418" t="str">
        <f t="shared" ref="O1772:O1781" si="622">IF(M1772=0," ",M1772*N1772)</f>
        <v xml:space="preserve"> </v>
      </c>
      <c r="P1772" s="418" t="str">
        <f t="shared" ref="P1772:P1781" si="623">IF(N1772=0," ",N1772*O1772)</f>
        <v xml:space="preserve"> </v>
      </c>
      <c r="Q1772" s="418"/>
    </row>
    <row r="1773" spans="2:17" ht="12.75" customHeight="1" x14ac:dyDescent="0.2">
      <c r="B1773" s="267"/>
      <c r="F1773" s="265"/>
      <c r="G1773" s="268"/>
      <c r="H1773" s="317"/>
      <c r="I1773" s="418" t="str">
        <f t="shared" si="617"/>
        <v xml:space="preserve"> </v>
      </c>
      <c r="J1773" s="268"/>
      <c r="K1773" s="456"/>
      <c r="L1773" s="418" t="str">
        <f t="shared" si="621"/>
        <v xml:space="preserve"> </v>
      </c>
      <c r="M1773" s="268"/>
      <c r="N1773" s="317"/>
      <c r="O1773" s="418" t="str">
        <f t="shared" si="622"/>
        <v xml:space="preserve"> </v>
      </c>
      <c r="P1773" s="418" t="str">
        <f t="shared" si="623"/>
        <v xml:space="preserve"> </v>
      </c>
      <c r="Q1773" s="418"/>
    </row>
    <row r="1774" spans="2:17" ht="12.75" customHeight="1" x14ac:dyDescent="0.2">
      <c r="B1774" s="267"/>
      <c r="F1774" s="265"/>
      <c r="G1774" s="268"/>
      <c r="H1774" s="317"/>
      <c r="I1774" s="418" t="str">
        <f t="shared" si="617"/>
        <v xml:space="preserve"> </v>
      </c>
      <c r="J1774" s="268"/>
      <c r="K1774" s="456"/>
      <c r="L1774" s="418" t="str">
        <f t="shared" si="621"/>
        <v xml:space="preserve"> </v>
      </c>
      <c r="M1774" s="268"/>
      <c r="N1774" s="317"/>
      <c r="O1774" s="418" t="str">
        <f t="shared" si="622"/>
        <v xml:space="preserve"> </v>
      </c>
      <c r="P1774" s="418" t="str">
        <f t="shared" si="623"/>
        <v xml:space="preserve"> </v>
      </c>
      <c r="Q1774" s="418"/>
    </row>
    <row r="1775" spans="2:17" ht="12.75" customHeight="1" x14ac:dyDescent="0.2">
      <c r="B1775" s="267"/>
      <c r="F1775" s="265"/>
      <c r="G1775" s="268"/>
      <c r="H1775" s="317"/>
      <c r="I1775" s="418" t="str">
        <f t="shared" si="617"/>
        <v xml:space="preserve"> </v>
      </c>
      <c r="J1775" s="268"/>
      <c r="K1775" s="456"/>
      <c r="L1775" s="418" t="str">
        <f t="shared" si="621"/>
        <v xml:space="preserve"> </v>
      </c>
      <c r="M1775" s="268"/>
      <c r="N1775" s="317"/>
      <c r="O1775" s="418" t="str">
        <f t="shared" si="622"/>
        <v xml:space="preserve"> </v>
      </c>
      <c r="P1775" s="418" t="str">
        <f t="shared" si="623"/>
        <v xml:space="preserve"> </v>
      </c>
      <c r="Q1775" s="418"/>
    </row>
    <row r="1776" spans="2:17" ht="12.75" customHeight="1" x14ac:dyDescent="0.2">
      <c r="B1776" s="267"/>
      <c r="F1776" s="265"/>
      <c r="G1776" s="268"/>
      <c r="H1776" s="317"/>
      <c r="I1776" s="418" t="str">
        <f t="shared" si="617"/>
        <v xml:space="preserve"> </v>
      </c>
      <c r="J1776" s="268"/>
      <c r="K1776" s="456"/>
      <c r="L1776" s="418" t="str">
        <f t="shared" si="621"/>
        <v xml:space="preserve"> </v>
      </c>
      <c r="M1776" s="268"/>
      <c r="N1776" s="317"/>
      <c r="O1776" s="418" t="str">
        <f t="shared" si="622"/>
        <v xml:space="preserve"> </v>
      </c>
      <c r="P1776" s="418" t="str">
        <f t="shared" si="623"/>
        <v xml:space="preserve"> </v>
      </c>
      <c r="Q1776" s="418"/>
    </row>
    <row r="1777" spans="2:17" ht="12.75" customHeight="1" x14ac:dyDescent="0.2">
      <c r="B1777" s="267"/>
      <c r="F1777" s="265"/>
      <c r="G1777" s="268"/>
      <c r="H1777" s="317"/>
      <c r="I1777" s="418" t="str">
        <f t="shared" si="617"/>
        <v xml:space="preserve"> </v>
      </c>
      <c r="J1777" s="268"/>
      <c r="K1777" s="456"/>
      <c r="L1777" s="418" t="str">
        <f t="shared" si="621"/>
        <v xml:space="preserve"> </v>
      </c>
      <c r="M1777" s="268"/>
      <c r="N1777" s="317"/>
      <c r="O1777" s="418" t="str">
        <f t="shared" si="622"/>
        <v xml:space="preserve"> </v>
      </c>
      <c r="P1777" s="418" t="str">
        <f t="shared" si="623"/>
        <v xml:space="preserve"> </v>
      </c>
      <c r="Q1777" s="418"/>
    </row>
    <row r="1778" spans="2:17" ht="12.75" customHeight="1" x14ac:dyDescent="0.2">
      <c r="B1778" s="267"/>
      <c r="F1778" s="265"/>
      <c r="G1778" s="268"/>
      <c r="H1778" s="317"/>
      <c r="I1778" s="418" t="str">
        <f t="shared" si="617"/>
        <v xml:space="preserve"> </v>
      </c>
      <c r="J1778" s="268"/>
      <c r="K1778" s="456"/>
      <c r="L1778" s="418" t="str">
        <f t="shared" si="621"/>
        <v xml:space="preserve"> </v>
      </c>
      <c r="M1778" s="268"/>
      <c r="N1778" s="317"/>
      <c r="O1778" s="418" t="str">
        <f t="shared" si="622"/>
        <v xml:space="preserve"> </v>
      </c>
      <c r="P1778" s="418" t="str">
        <f t="shared" si="623"/>
        <v xml:space="preserve"> </v>
      </c>
      <c r="Q1778" s="418"/>
    </row>
    <row r="1779" spans="2:17" ht="12.75" customHeight="1" x14ac:dyDescent="0.2">
      <c r="B1779" s="267"/>
      <c r="F1779" s="265"/>
      <c r="G1779" s="268"/>
      <c r="H1779" s="317"/>
      <c r="I1779" s="418" t="str">
        <f t="shared" si="617"/>
        <v xml:space="preserve"> </v>
      </c>
      <c r="J1779" s="268"/>
      <c r="K1779" s="456"/>
      <c r="L1779" s="418" t="str">
        <f t="shared" si="621"/>
        <v xml:space="preserve"> </v>
      </c>
      <c r="M1779" s="268"/>
      <c r="N1779" s="317"/>
      <c r="O1779" s="418" t="str">
        <f t="shared" si="622"/>
        <v xml:space="preserve"> </v>
      </c>
      <c r="P1779" s="418" t="str">
        <f t="shared" si="623"/>
        <v xml:space="preserve"> </v>
      </c>
      <c r="Q1779" s="418"/>
    </row>
    <row r="1780" spans="2:17" ht="12.75" customHeight="1" x14ac:dyDescent="0.2">
      <c r="B1780" s="267"/>
      <c r="F1780" s="265"/>
      <c r="G1780" s="268"/>
      <c r="H1780" s="317"/>
      <c r="I1780" s="418" t="str">
        <f t="shared" si="617"/>
        <v xml:space="preserve"> </v>
      </c>
      <c r="J1780" s="268"/>
      <c r="K1780" s="456"/>
      <c r="L1780" s="418" t="str">
        <f t="shared" si="621"/>
        <v xml:space="preserve"> </v>
      </c>
      <c r="M1780" s="268"/>
      <c r="N1780" s="317"/>
      <c r="O1780" s="418" t="str">
        <f t="shared" si="622"/>
        <v xml:space="preserve"> </v>
      </c>
      <c r="P1780" s="418" t="str">
        <f t="shared" si="623"/>
        <v xml:space="preserve"> </v>
      </c>
      <c r="Q1780" s="418"/>
    </row>
    <row r="1781" spans="2:17" ht="12.75" customHeight="1" x14ac:dyDescent="0.2">
      <c r="B1781" s="267"/>
      <c r="F1781" s="265"/>
      <c r="G1781" s="268"/>
      <c r="H1781" s="317"/>
      <c r="I1781" s="418" t="str">
        <f t="shared" si="617"/>
        <v xml:space="preserve"> </v>
      </c>
      <c r="J1781" s="268"/>
      <c r="K1781" s="456"/>
      <c r="L1781" s="418" t="str">
        <f t="shared" si="621"/>
        <v xml:space="preserve"> </v>
      </c>
      <c r="M1781" s="268"/>
      <c r="N1781" s="317"/>
      <c r="O1781" s="418" t="str">
        <f t="shared" si="622"/>
        <v xml:space="preserve"> </v>
      </c>
      <c r="P1781" s="418" t="str">
        <f t="shared" si="623"/>
        <v xml:space="preserve"> </v>
      </c>
      <c r="Q1781" s="418"/>
    </row>
    <row r="1782" spans="2:17" ht="12.75" customHeight="1" x14ac:dyDescent="0.2">
      <c r="B1782" s="267"/>
      <c r="F1782" s="265"/>
      <c r="G1782" s="268"/>
      <c r="H1782" s="317"/>
      <c r="I1782" s="418" t="str">
        <f>IF(G1661=0," ",G1661*H1785)</f>
        <v xml:space="preserve"> </v>
      </c>
      <c r="J1782" s="268"/>
      <c r="K1782" s="456"/>
      <c r="L1782" s="418" t="str">
        <f t="shared" ref="L1782:L1783" si="624">IF(J1661=0," ",J1661*K1785)</f>
        <v xml:space="preserve"> </v>
      </c>
      <c r="M1782" s="268"/>
      <c r="N1782" s="317"/>
      <c r="O1782" s="418" t="str">
        <f t="shared" ref="O1782:O1783" si="625">IF(M1661=0," ",M1661*N1785)</f>
        <v xml:space="preserve"> </v>
      </c>
      <c r="P1782" s="418" t="str">
        <f t="shared" ref="P1782:P1783" si="626">IF(N1661=0," ",N1661*O1785)</f>
        <v xml:space="preserve"> </v>
      </c>
      <c r="Q1782" s="418"/>
    </row>
    <row r="1783" spans="2:17" ht="12.75" customHeight="1" x14ac:dyDescent="0.2">
      <c r="B1783" s="267"/>
      <c r="F1783" s="265"/>
      <c r="G1783" s="268"/>
      <c r="H1783" s="317"/>
      <c r="I1783" s="418" t="str">
        <f>IF(G1662=0," ",G1662*H1786)</f>
        <v xml:space="preserve"> </v>
      </c>
      <c r="J1783" s="268"/>
      <c r="K1783" s="456"/>
      <c r="L1783" s="418" t="str">
        <f t="shared" si="624"/>
        <v xml:space="preserve"> </v>
      </c>
      <c r="M1783" s="268"/>
      <c r="N1783" s="317"/>
      <c r="O1783" s="418" t="str">
        <f t="shared" si="625"/>
        <v xml:space="preserve"> </v>
      </c>
      <c r="P1783" s="418" t="str">
        <f t="shared" si="626"/>
        <v xml:space="preserve"> </v>
      </c>
      <c r="Q1783" s="418"/>
    </row>
    <row r="1784" spans="2:17" ht="12.75" customHeight="1" x14ac:dyDescent="0.2">
      <c r="B1784" s="267"/>
      <c r="F1784" s="265"/>
      <c r="G1784" s="268"/>
      <c r="H1784" s="317"/>
      <c r="I1784" s="418" t="str">
        <f>IF(G1643=0," ",G1643*H1787)</f>
        <v xml:space="preserve"> </v>
      </c>
      <c r="J1784" s="268"/>
      <c r="K1784" s="456"/>
      <c r="L1784" s="418" t="str">
        <f t="shared" ref="L1784" si="627">IF(J1643=0," ",J1643*K1787)</f>
        <v xml:space="preserve"> </v>
      </c>
      <c r="M1784" s="268"/>
      <c r="N1784" s="317"/>
      <c r="O1784" s="418" t="str">
        <f t="shared" ref="O1784" si="628">IF(M1643=0," ",M1643*N1787)</f>
        <v xml:space="preserve"> </v>
      </c>
      <c r="P1784" s="418" t="str">
        <f t="shared" ref="P1784" si="629">IF(N1643=0," ",N1643*O1787)</f>
        <v xml:space="preserve"> </v>
      </c>
      <c r="Q1784" s="418"/>
    </row>
    <row r="1785" spans="2:17" ht="12.75" customHeight="1" x14ac:dyDescent="0.2">
      <c r="B1785" s="267"/>
      <c r="F1785" s="265"/>
      <c r="G1785" s="268"/>
      <c r="H1785" s="317"/>
      <c r="I1785" s="418" t="str">
        <f>IF(G1648=0," ",G1648*H1788)</f>
        <v xml:space="preserve"> </v>
      </c>
      <c r="J1785" s="268"/>
      <c r="K1785" s="456"/>
      <c r="L1785" s="418" t="str">
        <f t="shared" ref="L1785" si="630">IF(J1648=0," ",J1648*K1788)</f>
        <v xml:space="preserve"> </v>
      </c>
      <c r="M1785" s="268"/>
      <c r="N1785" s="317"/>
      <c r="O1785" s="418" t="str">
        <f t="shared" ref="O1785" si="631">IF(M1648=0," ",M1648*N1788)</f>
        <v xml:space="preserve"> </v>
      </c>
      <c r="P1785" s="418" t="str">
        <f t="shared" ref="P1785" si="632">IF(N1648=0," ",N1648*O1788)</f>
        <v xml:space="preserve"> </v>
      </c>
      <c r="Q1785" s="418"/>
    </row>
    <row r="1786" spans="2:17" ht="12.75" customHeight="1" x14ac:dyDescent="0.2">
      <c r="B1786" s="267"/>
      <c r="F1786" s="265"/>
      <c r="G1786" s="268"/>
      <c r="H1786" s="317"/>
      <c r="I1786" s="418" t="str">
        <f t="shared" ref="I1786:I1800" si="633">IF(G1663=0," ",G1663*H1789)</f>
        <v xml:space="preserve"> </v>
      </c>
      <c r="J1786" s="268"/>
      <c r="K1786" s="456"/>
      <c r="L1786" s="418" t="str">
        <f t="shared" ref="L1786:L1800" si="634">IF(J1663=0," ",J1663*K1789)</f>
        <v xml:space="preserve"> </v>
      </c>
      <c r="M1786" s="268"/>
      <c r="N1786" s="317"/>
      <c r="O1786" s="418" t="str">
        <f t="shared" ref="O1786:O1800" si="635">IF(M1663=0," ",M1663*N1789)</f>
        <v xml:space="preserve"> </v>
      </c>
      <c r="P1786" s="418" t="str">
        <f t="shared" ref="P1786:P1800" si="636">IF(N1663=0," ",N1663*O1789)</f>
        <v xml:space="preserve"> </v>
      </c>
      <c r="Q1786" s="418"/>
    </row>
    <row r="1787" spans="2:17" ht="12.75" customHeight="1" x14ac:dyDescent="0.2">
      <c r="B1787" s="267"/>
      <c r="F1787" s="265"/>
      <c r="G1787" s="268"/>
      <c r="H1787" s="317"/>
      <c r="I1787" s="418" t="str">
        <f t="shared" si="633"/>
        <v xml:space="preserve"> </v>
      </c>
      <c r="J1787" s="268"/>
      <c r="K1787" s="456"/>
      <c r="L1787" s="418" t="str">
        <f t="shared" si="634"/>
        <v xml:space="preserve"> </v>
      </c>
      <c r="M1787" s="268"/>
      <c r="N1787" s="317"/>
      <c r="O1787" s="418" t="str">
        <f t="shared" si="635"/>
        <v xml:space="preserve"> </v>
      </c>
      <c r="P1787" s="418" t="str">
        <f t="shared" si="636"/>
        <v xml:space="preserve"> </v>
      </c>
      <c r="Q1787" s="418"/>
    </row>
    <row r="1788" spans="2:17" ht="12.75" customHeight="1" x14ac:dyDescent="0.2">
      <c r="B1788" s="267"/>
      <c r="F1788" s="265"/>
      <c r="G1788" s="268"/>
      <c r="H1788" s="317"/>
      <c r="I1788" s="418" t="str">
        <f t="shared" si="633"/>
        <v xml:space="preserve"> </v>
      </c>
      <c r="J1788" s="268"/>
      <c r="K1788" s="456"/>
      <c r="L1788" s="418" t="str">
        <f t="shared" si="634"/>
        <v xml:space="preserve"> </v>
      </c>
      <c r="M1788" s="268"/>
      <c r="N1788" s="317"/>
      <c r="O1788" s="418" t="str">
        <f t="shared" si="635"/>
        <v xml:space="preserve"> </v>
      </c>
      <c r="P1788" s="418" t="str">
        <f t="shared" si="636"/>
        <v xml:space="preserve"> </v>
      </c>
      <c r="Q1788" s="418"/>
    </row>
    <row r="1789" spans="2:17" ht="12.75" customHeight="1" x14ac:dyDescent="0.2">
      <c r="B1789" s="267"/>
      <c r="F1789" s="265"/>
      <c r="G1789" s="268"/>
      <c r="H1789" s="317"/>
      <c r="I1789" s="418" t="str">
        <f t="shared" si="633"/>
        <v xml:space="preserve"> </v>
      </c>
      <c r="J1789" s="268"/>
      <c r="K1789" s="456"/>
      <c r="L1789" s="418" t="str">
        <f t="shared" si="634"/>
        <v xml:space="preserve"> </v>
      </c>
      <c r="M1789" s="268"/>
      <c r="N1789" s="317"/>
      <c r="O1789" s="418" t="str">
        <f t="shared" si="635"/>
        <v xml:space="preserve"> </v>
      </c>
      <c r="P1789" s="418" t="str">
        <f t="shared" si="636"/>
        <v xml:space="preserve"> </v>
      </c>
      <c r="Q1789" s="418"/>
    </row>
    <row r="1790" spans="2:17" ht="12.75" customHeight="1" x14ac:dyDescent="0.2">
      <c r="B1790" s="267"/>
      <c r="F1790" s="265"/>
      <c r="G1790" s="268"/>
      <c r="H1790" s="317"/>
      <c r="I1790" s="418" t="str">
        <f t="shared" si="633"/>
        <v xml:space="preserve"> </v>
      </c>
      <c r="J1790" s="268"/>
      <c r="K1790" s="456"/>
      <c r="L1790" s="418" t="str">
        <f t="shared" si="634"/>
        <v xml:space="preserve"> </v>
      </c>
      <c r="M1790" s="268"/>
      <c r="N1790" s="317"/>
      <c r="O1790" s="418" t="str">
        <f t="shared" si="635"/>
        <v xml:space="preserve"> </v>
      </c>
      <c r="P1790" s="418" t="str">
        <f t="shared" si="636"/>
        <v xml:space="preserve"> </v>
      </c>
      <c r="Q1790" s="418"/>
    </row>
    <row r="1791" spans="2:17" ht="12.75" customHeight="1" x14ac:dyDescent="0.2">
      <c r="B1791" s="267"/>
      <c r="F1791" s="265"/>
      <c r="G1791" s="268"/>
      <c r="H1791" s="317"/>
      <c r="I1791" s="418" t="str">
        <f t="shared" si="633"/>
        <v xml:space="preserve"> </v>
      </c>
      <c r="J1791" s="268"/>
      <c r="K1791" s="456"/>
      <c r="L1791" s="418" t="str">
        <f t="shared" si="634"/>
        <v xml:space="preserve"> </v>
      </c>
      <c r="M1791" s="268"/>
      <c r="N1791" s="317"/>
      <c r="O1791" s="418" t="str">
        <f t="shared" si="635"/>
        <v xml:space="preserve"> </v>
      </c>
      <c r="P1791" s="418" t="str">
        <f t="shared" si="636"/>
        <v xml:space="preserve"> </v>
      </c>
      <c r="Q1791" s="418"/>
    </row>
    <row r="1792" spans="2:17" ht="12.75" customHeight="1" x14ac:dyDescent="0.2">
      <c r="B1792" s="273"/>
      <c r="F1792" s="265"/>
      <c r="G1792" s="268"/>
      <c r="H1792" s="317"/>
      <c r="I1792" s="418" t="str">
        <f t="shared" si="633"/>
        <v xml:space="preserve"> </v>
      </c>
      <c r="J1792" s="268"/>
      <c r="K1792" s="456"/>
      <c r="L1792" s="418" t="str">
        <f t="shared" si="634"/>
        <v xml:space="preserve"> </v>
      </c>
      <c r="M1792" s="268"/>
      <c r="N1792" s="317"/>
      <c r="O1792" s="418" t="str">
        <f t="shared" si="635"/>
        <v xml:space="preserve"> </v>
      </c>
      <c r="P1792" s="418" t="str">
        <f t="shared" si="636"/>
        <v xml:space="preserve"> </v>
      </c>
      <c r="Q1792" s="418"/>
    </row>
    <row r="1793" spans="2:17" ht="12.75" customHeight="1" x14ac:dyDescent="0.2">
      <c r="B1793" s="267"/>
      <c r="F1793" s="265"/>
      <c r="G1793" s="268"/>
      <c r="H1793" s="317"/>
      <c r="I1793" s="418" t="str">
        <f t="shared" si="633"/>
        <v xml:space="preserve"> </v>
      </c>
      <c r="J1793" s="268"/>
      <c r="K1793" s="456"/>
      <c r="L1793" s="418" t="str">
        <f t="shared" si="634"/>
        <v xml:space="preserve"> </v>
      </c>
      <c r="M1793" s="268"/>
      <c r="N1793" s="317"/>
      <c r="O1793" s="418" t="str">
        <f t="shared" si="635"/>
        <v xml:space="preserve"> </v>
      </c>
      <c r="P1793" s="418" t="str">
        <f t="shared" si="636"/>
        <v xml:space="preserve"> </v>
      </c>
      <c r="Q1793" s="418"/>
    </row>
    <row r="1794" spans="2:17" ht="12.75" customHeight="1" x14ac:dyDescent="0.2">
      <c r="B1794" s="267"/>
      <c r="F1794" s="265"/>
      <c r="G1794" s="268"/>
      <c r="H1794" s="317"/>
      <c r="I1794" s="418" t="str">
        <f t="shared" si="633"/>
        <v xml:space="preserve"> </v>
      </c>
      <c r="J1794" s="268"/>
      <c r="K1794" s="456"/>
      <c r="L1794" s="418" t="str">
        <f t="shared" si="634"/>
        <v xml:space="preserve"> </v>
      </c>
      <c r="M1794" s="268"/>
      <c r="N1794" s="317"/>
      <c r="O1794" s="418" t="str">
        <f t="shared" si="635"/>
        <v xml:space="preserve"> </v>
      </c>
      <c r="P1794" s="418" t="str">
        <f t="shared" si="636"/>
        <v xml:space="preserve"> </v>
      </c>
      <c r="Q1794" s="418"/>
    </row>
    <row r="1795" spans="2:17" ht="12.75" customHeight="1" x14ac:dyDescent="0.2">
      <c r="B1795" s="267"/>
      <c r="F1795" s="265"/>
      <c r="G1795" s="268"/>
      <c r="H1795" s="317"/>
      <c r="I1795" s="418" t="str">
        <f t="shared" si="633"/>
        <v xml:space="preserve"> </v>
      </c>
      <c r="J1795" s="268"/>
      <c r="K1795" s="456"/>
      <c r="L1795" s="418" t="str">
        <f t="shared" si="634"/>
        <v xml:space="preserve"> </v>
      </c>
      <c r="M1795" s="268"/>
      <c r="N1795" s="317"/>
      <c r="O1795" s="418" t="str">
        <f t="shared" si="635"/>
        <v xml:space="preserve"> </v>
      </c>
      <c r="P1795" s="418" t="str">
        <f t="shared" si="636"/>
        <v xml:space="preserve"> </v>
      </c>
      <c r="Q1795" s="418"/>
    </row>
    <row r="1796" spans="2:17" ht="12.75" customHeight="1" x14ac:dyDescent="0.2">
      <c r="B1796" s="267"/>
      <c r="F1796" s="265"/>
      <c r="G1796" s="268"/>
      <c r="H1796" s="317"/>
      <c r="I1796" s="418" t="str">
        <f t="shared" si="633"/>
        <v xml:space="preserve"> </v>
      </c>
      <c r="J1796" s="268"/>
      <c r="K1796" s="456"/>
      <c r="L1796" s="418" t="str">
        <f t="shared" si="634"/>
        <v xml:space="preserve"> </v>
      </c>
      <c r="M1796" s="268"/>
      <c r="N1796" s="317"/>
      <c r="O1796" s="418" t="str">
        <f t="shared" si="635"/>
        <v xml:space="preserve"> </v>
      </c>
      <c r="P1796" s="418" t="str">
        <f t="shared" si="636"/>
        <v xml:space="preserve"> </v>
      </c>
      <c r="Q1796" s="418"/>
    </row>
    <row r="1797" spans="2:17" ht="12.75" customHeight="1" x14ac:dyDescent="0.2">
      <c r="B1797" s="267"/>
      <c r="F1797" s="265"/>
      <c r="G1797" s="268"/>
      <c r="H1797" s="317"/>
      <c r="I1797" s="418" t="str">
        <f t="shared" si="633"/>
        <v xml:space="preserve"> </v>
      </c>
      <c r="J1797" s="268"/>
      <c r="K1797" s="456"/>
      <c r="L1797" s="418" t="str">
        <f t="shared" si="634"/>
        <v xml:space="preserve"> </v>
      </c>
      <c r="M1797" s="268"/>
      <c r="N1797" s="317"/>
      <c r="O1797" s="418" t="str">
        <f t="shared" si="635"/>
        <v xml:space="preserve"> </v>
      </c>
      <c r="P1797" s="418" t="str">
        <f t="shared" si="636"/>
        <v xml:space="preserve"> </v>
      </c>
      <c r="Q1797" s="418"/>
    </row>
    <row r="1798" spans="2:17" ht="12.75" customHeight="1" x14ac:dyDescent="0.2">
      <c r="B1798" s="267"/>
      <c r="F1798" s="265"/>
      <c r="G1798" s="268"/>
      <c r="H1798" s="317"/>
      <c r="I1798" s="418" t="str">
        <f t="shared" si="633"/>
        <v xml:space="preserve"> </v>
      </c>
      <c r="J1798" s="268"/>
      <c r="K1798" s="456"/>
      <c r="L1798" s="418" t="str">
        <f t="shared" si="634"/>
        <v xml:space="preserve"> </v>
      </c>
      <c r="M1798" s="268"/>
      <c r="N1798" s="317"/>
      <c r="O1798" s="418" t="str">
        <f t="shared" si="635"/>
        <v xml:space="preserve"> </v>
      </c>
      <c r="P1798" s="418" t="str">
        <f t="shared" si="636"/>
        <v xml:space="preserve"> </v>
      </c>
      <c r="Q1798" s="418"/>
    </row>
    <row r="1799" spans="2:17" ht="12.75" customHeight="1" x14ac:dyDescent="0.2">
      <c r="B1799" s="267"/>
      <c r="F1799" s="265"/>
      <c r="G1799" s="268"/>
      <c r="H1799" s="317"/>
      <c r="I1799" s="418" t="str">
        <f t="shared" si="633"/>
        <v xml:space="preserve"> </v>
      </c>
      <c r="J1799" s="268"/>
      <c r="K1799" s="456"/>
      <c r="L1799" s="418" t="str">
        <f t="shared" si="634"/>
        <v xml:space="preserve"> </v>
      </c>
      <c r="M1799" s="268"/>
      <c r="N1799" s="317"/>
      <c r="O1799" s="418" t="str">
        <f t="shared" si="635"/>
        <v xml:space="preserve"> </v>
      </c>
      <c r="P1799" s="418" t="str">
        <f t="shared" si="636"/>
        <v xml:space="preserve"> </v>
      </c>
      <c r="Q1799" s="418" t="str">
        <f t="shared" ref="Q1799:Q1800" si="637">IF(O1676=0," ",O1676*P1802)</f>
        <v xml:space="preserve"> </v>
      </c>
    </row>
    <row r="1800" spans="2:17" ht="12.75" customHeight="1" x14ac:dyDescent="0.2">
      <c r="B1800" s="267"/>
      <c r="F1800" s="265"/>
      <c r="G1800" s="268"/>
      <c r="H1800" s="317"/>
      <c r="I1800" s="418" t="str">
        <f t="shared" si="633"/>
        <v xml:space="preserve"> </v>
      </c>
      <c r="J1800" s="268"/>
      <c r="K1800" s="456"/>
      <c r="L1800" s="418" t="str">
        <f t="shared" si="634"/>
        <v xml:space="preserve"> </v>
      </c>
      <c r="M1800" s="268"/>
      <c r="N1800" s="317"/>
      <c r="O1800" s="418" t="str">
        <f t="shared" si="635"/>
        <v xml:space="preserve"> </v>
      </c>
      <c r="P1800" s="418" t="str">
        <f t="shared" si="636"/>
        <v xml:space="preserve"> </v>
      </c>
      <c r="Q1800" s="418" t="str">
        <f t="shared" si="637"/>
        <v xml:space="preserve"> </v>
      </c>
    </row>
    <row r="1801" spans="2:17" ht="12.75" customHeight="1" x14ac:dyDescent="0.2">
      <c r="B1801" s="267"/>
      <c r="F1801" s="265"/>
      <c r="G1801" s="268"/>
      <c r="H1801" s="317"/>
      <c r="I1801" s="418"/>
      <c r="J1801" s="268"/>
      <c r="K1801" s="456"/>
      <c r="L1801" s="418"/>
      <c r="M1801" s="268"/>
      <c r="N1801" s="317"/>
      <c r="O1801" s="418"/>
      <c r="P1801" s="418"/>
      <c r="Q1801" s="418"/>
    </row>
    <row r="1802" spans="2:17" ht="12.75" customHeight="1" x14ac:dyDescent="0.2">
      <c r="B1802" s="267"/>
      <c r="F1802" s="265"/>
      <c r="G1802" s="268"/>
      <c r="H1802" s="317"/>
      <c r="I1802" s="418"/>
      <c r="J1802" s="268"/>
      <c r="K1802" s="456"/>
      <c r="L1802" s="418"/>
      <c r="M1802" s="268"/>
      <c r="N1802" s="317"/>
      <c r="O1802" s="418"/>
      <c r="P1802" s="418"/>
      <c r="Q1802" s="418"/>
    </row>
    <row r="1803" spans="2:17" ht="12.75" customHeight="1" x14ac:dyDescent="0.2">
      <c r="B1803" s="267"/>
      <c r="F1803" s="265"/>
      <c r="G1803" s="268"/>
      <c r="H1803" s="317"/>
      <c r="I1803" s="418"/>
      <c r="J1803" s="268"/>
      <c r="K1803" s="456"/>
      <c r="L1803" s="418"/>
      <c r="M1803" s="268"/>
      <c r="N1803" s="317"/>
      <c r="O1803" s="418"/>
      <c r="P1803" s="418"/>
      <c r="Q1803" s="418"/>
    </row>
    <row r="1804" spans="2:17" ht="12.75" customHeight="1" x14ac:dyDescent="0.2">
      <c r="B1804" s="267"/>
      <c r="F1804" s="265"/>
      <c r="G1804" s="268"/>
      <c r="H1804" s="317"/>
      <c r="I1804" s="418"/>
      <c r="J1804" s="268"/>
      <c r="K1804" s="456"/>
      <c r="L1804" s="418"/>
      <c r="M1804" s="268"/>
      <c r="N1804" s="317"/>
      <c r="O1804" s="418"/>
      <c r="P1804" s="418"/>
      <c r="Q1804" s="418"/>
    </row>
    <row r="1805" spans="2:17" ht="12.75" customHeight="1" x14ac:dyDescent="0.2">
      <c r="B1805" s="267"/>
      <c r="F1805" s="265"/>
      <c r="G1805" s="268"/>
      <c r="H1805" s="317"/>
      <c r="I1805" s="418"/>
      <c r="J1805" s="268"/>
      <c r="K1805" s="456"/>
      <c r="L1805" s="418"/>
      <c r="M1805" s="268"/>
      <c r="N1805" s="317"/>
      <c r="O1805" s="418"/>
      <c r="P1805" s="418"/>
      <c r="Q1805" s="418"/>
    </row>
    <row r="1806" spans="2:17" ht="12.75" customHeight="1" x14ac:dyDescent="0.2">
      <c r="B1806" s="267"/>
      <c r="F1806" s="265"/>
      <c r="G1806" s="268"/>
      <c r="H1806" s="317"/>
      <c r="I1806" s="418" t="str">
        <f>IF(G1679=0," ",G1679*H1809)</f>
        <v xml:space="preserve"> </v>
      </c>
      <c r="J1806" s="268"/>
      <c r="K1806" s="456"/>
      <c r="L1806" s="418" t="str">
        <f t="shared" ref="L1806" si="638">IF(J1679=0," ",J1679*K1809)</f>
        <v xml:space="preserve"> </v>
      </c>
      <c r="M1806" s="268"/>
      <c r="N1806" s="317"/>
      <c r="O1806" s="418" t="str">
        <f t="shared" ref="O1806" si="639">IF(M1679=0," ",M1679*N1809)</f>
        <v xml:space="preserve"> </v>
      </c>
      <c r="P1806" s="418" t="str">
        <f t="shared" ref="P1806" si="640">IF(N1679=0," ",N1679*O1809)</f>
        <v xml:space="preserve"> </v>
      </c>
      <c r="Q1806" s="418" t="str">
        <f t="shared" ref="Q1806" si="641">IF(O1679=0," ",O1679*P1809)</f>
        <v xml:space="preserve"> </v>
      </c>
    </row>
    <row r="1807" spans="2:17" ht="12.75" customHeight="1" x14ac:dyDescent="0.2">
      <c r="B1807" s="267"/>
      <c r="F1807" s="265"/>
      <c r="G1807" s="268"/>
      <c r="H1807" s="317"/>
      <c r="I1807" s="418"/>
      <c r="J1807" s="268"/>
      <c r="K1807" s="456"/>
      <c r="L1807" s="418"/>
      <c r="M1807" s="268"/>
      <c r="N1807" s="317"/>
      <c r="O1807" s="418"/>
      <c r="P1807" s="418"/>
      <c r="Q1807" s="418"/>
    </row>
    <row r="1808" spans="2:17" ht="12.75" customHeight="1" x14ac:dyDescent="0.2">
      <c r="B1808" s="267"/>
      <c r="F1808" s="265"/>
      <c r="G1808" s="268"/>
      <c r="H1808" s="317"/>
      <c r="I1808" s="418"/>
      <c r="J1808" s="268"/>
      <c r="K1808" s="456"/>
      <c r="L1808" s="418"/>
      <c r="M1808" s="268"/>
      <c r="N1808" s="317"/>
      <c r="O1808" s="418"/>
      <c r="P1808" s="418"/>
      <c r="Q1808" s="418"/>
    </row>
    <row r="1809" spans="2:17" ht="12.75" customHeight="1" x14ac:dyDescent="0.2">
      <c r="B1809" s="267"/>
      <c r="F1809" s="265"/>
      <c r="G1809" s="268"/>
      <c r="H1809" s="317"/>
      <c r="I1809" s="418"/>
      <c r="J1809" s="268"/>
      <c r="K1809" s="456"/>
      <c r="L1809" s="418"/>
      <c r="M1809" s="268"/>
      <c r="N1809" s="317"/>
      <c r="O1809" s="418"/>
      <c r="P1809" s="418"/>
      <c r="Q1809" s="418"/>
    </row>
    <row r="1810" spans="2:17" ht="12.75" customHeight="1" x14ac:dyDescent="0.2">
      <c r="B1810" s="267"/>
      <c r="F1810" s="265"/>
      <c r="G1810" s="268"/>
      <c r="H1810" s="317"/>
      <c r="I1810" s="418"/>
      <c r="J1810" s="268"/>
      <c r="K1810" s="456"/>
      <c r="L1810" s="418"/>
      <c r="M1810" s="268"/>
      <c r="N1810" s="317"/>
      <c r="O1810" s="418"/>
      <c r="P1810" s="418"/>
      <c r="Q1810" s="418"/>
    </row>
    <row r="1811" spans="2:17" ht="12.75" customHeight="1" x14ac:dyDescent="0.2">
      <c r="B1811" s="267"/>
      <c r="F1811" s="265"/>
      <c r="G1811" s="268"/>
      <c r="H1811" s="317"/>
      <c r="I1811" s="418"/>
      <c r="J1811" s="268"/>
      <c r="K1811" s="456"/>
      <c r="L1811" s="418"/>
      <c r="M1811" s="268"/>
      <c r="N1811" s="317"/>
      <c r="O1811" s="418"/>
      <c r="P1811" s="418"/>
      <c r="Q1811" s="418"/>
    </row>
    <row r="1812" spans="2:17" ht="12.75" customHeight="1" x14ac:dyDescent="0.2">
      <c r="B1812" s="267"/>
      <c r="F1812" s="265"/>
      <c r="G1812" s="268"/>
      <c r="H1812" s="317"/>
      <c r="I1812" s="418"/>
      <c r="J1812" s="268"/>
      <c r="K1812" s="456"/>
      <c r="L1812" s="418"/>
      <c r="M1812" s="268"/>
      <c r="N1812" s="317"/>
      <c r="O1812" s="418"/>
      <c r="P1812" s="418"/>
      <c r="Q1812" s="418"/>
    </row>
    <row r="1813" spans="2:17" ht="12.75" customHeight="1" x14ac:dyDescent="0.2">
      <c r="B1813" s="267"/>
      <c r="F1813" s="265"/>
      <c r="G1813" s="268"/>
      <c r="H1813" s="317"/>
      <c r="I1813" s="418"/>
      <c r="J1813" s="268"/>
      <c r="K1813" s="456"/>
      <c r="L1813" s="418"/>
      <c r="M1813" s="268"/>
      <c r="N1813" s="317"/>
      <c r="O1813" s="418"/>
      <c r="P1813" s="418"/>
      <c r="Q1813" s="418"/>
    </row>
    <row r="1814" spans="2:17" ht="12.75" customHeight="1" x14ac:dyDescent="0.2">
      <c r="B1814" s="267"/>
      <c r="F1814" s="265"/>
      <c r="G1814" s="268"/>
      <c r="H1814" s="317"/>
      <c r="I1814" s="418"/>
      <c r="J1814" s="268"/>
      <c r="K1814" s="456"/>
      <c r="L1814" s="418"/>
      <c r="M1814" s="268"/>
      <c r="N1814" s="317"/>
      <c r="O1814" s="418"/>
      <c r="P1814" s="418"/>
      <c r="Q1814" s="418"/>
    </row>
    <row r="1815" spans="2:17" ht="12.75" customHeight="1" x14ac:dyDescent="0.2">
      <c r="B1815" s="267"/>
      <c r="F1815" s="265"/>
      <c r="G1815" s="268"/>
      <c r="H1815" s="317"/>
      <c r="I1815" s="418"/>
      <c r="J1815" s="268"/>
      <c r="K1815" s="456"/>
      <c r="L1815" s="418"/>
      <c r="M1815" s="268"/>
      <c r="N1815" s="317"/>
      <c r="O1815" s="418"/>
      <c r="P1815" s="418"/>
      <c r="Q1815" s="418"/>
    </row>
    <row r="1816" spans="2:17" ht="12.75" customHeight="1" x14ac:dyDescent="0.2">
      <c r="B1816" s="267"/>
      <c r="F1816" s="265"/>
      <c r="G1816" s="268"/>
      <c r="H1816" s="317"/>
      <c r="I1816" s="418"/>
      <c r="J1816" s="268"/>
      <c r="K1816" s="456"/>
      <c r="L1816" s="418"/>
      <c r="M1816" s="268"/>
      <c r="N1816" s="317"/>
      <c r="O1816" s="418"/>
      <c r="P1816" s="418"/>
      <c r="Q1816" s="418"/>
    </row>
    <row r="1817" spans="2:17" ht="12.75" customHeight="1" x14ac:dyDescent="0.2">
      <c r="B1817" s="267"/>
      <c r="F1817" s="265"/>
      <c r="G1817" s="268"/>
      <c r="H1817" s="317"/>
      <c r="I1817" s="418"/>
      <c r="J1817" s="268"/>
      <c r="K1817" s="456"/>
      <c r="L1817" s="418"/>
      <c r="M1817" s="268"/>
      <c r="N1817" s="317"/>
      <c r="O1817" s="418"/>
      <c r="P1817" s="418"/>
      <c r="Q1817" s="418"/>
    </row>
    <row r="1818" spans="2:17" ht="12.75" customHeight="1" x14ac:dyDescent="0.2">
      <c r="B1818" s="267"/>
      <c r="F1818" s="265"/>
      <c r="G1818" s="268"/>
      <c r="H1818" s="317"/>
      <c r="I1818" s="418"/>
      <c r="J1818" s="268"/>
      <c r="K1818" s="456"/>
      <c r="L1818" s="418"/>
      <c r="M1818" s="268"/>
      <c r="N1818" s="317"/>
      <c r="O1818" s="418"/>
      <c r="P1818" s="418"/>
      <c r="Q1818" s="418"/>
    </row>
    <row r="1819" spans="2:17" ht="12.75" customHeight="1" x14ac:dyDescent="0.2">
      <c r="B1819" s="267"/>
      <c r="F1819" s="265"/>
      <c r="G1819" s="268"/>
      <c r="H1819" s="317"/>
      <c r="I1819" s="418"/>
      <c r="J1819" s="268"/>
      <c r="K1819" s="456"/>
      <c r="L1819" s="418"/>
      <c r="M1819" s="268"/>
      <c r="N1819" s="317"/>
      <c r="O1819" s="418"/>
      <c r="P1819" s="418"/>
      <c r="Q1819" s="418"/>
    </row>
    <row r="1820" spans="2:17" ht="12.75" customHeight="1" x14ac:dyDescent="0.2">
      <c r="B1820" s="267"/>
      <c r="F1820" s="265"/>
      <c r="G1820" s="268"/>
      <c r="H1820" s="317"/>
      <c r="I1820" s="418"/>
      <c r="J1820" s="268"/>
      <c r="K1820" s="456"/>
      <c r="L1820" s="418"/>
      <c r="M1820" s="268"/>
      <c r="N1820" s="317"/>
      <c r="O1820" s="418"/>
      <c r="P1820" s="418"/>
      <c r="Q1820" s="418"/>
    </row>
    <row r="1821" spans="2:17" ht="12.75" customHeight="1" x14ac:dyDescent="0.2">
      <c r="B1821" s="267"/>
      <c r="F1821" s="265"/>
      <c r="G1821" s="268"/>
      <c r="H1821" s="317"/>
      <c r="I1821" s="418"/>
      <c r="J1821" s="268"/>
      <c r="K1821" s="456"/>
      <c r="L1821" s="418"/>
      <c r="M1821" s="268"/>
      <c r="N1821" s="317"/>
      <c r="O1821" s="418"/>
      <c r="P1821" s="418"/>
      <c r="Q1821" s="418"/>
    </row>
    <row r="1822" spans="2:17" ht="12.75" customHeight="1" x14ac:dyDescent="0.2">
      <c r="B1822" s="267"/>
      <c r="F1822" s="265"/>
      <c r="G1822" s="268"/>
      <c r="H1822" s="317"/>
      <c r="I1822" s="418"/>
      <c r="J1822" s="268"/>
      <c r="K1822" s="456"/>
      <c r="L1822" s="418"/>
      <c r="M1822" s="268"/>
      <c r="N1822" s="317"/>
      <c r="O1822" s="418"/>
      <c r="P1822" s="418"/>
      <c r="Q1822" s="418"/>
    </row>
    <row r="1823" spans="2:17" ht="12.75" customHeight="1" x14ac:dyDescent="0.2">
      <c r="B1823" s="267"/>
      <c r="F1823" s="265"/>
      <c r="G1823" s="268"/>
      <c r="H1823" s="317"/>
      <c r="I1823" s="418"/>
      <c r="J1823" s="268"/>
      <c r="K1823" s="456"/>
      <c r="L1823" s="418"/>
      <c r="M1823" s="268"/>
      <c r="N1823" s="317"/>
      <c r="O1823" s="418"/>
      <c r="P1823" s="418"/>
      <c r="Q1823" s="418"/>
    </row>
    <row r="1824" spans="2:17" ht="12.75" customHeight="1" x14ac:dyDescent="0.2">
      <c r="B1824" s="267"/>
      <c r="F1824" s="265"/>
      <c r="G1824" s="268"/>
      <c r="H1824" s="317"/>
      <c r="I1824" s="418"/>
      <c r="J1824" s="268"/>
      <c r="K1824" s="456"/>
      <c r="L1824" s="418"/>
      <c r="M1824" s="268"/>
      <c r="N1824" s="317"/>
      <c r="O1824" s="418"/>
      <c r="P1824" s="418"/>
      <c r="Q1824" s="418"/>
    </row>
    <row r="1825" spans="2:17" ht="12.75" customHeight="1" x14ac:dyDescent="0.2">
      <c r="B1825" s="267"/>
      <c r="F1825" s="265"/>
      <c r="G1825" s="268"/>
      <c r="H1825" s="317"/>
      <c r="I1825" s="418"/>
      <c r="J1825" s="268"/>
      <c r="K1825" s="456"/>
      <c r="L1825" s="418"/>
      <c r="M1825" s="268"/>
      <c r="N1825" s="317"/>
      <c r="O1825" s="418"/>
      <c r="P1825" s="418"/>
      <c r="Q1825" s="418"/>
    </row>
    <row r="1826" spans="2:17" ht="12.75" customHeight="1" x14ac:dyDescent="0.2">
      <c r="B1826" s="273"/>
      <c r="F1826" s="265"/>
      <c r="G1826" s="268"/>
      <c r="H1826" s="317"/>
      <c r="I1826" s="318" t="str">
        <f>IF(G1767=0," ",G1767*H1829)</f>
        <v xml:space="preserve"> </v>
      </c>
      <c r="J1826" s="268"/>
      <c r="K1826" s="456"/>
      <c r="L1826" s="318" t="str">
        <f t="shared" ref="L1826" si="642">IF(J1767=0," ",J1767*K1829)</f>
        <v xml:space="preserve"> </v>
      </c>
      <c r="M1826" s="268"/>
      <c r="N1826" s="317"/>
      <c r="O1826" s="318" t="str">
        <f t="shared" ref="O1826" si="643">IF(M1767=0," ",M1767*N1829)</f>
        <v xml:space="preserve"> </v>
      </c>
      <c r="P1826" s="318" t="str">
        <f t="shared" ref="P1826" si="644">IF(N1767=0," ",N1767*O1829)</f>
        <v xml:space="preserve"> </v>
      </c>
      <c r="Q1826" s="318" t="str">
        <f t="shared" ref="Q1826" si="645">IF(O1767=0," ",O1767*P1829)</f>
        <v xml:space="preserve"> </v>
      </c>
    </row>
    <row r="1827" spans="2:17" ht="12.75" customHeight="1" x14ac:dyDescent="0.2">
      <c r="B1827" s="287">
        <v>5900</v>
      </c>
      <c r="C1827" s="288" t="s">
        <v>268</v>
      </c>
      <c r="D1827" s="289"/>
      <c r="E1827" s="290"/>
      <c r="F1827" s="291"/>
      <c r="G1827" s="291"/>
      <c r="H1827" s="422"/>
      <c r="I1827" s="423">
        <f>SUM(I1768:I1826)</f>
        <v>252000</v>
      </c>
      <c r="J1827" s="412"/>
      <c r="K1827" s="457"/>
      <c r="L1827" s="423">
        <f>SUM(L1768:L1826)</f>
        <v>129600</v>
      </c>
      <c r="M1827" s="291"/>
      <c r="N1827" s="422"/>
      <c r="O1827" s="423">
        <f>SUM(O1768:O1826)</f>
        <v>129600</v>
      </c>
      <c r="P1827" s="423">
        <f t="shared" ref="P1827:Q1827" si="646">SUM(P1768:P1826)</f>
        <v>0</v>
      </c>
      <c r="Q1827" s="423">
        <f t="shared" si="646"/>
        <v>0</v>
      </c>
    </row>
    <row r="1828" spans="2:17" ht="12.75" customHeight="1" x14ac:dyDescent="0.2">
      <c r="B1828" s="239" t="s">
        <v>79</v>
      </c>
      <c r="C1828" s="239"/>
      <c r="D1828" s="263"/>
      <c r="E1828" s="297"/>
      <c r="G1828" s="364"/>
      <c r="H1828" s="450"/>
      <c r="I1828" s="451"/>
      <c r="K1828" s="456"/>
      <c r="L1828" s="451"/>
      <c r="M1828" s="364"/>
      <c r="N1828" s="450"/>
      <c r="O1828" s="451"/>
      <c r="P1828" s="451"/>
      <c r="Q1828" s="451"/>
    </row>
    <row r="1829" spans="2:17" ht="12.75" customHeight="1" x14ac:dyDescent="0.2">
      <c r="B1829" s="239" t="s">
        <v>267</v>
      </c>
      <c r="C1829" s="240"/>
      <c r="E1829" s="238"/>
      <c r="I1829" s="427"/>
      <c r="K1829" s="456"/>
      <c r="L1829" s="427"/>
      <c r="O1829" s="427"/>
      <c r="P1829" s="427"/>
      <c r="Q1829" s="427"/>
    </row>
    <row r="1830" spans="2:17" ht="12.75" customHeight="1" x14ac:dyDescent="0.2">
      <c r="C1830" s="240"/>
      <c r="E1830" s="238"/>
      <c r="G1830" s="246"/>
      <c r="H1830" s="452"/>
      <c r="I1830" s="453" t="str">
        <f>IF(G1641=0," ",G1641*H1833)</f>
        <v xml:space="preserve"> </v>
      </c>
      <c r="J1830" s="246"/>
      <c r="K1830" s="456"/>
      <c r="L1830" s="453" t="str">
        <f t="shared" ref="L1830" si="647">IF(J1641=0," ",J1641*K1833)</f>
        <v xml:space="preserve"> </v>
      </c>
      <c r="M1830" s="246"/>
      <c r="N1830" s="452"/>
      <c r="O1830" s="453" t="str">
        <f t="shared" ref="O1830" si="648">IF(M1641=0," ",M1641*N1833)</f>
        <v xml:space="preserve"> </v>
      </c>
      <c r="P1830" s="453" t="str">
        <f t="shared" ref="P1830" si="649">IF(N1641=0," ",N1641*O1833)</f>
        <v xml:space="preserve"> </v>
      </c>
      <c r="Q1830" s="453"/>
    </row>
    <row r="1831" spans="2:17" ht="12.75" customHeight="1" x14ac:dyDescent="0.2">
      <c r="B1831" s="247" t="s">
        <v>263</v>
      </c>
      <c r="C1831" s="248" t="s">
        <v>264</v>
      </c>
      <c r="D1831" s="249"/>
      <c r="E1831" s="250"/>
      <c r="F1831" s="250" t="s">
        <v>265</v>
      </c>
      <c r="G1831" s="356" t="s">
        <v>68</v>
      </c>
      <c r="H1831" s="251" t="s">
        <v>849</v>
      </c>
      <c r="I1831" s="252" t="s">
        <v>849</v>
      </c>
      <c r="J1831" s="356" t="s">
        <v>68</v>
      </c>
      <c r="K1831" s="457" t="s">
        <v>849</v>
      </c>
      <c r="L1831" s="252" t="s">
        <v>849</v>
      </c>
      <c r="M1831" s="356" t="s">
        <v>68</v>
      </c>
      <c r="N1831" s="251" t="s">
        <v>849</v>
      </c>
      <c r="O1831" s="252" t="s">
        <v>849</v>
      </c>
      <c r="P1831" s="252" t="s">
        <v>849</v>
      </c>
      <c r="Q1831" s="252" t="s">
        <v>849</v>
      </c>
    </row>
    <row r="1832" spans="2:17" ht="12.75" customHeight="1" x14ac:dyDescent="0.2">
      <c r="B1832" s="253" t="s">
        <v>266</v>
      </c>
      <c r="C1832" s="254"/>
      <c r="D1832" s="255"/>
      <c r="E1832" s="256"/>
      <c r="F1832" s="256"/>
      <c r="G1832" s="357" t="s">
        <v>69</v>
      </c>
      <c r="H1832" s="257" t="s">
        <v>262</v>
      </c>
      <c r="I1832" s="258" t="s">
        <v>70</v>
      </c>
      <c r="J1832" s="357" t="s">
        <v>69</v>
      </c>
      <c r="K1832" s="457" t="s">
        <v>262</v>
      </c>
      <c r="L1832" s="258" t="s">
        <v>70</v>
      </c>
      <c r="M1832" s="357" t="s">
        <v>69</v>
      </c>
      <c r="N1832" s="257" t="s">
        <v>262</v>
      </c>
      <c r="O1832" s="258" t="s">
        <v>70</v>
      </c>
      <c r="P1832" s="258" t="s">
        <v>70</v>
      </c>
      <c r="Q1832" s="258" t="s">
        <v>70</v>
      </c>
    </row>
    <row r="1833" spans="2:17" ht="12.75" customHeight="1" x14ac:dyDescent="0.2">
      <c r="B1833" s="273"/>
      <c r="F1833" s="265"/>
      <c r="G1833" s="268"/>
      <c r="H1833" s="317"/>
      <c r="I1833" s="318" t="str">
        <f>IF(G1709=0," ",G1709*H1836)</f>
        <v xml:space="preserve"> </v>
      </c>
      <c r="J1833" s="268"/>
      <c r="K1833" s="456"/>
      <c r="L1833" s="318" t="str">
        <f t="shared" ref="L1833:L1834" si="650">IF(J1709=0," ",J1709*K1836)</f>
        <v xml:space="preserve"> </v>
      </c>
      <c r="M1833" s="268"/>
      <c r="N1833" s="317"/>
      <c r="O1833" s="318" t="str">
        <f t="shared" ref="O1833:O1834" si="651">IF(M1709=0," ",M1709*N1836)</f>
        <v xml:space="preserve"> </v>
      </c>
      <c r="P1833" s="318" t="str">
        <f t="shared" ref="P1833:P1834" si="652">IF(N1709=0," ",N1709*O1836)</f>
        <v xml:space="preserve"> </v>
      </c>
      <c r="Q1833" s="318"/>
    </row>
    <row r="1834" spans="2:17" ht="12.75" customHeight="1" x14ac:dyDescent="0.2">
      <c r="B1834" s="261">
        <v>8100</v>
      </c>
      <c r="C1834" s="262" t="s">
        <v>525</v>
      </c>
      <c r="D1834" s="263"/>
      <c r="E1834" s="264"/>
      <c r="F1834" s="265"/>
      <c r="G1834" s="268"/>
      <c r="H1834" s="317"/>
      <c r="I1834" s="418" t="str">
        <f>IF(G1710=0," ",G1710*H1837)</f>
        <v xml:space="preserve"> </v>
      </c>
      <c r="J1834" s="268"/>
      <c r="K1834" s="456"/>
      <c r="L1834" s="418" t="str">
        <f t="shared" si="650"/>
        <v xml:space="preserve"> </v>
      </c>
      <c r="M1834" s="268"/>
      <c r="N1834" s="317"/>
      <c r="O1834" s="418" t="str">
        <f t="shared" si="651"/>
        <v xml:space="preserve"> </v>
      </c>
      <c r="P1834" s="418" t="str">
        <f t="shared" si="652"/>
        <v xml:space="preserve"> </v>
      </c>
      <c r="Q1834" s="418"/>
    </row>
    <row r="1835" spans="2:17" ht="12.75" customHeight="1" x14ac:dyDescent="0.2">
      <c r="B1835" s="267"/>
      <c r="F1835" s="265"/>
      <c r="G1835" s="268"/>
      <c r="H1835" s="317"/>
      <c r="I1835" s="418" t="str">
        <f t="shared" ref="I1835:I1839" si="653">IF(G1835=0," ",G1835*H1835)</f>
        <v xml:space="preserve"> </v>
      </c>
      <c r="J1835" s="268"/>
      <c r="K1835" s="456"/>
      <c r="L1835" s="418" t="str">
        <f t="shared" ref="L1835:L1839" si="654">IF(J1835=0," ",J1835*K1835)</f>
        <v xml:space="preserve"> </v>
      </c>
      <c r="M1835" s="268"/>
      <c r="N1835" s="317"/>
      <c r="O1835" s="418" t="str">
        <f t="shared" ref="O1835:O1839" si="655">IF(M1835=0," ",M1835*N1835)</f>
        <v xml:space="preserve"> </v>
      </c>
      <c r="P1835" s="418" t="str">
        <f t="shared" ref="P1835:P1839" si="656">IF(N1835=0," ",N1835*O1835)</f>
        <v xml:space="preserve"> </v>
      </c>
      <c r="Q1835" s="418"/>
    </row>
    <row r="1836" spans="2:17" ht="12.75" customHeight="1" x14ac:dyDescent="0.2">
      <c r="B1836" s="267">
        <v>81.02</v>
      </c>
      <c r="C1836" s="273" t="s">
        <v>526</v>
      </c>
      <c r="D1836" s="285"/>
      <c r="E1836" s="286"/>
      <c r="F1836" s="265" t="s">
        <v>269</v>
      </c>
      <c r="G1836" s="419">
        <v>100000</v>
      </c>
      <c r="H1836" s="266">
        <v>1</v>
      </c>
      <c r="I1836" s="418">
        <f t="shared" si="653"/>
        <v>100000</v>
      </c>
      <c r="J1836" s="419">
        <v>100000</v>
      </c>
      <c r="K1836" s="456">
        <v>1</v>
      </c>
      <c r="L1836" s="418">
        <f t="shared" si="654"/>
        <v>100000</v>
      </c>
      <c r="M1836" s="419">
        <v>100000</v>
      </c>
      <c r="N1836" s="266">
        <v>1</v>
      </c>
      <c r="O1836" s="418">
        <f t="shared" si="655"/>
        <v>100000</v>
      </c>
      <c r="P1836" s="418">
        <f>K1836-N1836</f>
        <v>0</v>
      </c>
      <c r="Q1836" s="418">
        <f>L1836-O1836</f>
        <v>0</v>
      </c>
    </row>
    <row r="1837" spans="2:17" ht="12.75" customHeight="1" x14ac:dyDescent="0.2">
      <c r="B1837" s="267"/>
      <c r="D1837" s="285"/>
      <c r="E1837" s="286"/>
      <c r="F1837" s="265"/>
      <c r="G1837" s="268"/>
      <c r="H1837" s="317"/>
      <c r="I1837" s="418" t="str">
        <f t="shared" si="653"/>
        <v xml:space="preserve"> </v>
      </c>
      <c r="J1837" s="268"/>
      <c r="K1837" s="456"/>
      <c r="L1837" s="418" t="str">
        <f t="shared" si="654"/>
        <v xml:space="preserve"> </v>
      </c>
      <c r="M1837" s="268"/>
      <c r="N1837" s="317"/>
      <c r="O1837" s="418" t="str">
        <f t="shared" si="655"/>
        <v xml:space="preserve"> </v>
      </c>
      <c r="P1837" s="418" t="str">
        <f t="shared" si="656"/>
        <v xml:space="preserve"> </v>
      </c>
      <c r="Q1837" s="418"/>
    </row>
    <row r="1838" spans="2:17" ht="12.75" customHeight="1" x14ac:dyDescent="0.2">
      <c r="B1838" s="267"/>
      <c r="D1838" s="285"/>
      <c r="E1838" s="286"/>
      <c r="F1838" s="265"/>
      <c r="G1838" s="268"/>
      <c r="H1838" s="317"/>
      <c r="I1838" s="418" t="str">
        <f t="shared" si="653"/>
        <v xml:space="preserve"> </v>
      </c>
      <c r="J1838" s="268"/>
      <c r="K1838" s="456"/>
      <c r="L1838" s="418" t="str">
        <f t="shared" si="654"/>
        <v xml:space="preserve"> </v>
      </c>
      <c r="M1838" s="268"/>
      <c r="N1838" s="317"/>
      <c r="O1838" s="418" t="str">
        <f t="shared" si="655"/>
        <v xml:space="preserve"> </v>
      </c>
      <c r="P1838" s="418" t="str">
        <f t="shared" si="656"/>
        <v xml:space="preserve"> </v>
      </c>
      <c r="Q1838" s="418"/>
    </row>
    <row r="1839" spans="2:17" ht="12.75" customHeight="1" x14ac:dyDescent="0.2">
      <c r="B1839" s="267"/>
      <c r="F1839" s="265"/>
      <c r="G1839" s="268"/>
      <c r="H1839" s="317"/>
      <c r="I1839" s="418" t="str">
        <f t="shared" si="653"/>
        <v xml:space="preserve"> </v>
      </c>
      <c r="J1839" s="268"/>
      <c r="K1839" s="456"/>
      <c r="L1839" s="418" t="str">
        <f t="shared" si="654"/>
        <v xml:space="preserve"> </v>
      </c>
      <c r="M1839" s="268"/>
      <c r="N1839" s="317"/>
      <c r="O1839" s="418" t="str">
        <f t="shared" si="655"/>
        <v xml:space="preserve"> </v>
      </c>
      <c r="P1839" s="418" t="str">
        <f t="shared" si="656"/>
        <v xml:space="preserve"> </v>
      </c>
      <c r="Q1839" s="418"/>
    </row>
    <row r="1840" spans="2:17" ht="12.75" customHeight="1" x14ac:dyDescent="0.2">
      <c r="B1840" s="267"/>
      <c r="F1840" s="265"/>
      <c r="G1840" s="268"/>
      <c r="H1840" s="317"/>
      <c r="I1840" s="418"/>
      <c r="J1840" s="268"/>
      <c r="K1840" s="456"/>
      <c r="L1840" s="418"/>
      <c r="M1840" s="268"/>
      <c r="N1840" s="317"/>
      <c r="O1840" s="418"/>
      <c r="P1840" s="418"/>
      <c r="Q1840" s="418"/>
    </row>
    <row r="1841" spans="2:17" ht="12.75" customHeight="1" x14ac:dyDescent="0.2">
      <c r="B1841" s="267"/>
      <c r="F1841" s="265"/>
      <c r="G1841" s="268"/>
      <c r="H1841" s="317"/>
      <c r="I1841" s="418"/>
      <c r="J1841" s="268"/>
      <c r="K1841" s="456"/>
      <c r="L1841" s="418"/>
      <c r="M1841" s="268"/>
      <c r="N1841" s="317"/>
      <c r="O1841" s="418"/>
      <c r="P1841" s="418"/>
      <c r="Q1841" s="418"/>
    </row>
    <row r="1842" spans="2:17" ht="12.75" customHeight="1" x14ac:dyDescent="0.2">
      <c r="B1842" s="267"/>
      <c r="F1842" s="265"/>
      <c r="G1842" s="268"/>
      <c r="H1842" s="317"/>
      <c r="I1842" s="418"/>
      <c r="J1842" s="268"/>
      <c r="K1842" s="456"/>
      <c r="L1842" s="418"/>
      <c r="M1842" s="268"/>
      <c r="N1842" s="317"/>
      <c r="O1842" s="418"/>
      <c r="P1842" s="418"/>
      <c r="Q1842" s="418"/>
    </row>
    <row r="1843" spans="2:17" ht="12.75" customHeight="1" x14ac:dyDescent="0.2">
      <c r="B1843" s="267"/>
      <c r="F1843" s="265"/>
      <c r="G1843" s="268"/>
      <c r="H1843" s="317"/>
      <c r="I1843" s="418"/>
      <c r="J1843" s="268"/>
      <c r="K1843" s="456"/>
      <c r="L1843" s="418"/>
      <c r="M1843" s="268"/>
      <c r="N1843" s="317"/>
      <c r="O1843" s="418"/>
      <c r="P1843" s="418"/>
      <c r="Q1843" s="418"/>
    </row>
    <row r="1844" spans="2:17" ht="12.75" customHeight="1" x14ac:dyDescent="0.2">
      <c r="B1844" s="267"/>
      <c r="F1844" s="265"/>
      <c r="G1844" s="268"/>
      <c r="H1844" s="317"/>
      <c r="I1844" s="418"/>
      <c r="J1844" s="268"/>
      <c r="K1844" s="456"/>
      <c r="L1844" s="418"/>
      <c r="M1844" s="268"/>
      <c r="N1844" s="317"/>
      <c r="O1844" s="418"/>
      <c r="P1844" s="418"/>
      <c r="Q1844" s="418"/>
    </row>
    <row r="1845" spans="2:17" ht="12.75" customHeight="1" x14ac:dyDescent="0.2">
      <c r="B1845" s="267"/>
      <c r="F1845" s="265"/>
      <c r="G1845" s="268"/>
      <c r="H1845" s="317"/>
      <c r="I1845" s="418"/>
      <c r="J1845" s="268"/>
      <c r="K1845" s="456"/>
      <c r="L1845" s="418"/>
      <c r="M1845" s="268"/>
      <c r="N1845" s="317"/>
      <c r="O1845" s="418"/>
      <c r="P1845" s="418"/>
      <c r="Q1845" s="418"/>
    </row>
    <row r="1846" spans="2:17" ht="12.75" customHeight="1" x14ac:dyDescent="0.2">
      <c r="B1846" s="267"/>
      <c r="F1846" s="265"/>
      <c r="G1846" s="268"/>
      <c r="H1846" s="317"/>
      <c r="I1846" s="418"/>
      <c r="J1846" s="268"/>
      <c r="K1846" s="456"/>
      <c r="L1846" s="418"/>
      <c r="M1846" s="268"/>
      <c r="N1846" s="317"/>
      <c r="O1846" s="418"/>
      <c r="P1846" s="418"/>
      <c r="Q1846" s="418"/>
    </row>
    <row r="1847" spans="2:17" ht="12.75" customHeight="1" x14ac:dyDescent="0.2">
      <c r="B1847" s="267"/>
      <c r="F1847" s="265"/>
      <c r="G1847" s="268"/>
      <c r="H1847" s="317"/>
      <c r="I1847" s="418"/>
      <c r="J1847" s="268"/>
      <c r="K1847" s="456"/>
      <c r="L1847" s="418"/>
      <c r="M1847" s="268"/>
      <c r="N1847" s="317"/>
      <c r="O1847" s="418"/>
      <c r="P1847" s="418"/>
      <c r="Q1847" s="418"/>
    </row>
    <row r="1848" spans="2:17" ht="12.75" customHeight="1" x14ac:dyDescent="0.2">
      <c r="B1848" s="267"/>
      <c r="F1848" s="265"/>
      <c r="G1848" s="268"/>
      <c r="H1848" s="317"/>
      <c r="I1848" s="418"/>
      <c r="J1848" s="268"/>
      <c r="K1848" s="456"/>
      <c r="L1848" s="418"/>
      <c r="M1848" s="268"/>
      <c r="N1848" s="317"/>
      <c r="O1848" s="418"/>
      <c r="P1848" s="418"/>
      <c r="Q1848" s="418"/>
    </row>
    <row r="1849" spans="2:17" ht="12.75" customHeight="1" x14ac:dyDescent="0.2">
      <c r="B1849" s="267"/>
      <c r="F1849" s="265"/>
      <c r="G1849" s="268"/>
      <c r="H1849" s="317"/>
      <c r="I1849" s="418"/>
      <c r="J1849" s="268"/>
      <c r="K1849" s="456"/>
      <c r="L1849" s="418"/>
      <c r="M1849" s="268"/>
      <c r="N1849" s="317"/>
      <c r="O1849" s="418"/>
      <c r="P1849" s="418"/>
      <c r="Q1849" s="418"/>
    </row>
    <row r="1850" spans="2:17" ht="12.75" customHeight="1" x14ac:dyDescent="0.2">
      <c r="B1850" s="267"/>
      <c r="F1850" s="265"/>
      <c r="G1850" s="268"/>
      <c r="H1850" s="317"/>
      <c r="I1850" s="418"/>
      <c r="J1850" s="268"/>
      <c r="K1850" s="456"/>
      <c r="L1850" s="418"/>
      <c r="M1850" s="268"/>
      <c r="N1850" s="317"/>
      <c r="O1850" s="418"/>
      <c r="P1850" s="418"/>
      <c r="Q1850" s="418"/>
    </row>
    <row r="1851" spans="2:17" ht="12.75" customHeight="1" x14ac:dyDescent="0.2">
      <c r="B1851" s="267"/>
      <c r="F1851" s="265"/>
      <c r="G1851" s="268"/>
      <c r="H1851" s="317"/>
      <c r="I1851" s="418"/>
      <c r="J1851" s="268"/>
      <c r="K1851" s="456"/>
      <c r="L1851" s="418"/>
      <c r="M1851" s="268"/>
      <c r="N1851" s="317"/>
      <c r="O1851" s="418"/>
      <c r="P1851" s="418"/>
      <c r="Q1851" s="418"/>
    </row>
    <row r="1852" spans="2:17" ht="12.75" customHeight="1" x14ac:dyDescent="0.2">
      <c r="B1852" s="267"/>
      <c r="F1852" s="265"/>
      <c r="G1852" s="268"/>
      <c r="H1852" s="317"/>
      <c r="I1852" s="418"/>
      <c r="J1852" s="268"/>
      <c r="K1852" s="456"/>
      <c r="L1852" s="418"/>
      <c r="M1852" s="268"/>
      <c r="N1852" s="317"/>
      <c r="O1852" s="418"/>
      <c r="P1852" s="418"/>
      <c r="Q1852" s="418"/>
    </row>
    <row r="1853" spans="2:17" ht="12.75" customHeight="1" x14ac:dyDescent="0.2">
      <c r="B1853" s="267"/>
      <c r="F1853" s="265"/>
      <c r="G1853" s="268"/>
      <c r="H1853" s="317"/>
      <c r="I1853" s="418"/>
      <c r="J1853" s="268"/>
      <c r="K1853" s="456"/>
      <c r="L1853" s="418"/>
      <c r="M1853" s="268"/>
      <c r="N1853" s="317"/>
      <c r="O1853" s="418"/>
      <c r="P1853" s="418"/>
      <c r="Q1853" s="418"/>
    </row>
    <row r="1854" spans="2:17" ht="12.75" customHeight="1" x14ac:dyDescent="0.2">
      <c r="B1854" s="267"/>
      <c r="F1854" s="265"/>
      <c r="G1854" s="268"/>
      <c r="H1854" s="317"/>
      <c r="I1854" s="418"/>
      <c r="J1854" s="268"/>
      <c r="K1854" s="456"/>
      <c r="L1854" s="418"/>
      <c r="M1854" s="268"/>
      <c r="N1854" s="317"/>
      <c r="O1854" s="418"/>
      <c r="P1854" s="418"/>
      <c r="Q1854" s="418"/>
    </row>
    <row r="1855" spans="2:17" ht="12.75" customHeight="1" x14ac:dyDescent="0.2">
      <c r="B1855" s="267"/>
      <c r="F1855" s="265"/>
      <c r="G1855" s="268"/>
      <c r="H1855" s="317"/>
      <c r="I1855" s="418" t="str">
        <f>IF(G1735=0," ",G1735*H1858)</f>
        <v xml:space="preserve"> </v>
      </c>
      <c r="J1855" s="268"/>
      <c r="K1855" s="456"/>
      <c r="L1855" s="418" t="str">
        <f t="shared" ref="L1855:L1856" si="657">IF(J1735=0," ",J1735*K1858)</f>
        <v xml:space="preserve"> </v>
      </c>
      <c r="M1855" s="268"/>
      <c r="N1855" s="317"/>
      <c r="O1855" s="418" t="str">
        <f t="shared" ref="O1855:O1856" si="658">IF(M1735=0," ",M1735*N1858)</f>
        <v xml:space="preserve"> </v>
      </c>
      <c r="P1855" s="418" t="str">
        <f t="shared" ref="P1855:P1856" si="659">IF(N1735=0," ",N1735*O1858)</f>
        <v xml:space="preserve"> </v>
      </c>
      <c r="Q1855" s="418"/>
    </row>
    <row r="1856" spans="2:17" ht="12.75" customHeight="1" x14ac:dyDescent="0.2">
      <c r="B1856" s="267"/>
      <c r="F1856" s="265"/>
      <c r="G1856" s="268"/>
      <c r="H1856" s="317"/>
      <c r="I1856" s="418" t="str">
        <f>IF(G1736=0," ",G1736*H1859)</f>
        <v xml:space="preserve"> </v>
      </c>
      <c r="J1856" s="268"/>
      <c r="K1856" s="456"/>
      <c r="L1856" s="418" t="str">
        <f t="shared" si="657"/>
        <v xml:space="preserve"> </v>
      </c>
      <c r="M1856" s="268"/>
      <c r="N1856" s="317"/>
      <c r="O1856" s="418" t="str">
        <f t="shared" si="658"/>
        <v xml:space="preserve"> </v>
      </c>
      <c r="P1856" s="418" t="str">
        <f t="shared" si="659"/>
        <v xml:space="preserve"> </v>
      </c>
      <c r="Q1856" s="418"/>
    </row>
    <row r="1857" spans="2:17" ht="12.75" customHeight="1" x14ac:dyDescent="0.2">
      <c r="B1857" s="267"/>
      <c r="F1857" s="265"/>
      <c r="G1857" s="268"/>
      <c r="H1857" s="317"/>
      <c r="I1857" s="418" t="str">
        <f>IF(G1708=0," ",G1708*H1860)</f>
        <v xml:space="preserve"> </v>
      </c>
      <c r="J1857" s="268"/>
      <c r="K1857" s="456"/>
      <c r="L1857" s="418" t="str">
        <f t="shared" ref="L1857" si="660">IF(J1708=0," ",J1708*K1860)</f>
        <v xml:space="preserve"> </v>
      </c>
      <c r="M1857" s="268"/>
      <c r="N1857" s="317"/>
      <c r="O1857" s="418" t="str">
        <f t="shared" ref="O1857" si="661">IF(M1708=0," ",M1708*N1860)</f>
        <v xml:space="preserve"> </v>
      </c>
      <c r="P1857" s="418" t="str">
        <f t="shared" ref="P1857" si="662">IF(N1708=0," ",N1708*O1860)</f>
        <v xml:space="preserve"> </v>
      </c>
      <c r="Q1857" s="418"/>
    </row>
    <row r="1858" spans="2:17" ht="12.75" customHeight="1" x14ac:dyDescent="0.2">
      <c r="B1858" s="267"/>
      <c r="F1858" s="265"/>
      <c r="G1858" s="268"/>
      <c r="H1858" s="317"/>
      <c r="I1858" s="418" t="str">
        <f>IF(G1713=0," ",G1713*H1861)</f>
        <v xml:space="preserve"> </v>
      </c>
      <c r="J1858" s="268"/>
      <c r="K1858" s="456"/>
      <c r="L1858" s="418" t="str">
        <f t="shared" ref="L1858" si="663">IF(J1713=0," ",J1713*K1861)</f>
        <v xml:space="preserve"> </v>
      </c>
      <c r="M1858" s="268"/>
      <c r="N1858" s="317"/>
      <c r="O1858" s="418" t="str">
        <f t="shared" ref="O1858" si="664">IF(M1713=0," ",M1713*N1861)</f>
        <v xml:space="preserve"> </v>
      </c>
      <c r="P1858" s="418" t="str">
        <f t="shared" ref="P1858" si="665">IF(N1713=0," ",N1713*O1861)</f>
        <v xml:space="preserve"> </v>
      </c>
      <c r="Q1858" s="418"/>
    </row>
    <row r="1859" spans="2:17" ht="12.75" customHeight="1" x14ac:dyDescent="0.2">
      <c r="B1859" s="267"/>
      <c r="F1859" s="265"/>
      <c r="G1859" s="268"/>
      <c r="H1859" s="317"/>
      <c r="I1859" s="418" t="str">
        <f t="shared" ref="I1859:I1874" si="666">IF(G1737=0," ",G1737*H1862)</f>
        <v xml:space="preserve"> </v>
      </c>
      <c r="J1859" s="268"/>
      <c r="K1859" s="456"/>
      <c r="L1859" s="418" t="str">
        <f t="shared" ref="L1859:L1874" si="667">IF(J1737=0," ",J1737*K1862)</f>
        <v xml:space="preserve"> </v>
      </c>
      <c r="M1859" s="268"/>
      <c r="N1859" s="317"/>
      <c r="O1859" s="418" t="str">
        <f t="shared" ref="O1859:O1874" si="668">IF(M1737=0," ",M1737*N1862)</f>
        <v xml:space="preserve"> </v>
      </c>
      <c r="P1859" s="418" t="str">
        <f t="shared" ref="P1859:P1874" si="669">IF(N1737=0," ",N1737*O1862)</f>
        <v xml:space="preserve"> </v>
      </c>
      <c r="Q1859" s="418"/>
    </row>
    <row r="1860" spans="2:17" ht="12.75" customHeight="1" x14ac:dyDescent="0.2">
      <c r="B1860" s="273"/>
      <c r="F1860" s="265"/>
      <c r="G1860" s="268"/>
      <c r="H1860" s="317"/>
      <c r="I1860" s="418" t="str">
        <f t="shared" si="666"/>
        <v xml:space="preserve"> </v>
      </c>
      <c r="J1860" s="268"/>
      <c r="K1860" s="456"/>
      <c r="L1860" s="418" t="str">
        <f t="shared" si="667"/>
        <v xml:space="preserve"> </v>
      </c>
      <c r="M1860" s="268"/>
      <c r="N1860" s="317"/>
      <c r="O1860" s="418" t="str">
        <f t="shared" si="668"/>
        <v xml:space="preserve"> </v>
      </c>
      <c r="P1860" s="418" t="str">
        <f t="shared" si="669"/>
        <v xml:space="preserve"> </v>
      </c>
      <c r="Q1860" s="418"/>
    </row>
    <row r="1861" spans="2:17" ht="12.75" customHeight="1" x14ac:dyDescent="0.2">
      <c r="B1861" s="267"/>
      <c r="F1861" s="265"/>
      <c r="G1861" s="268"/>
      <c r="H1861" s="317"/>
      <c r="I1861" s="418" t="str">
        <f t="shared" si="666"/>
        <v xml:space="preserve"> </v>
      </c>
      <c r="J1861" s="268"/>
      <c r="K1861" s="456"/>
      <c r="L1861" s="418" t="str">
        <f t="shared" si="667"/>
        <v xml:space="preserve"> </v>
      </c>
      <c r="M1861" s="268"/>
      <c r="N1861" s="317"/>
      <c r="O1861" s="418" t="str">
        <f t="shared" si="668"/>
        <v xml:space="preserve"> </v>
      </c>
      <c r="P1861" s="418" t="str">
        <f t="shared" si="669"/>
        <v xml:space="preserve"> </v>
      </c>
      <c r="Q1861" s="418"/>
    </row>
    <row r="1862" spans="2:17" ht="12.75" customHeight="1" x14ac:dyDescent="0.2">
      <c r="B1862" s="267"/>
      <c r="F1862" s="265"/>
      <c r="G1862" s="268"/>
      <c r="H1862" s="317"/>
      <c r="I1862" s="418" t="str">
        <f t="shared" si="666"/>
        <v xml:space="preserve"> </v>
      </c>
      <c r="J1862" s="268"/>
      <c r="K1862" s="456"/>
      <c r="L1862" s="418" t="str">
        <f t="shared" si="667"/>
        <v xml:space="preserve"> </v>
      </c>
      <c r="M1862" s="268"/>
      <c r="N1862" s="317"/>
      <c r="O1862" s="418" t="str">
        <f t="shared" si="668"/>
        <v xml:space="preserve"> </v>
      </c>
      <c r="P1862" s="418" t="str">
        <f t="shared" si="669"/>
        <v xml:space="preserve"> </v>
      </c>
      <c r="Q1862" s="418"/>
    </row>
    <row r="1863" spans="2:17" ht="12.75" customHeight="1" x14ac:dyDescent="0.2">
      <c r="B1863" s="267"/>
      <c r="F1863" s="265"/>
      <c r="G1863" s="268"/>
      <c r="H1863" s="317"/>
      <c r="I1863" s="418" t="str">
        <f t="shared" si="666"/>
        <v xml:space="preserve"> </v>
      </c>
      <c r="J1863" s="268"/>
      <c r="K1863" s="456"/>
      <c r="L1863" s="418" t="str">
        <f t="shared" si="667"/>
        <v xml:space="preserve"> </v>
      </c>
      <c r="M1863" s="268"/>
      <c r="N1863" s="317"/>
      <c r="O1863" s="418" t="str">
        <f t="shared" si="668"/>
        <v xml:space="preserve"> </v>
      </c>
      <c r="P1863" s="418" t="str">
        <f t="shared" si="669"/>
        <v xml:space="preserve"> </v>
      </c>
      <c r="Q1863" s="418"/>
    </row>
    <row r="1864" spans="2:17" ht="12.75" customHeight="1" x14ac:dyDescent="0.2">
      <c r="B1864" s="267"/>
      <c r="F1864" s="265"/>
      <c r="G1864" s="268"/>
      <c r="H1864" s="317"/>
      <c r="I1864" s="418" t="str">
        <f t="shared" si="666"/>
        <v xml:space="preserve"> </v>
      </c>
      <c r="J1864" s="268"/>
      <c r="K1864" s="456"/>
      <c r="L1864" s="418" t="str">
        <f t="shared" si="667"/>
        <v xml:space="preserve"> </v>
      </c>
      <c r="M1864" s="268"/>
      <c r="N1864" s="317"/>
      <c r="O1864" s="418" t="str">
        <f t="shared" si="668"/>
        <v xml:space="preserve"> </v>
      </c>
      <c r="P1864" s="418" t="str">
        <f t="shared" si="669"/>
        <v xml:space="preserve"> </v>
      </c>
      <c r="Q1864" s="418"/>
    </row>
    <row r="1865" spans="2:17" ht="12.75" customHeight="1" x14ac:dyDescent="0.2">
      <c r="B1865" s="267"/>
      <c r="F1865" s="265"/>
      <c r="G1865" s="268"/>
      <c r="H1865" s="317"/>
      <c r="I1865" s="418" t="str">
        <f t="shared" si="666"/>
        <v xml:space="preserve"> </v>
      </c>
      <c r="J1865" s="268"/>
      <c r="K1865" s="456"/>
      <c r="L1865" s="418" t="str">
        <f t="shared" si="667"/>
        <v xml:space="preserve"> </v>
      </c>
      <c r="M1865" s="268"/>
      <c r="N1865" s="317"/>
      <c r="O1865" s="418" t="str">
        <f t="shared" si="668"/>
        <v xml:space="preserve"> </v>
      </c>
      <c r="P1865" s="418" t="str">
        <f t="shared" si="669"/>
        <v xml:space="preserve"> </v>
      </c>
      <c r="Q1865" s="418"/>
    </row>
    <row r="1866" spans="2:17" ht="12.75" customHeight="1" x14ac:dyDescent="0.2">
      <c r="B1866" s="267"/>
      <c r="F1866" s="265"/>
      <c r="G1866" s="268"/>
      <c r="H1866" s="317"/>
      <c r="I1866" s="418" t="str">
        <f t="shared" si="666"/>
        <v xml:space="preserve"> </v>
      </c>
      <c r="J1866" s="268"/>
      <c r="K1866" s="456"/>
      <c r="L1866" s="418" t="str">
        <f t="shared" si="667"/>
        <v xml:space="preserve"> </v>
      </c>
      <c r="M1866" s="268"/>
      <c r="N1866" s="317"/>
      <c r="O1866" s="418" t="str">
        <f t="shared" si="668"/>
        <v xml:space="preserve"> </v>
      </c>
      <c r="P1866" s="418" t="str">
        <f t="shared" si="669"/>
        <v xml:space="preserve"> </v>
      </c>
      <c r="Q1866" s="418"/>
    </row>
    <row r="1867" spans="2:17" ht="12.75" customHeight="1" x14ac:dyDescent="0.2">
      <c r="B1867" s="267"/>
      <c r="F1867" s="265"/>
      <c r="G1867" s="268"/>
      <c r="H1867" s="317"/>
      <c r="I1867" s="418" t="str">
        <f t="shared" si="666"/>
        <v xml:space="preserve"> </v>
      </c>
      <c r="J1867" s="268"/>
      <c r="K1867" s="456"/>
      <c r="L1867" s="418" t="str">
        <f t="shared" si="667"/>
        <v xml:space="preserve"> </v>
      </c>
      <c r="M1867" s="268"/>
      <c r="N1867" s="317"/>
      <c r="O1867" s="418" t="str">
        <f t="shared" si="668"/>
        <v xml:space="preserve"> </v>
      </c>
      <c r="P1867" s="418" t="str">
        <f t="shared" si="669"/>
        <v xml:space="preserve"> </v>
      </c>
      <c r="Q1867" s="418"/>
    </row>
    <row r="1868" spans="2:17" ht="12.75" customHeight="1" x14ac:dyDescent="0.2">
      <c r="B1868" s="267"/>
      <c r="F1868" s="265"/>
      <c r="G1868" s="268"/>
      <c r="H1868" s="317"/>
      <c r="I1868" s="418" t="str">
        <f t="shared" si="666"/>
        <v xml:space="preserve"> </v>
      </c>
      <c r="J1868" s="268"/>
      <c r="K1868" s="456"/>
      <c r="L1868" s="418" t="str">
        <f t="shared" si="667"/>
        <v xml:space="preserve"> </v>
      </c>
      <c r="M1868" s="268"/>
      <c r="N1868" s="317"/>
      <c r="O1868" s="418" t="str">
        <f t="shared" si="668"/>
        <v xml:space="preserve"> </v>
      </c>
      <c r="P1868" s="418" t="str">
        <f t="shared" si="669"/>
        <v xml:space="preserve"> </v>
      </c>
      <c r="Q1868" s="418"/>
    </row>
    <row r="1869" spans="2:17" ht="12.75" customHeight="1" x14ac:dyDescent="0.2">
      <c r="B1869" s="267"/>
      <c r="F1869" s="265"/>
      <c r="G1869" s="268"/>
      <c r="H1869" s="317"/>
      <c r="I1869" s="418" t="str">
        <f t="shared" si="666"/>
        <v xml:space="preserve"> </v>
      </c>
      <c r="J1869" s="268"/>
      <c r="K1869" s="456"/>
      <c r="L1869" s="418" t="str">
        <f t="shared" si="667"/>
        <v xml:space="preserve"> </v>
      </c>
      <c r="M1869" s="268"/>
      <c r="N1869" s="317"/>
      <c r="O1869" s="418" t="str">
        <f t="shared" si="668"/>
        <v xml:space="preserve"> </v>
      </c>
      <c r="P1869" s="418" t="str">
        <f t="shared" si="669"/>
        <v xml:space="preserve"> </v>
      </c>
      <c r="Q1869" s="418"/>
    </row>
    <row r="1870" spans="2:17" ht="12.75" customHeight="1" x14ac:dyDescent="0.2">
      <c r="B1870" s="267"/>
      <c r="F1870" s="265"/>
      <c r="G1870" s="268"/>
      <c r="H1870" s="317"/>
      <c r="I1870" s="418" t="str">
        <f t="shared" si="666"/>
        <v xml:space="preserve"> </v>
      </c>
      <c r="J1870" s="268"/>
      <c r="K1870" s="456"/>
      <c r="L1870" s="418" t="str">
        <f t="shared" si="667"/>
        <v xml:space="preserve"> </v>
      </c>
      <c r="M1870" s="268"/>
      <c r="N1870" s="317"/>
      <c r="O1870" s="418" t="str">
        <f t="shared" si="668"/>
        <v xml:space="preserve"> </v>
      </c>
      <c r="P1870" s="418" t="str">
        <f t="shared" si="669"/>
        <v xml:space="preserve"> </v>
      </c>
      <c r="Q1870" s="418"/>
    </row>
    <row r="1871" spans="2:17" ht="12.75" customHeight="1" x14ac:dyDescent="0.2">
      <c r="B1871" s="267"/>
      <c r="F1871" s="265"/>
      <c r="G1871" s="268"/>
      <c r="H1871" s="317"/>
      <c r="I1871" s="418" t="str">
        <f t="shared" si="666"/>
        <v xml:space="preserve"> </v>
      </c>
      <c r="J1871" s="268"/>
      <c r="K1871" s="456"/>
      <c r="L1871" s="418" t="str">
        <f t="shared" si="667"/>
        <v xml:space="preserve"> </v>
      </c>
      <c r="M1871" s="268"/>
      <c r="N1871" s="317"/>
      <c r="O1871" s="418" t="str">
        <f t="shared" si="668"/>
        <v xml:space="preserve"> </v>
      </c>
      <c r="P1871" s="418" t="str">
        <f t="shared" si="669"/>
        <v xml:space="preserve"> </v>
      </c>
      <c r="Q1871" s="418"/>
    </row>
    <row r="1872" spans="2:17" ht="12.75" customHeight="1" x14ac:dyDescent="0.2">
      <c r="B1872" s="267"/>
      <c r="F1872" s="265"/>
      <c r="G1872" s="268"/>
      <c r="H1872" s="317"/>
      <c r="I1872" s="418" t="str">
        <f t="shared" si="666"/>
        <v xml:space="preserve"> </v>
      </c>
      <c r="J1872" s="268"/>
      <c r="K1872" s="456"/>
      <c r="L1872" s="418" t="str">
        <f t="shared" si="667"/>
        <v xml:space="preserve"> </v>
      </c>
      <c r="M1872" s="268"/>
      <c r="N1872" s="317"/>
      <c r="O1872" s="418" t="str">
        <f t="shared" si="668"/>
        <v xml:space="preserve"> </v>
      </c>
      <c r="P1872" s="418" t="str">
        <f t="shared" si="669"/>
        <v xml:space="preserve"> </v>
      </c>
      <c r="Q1872" s="418"/>
    </row>
    <row r="1873" spans="2:17" ht="12.75" customHeight="1" x14ac:dyDescent="0.2">
      <c r="B1873" s="267"/>
      <c r="F1873" s="265"/>
      <c r="G1873" s="268"/>
      <c r="H1873" s="317"/>
      <c r="I1873" s="418" t="str">
        <f t="shared" si="666"/>
        <v xml:space="preserve"> </v>
      </c>
      <c r="J1873" s="268"/>
      <c r="K1873" s="456"/>
      <c r="L1873" s="418" t="str">
        <f t="shared" si="667"/>
        <v xml:space="preserve"> </v>
      </c>
      <c r="M1873" s="268"/>
      <c r="N1873" s="317"/>
      <c r="O1873" s="418" t="str">
        <f t="shared" si="668"/>
        <v xml:space="preserve"> </v>
      </c>
      <c r="P1873" s="418" t="str">
        <f t="shared" si="669"/>
        <v xml:space="preserve"> </v>
      </c>
      <c r="Q1873" s="418"/>
    </row>
    <row r="1874" spans="2:17" ht="12.75" customHeight="1" x14ac:dyDescent="0.2">
      <c r="B1874" s="267"/>
      <c r="F1874" s="265"/>
      <c r="G1874" s="268"/>
      <c r="H1874" s="317"/>
      <c r="I1874" s="418" t="str">
        <f t="shared" si="666"/>
        <v xml:space="preserve"> </v>
      </c>
      <c r="J1874" s="268"/>
      <c r="K1874" s="456"/>
      <c r="L1874" s="418" t="str">
        <f t="shared" si="667"/>
        <v xml:space="preserve"> </v>
      </c>
      <c r="M1874" s="268"/>
      <c r="N1874" s="317"/>
      <c r="O1874" s="418" t="str">
        <f t="shared" si="668"/>
        <v xml:space="preserve"> </v>
      </c>
      <c r="P1874" s="418" t="str">
        <f t="shared" si="669"/>
        <v xml:space="preserve"> </v>
      </c>
      <c r="Q1874" s="418"/>
    </row>
    <row r="1875" spans="2:17" ht="12.75" customHeight="1" x14ac:dyDescent="0.2">
      <c r="B1875" s="267"/>
      <c r="F1875" s="265"/>
      <c r="G1875" s="268"/>
      <c r="H1875" s="317"/>
      <c r="I1875" s="418"/>
      <c r="J1875" s="268"/>
      <c r="K1875" s="456"/>
      <c r="L1875" s="418"/>
      <c r="M1875" s="268"/>
      <c r="N1875" s="317"/>
      <c r="O1875" s="418"/>
      <c r="P1875" s="418"/>
      <c r="Q1875" s="418"/>
    </row>
    <row r="1876" spans="2:17" ht="12.75" customHeight="1" x14ac:dyDescent="0.2">
      <c r="B1876" s="267"/>
      <c r="F1876" s="265"/>
      <c r="G1876" s="268"/>
      <c r="H1876" s="317"/>
      <c r="I1876" s="418"/>
      <c r="J1876" s="268"/>
      <c r="K1876" s="456"/>
      <c r="L1876" s="418"/>
      <c r="M1876" s="268"/>
      <c r="N1876" s="317"/>
      <c r="O1876" s="418"/>
      <c r="P1876" s="418"/>
      <c r="Q1876" s="418"/>
    </row>
    <row r="1877" spans="2:17" ht="12.75" customHeight="1" x14ac:dyDescent="0.2">
      <c r="B1877" s="267"/>
      <c r="F1877" s="265"/>
      <c r="G1877" s="268"/>
      <c r="H1877" s="317"/>
      <c r="I1877" s="418"/>
      <c r="J1877" s="268"/>
      <c r="K1877" s="456"/>
      <c r="L1877" s="418"/>
      <c r="M1877" s="268"/>
      <c r="N1877" s="317"/>
      <c r="O1877" s="418"/>
      <c r="P1877" s="418"/>
      <c r="Q1877" s="418"/>
    </row>
    <row r="1878" spans="2:17" ht="12.75" customHeight="1" x14ac:dyDescent="0.2">
      <c r="B1878" s="267"/>
      <c r="F1878" s="265"/>
      <c r="G1878" s="268"/>
      <c r="H1878" s="317"/>
      <c r="I1878" s="418"/>
      <c r="J1878" s="268"/>
      <c r="K1878" s="456"/>
      <c r="L1878" s="418"/>
      <c r="M1878" s="268"/>
      <c r="N1878" s="317"/>
      <c r="O1878" s="418"/>
      <c r="P1878" s="418"/>
      <c r="Q1878" s="418"/>
    </row>
    <row r="1879" spans="2:17" ht="12.75" customHeight="1" x14ac:dyDescent="0.2">
      <c r="B1879" s="267"/>
      <c r="F1879" s="265"/>
      <c r="G1879" s="268"/>
      <c r="H1879" s="317"/>
      <c r="I1879" s="418"/>
      <c r="J1879" s="268"/>
      <c r="K1879" s="456"/>
      <c r="L1879" s="418"/>
      <c r="M1879" s="268"/>
      <c r="N1879" s="317"/>
      <c r="O1879" s="418"/>
      <c r="P1879" s="418"/>
      <c r="Q1879" s="418"/>
    </row>
    <row r="1880" spans="2:17" ht="12.75" customHeight="1" x14ac:dyDescent="0.2">
      <c r="B1880" s="267"/>
      <c r="F1880" s="265"/>
      <c r="G1880" s="268"/>
      <c r="H1880" s="317"/>
      <c r="I1880" s="418"/>
      <c r="J1880" s="268"/>
      <c r="K1880" s="456"/>
      <c r="L1880" s="418"/>
      <c r="M1880" s="268"/>
      <c r="N1880" s="317"/>
      <c r="O1880" s="418"/>
      <c r="P1880" s="418"/>
      <c r="Q1880" s="418"/>
    </row>
    <row r="1881" spans="2:17" ht="12.75" customHeight="1" x14ac:dyDescent="0.2">
      <c r="B1881" s="267"/>
      <c r="F1881" s="265"/>
      <c r="G1881" s="268"/>
      <c r="H1881" s="317"/>
      <c r="I1881" s="418"/>
      <c r="J1881" s="268"/>
      <c r="K1881" s="456"/>
      <c r="L1881" s="418"/>
      <c r="M1881" s="268"/>
      <c r="N1881" s="317"/>
      <c r="O1881" s="418"/>
      <c r="P1881" s="418"/>
      <c r="Q1881" s="418"/>
    </row>
    <row r="1882" spans="2:17" ht="12.75" customHeight="1" x14ac:dyDescent="0.2">
      <c r="B1882" s="267"/>
      <c r="F1882" s="265"/>
      <c r="G1882" s="268"/>
      <c r="H1882" s="317"/>
      <c r="I1882" s="418"/>
      <c r="J1882" s="268"/>
      <c r="K1882" s="456"/>
      <c r="L1882" s="418"/>
      <c r="M1882" s="268"/>
      <c r="N1882" s="317"/>
      <c r="O1882" s="418"/>
      <c r="P1882" s="418"/>
      <c r="Q1882" s="418"/>
    </row>
    <row r="1883" spans="2:17" ht="12.75" customHeight="1" x14ac:dyDescent="0.2">
      <c r="B1883" s="267"/>
      <c r="F1883" s="265"/>
      <c r="G1883" s="268"/>
      <c r="H1883" s="317"/>
      <c r="I1883" s="418"/>
      <c r="J1883" s="268"/>
      <c r="K1883" s="456"/>
      <c r="L1883" s="418"/>
      <c r="M1883" s="268"/>
      <c r="N1883" s="317"/>
      <c r="O1883" s="418"/>
      <c r="P1883" s="418"/>
      <c r="Q1883" s="418"/>
    </row>
    <row r="1884" spans="2:17" ht="12.75" customHeight="1" x14ac:dyDescent="0.2">
      <c r="B1884" s="267"/>
      <c r="F1884" s="265"/>
      <c r="G1884" s="268"/>
      <c r="H1884" s="317"/>
      <c r="I1884" s="418"/>
      <c r="J1884" s="268"/>
      <c r="K1884" s="456"/>
      <c r="L1884" s="418"/>
      <c r="M1884" s="268"/>
      <c r="N1884" s="317"/>
      <c r="O1884" s="418"/>
      <c r="P1884" s="418"/>
      <c r="Q1884" s="418"/>
    </row>
    <row r="1885" spans="2:17" ht="12.75" customHeight="1" x14ac:dyDescent="0.2">
      <c r="B1885" s="267"/>
      <c r="F1885" s="265"/>
      <c r="G1885" s="268"/>
      <c r="H1885" s="317"/>
      <c r="I1885" s="418"/>
      <c r="J1885" s="268"/>
      <c r="K1885" s="456"/>
      <c r="L1885" s="418"/>
      <c r="M1885" s="268"/>
      <c r="N1885" s="317"/>
      <c r="O1885" s="418"/>
      <c r="P1885" s="418"/>
      <c r="Q1885" s="418"/>
    </row>
    <row r="1886" spans="2:17" ht="12.75" customHeight="1" x14ac:dyDescent="0.2">
      <c r="B1886" s="267"/>
      <c r="F1886" s="265"/>
      <c r="G1886" s="268"/>
      <c r="H1886" s="317"/>
      <c r="I1886" s="418"/>
      <c r="J1886" s="268"/>
      <c r="K1886" s="456"/>
      <c r="L1886" s="418"/>
      <c r="M1886" s="268"/>
      <c r="N1886" s="317"/>
      <c r="O1886" s="418"/>
      <c r="P1886" s="418"/>
      <c r="Q1886" s="418"/>
    </row>
    <row r="1887" spans="2:17" ht="12.75" customHeight="1" x14ac:dyDescent="0.2">
      <c r="B1887" s="267"/>
      <c r="F1887" s="265"/>
      <c r="G1887" s="268"/>
      <c r="H1887" s="317"/>
      <c r="I1887" s="418"/>
      <c r="J1887" s="268"/>
      <c r="K1887" s="456"/>
      <c r="L1887" s="418"/>
      <c r="M1887" s="268"/>
      <c r="N1887" s="317"/>
      <c r="O1887" s="418"/>
      <c r="P1887" s="418"/>
      <c r="Q1887" s="418"/>
    </row>
    <row r="1888" spans="2:17" ht="12.75" customHeight="1" x14ac:dyDescent="0.2">
      <c r="B1888" s="267"/>
      <c r="F1888" s="265"/>
      <c r="G1888" s="268"/>
      <c r="H1888" s="317"/>
      <c r="I1888" s="418"/>
      <c r="J1888" s="268"/>
      <c r="K1888" s="456"/>
      <c r="L1888" s="418"/>
      <c r="M1888" s="268"/>
      <c r="N1888" s="317"/>
      <c r="O1888" s="418"/>
      <c r="P1888" s="418"/>
      <c r="Q1888" s="418"/>
    </row>
    <row r="1889" spans="2:17" ht="12.75" customHeight="1" x14ac:dyDescent="0.2">
      <c r="B1889" s="267"/>
      <c r="F1889" s="265"/>
      <c r="G1889" s="268"/>
      <c r="H1889" s="317"/>
      <c r="I1889" s="418"/>
      <c r="J1889" s="268"/>
      <c r="K1889" s="456"/>
      <c r="L1889" s="418"/>
      <c r="M1889" s="268"/>
      <c r="N1889" s="317"/>
      <c r="O1889" s="418"/>
      <c r="P1889" s="418"/>
      <c r="Q1889" s="418"/>
    </row>
    <row r="1890" spans="2:17" ht="12.75" customHeight="1" x14ac:dyDescent="0.2">
      <c r="B1890" s="267"/>
      <c r="F1890" s="265"/>
      <c r="G1890" s="268"/>
      <c r="H1890" s="317"/>
      <c r="I1890" s="418"/>
      <c r="J1890" s="268"/>
      <c r="K1890" s="456"/>
      <c r="L1890" s="418"/>
      <c r="M1890" s="268"/>
      <c r="N1890" s="317"/>
      <c r="O1890" s="418"/>
      <c r="P1890" s="418"/>
      <c r="Q1890" s="418"/>
    </row>
    <row r="1891" spans="2:17" ht="12.75" customHeight="1" x14ac:dyDescent="0.2">
      <c r="B1891" s="267"/>
      <c r="F1891" s="265"/>
      <c r="G1891" s="268"/>
      <c r="H1891" s="317"/>
      <c r="I1891" s="418"/>
      <c r="J1891" s="268"/>
      <c r="K1891" s="456"/>
      <c r="L1891" s="418"/>
      <c r="M1891" s="268"/>
      <c r="N1891" s="317"/>
      <c r="O1891" s="418"/>
      <c r="P1891" s="418"/>
      <c r="Q1891" s="418"/>
    </row>
    <row r="1892" spans="2:17" ht="12.75" customHeight="1" x14ac:dyDescent="0.2">
      <c r="B1892" s="273"/>
      <c r="F1892" s="265"/>
      <c r="G1892" s="268"/>
      <c r="H1892" s="317"/>
      <c r="I1892" s="318" t="str">
        <f>IF(G1835=0," ",G1835*H1895)</f>
        <v xml:space="preserve"> </v>
      </c>
      <c r="J1892" s="268"/>
      <c r="K1892" s="456"/>
      <c r="L1892" s="318" t="str">
        <f t="shared" ref="L1892" si="670">IF(J1835=0," ",J1835*K1895)</f>
        <v xml:space="preserve"> </v>
      </c>
      <c r="M1892" s="268"/>
      <c r="N1892" s="317"/>
      <c r="O1892" s="318" t="str">
        <f t="shared" ref="O1892" si="671">IF(M1835=0," ",M1835*N1895)</f>
        <v xml:space="preserve"> </v>
      </c>
      <c r="P1892" s="318" t="str">
        <f t="shared" ref="P1892" si="672">IF(N1835=0," ",N1835*O1895)</f>
        <v xml:space="preserve"> </v>
      </c>
      <c r="Q1892" s="318"/>
    </row>
    <row r="1893" spans="2:17" ht="12.75" customHeight="1" x14ac:dyDescent="0.2">
      <c r="B1893" s="287">
        <v>8100</v>
      </c>
      <c r="C1893" s="288" t="s">
        <v>268</v>
      </c>
      <c r="D1893" s="289"/>
      <c r="E1893" s="290"/>
      <c r="F1893" s="291"/>
      <c r="G1893" s="291"/>
      <c r="H1893" s="422"/>
      <c r="I1893" s="423">
        <f>SUM(I1836:I1892)</f>
        <v>100000</v>
      </c>
      <c r="J1893" s="291"/>
      <c r="K1893" s="422"/>
      <c r="L1893" s="423">
        <f t="shared" ref="L1893" si="673">SUM(L1836:L1892)</f>
        <v>100000</v>
      </c>
      <c r="M1893" s="291"/>
      <c r="N1893" s="422"/>
      <c r="O1893" s="423">
        <f>SUM(O1836:O1892)</f>
        <v>100000</v>
      </c>
      <c r="P1893" s="423"/>
      <c r="Q1893" s="423">
        <f t="shared" ref="Q1893" si="674">SUM(Q1836:Q1892)</f>
        <v>0</v>
      </c>
    </row>
    <row r="1894" spans="2:17" ht="12.75" customHeight="1" x14ac:dyDescent="0.2">
      <c r="C1894" s="240"/>
      <c r="E1894" s="238"/>
    </row>
    <row r="1895" spans="2:17" ht="12.75" customHeight="1" x14ac:dyDescent="0.2">
      <c r="C1895" s="240"/>
      <c r="E1895" s="238"/>
    </row>
    <row r="1896" spans="2:17" ht="12.75" customHeight="1" x14ac:dyDescent="0.2">
      <c r="C1896" s="240"/>
      <c r="E1896" s="238"/>
    </row>
    <row r="1897" spans="2:17" ht="12.75" customHeight="1" x14ac:dyDescent="0.2">
      <c r="C1897" s="240"/>
      <c r="E1897" s="238"/>
    </row>
    <row r="1898" spans="2:17" ht="12.75" customHeight="1" x14ac:dyDescent="0.2">
      <c r="C1898" s="240"/>
      <c r="E1898" s="238"/>
    </row>
    <row r="1899" spans="2:17" ht="12.75" customHeight="1" x14ac:dyDescent="0.2">
      <c r="C1899" s="240"/>
      <c r="E1899" s="238"/>
    </row>
    <row r="1900" spans="2:17" ht="12.75" customHeight="1" x14ac:dyDescent="0.2">
      <c r="C1900" s="240"/>
      <c r="E1900" s="238"/>
    </row>
    <row r="1901" spans="2:17" ht="12.75" customHeight="1" x14ac:dyDescent="0.2">
      <c r="C1901" s="240"/>
      <c r="E1901" s="238"/>
    </row>
    <row r="1902" spans="2:17" ht="12.75" customHeight="1" x14ac:dyDescent="0.2">
      <c r="C1902" s="240"/>
      <c r="E1902" s="238"/>
    </row>
    <row r="1903" spans="2:17" ht="12.75" customHeight="1" x14ac:dyDescent="0.2">
      <c r="C1903" s="240"/>
      <c r="E1903" s="238"/>
    </row>
    <row r="1904" spans="2:17" ht="12.75" customHeight="1" x14ac:dyDescent="0.2">
      <c r="C1904" s="240"/>
      <c r="E1904" s="238"/>
    </row>
    <row r="1905" spans="3:5" ht="12.75" customHeight="1" x14ac:dyDescent="0.2">
      <c r="C1905" s="240"/>
      <c r="E1905" s="238"/>
    </row>
    <row r="1906" spans="3:5" ht="12.75" customHeight="1" x14ac:dyDescent="0.2">
      <c r="C1906" s="240"/>
      <c r="E1906" s="238"/>
    </row>
    <row r="1907" spans="3:5" ht="12.75" customHeight="1" x14ac:dyDescent="0.2">
      <c r="C1907" s="240"/>
      <c r="E1907" s="238"/>
    </row>
    <row r="1908" spans="3:5" ht="12.75" customHeight="1" x14ac:dyDescent="0.2">
      <c r="C1908" s="240"/>
      <c r="E1908" s="238"/>
    </row>
    <row r="1909" spans="3:5" ht="12.75" customHeight="1" x14ac:dyDescent="0.2">
      <c r="C1909" s="240"/>
      <c r="E1909" s="238"/>
    </row>
    <row r="1910" spans="3:5" ht="12.75" customHeight="1" x14ac:dyDescent="0.2">
      <c r="C1910" s="240"/>
      <c r="E1910" s="238"/>
    </row>
    <row r="1911" spans="3:5" ht="12.75" customHeight="1" x14ac:dyDescent="0.2">
      <c r="C1911" s="240"/>
      <c r="E1911" s="238"/>
    </row>
    <row r="1912" spans="3:5" ht="12.75" customHeight="1" x14ac:dyDescent="0.2">
      <c r="C1912" s="240"/>
      <c r="E1912" s="238"/>
    </row>
    <row r="1913" spans="3:5" ht="12.75" customHeight="1" x14ac:dyDescent="0.2">
      <c r="C1913" s="240"/>
      <c r="E1913" s="238"/>
    </row>
    <row r="1914" spans="3:5" ht="12.75" customHeight="1" x14ac:dyDescent="0.2">
      <c r="C1914" s="240"/>
      <c r="E1914" s="238"/>
    </row>
    <row r="1915" spans="3:5" ht="12.75" customHeight="1" x14ac:dyDescent="0.2">
      <c r="C1915" s="240"/>
      <c r="E1915" s="238"/>
    </row>
    <row r="1916" spans="3:5" ht="12.75" customHeight="1" x14ac:dyDescent="0.2">
      <c r="C1916" s="240"/>
      <c r="E1916" s="238"/>
    </row>
    <row r="1917" spans="3:5" ht="12.75" customHeight="1" x14ac:dyDescent="0.2">
      <c r="C1917" s="240"/>
      <c r="E1917" s="238"/>
    </row>
    <row r="1918" spans="3:5" ht="12.75" customHeight="1" x14ac:dyDescent="0.2">
      <c r="C1918" s="240"/>
      <c r="E1918" s="238"/>
    </row>
    <row r="1919" spans="3:5" ht="12.75" customHeight="1" x14ac:dyDescent="0.2">
      <c r="C1919" s="240"/>
      <c r="E1919" s="238"/>
    </row>
    <row r="1920" spans="3:5" ht="12.75" customHeight="1" x14ac:dyDescent="0.2">
      <c r="C1920" s="240"/>
      <c r="E1920" s="238"/>
    </row>
    <row r="1921" spans="3:5" ht="12.75" customHeight="1" x14ac:dyDescent="0.2">
      <c r="C1921" s="240"/>
      <c r="E1921" s="238"/>
    </row>
    <row r="1922" spans="3:5" ht="12.75" customHeight="1" x14ac:dyDescent="0.2">
      <c r="C1922" s="240"/>
      <c r="E1922" s="238"/>
    </row>
    <row r="1923" spans="3:5" ht="12.75" customHeight="1" x14ac:dyDescent="0.2">
      <c r="C1923" s="240"/>
      <c r="E1923" s="238"/>
    </row>
    <row r="1924" spans="3:5" ht="12.75" customHeight="1" x14ac:dyDescent="0.2">
      <c r="C1924" s="240"/>
      <c r="E1924" s="238"/>
    </row>
    <row r="1925" spans="3:5" ht="12.75" customHeight="1" x14ac:dyDescent="0.2">
      <c r="C1925" s="240"/>
      <c r="E1925" s="238"/>
    </row>
    <row r="1926" spans="3:5" ht="12.75" customHeight="1" x14ac:dyDescent="0.2">
      <c r="C1926" s="240"/>
      <c r="E1926" s="238"/>
    </row>
    <row r="1927" spans="3:5" ht="12.75" customHeight="1" x14ac:dyDescent="0.2">
      <c r="C1927" s="240"/>
      <c r="E1927" s="238"/>
    </row>
    <row r="1928" spans="3:5" ht="12.75" customHeight="1" x14ac:dyDescent="0.2">
      <c r="C1928" s="240"/>
      <c r="E1928" s="238"/>
    </row>
    <row r="1929" spans="3:5" ht="12.75" customHeight="1" x14ac:dyDescent="0.2">
      <c r="C1929" s="240"/>
      <c r="E1929" s="238"/>
    </row>
    <row r="1930" spans="3:5" ht="12.75" customHeight="1" x14ac:dyDescent="0.2">
      <c r="C1930" s="240"/>
      <c r="E1930" s="238"/>
    </row>
    <row r="1931" spans="3:5" ht="12.75" customHeight="1" x14ac:dyDescent="0.2">
      <c r="C1931" s="240"/>
      <c r="E1931" s="238"/>
    </row>
    <row r="1932" spans="3:5" ht="12.75" customHeight="1" x14ac:dyDescent="0.2">
      <c r="C1932" s="240"/>
      <c r="E1932" s="238"/>
    </row>
    <row r="1933" spans="3:5" ht="12.75" customHeight="1" x14ac:dyDescent="0.2">
      <c r="C1933" s="240"/>
      <c r="E1933" s="238"/>
    </row>
    <row r="1934" spans="3:5" ht="12.75" customHeight="1" x14ac:dyDescent="0.2">
      <c r="C1934" s="240"/>
      <c r="E1934" s="238"/>
    </row>
    <row r="1935" spans="3:5" ht="12.75" customHeight="1" x14ac:dyDescent="0.2">
      <c r="C1935" s="240"/>
      <c r="E1935" s="238"/>
    </row>
    <row r="1936" spans="3:5" ht="12.75" customHeight="1" x14ac:dyDescent="0.2">
      <c r="C1936" s="240"/>
      <c r="E1936" s="238"/>
    </row>
    <row r="1937" spans="3:5" ht="12.75" customHeight="1" x14ac:dyDescent="0.2">
      <c r="C1937" s="240"/>
      <c r="E1937" s="238"/>
    </row>
    <row r="1938" spans="3:5" ht="12.75" customHeight="1" x14ac:dyDescent="0.2">
      <c r="C1938" s="240"/>
      <c r="E1938" s="238"/>
    </row>
    <row r="1939" spans="3:5" ht="12.75" customHeight="1" x14ac:dyDescent="0.2">
      <c r="C1939" s="240"/>
      <c r="E1939" s="238"/>
    </row>
    <row r="1940" spans="3:5" ht="12.75" customHeight="1" x14ac:dyDescent="0.2">
      <c r="C1940" s="240"/>
      <c r="E1940" s="238"/>
    </row>
    <row r="1941" spans="3:5" ht="12.75" customHeight="1" x14ac:dyDescent="0.2">
      <c r="C1941" s="240"/>
      <c r="E1941" s="238"/>
    </row>
    <row r="1942" spans="3:5" ht="12.75" customHeight="1" x14ac:dyDescent="0.2">
      <c r="C1942" s="240"/>
      <c r="E1942" s="238"/>
    </row>
    <row r="1943" spans="3:5" ht="12.75" customHeight="1" x14ac:dyDescent="0.2">
      <c r="C1943" s="240"/>
      <c r="E1943" s="238"/>
    </row>
    <row r="1944" spans="3:5" ht="12.75" customHeight="1" x14ac:dyDescent="0.2">
      <c r="C1944" s="240"/>
      <c r="E1944" s="238"/>
    </row>
    <row r="1945" spans="3:5" ht="12.75" customHeight="1" x14ac:dyDescent="0.2">
      <c r="C1945" s="240"/>
      <c r="E1945" s="238"/>
    </row>
    <row r="1946" spans="3:5" ht="12.75" customHeight="1" x14ac:dyDescent="0.2">
      <c r="C1946" s="240"/>
      <c r="E1946" s="238"/>
    </row>
    <row r="1947" spans="3:5" ht="12.75" customHeight="1" x14ac:dyDescent="0.2">
      <c r="C1947" s="240"/>
      <c r="E1947" s="238"/>
    </row>
    <row r="1948" spans="3:5" ht="12.75" customHeight="1" x14ac:dyDescent="0.2">
      <c r="C1948" s="240"/>
      <c r="E1948" s="238"/>
    </row>
    <row r="1949" spans="3:5" ht="12.75" customHeight="1" x14ac:dyDescent="0.2">
      <c r="C1949" s="240"/>
      <c r="E1949" s="238"/>
    </row>
    <row r="1950" spans="3:5" ht="12.75" customHeight="1" x14ac:dyDescent="0.2">
      <c r="C1950" s="240"/>
      <c r="E1950" s="238"/>
    </row>
    <row r="1951" spans="3:5" ht="12.75" customHeight="1" x14ac:dyDescent="0.2">
      <c r="C1951" s="240"/>
      <c r="E1951" s="238"/>
    </row>
    <row r="1952" spans="3:5" ht="12.75" customHeight="1" x14ac:dyDescent="0.2">
      <c r="C1952" s="240"/>
      <c r="E1952" s="238"/>
    </row>
    <row r="1953" spans="3:5" ht="12.75" customHeight="1" x14ac:dyDescent="0.2">
      <c r="C1953" s="240"/>
      <c r="E1953" s="238"/>
    </row>
    <row r="1954" spans="3:5" ht="12.75" customHeight="1" x14ac:dyDescent="0.2">
      <c r="C1954" s="240"/>
      <c r="E1954" s="238"/>
    </row>
    <row r="1955" spans="3:5" ht="12.75" customHeight="1" x14ac:dyDescent="0.2">
      <c r="C1955" s="240"/>
      <c r="E1955" s="238"/>
    </row>
    <row r="1956" spans="3:5" ht="12.75" customHeight="1" x14ac:dyDescent="0.2">
      <c r="C1956" s="240"/>
      <c r="E1956" s="238"/>
    </row>
    <row r="1957" spans="3:5" ht="12.75" customHeight="1" x14ac:dyDescent="0.2">
      <c r="C1957" s="240"/>
      <c r="E1957" s="238"/>
    </row>
    <row r="1958" spans="3:5" ht="12.75" customHeight="1" x14ac:dyDescent="0.2">
      <c r="C1958" s="240"/>
      <c r="E1958" s="238"/>
    </row>
    <row r="1959" spans="3:5" ht="12.75" customHeight="1" x14ac:dyDescent="0.2">
      <c r="C1959" s="240"/>
      <c r="E1959" s="238"/>
    </row>
    <row r="1960" spans="3:5" ht="12.75" customHeight="1" x14ac:dyDescent="0.2">
      <c r="C1960" s="240"/>
      <c r="E1960" s="238"/>
    </row>
    <row r="1961" spans="3:5" ht="12.75" customHeight="1" x14ac:dyDescent="0.2">
      <c r="C1961" s="240"/>
      <c r="E1961" s="238"/>
    </row>
    <row r="1962" spans="3:5" ht="12.75" customHeight="1" x14ac:dyDescent="0.2">
      <c r="C1962" s="240"/>
      <c r="E1962" s="238"/>
    </row>
    <row r="1963" spans="3:5" ht="12.75" customHeight="1" x14ac:dyDescent="0.2">
      <c r="C1963" s="240"/>
      <c r="E1963" s="238"/>
    </row>
    <row r="1964" spans="3:5" ht="12.75" customHeight="1" x14ac:dyDescent="0.2">
      <c r="C1964" s="240"/>
      <c r="E1964" s="238"/>
    </row>
    <row r="1965" spans="3:5" ht="12.75" customHeight="1" x14ac:dyDescent="0.2">
      <c r="C1965" s="240"/>
      <c r="E1965" s="238"/>
    </row>
    <row r="1966" spans="3:5" ht="12.75" customHeight="1" x14ac:dyDescent="0.2">
      <c r="C1966" s="240"/>
      <c r="E1966" s="238"/>
    </row>
    <row r="1967" spans="3:5" ht="12.75" customHeight="1" x14ac:dyDescent="0.2">
      <c r="C1967" s="240"/>
      <c r="E1967" s="238"/>
    </row>
    <row r="1968" spans="3:5" ht="12.75" customHeight="1" x14ac:dyDescent="0.2">
      <c r="C1968" s="240"/>
      <c r="E1968" s="238"/>
    </row>
    <row r="1969" spans="3:5" ht="12.75" customHeight="1" x14ac:dyDescent="0.2">
      <c r="C1969" s="240"/>
      <c r="E1969" s="238"/>
    </row>
  </sheetData>
  <mergeCells count="24">
    <mergeCell ref="D1250:E1250"/>
    <mergeCell ref="K71:K72"/>
    <mergeCell ref="C189:E189"/>
    <mergeCell ref="D192:E192"/>
    <mergeCell ref="D193:E193"/>
    <mergeCell ref="D195:E195"/>
    <mergeCell ref="D196:E196"/>
    <mergeCell ref="D191:E191"/>
    <mergeCell ref="C209:E209"/>
    <mergeCell ref="D366:E366"/>
    <mergeCell ref="D222:E222"/>
    <mergeCell ref="C212:E212"/>
    <mergeCell ref="D217:E217"/>
    <mergeCell ref="C211:E211"/>
    <mergeCell ref="C215:E215"/>
    <mergeCell ref="G2:I2"/>
    <mergeCell ref="J2:L2"/>
    <mergeCell ref="D1244:E1244"/>
    <mergeCell ref="D1248:E1248"/>
    <mergeCell ref="M2:O2"/>
    <mergeCell ref="D151:E151"/>
    <mergeCell ref="D186:E186"/>
    <mergeCell ref="C213:E213"/>
    <mergeCell ref="C214:E214"/>
  </mergeCells>
  <phoneticPr fontId="0" type="noConversion"/>
  <pageMargins left="0.23622047244094491" right="0.23622047244094491" top="0.94488188976377963" bottom="0.74803149606299213" header="0.31496062992125984" footer="0.31496062992125984"/>
  <pageSetup paperSize="9" scale="54" fitToHeight="0" orientation="landscape" useFirstPageNumber="1" horizontalDpi="4294967294" r:id="rId1"/>
  <headerFooter alignWithMargins="0">
    <oddHeader>&amp;C&amp;9 A.&amp;P&amp;"Arial,Bold"&amp;12MPUMALANGA DEPARTMENT OF PUBLIC WORKS, ROADS &amp; TRANSPORT&amp;"Arial,Regular"&amp;10 Reconstruction of road D481 between Mooiplaas and Ekulindeni in Gert Sibande region of Mpumalanga Province (7.2 km)</oddHeader>
    <oddFooter>&amp;LPart C2: Pricing Data &amp;RC2.2 Bill of Quantities   C &amp;P+38/(&amp;P/37 of BoQ)</oddFooter>
  </headerFooter>
  <rowBreaks count="27" manualBreakCount="27">
    <brk id="67" max="16" man="1"/>
    <brk id="134" max="16" man="1"/>
    <brk id="201" max="16" man="1"/>
    <brk id="268" max="16" man="1"/>
    <brk id="336" max="16" man="1"/>
    <brk id="403" max="16" man="1"/>
    <brk id="471" max="16" man="1"/>
    <brk id="539" max="16" man="1"/>
    <brk id="611" max="16" man="1"/>
    <brk id="679" max="16" man="1"/>
    <brk id="749" max="16" man="1"/>
    <brk id="816" max="16" man="1"/>
    <brk id="884" max="16" man="1"/>
    <brk id="951" max="16" man="1"/>
    <brk id="1019" max="16" man="1"/>
    <brk id="1087" max="16" man="1"/>
    <brk id="1155" max="16" man="1"/>
    <brk id="1223" max="16" man="1"/>
    <brk id="1290" max="16" man="1"/>
    <brk id="1357" max="16" man="1"/>
    <brk id="1424" max="16" man="1"/>
    <brk id="1491" max="16" man="1"/>
    <brk id="1559" max="16" man="1"/>
    <brk id="1626" max="16" man="1"/>
    <brk id="1692" max="16" man="1"/>
    <brk id="1759" max="16" man="1"/>
    <brk id="1827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T393"/>
  <sheetViews>
    <sheetView showGridLines="0" view="pageBreakPreview" topLeftCell="F1" zoomScale="90" zoomScaleNormal="85" zoomScaleSheetLayoutView="90" workbookViewId="0">
      <pane ySplit="5" topLeftCell="A6" activePane="bottomLeft" state="frozen"/>
      <selection pane="bottomLeft" activeCell="L308" sqref="L308"/>
    </sheetView>
  </sheetViews>
  <sheetFormatPr defaultColWidth="9.140625" defaultRowHeight="12.75" customHeight="1" x14ac:dyDescent="0.2"/>
  <cols>
    <col min="1" max="1" width="3.7109375" style="77" customWidth="1"/>
    <col min="2" max="2" width="12.140625" style="76" customWidth="1"/>
    <col min="3" max="3" width="2.7109375" style="56" customWidth="1"/>
    <col min="4" max="4" width="3.7109375" style="57" customWidth="1"/>
    <col min="5" max="5" width="39.5703125" style="67" customWidth="1"/>
    <col min="6" max="6" width="9.85546875" style="73" customWidth="1"/>
    <col min="7" max="7" width="12.85546875" style="74" customWidth="1"/>
    <col min="8" max="8" width="14.85546875" style="191" customWidth="1"/>
    <col min="9" max="9" width="15.42578125" style="191" customWidth="1"/>
    <col min="10" max="10" width="12.85546875" style="74" customWidth="1"/>
    <col min="11" max="11" width="14.85546875" style="191" customWidth="1"/>
    <col min="12" max="12" width="15.42578125" style="191" customWidth="1"/>
    <col min="13" max="13" width="12.85546875" style="74" customWidth="1"/>
    <col min="14" max="14" width="14.85546875" style="191" customWidth="1"/>
    <col min="15" max="15" width="15.42578125" style="191" customWidth="1"/>
    <col min="16" max="16" width="11.42578125" style="73" customWidth="1"/>
    <col min="17" max="17" width="12.28515625" style="73" customWidth="1"/>
    <col min="18" max="18" width="12.28515625" style="77" customWidth="1"/>
    <col min="19" max="16384" width="9.140625" style="77"/>
  </cols>
  <sheetData>
    <row r="1" spans="2:18" ht="12.75" customHeight="1" x14ac:dyDescent="0.2">
      <c r="B1" s="71" t="s">
        <v>661</v>
      </c>
      <c r="C1" s="71"/>
      <c r="D1" s="72"/>
      <c r="E1" s="71"/>
    </row>
    <row r="2" spans="2:18" s="73" customFormat="1" ht="12.75" customHeight="1" x14ac:dyDescent="0.2">
      <c r="B2" s="71" t="s">
        <v>267</v>
      </c>
      <c r="C2" s="76"/>
      <c r="D2" s="57"/>
      <c r="E2" s="77"/>
      <c r="G2" s="537" t="s">
        <v>880</v>
      </c>
      <c r="H2" s="538"/>
      <c r="I2" s="539"/>
      <c r="J2" s="537" t="s">
        <v>881</v>
      </c>
      <c r="K2" s="538"/>
      <c r="L2" s="539"/>
      <c r="M2" s="537" t="s">
        <v>882</v>
      </c>
      <c r="N2" s="538"/>
      <c r="O2" s="539"/>
      <c r="P2" s="481" t="s">
        <v>884</v>
      </c>
      <c r="Q2" s="481" t="s">
        <v>884</v>
      </c>
      <c r="R2" s="77"/>
    </row>
    <row r="3" spans="2:18" ht="12.75" customHeight="1" x14ac:dyDescent="0.2">
      <c r="B3" s="80"/>
      <c r="C3" s="81"/>
      <c r="D3" s="82"/>
      <c r="E3" s="81"/>
      <c r="F3" s="83"/>
      <c r="G3" s="253"/>
      <c r="H3" s="410"/>
      <c r="I3" s="411"/>
      <c r="J3" s="253"/>
      <c r="K3" s="410"/>
      <c r="L3" s="411"/>
      <c r="M3" s="253"/>
      <c r="N3" s="410"/>
      <c r="O3" s="411"/>
      <c r="P3" s="482" t="s">
        <v>883</v>
      </c>
      <c r="Q3" s="482" t="s">
        <v>70</v>
      </c>
    </row>
    <row r="4" spans="2:18" ht="12.75" customHeight="1" x14ac:dyDescent="0.2">
      <c r="B4" s="84" t="s">
        <v>263</v>
      </c>
      <c r="C4" s="85" t="s">
        <v>264</v>
      </c>
      <c r="D4" s="86" t="s">
        <v>264</v>
      </c>
      <c r="E4" s="87"/>
      <c r="F4" s="87" t="s">
        <v>265</v>
      </c>
      <c r="G4" s="88" t="s">
        <v>68</v>
      </c>
      <c r="H4" s="193"/>
      <c r="I4" s="193"/>
      <c r="J4" s="88" t="s">
        <v>68</v>
      </c>
      <c r="K4" s="193"/>
      <c r="L4" s="193"/>
      <c r="M4" s="88" t="s">
        <v>68</v>
      </c>
      <c r="N4" s="193"/>
      <c r="O4" s="193"/>
      <c r="P4" s="481" t="s">
        <v>849</v>
      </c>
      <c r="Q4" s="481" t="s">
        <v>849</v>
      </c>
    </row>
    <row r="5" spans="2:18" ht="12.75" customHeight="1" x14ac:dyDescent="0.2">
      <c r="B5" s="89" t="s">
        <v>266</v>
      </c>
      <c r="C5" s="90"/>
      <c r="D5" s="91"/>
      <c r="E5" s="92"/>
      <c r="F5" s="92"/>
      <c r="G5" s="93" t="s">
        <v>69</v>
      </c>
      <c r="H5" s="194" t="s">
        <v>262</v>
      </c>
      <c r="I5" s="194" t="s">
        <v>70</v>
      </c>
      <c r="J5" s="93" t="s">
        <v>69</v>
      </c>
      <c r="K5" s="194" t="s">
        <v>262</v>
      </c>
      <c r="L5" s="194" t="s">
        <v>70</v>
      </c>
      <c r="M5" s="93" t="s">
        <v>69</v>
      </c>
      <c r="N5" s="194" t="s">
        <v>262</v>
      </c>
      <c r="O5" s="194" t="s">
        <v>70</v>
      </c>
      <c r="P5" s="482" t="s">
        <v>70</v>
      </c>
      <c r="Q5" s="482" t="s">
        <v>70</v>
      </c>
    </row>
    <row r="6" spans="2:18" ht="12.75" customHeight="1" x14ac:dyDescent="0.2">
      <c r="B6" s="94"/>
      <c r="F6" s="61"/>
      <c r="G6" s="55"/>
      <c r="H6" s="467"/>
      <c r="I6" s="467"/>
      <c r="J6" s="55"/>
      <c r="K6" s="49"/>
      <c r="L6" s="467"/>
      <c r="M6" s="55"/>
      <c r="N6" s="467"/>
      <c r="O6" s="467"/>
      <c r="P6" s="481"/>
      <c r="Q6" s="481"/>
    </row>
    <row r="7" spans="2:18" ht="12.75" customHeight="1" x14ac:dyDescent="0.2">
      <c r="B7" s="47"/>
      <c r="C7" s="217" t="s">
        <v>677</v>
      </c>
      <c r="D7" s="46"/>
      <c r="F7" s="61"/>
      <c r="G7" s="55"/>
      <c r="H7" s="467"/>
      <c r="I7" s="467"/>
      <c r="J7" s="55"/>
      <c r="K7" s="49"/>
      <c r="L7" s="467"/>
      <c r="M7" s="55"/>
      <c r="N7" s="467"/>
      <c r="O7" s="467"/>
      <c r="P7" s="49"/>
      <c r="Q7" s="49"/>
    </row>
    <row r="8" spans="2:18" ht="12.75" customHeight="1" x14ac:dyDescent="0.2">
      <c r="B8" s="47"/>
      <c r="C8" s="117" t="s">
        <v>676</v>
      </c>
      <c r="F8" s="61"/>
      <c r="G8" s="55"/>
      <c r="H8" s="467"/>
      <c r="I8" s="467"/>
      <c r="J8" s="55"/>
      <c r="K8" s="49"/>
      <c r="L8" s="467"/>
      <c r="M8" s="55"/>
      <c r="N8" s="467"/>
      <c r="O8" s="467"/>
      <c r="P8" s="49"/>
      <c r="Q8" s="49"/>
    </row>
    <row r="9" spans="2:18" ht="12.75" customHeight="1" x14ac:dyDescent="0.2">
      <c r="B9" s="47"/>
      <c r="C9" s="218"/>
      <c r="F9" s="61"/>
      <c r="G9" s="55"/>
      <c r="H9" s="467"/>
      <c r="I9" s="467"/>
      <c r="J9" s="55"/>
      <c r="K9" s="49"/>
      <c r="L9" s="467"/>
      <c r="M9" s="55"/>
      <c r="N9" s="467"/>
      <c r="O9" s="467"/>
      <c r="P9" s="49"/>
      <c r="Q9" s="49"/>
    </row>
    <row r="10" spans="2:18" ht="12.75" customHeight="1" x14ac:dyDescent="0.2">
      <c r="B10" s="95">
        <v>6100</v>
      </c>
      <c r="C10" s="117" t="s">
        <v>363</v>
      </c>
      <c r="D10" s="96"/>
      <c r="E10" s="97"/>
      <c r="F10" s="61"/>
      <c r="G10" s="55"/>
      <c r="H10" s="467"/>
      <c r="I10" s="467"/>
      <c r="J10" s="55"/>
      <c r="K10" s="49"/>
      <c r="L10" s="467"/>
      <c r="M10" s="55"/>
      <c r="N10" s="467"/>
      <c r="O10" s="467"/>
      <c r="P10" s="49"/>
      <c r="Q10" s="49"/>
    </row>
    <row r="11" spans="2:18" ht="12.75" customHeight="1" x14ac:dyDescent="0.2">
      <c r="B11" s="49"/>
      <c r="F11" s="61"/>
      <c r="G11" s="55"/>
      <c r="H11" s="467"/>
      <c r="I11" s="467"/>
      <c r="J11" s="55"/>
      <c r="K11" s="49"/>
      <c r="L11" s="467"/>
      <c r="M11" s="55"/>
      <c r="N11" s="467"/>
      <c r="O11" s="467"/>
      <c r="P11" s="49"/>
      <c r="Q11" s="49"/>
    </row>
    <row r="12" spans="2:18" ht="12.75" customHeight="1" x14ac:dyDescent="0.2">
      <c r="B12" s="49">
        <v>61.01</v>
      </c>
      <c r="C12" s="56" t="s">
        <v>475</v>
      </c>
      <c r="F12" s="61" t="s">
        <v>269</v>
      </c>
      <c r="G12" s="467"/>
      <c r="H12" s="55"/>
      <c r="I12" s="418"/>
      <c r="J12" s="467"/>
      <c r="K12" s="49">
        <v>100000</v>
      </c>
      <c r="L12" s="418"/>
      <c r="M12" s="467"/>
      <c r="N12" s="55"/>
      <c r="O12" s="418"/>
      <c r="P12" s="55">
        <f>K12-N12</f>
        <v>100000</v>
      </c>
      <c r="Q12" s="483">
        <f>L12-O12</f>
        <v>0</v>
      </c>
    </row>
    <row r="13" spans="2:18" ht="12.75" customHeight="1" x14ac:dyDescent="0.2">
      <c r="B13" s="49"/>
      <c r="G13" s="55"/>
      <c r="H13" s="467"/>
      <c r="I13" s="467" t="str">
        <f t="shared" ref="H13:I29" si="0">IF(G13=0," ",G13*H13)</f>
        <v xml:space="preserve"> </v>
      </c>
      <c r="J13" s="55"/>
      <c r="K13" s="49"/>
      <c r="L13" s="467" t="str">
        <f t="shared" ref="L13:L16" si="1">IF(J13=0," ",J13*K13)</f>
        <v xml:space="preserve"> </v>
      </c>
      <c r="M13" s="55"/>
      <c r="N13" s="467"/>
      <c r="O13" s="467" t="str">
        <f t="shared" ref="O13:O16" si="2">IF(M13=0," ",M13*N13)</f>
        <v xml:space="preserve"> </v>
      </c>
      <c r="P13" s="55"/>
      <c r="Q13" s="483"/>
    </row>
    <row r="14" spans="2:18" ht="12.75" customHeight="1" x14ac:dyDescent="0.2">
      <c r="B14" s="49">
        <v>61.02</v>
      </c>
      <c r="C14" s="56" t="s">
        <v>364</v>
      </c>
      <c r="F14" s="61"/>
      <c r="G14" s="55"/>
      <c r="H14" s="467"/>
      <c r="I14" s="467" t="str">
        <f t="shared" si="0"/>
        <v xml:space="preserve"> </v>
      </c>
      <c r="J14" s="55"/>
      <c r="K14" s="49"/>
      <c r="L14" s="467" t="str">
        <f t="shared" si="1"/>
        <v xml:space="preserve"> </v>
      </c>
      <c r="M14" s="55"/>
      <c r="N14" s="467"/>
      <c r="O14" s="467" t="str">
        <f t="shared" si="2"/>
        <v xml:space="preserve"> </v>
      </c>
      <c r="P14" s="55"/>
      <c r="Q14" s="483"/>
    </row>
    <row r="15" spans="2:18" ht="12.75" customHeight="1" x14ac:dyDescent="0.2">
      <c r="B15" s="47"/>
      <c r="C15" s="56" t="s">
        <v>278</v>
      </c>
      <c r="D15" s="57" t="s">
        <v>169</v>
      </c>
      <c r="F15" s="61"/>
      <c r="G15" s="55"/>
      <c r="H15" s="467"/>
      <c r="I15" s="467" t="str">
        <f t="shared" si="0"/>
        <v xml:space="preserve"> </v>
      </c>
      <c r="J15" s="55"/>
      <c r="K15" s="49"/>
      <c r="L15" s="467" t="str">
        <f t="shared" si="1"/>
        <v xml:space="preserve"> </v>
      </c>
      <c r="M15" s="55"/>
      <c r="N15" s="467"/>
      <c r="O15" s="467" t="str">
        <f t="shared" si="2"/>
        <v xml:space="preserve"> </v>
      </c>
      <c r="P15" s="55"/>
      <c r="Q15" s="483"/>
    </row>
    <row r="16" spans="2:18" ht="12.75" customHeight="1" x14ac:dyDescent="0.2">
      <c r="B16" s="47"/>
      <c r="D16" s="57" t="s">
        <v>586</v>
      </c>
      <c r="F16" s="61"/>
      <c r="G16" s="55"/>
      <c r="H16" s="467"/>
      <c r="I16" s="467" t="str">
        <f t="shared" si="0"/>
        <v xml:space="preserve"> </v>
      </c>
      <c r="J16" s="55"/>
      <c r="K16" s="49"/>
      <c r="L16" s="467" t="str">
        <f t="shared" si="1"/>
        <v xml:space="preserve"> </v>
      </c>
      <c r="M16" s="55"/>
      <c r="N16" s="467"/>
      <c r="O16" s="467" t="str">
        <f t="shared" si="2"/>
        <v xml:space="preserve"> </v>
      </c>
      <c r="P16" s="55"/>
      <c r="Q16" s="483"/>
    </row>
    <row r="17" spans="2:20" ht="12.75" customHeight="1" x14ac:dyDescent="0.2">
      <c r="B17" s="47"/>
      <c r="D17" s="57" t="s">
        <v>277</v>
      </c>
      <c r="E17" s="67" t="s">
        <v>587</v>
      </c>
      <c r="F17" s="61" t="s">
        <v>829</v>
      </c>
      <c r="G17" s="65" t="s">
        <v>596</v>
      </c>
      <c r="H17" s="468">
        <v>60</v>
      </c>
      <c r="I17" s="418"/>
      <c r="J17" s="65" t="s">
        <v>596</v>
      </c>
      <c r="K17" s="49">
        <v>95</v>
      </c>
      <c r="L17" s="418"/>
      <c r="M17" s="65" t="s">
        <v>596</v>
      </c>
      <c r="N17" s="468">
        <v>60</v>
      </c>
      <c r="O17" s="418"/>
      <c r="P17" s="55">
        <f t="shared" ref="P17:P52" si="3">K17-N17</f>
        <v>35</v>
      </c>
      <c r="Q17" s="483">
        <f t="shared" ref="Q17:Q52" si="4">L17-O17</f>
        <v>0</v>
      </c>
    </row>
    <row r="18" spans="2:20" ht="12.75" customHeight="1" x14ac:dyDescent="0.2">
      <c r="B18" s="47"/>
      <c r="F18" s="61"/>
      <c r="G18" s="55"/>
      <c r="H18" s="467" t="str">
        <f t="shared" si="0"/>
        <v xml:space="preserve"> </v>
      </c>
      <c r="I18" s="418"/>
      <c r="J18" s="55"/>
      <c r="K18" s="49"/>
      <c r="L18" s="418"/>
      <c r="M18" s="55"/>
      <c r="N18" s="467" t="str">
        <f t="shared" ref="N18" si="5">IF(L18=0," ",L18*M18)</f>
        <v xml:space="preserve"> </v>
      </c>
      <c r="O18" s="418"/>
      <c r="P18" s="55"/>
      <c r="Q18" s="483"/>
    </row>
    <row r="19" spans="2:20" ht="12.75" customHeight="1" x14ac:dyDescent="0.2">
      <c r="B19" s="47"/>
      <c r="D19" s="57" t="s">
        <v>124</v>
      </c>
      <c r="E19" s="67" t="s">
        <v>588</v>
      </c>
      <c r="F19" s="61" t="s">
        <v>829</v>
      </c>
      <c r="G19" s="65" t="s">
        <v>596</v>
      </c>
      <c r="H19" s="468">
        <v>100</v>
      </c>
      <c r="I19" s="418"/>
      <c r="J19" s="65" t="s">
        <v>596</v>
      </c>
      <c r="K19" s="49">
        <v>145</v>
      </c>
      <c r="L19" s="418"/>
      <c r="M19" s="65" t="s">
        <v>596</v>
      </c>
      <c r="N19" s="468">
        <v>100</v>
      </c>
      <c r="O19" s="418"/>
      <c r="P19" s="55">
        <f t="shared" si="3"/>
        <v>45</v>
      </c>
      <c r="Q19" s="483">
        <f t="shared" si="4"/>
        <v>0</v>
      </c>
    </row>
    <row r="20" spans="2:20" ht="12.75" customHeight="1" x14ac:dyDescent="0.2">
      <c r="B20" s="47"/>
      <c r="F20" s="61"/>
      <c r="G20" s="55"/>
      <c r="H20" s="467" t="str">
        <f t="shared" si="0"/>
        <v xml:space="preserve"> </v>
      </c>
      <c r="I20" s="418"/>
      <c r="J20" s="55"/>
      <c r="K20" s="49"/>
      <c r="L20" s="418"/>
      <c r="M20" s="55"/>
      <c r="N20" s="467" t="str">
        <f t="shared" ref="N20" si="6">IF(L20=0," ",L20*M20)</f>
        <v xml:space="preserve"> </v>
      </c>
      <c r="O20" s="418"/>
      <c r="P20" s="55"/>
      <c r="Q20" s="483"/>
    </row>
    <row r="21" spans="2:20" ht="12.75" customHeight="1" x14ac:dyDescent="0.2">
      <c r="B21" s="47"/>
      <c r="D21" s="176" t="s">
        <v>125</v>
      </c>
      <c r="E21" s="177" t="s">
        <v>839</v>
      </c>
      <c r="F21" s="178" t="s">
        <v>840</v>
      </c>
      <c r="G21" s="65" t="s">
        <v>596</v>
      </c>
      <c r="H21" s="468">
        <v>100</v>
      </c>
      <c r="I21" s="418"/>
      <c r="J21" s="65" t="s">
        <v>596</v>
      </c>
      <c r="K21" s="49">
        <v>195</v>
      </c>
      <c r="L21" s="418"/>
      <c r="M21" s="65" t="s">
        <v>596</v>
      </c>
      <c r="N21" s="468">
        <v>100</v>
      </c>
      <c r="O21" s="418"/>
      <c r="P21" s="55">
        <f t="shared" si="3"/>
        <v>95</v>
      </c>
      <c r="Q21" s="483">
        <f t="shared" si="4"/>
        <v>0</v>
      </c>
    </row>
    <row r="22" spans="2:20" ht="12.75" customHeight="1" x14ac:dyDescent="0.2">
      <c r="B22" s="47"/>
      <c r="F22" s="61"/>
      <c r="G22" s="55"/>
      <c r="H22" s="467"/>
      <c r="I22" s="418"/>
      <c r="J22" s="55"/>
      <c r="K22" s="49"/>
      <c r="L22" s="418"/>
      <c r="M22" s="55"/>
      <c r="N22" s="467"/>
      <c r="O22" s="418"/>
      <c r="P22" s="55"/>
      <c r="Q22" s="483"/>
    </row>
    <row r="23" spans="2:20" ht="12.6" customHeight="1" x14ac:dyDescent="0.2">
      <c r="B23" s="47"/>
      <c r="C23" s="56" t="s">
        <v>279</v>
      </c>
      <c r="D23" s="57" t="s">
        <v>610</v>
      </c>
      <c r="F23" s="61" t="s">
        <v>829</v>
      </c>
      <c r="G23" s="65">
        <f>(20*5*1.5)</f>
        <v>150</v>
      </c>
      <c r="H23" s="468">
        <v>400</v>
      </c>
      <c r="I23" s="418">
        <f t="shared" ref="I23" si="7">IF(G23=0," ",G23*H23)</f>
        <v>60000</v>
      </c>
      <c r="J23" s="65">
        <v>150</v>
      </c>
      <c r="K23" s="49">
        <v>800</v>
      </c>
      <c r="L23" s="418">
        <f t="shared" ref="L23" si="8">IF(J23=0," ",J23*K23)</f>
        <v>120000</v>
      </c>
      <c r="M23" s="65">
        <v>150</v>
      </c>
      <c r="N23" s="468">
        <v>400</v>
      </c>
      <c r="O23" s="418">
        <f t="shared" ref="O23" si="9">IF(M23=0," ",M23*N23)</f>
        <v>60000</v>
      </c>
      <c r="P23" s="485">
        <f t="shared" si="3"/>
        <v>400</v>
      </c>
      <c r="Q23" s="486">
        <f t="shared" si="4"/>
        <v>60000</v>
      </c>
    </row>
    <row r="24" spans="2:20" ht="12.75" customHeight="1" x14ac:dyDescent="0.2">
      <c r="B24" s="47"/>
      <c r="F24" s="61"/>
      <c r="G24" s="55"/>
      <c r="H24" s="467" t="str">
        <f t="shared" si="0"/>
        <v xml:space="preserve"> </v>
      </c>
      <c r="I24" s="418"/>
      <c r="J24" s="55"/>
      <c r="K24" s="49"/>
      <c r="L24" s="418"/>
      <c r="M24" s="55"/>
      <c r="N24" s="467" t="str">
        <f t="shared" ref="N24:N25" si="10">IF(L24=0," ",L24*M24)</f>
        <v xml:space="preserve"> </v>
      </c>
      <c r="O24" s="418"/>
      <c r="P24" s="485"/>
      <c r="Q24" s="486"/>
    </row>
    <row r="25" spans="2:20" ht="12.75" customHeight="1" x14ac:dyDescent="0.2">
      <c r="B25" s="47">
        <v>61.03</v>
      </c>
      <c r="C25" s="56" t="s">
        <v>476</v>
      </c>
      <c r="G25" s="55"/>
      <c r="H25" s="467" t="str">
        <f t="shared" si="0"/>
        <v xml:space="preserve"> </v>
      </c>
      <c r="I25" s="418"/>
      <c r="J25" s="55"/>
      <c r="K25" s="49"/>
      <c r="L25" s="418"/>
      <c r="M25" s="55"/>
      <c r="N25" s="467" t="str">
        <f t="shared" si="10"/>
        <v xml:space="preserve"> </v>
      </c>
      <c r="O25" s="418"/>
      <c r="P25" s="485"/>
      <c r="Q25" s="486"/>
    </row>
    <row r="26" spans="2:20" ht="12.75" customHeight="1" x14ac:dyDescent="0.2">
      <c r="B26" s="47"/>
      <c r="C26" s="56" t="s">
        <v>278</v>
      </c>
      <c r="D26" s="57" t="s">
        <v>477</v>
      </c>
      <c r="F26" s="61" t="s">
        <v>844</v>
      </c>
      <c r="G26" s="65">
        <v>1</v>
      </c>
      <c r="H26" s="468">
        <v>150000</v>
      </c>
      <c r="I26" s="418">
        <f t="shared" ref="I26" si="11">IF(G26=0," ",G26*H26)</f>
        <v>150000</v>
      </c>
      <c r="J26" s="65">
        <v>1</v>
      </c>
      <c r="K26" s="49">
        <v>15000</v>
      </c>
      <c r="L26" s="418">
        <f t="shared" ref="L26:L31" si="12">IF(J26=0," ",J26*K26)</f>
        <v>15000</v>
      </c>
      <c r="M26" s="65">
        <v>1</v>
      </c>
      <c r="N26" s="468">
        <v>150000</v>
      </c>
      <c r="O26" s="418">
        <f t="shared" ref="O26:O31" si="13">IF(M26=0," ",M26*N26)</f>
        <v>150000</v>
      </c>
      <c r="P26" s="485">
        <f t="shared" si="3"/>
        <v>-135000</v>
      </c>
      <c r="Q26" s="486">
        <f t="shared" si="4"/>
        <v>-135000</v>
      </c>
    </row>
    <row r="27" spans="2:20" ht="12.75" customHeight="1" x14ac:dyDescent="0.2">
      <c r="B27" s="47"/>
      <c r="F27" s="61"/>
      <c r="G27" s="55"/>
      <c r="H27" s="467" t="str">
        <f t="shared" si="0"/>
        <v xml:space="preserve"> </v>
      </c>
      <c r="I27" s="418" t="str">
        <f t="shared" si="0"/>
        <v xml:space="preserve"> </v>
      </c>
      <c r="J27" s="55"/>
      <c r="K27" s="49"/>
      <c r="L27" s="418" t="str">
        <f t="shared" si="12"/>
        <v xml:space="preserve"> </v>
      </c>
      <c r="M27" s="55"/>
      <c r="N27" s="467"/>
      <c r="O27" s="418" t="str">
        <f t="shared" si="13"/>
        <v xml:space="preserve"> </v>
      </c>
      <c r="P27" s="485"/>
      <c r="Q27" s="486"/>
    </row>
    <row r="28" spans="2:20" ht="12.75" customHeight="1" x14ac:dyDescent="0.2">
      <c r="B28" s="47">
        <v>61.04</v>
      </c>
      <c r="C28" s="56" t="s">
        <v>589</v>
      </c>
      <c r="F28" s="61"/>
      <c r="G28" s="55"/>
      <c r="H28" s="467" t="str">
        <f t="shared" si="0"/>
        <v xml:space="preserve"> </v>
      </c>
      <c r="I28" s="418" t="str">
        <f t="shared" si="0"/>
        <v xml:space="preserve"> </v>
      </c>
      <c r="J28" s="55"/>
      <c r="K28" s="49"/>
      <c r="L28" s="418" t="str">
        <f t="shared" si="12"/>
        <v xml:space="preserve"> </v>
      </c>
      <c r="M28" s="55"/>
      <c r="N28" s="467"/>
      <c r="O28" s="418" t="str">
        <f t="shared" si="13"/>
        <v xml:space="preserve"> </v>
      </c>
      <c r="P28" s="485"/>
      <c r="Q28" s="486"/>
    </row>
    <row r="29" spans="2:20" ht="12.75" customHeight="1" x14ac:dyDescent="0.2">
      <c r="B29" s="47"/>
      <c r="C29" s="56" t="s">
        <v>278</v>
      </c>
      <c r="D29" s="57" t="s">
        <v>590</v>
      </c>
      <c r="F29" s="61"/>
      <c r="G29" s="55"/>
      <c r="H29" s="467" t="str">
        <f t="shared" si="0"/>
        <v xml:space="preserve"> </v>
      </c>
      <c r="I29" s="418" t="str">
        <f t="shared" si="0"/>
        <v xml:space="preserve"> </v>
      </c>
      <c r="J29" s="55"/>
      <c r="K29" s="49"/>
      <c r="L29" s="418" t="str">
        <f t="shared" si="12"/>
        <v xml:space="preserve"> </v>
      </c>
      <c r="M29" s="55"/>
      <c r="N29" s="467"/>
      <c r="O29" s="418" t="str">
        <f t="shared" si="13"/>
        <v xml:space="preserve"> </v>
      </c>
      <c r="P29" s="485"/>
      <c r="Q29" s="486"/>
    </row>
    <row r="30" spans="2:20" ht="12.75" customHeight="1" x14ac:dyDescent="0.2">
      <c r="B30" s="47"/>
      <c r="D30" s="57" t="s">
        <v>591</v>
      </c>
      <c r="F30" s="61" t="s">
        <v>829</v>
      </c>
      <c r="G30" s="55">
        <f>(25*6*2)</f>
        <v>300</v>
      </c>
      <c r="H30" s="468">
        <v>50</v>
      </c>
      <c r="I30" s="418">
        <f>IF(G30=0," ",G30*H30)</f>
        <v>15000</v>
      </c>
      <c r="J30" s="55">
        <v>300</v>
      </c>
      <c r="K30" s="49">
        <v>65</v>
      </c>
      <c r="L30" s="418">
        <f t="shared" si="12"/>
        <v>19500</v>
      </c>
      <c r="M30" s="55">
        <v>300</v>
      </c>
      <c r="N30" s="468">
        <v>50</v>
      </c>
      <c r="O30" s="418">
        <f t="shared" si="13"/>
        <v>15000</v>
      </c>
      <c r="P30" s="485">
        <f t="shared" si="3"/>
        <v>15</v>
      </c>
      <c r="Q30" s="486">
        <f t="shared" si="4"/>
        <v>4500</v>
      </c>
    </row>
    <row r="31" spans="2:20" ht="12.75" customHeight="1" x14ac:dyDescent="0.2">
      <c r="B31" s="47"/>
      <c r="G31" s="55"/>
      <c r="H31" s="467"/>
      <c r="I31" s="418" t="str">
        <f t="shared" ref="I31:I52" si="14">IF(G31=0," ",G31*H31)</f>
        <v xml:space="preserve"> </v>
      </c>
      <c r="J31" s="55"/>
      <c r="K31" s="49"/>
      <c r="L31" s="418" t="str">
        <f t="shared" si="12"/>
        <v xml:space="preserve"> </v>
      </c>
      <c r="M31" s="55"/>
      <c r="N31" s="467"/>
      <c r="O31" s="418" t="str">
        <f t="shared" si="13"/>
        <v xml:space="preserve"> </v>
      </c>
      <c r="P31" s="485"/>
      <c r="Q31" s="486"/>
    </row>
    <row r="32" spans="2:20" ht="12.75" customHeight="1" x14ac:dyDescent="0.2">
      <c r="B32" s="233"/>
      <c r="C32" s="56" t="s">
        <v>279</v>
      </c>
      <c r="D32" s="57" t="s">
        <v>781</v>
      </c>
      <c r="F32" s="61" t="s">
        <v>829</v>
      </c>
      <c r="G32" s="65" t="s">
        <v>596</v>
      </c>
      <c r="H32" s="468">
        <v>80</v>
      </c>
      <c r="I32" s="418"/>
      <c r="J32" s="65" t="s">
        <v>596</v>
      </c>
      <c r="K32" s="469">
        <v>450</v>
      </c>
      <c r="L32" s="418"/>
      <c r="M32" s="65" t="s">
        <v>596</v>
      </c>
      <c r="N32" s="468">
        <v>450</v>
      </c>
      <c r="O32" s="418"/>
      <c r="P32" s="485">
        <f t="shared" si="3"/>
        <v>0</v>
      </c>
      <c r="Q32" s="486">
        <f t="shared" si="4"/>
        <v>0</v>
      </c>
      <c r="R32" s="236"/>
      <c r="S32" s="236"/>
      <c r="T32" s="236"/>
    </row>
    <row r="33" spans="2:20" ht="12.75" customHeight="1" x14ac:dyDescent="0.2">
      <c r="B33" s="233"/>
      <c r="G33" s="55"/>
      <c r="H33" s="467" t="str">
        <f t="shared" ref="H33:H47" si="15">IF(F33=0," ",F33*G33)</f>
        <v xml:space="preserve"> </v>
      </c>
      <c r="I33" s="418" t="str">
        <f t="shared" si="14"/>
        <v xml:space="preserve"> </v>
      </c>
      <c r="J33" s="55"/>
      <c r="K33" s="469"/>
      <c r="L33" s="418" t="str">
        <f t="shared" ref="L33:L42" si="16">IF(J33=0," ",J33*K33)</f>
        <v xml:space="preserve"> </v>
      </c>
      <c r="M33" s="55"/>
      <c r="N33" s="467"/>
      <c r="O33" s="418" t="str">
        <f t="shared" ref="O33:O42" si="17">IF(M33=0," ",M33*N33)</f>
        <v xml:space="preserve"> </v>
      </c>
      <c r="P33" s="485"/>
      <c r="Q33" s="486"/>
      <c r="R33" s="236"/>
      <c r="S33" s="236"/>
      <c r="T33" s="236"/>
    </row>
    <row r="34" spans="2:20" ht="12.75" customHeight="1" x14ac:dyDescent="0.2">
      <c r="B34" s="47">
        <v>61.05</v>
      </c>
      <c r="C34" s="56" t="s">
        <v>592</v>
      </c>
      <c r="F34" s="61" t="s">
        <v>829</v>
      </c>
      <c r="G34" s="55">
        <f>2*(25*1*10)</f>
        <v>500</v>
      </c>
      <c r="H34" s="468">
        <v>50</v>
      </c>
      <c r="I34" s="418">
        <f t="shared" si="14"/>
        <v>25000</v>
      </c>
      <c r="J34" s="55">
        <v>500</v>
      </c>
      <c r="K34" s="469">
        <v>65</v>
      </c>
      <c r="L34" s="418">
        <f t="shared" si="16"/>
        <v>32500</v>
      </c>
      <c r="M34" s="55">
        <v>500</v>
      </c>
      <c r="N34" s="468">
        <v>50</v>
      </c>
      <c r="O34" s="418">
        <f t="shared" si="17"/>
        <v>25000</v>
      </c>
      <c r="P34" s="485">
        <f t="shared" si="3"/>
        <v>15</v>
      </c>
      <c r="Q34" s="486">
        <f t="shared" si="4"/>
        <v>7500</v>
      </c>
      <c r="R34" s="236"/>
      <c r="S34" s="236"/>
      <c r="T34" s="236"/>
    </row>
    <row r="35" spans="2:20" ht="12.75" customHeight="1" x14ac:dyDescent="0.2">
      <c r="B35" s="47"/>
      <c r="G35" s="55"/>
      <c r="H35" s="467" t="str">
        <f t="shared" si="15"/>
        <v xml:space="preserve"> </v>
      </c>
      <c r="I35" s="418" t="str">
        <f t="shared" si="14"/>
        <v xml:space="preserve"> </v>
      </c>
      <c r="J35" s="55"/>
      <c r="K35" s="469"/>
      <c r="L35" s="418" t="str">
        <f t="shared" si="16"/>
        <v xml:space="preserve"> </v>
      </c>
      <c r="M35" s="55"/>
      <c r="N35" s="467"/>
      <c r="O35" s="418" t="str">
        <f t="shared" si="17"/>
        <v xml:space="preserve"> </v>
      </c>
      <c r="P35" s="485"/>
      <c r="Q35" s="486"/>
      <c r="R35" s="236"/>
      <c r="S35" s="236"/>
      <c r="T35" s="236"/>
    </row>
    <row r="36" spans="2:20" ht="12.75" customHeight="1" x14ac:dyDescent="0.2">
      <c r="B36" s="47">
        <v>61.06</v>
      </c>
      <c r="C36" s="56" t="s">
        <v>593</v>
      </c>
      <c r="F36" s="61"/>
      <c r="G36" s="55"/>
      <c r="H36" s="467" t="str">
        <f t="shared" si="15"/>
        <v xml:space="preserve"> </v>
      </c>
      <c r="I36" s="418" t="str">
        <f t="shared" si="14"/>
        <v xml:space="preserve"> </v>
      </c>
      <c r="J36" s="55"/>
      <c r="K36" s="469"/>
      <c r="L36" s="418" t="str">
        <f t="shared" si="16"/>
        <v xml:space="preserve"> </v>
      </c>
      <c r="M36" s="55"/>
      <c r="N36" s="467"/>
      <c r="O36" s="418" t="str">
        <f t="shared" si="17"/>
        <v xml:space="preserve"> </v>
      </c>
      <c r="P36" s="485"/>
      <c r="Q36" s="486"/>
      <c r="R36" s="236"/>
      <c r="S36" s="236"/>
      <c r="T36" s="236"/>
    </row>
    <row r="37" spans="2:20" ht="12.75" customHeight="1" x14ac:dyDescent="0.2">
      <c r="B37" s="47"/>
      <c r="C37" s="56" t="s">
        <v>594</v>
      </c>
      <c r="G37" s="55"/>
      <c r="H37" s="467" t="str">
        <f t="shared" si="15"/>
        <v xml:space="preserve"> </v>
      </c>
      <c r="I37" s="418" t="str">
        <f t="shared" si="14"/>
        <v xml:space="preserve"> </v>
      </c>
      <c r="J37" s="55"/>
      <c r="K37" s="469"/>
      <c r="L37" s="418" t="str">
        <f t="shared" si="16"/>
        <v xml:space="preserve"> </v>
      </c>
      <c r="M37" s="55"/>
      <c r="N37" s="467"/>
      <c r="O37" s="418" t="str">
        <f t="shared" si="17"/>
        <v xml:space="preserve"> </v>
      </c>
      <c r="P37" s="485"/>
      <c r="Q37" s="486"/>
      <c r="R37" s="236"/>
      <c r="S37" s="236"/>
      <c r="T37" s="236"/>
    </row>
    <row r="38" spans="2:20" ht="12.75" customHeight="1" x14ac:dyDescent="0.2">
      <c r="B38" s="47"/>
      <c r="C38" s="56" t="s">
        <v>478</v>
      </c>
      <c r="F38" s="61" t="s">
        <v>831</v>
      </c>
      <c r="G38" s="55">
        <f>(G23+G30+G34)*3</f>
        <v>2850</v>
      </c>
      <c r="H38" s="468">
        <v>8</v>
      </c>
      <c r="I38" s="418">
        <f t="shared" si="14"/>
        <v>22800</v>
      </c>
      <c r="J38" s="55">
        <v>2850</v>
      </c>
      <c r="K38" s="469">
        <v>18.5</v>
      </c>
      <c r="L38" s="418">
        <f t="shared" si="16"/>
        <v>52725</v>
      </c>
      <c r="M38" s="55">
        <v>2850</v>
      </c>
      <c r="N38" s="468">
        <v>8</v>
      </c>
      <c r="O38" s="418">
        <f t="shared" si="17"/>
        <v>22800</v>
      </c>
      <c r="P38" s="485">
        <f t="shared" si="3"/>
        <v>10.5</v>
      </c>
      <c r="Q38" s="486">
        <f t="shared" si="4"/>
        <v>29925</v>
      </c>
      <c r="R38" s="236"/>
      <c r="S38" s="236"/>
      <c r="T38" s="236"/>
    </row>
    <row r="39" spans="2:20" ht="12.75" customHeight="1" x14ac:dyDescent="0.2">
      <c r="B39" s="47"/>
      <c r="F39" s="61"/>
      <c r="G39" s="55"/>
      <c r="H39" s="467" t="str">
        <f t="shared" si="15"/>
        <v xml:space="preserve"> </v>
      </c>
      <c r="I39" s="418" t="str">
        <f t="shared" si="14"/>
        <v xml:space="preserve"> </v>
      </c>
      <c r="J39" s="55"/>
      <c r="K39" s="469"/>
      <c r="L39" s="418" t="str">
        <f t="shared" si="16"/>
        <v xml:space="preserve"> </v>
      </c>
      <c r="M39" s="55"/>
      <c r="N39" s="467"/>
      <c r="O39" s="418" t="str">
        <f t="shared" si="17"/>
        <v xml:space="preserve"> </v>
      </c>
      <c r="P39" s="485"/>
      <c r="Q39" s="486"/>
      <c r="R39" s="236"/>
      <c r="S39" s="236"/>
      <c r="T39" s="236"/>
    </row>
    <row r="40" spans="2:20" ht="12.75" customHeight="1" x14ac:dyDescent="0.2">
      <c r="B40" s="47">
        <v>61.08</v>
      </c>
      <c r="C40" s="56" t="s">
        <v>396</v>
      </c>
      <c r="F40" s="61"/>
      <c r="G40" s="55"/>
      <c r="H40" s="467" t="str">
        <f t="shared" si="15"/>
        <v xml:space="preserve"> </v>
      </c>
      <c r="I40" s="418" t="str">
        <f t="shared" si="14"/>
        <v xml:space="preserve"> </v>
      </c>
      <c r="J40" s="55"/>
      <c r="K40" s="469"/>
      <c r="L40" s="418" t="str">
        <f t="shared" si="16"/>
        <v xml:space="preserve"> </v>
      </c>
      <c r="M40" s="55"/>
      <c r="N40" s="467"/>
      <c r="O40" s="418" t="str">
        <f t="shared" si="17"/>
        <v xml:space="preserve"> </v>
      </c>
      <c r="P40" s="485"/>
      <c r="Q40" s="486"/>
      <c r="R40" s="236"/>
      <c r="S40" s="236"/>
      <c r="T40" s="236"/>
    </row>
    <row r="41" spans="2:20" ht="12.75" customHeight="1" x14ac:dyDescent="0.2">
      <c r="B41" s="98"/>
      <c r="C41" s="99" t="s">
        <v>278</v>
      </c>
      <c r="D41" s="57" t="s">
        <v>222</v>
      </c>
      <c r="F41" s="61" t="s">
        <v>829</v>
      </c>
      <c r="G41" s="55">
        <f>(5*10*10)+(11*46*0.6)</f>
        <v>803.59999999999991</v>
      </c>
      <c r="H41" s="468">
        <v>300</v>
      </c>
      <c r="I41" s="418">
        <f t="shared" si="14"/>
        <v>241079.99999999997</v>
      </c>
      <c r="J41" s="55">
        <v>804</v>
      </c>
      <c r="K41" s="469">
        <v>350</v>
      </c>
      <c r="L41" s="418">
        <f t="shared" si="16"/>
        <v>281400</v>
      </c>
      <c r="M41" s="55">
        <v>804</v>
      </c>
      <c r="N41" s="468">
        <v>300</v>
      </c>
      <c r="O41" s="418">
        <f t="shared" si="17"/>
        <v>241200</v>
      </c>
      <c r="P41" s="485">
        <f t="shared" si="3"/>
        <v>50</v>
      </c>
      <c r="Q41" s="486">
        <f t="shared" si="4"/>
        <v>40200</v>
      </c>
      <c r="R41" s="236"/>
      <c r="S41" s="236"/>
      <c r="T41" s="236"/>
    </row>
    <row r="42" spans="2:20" ht="12.75" customHeight="1" x14ac:dyDescent="0.2">
      <c r="B42" s="98"/>
      <c r="C42" s="99"/>
      <c r="F42" s="100"/>
      <c r="G42" s="55"/>
      <c r="H42" s="467" t="str">
        <f t="shared" si="15"/>
        <v xml:space="preserve"> </v>
      </c>
      <c r="I42" s="418" t="str">
        <f t="shared" si="14"/>
        <v xml:space="preserve"> </v>
      </c>
      <c r="J42" s="55"/>
      <c r="K42" s="469"/>
      <c r="L42" s="418" t="str">
        <f t="shared" si="16"/>
        <v xml:space="preserve"> </v>
      </c>
      <c r="M42" s="55"/>
      <c r="N42" s="467"/>
      <c r="O42" s="418" t="str">
        <f t="shared" si="17"/>
        <v xml:space="preserve"> </v>
      </c>
      <c r="P42" s="55"/>
      <c r="Q42" s="483"/>
      <c r="R42" s="236"/>
      <c r="S42" s="236"/>
      <c r="T42" s="236"/>
    </row>
    <row r="43" spans="2:20" ht="12.75" customHeight="1" x14ac:dyDescent="0.2">
      <c r="B43" s="98"/>
      <c r="C43" s="56" t="s">
        <v>279</v>
      </c>
      <c r="D43" s="57" t="s">
        <v>781</v>
      </c>
      <c r="F43" s="61" t="s">
        <v>829</v>
      </c>
      <c r="G43" s="65" t="s">
        <v>596</v>
      </c>
      <c r="H43" s="468">
        <v>80</v>
      </c>
      <c r="I43" s="418"/>
      <c r="J43" s="65" t="s">
        <v>596</v>
      </c>
      <c r="K43" s="469">
        <v>450</v>
      </c>
      <c r="L43" s="418"/>
      <c r="M43" s="65" t="s">
        <v>596</v>
      </c>
      <c r="N43" s="468">
        <v>450</v>
      </c>
      <c r="O43" s="418"/>
      <c r="P43" s="55">
        <f t="shared" si="3"/>
        <v>0</v>
      </c>
      <c r="Q43" s="483">
        <f t="shared" si="4"/>
        <v>0</v>
      </c>
      <c r="R43" s="235"/>
      <c r="S43" s="235"/>
      <c r="T43" s="236"/>
    </row>
    <row r="44" spans="2:20" ht="12.75" customHeight="1" x14ac:dyDescent="0.2">
      <c r="B44" s="98"/>
      <c r="C44" s="99"/>
      <c r="F44" s="100"/>
      <c r="G44" s="55"/>
      <c r="H44" s="467" t="str">
        <f t="shared" si="15"/>
        <v xml:space="preserve"> </v>
      </c>
      <c r="I44" s="418" t="str">
        <f t="shared" si="14"/>
        <v xml:space="preserve"> </v>
      </c>
      <c r="J44" s="55"/>
      <c r="K44" s="469"/>
      <c r="L44" s="418" t="str">
        <f t="shared" ref="L44" si="18">IF(J44=0," ",J44*K44)</f>
        <v xml:space="preserve"> </v>
      </c>
      <c r="M44" s="55"/>
      <c r="N44" s="467"/>
      <c r="O44" s="418" t="str">
        <f t="shared" ref="O44" si="19">IF(M44=0," ",M44*N44)</f>
        <v xml:space="preserve"> </v>
      </c>
      <c r="P44" s="55"/>
      <c r="Q44" s="483"/>
      <c r="R44" s="236"/>
      <c r="S44" s="236"/>
      <c r="T44" s="236"/>
    </row>
    <row r="45" spans="2:20" ht="12.75" customHeight="1" x14ac:dyDescent="0.2">
      <c r="B45" s="47"/>
      <c r="C45" s="56" t="s">
        <v>276</v>
      </c>
      <c r="D45" s="57" t="s">
        <v>611</v>
      </c>
      <c r="F45" s="61" t="s">
        <v>829</v>
      </c>
      <c r="G45" s="65" t="s">
        <v>596</v>
      </c>
      <c r="H45" s="468">
        <v>50</v>
      </c>
      <c r="I45" s="418"/>
      <c r="J45" s="65" t="s">
        <v>596</v>
      </c>
      <c r="K45" s="49">
        <v>55</v>
      </c>
      <c r="L45" s="418"/>
      <c r="M45" s="65" t="s">
        <v>596</v>
      </c>
      <c r="N45" s="468">
        <v>55</v>
      </c>
      <c r="O45" s="418"/>
      <c r="P45" s="55">
        <f t="shared" si="3"/>
        <v>0</v>
      </c>
      <c r="Q45" s="483">
        <f t="shared" si="4"/>
        <v>0</v>
      </c>
    </row>
    <row r="46" spans="2:20" ht="12.75" customHeight="1" x14ac:dyDescent="0.2">
      <c r="B46" s="47"/>
      <c r="D46" s="57" t="s">
        <v>591</v>
      </c>
      <c r="F46" s="61"/>
      <c r="G46" s="55"/>
      <c r="H46" s="467" t="str">
        <f t="shared" si="15"/>
        <v xml:space="preserve"> </v>
      </c>
      <c r="I46" s="418" t="str">
        <f t="shared" si="14"/>
        <v xml:space="preserve"> </v>
      </c>
      <c r="J46" s="55"/>
      <c r="K46" s="49"/>
      <c r="L46" s="418" t="str">
        <f t="shared" ref="L46:L52" si="20">IF(J46=0," ",J46*K46)</f>
        <v xml:space="preserve"> </v>
      </c>
      <c r="M46" s="55"/>
      <c r="N46" s="467"/>
      <c r="O46" s="418" t="str">
        <f t="shared" ref="O46:O52" si="21">IF(M46=0," ",M46*N46)</f>
        <v xml:space="preserve"> </v>
      </c>
      <c r="P46" s="55"/>
      <c r="Q46" s="483"/>
    </row>
    <row r="47" spans="2:20" ht="12.75" customHeight="1" x14ac:dyDescent="0.2">
      <c r="B47" s="47"/>
      <c r="F47" s="61"/>
      <c r="G47" s="55"/>
      <c r="H47" s="467" t="str">
        <f t="shared" si="15"/>
        <v xml:space="preserve"> </v>
      </c>
      <c r="I47" s="418" t="str">
        <f t="shared" si="14"/>
        <v xml:space="preserve"> </v>
      </c>
      <c r="J47" s="55"/>
      <c r="K47" s="49"/>
      <c r="L47" s="418" t="str">
        <f t="shared" si="20"/>
        <v xml:space="preserve"> </v>
      </c>
      <c r="M47" s="55"/>
      <c r="N47" s="467"/>
      <c r="O47" s="418" t="str">
        <f t="shared" si="21"/>
        <v xml:space="preserve"> </v>
      </c>
      <c r="P47" s="55"/>
      <c r="Q47" s="483"/>
    </row>
    <row r="48" spans="2:20" ht="12.75" customHeight="1" x14ac:dyDescent="0.2">
      <c r="B48" s="47"/>
      <c r="C48" s="56" t="s">
        <v>281</v>
      </c>
      <c r="D48" s="57" t="s">
        <v>595</v>
      </c>
      <c r="F48" s="61" t="s">
        <v>829</v>
      </c>
      <c r="G48" s="55">
        <f>(5*12*0.075)*2</f>
        <v>9</v>
      </c>
      <c r="H48" s="468">
        <v>1500</v>
      </c>
      <c r="I48" s="418">
        <f t="shared" si="14"/>
        <v>13500</v>
      </c>
      <c r="J48" s="55">
        <v>9</v>
      </c>
      <c r="K48" s="49">
        <v>1850</v>
      </c>
      <c r="L48" s="418">
        <f t="shared" si="20"/>
        <v>16650</v>
      </c>
      <c r="M48" s="55">
        <v>9</v>
      </c>
      <c r="N48" s="468">
        <v>1500</v>
      </c>
      <c r="O48" s="418">
        <f t="shared" si="21"/>
        <v>13500</v>
      </c>
      <c r="P48" s="485">
        <f t="shared" si="3"/>
        <v>350</v>
      </c>
      <c r="Q48" s="486">
        <f t="shared" si="4"/>
        <v>3150</v>
      </c>
    </row>
    <row r="49" spans="2:17" ht="12.75" customHeight="1" x14ac:dyDescent="0.2">
      <c r="B49" s="47"/>
      <c r="F49" s="61"/>
      <c r="G49" s="55"/>
      <c r="H49" s="467" t="str">
        <f t="shared" ref="H49:H51" si="22">IF(F49=0," ",F49*G49)</f>
        <v xml:space="preserve"> </v>
      </c>
      <c r="I49" s="418" t="str">
        <f t="shared" si="14"/>
        <v xml:space="preserve"> </v>
      </c>
      <c r="J49" s="55"/>
      <c r="K49" s="49"/>
      <c r="L49" s="418" t="str">
        <f t="shared" si="20"/>
        <v xml:space="preserve"> </v>
      </c>
      <c r="M49" s="55"/>
      <c r="N49" s="467"/>
      <c r="O49" s="418" t="str">
        <f t="shared" si="21"/>
        <v xml:space="preserve"> </v>
      </c>
      <c r="P49" s="485"/>
      <c r="Q49" s="486"/>
    </row>
    <row r="50" spans="2:17" ht="12.75" customHeight="1" x14ac:dyDescent="0.2">
      <c r="B50" s="47"/>
      <c r="C50" s="56" t="s">
        <v>282</v>
      </c>
      <c r="D50" s="57" t="s">
        <v>826</v>
      </c>
      <c r="F50" s="61" t="s">
        <v>829</v>
      </c>
      <c r="G50" s="55">
        <v>10</v>
      </c>
      <c r="H50" s="468">
        <v>500</v>
      </c>
      <c r="I50" s="418">
        <f t="shared" si="14"/>
        <v>5000</v>
      </c>
      <c r="J50" s="55">
        <v>10</v>
      </c>
      <c r="K50" s="49">
        <v>1700</v>
      </c>
      <c r="L50" s="418">
        <f t="shared" si="20"/>
        <v>17000</v>
      </c>
      <c r="M50" s="55">
        <v>10</v>
      </c>
      <c r="N50" s="468">
        <v>500</v>
      </c>
      <c r="O50" s="418">
        <f t="shared" si="21"/>
        <v>5000</v>
      </c>
      <c r="P50" s="485">
        <f t="shared" si="3"/>
        <v>1200</v>
      </c>
      <c r="Q50" s="486">
        <f t="shared" si="4"/>
        <v>12000</v>
      </c>
    </row>
    <row r="51" spans="2:17" ht="12.75" customHeight="1" x14ac:dyDescent="0.2">
      <c r="B51" s="47"/>
      <c r="F51" s="61"/>
      <c r="G51" s="55"/>
      <c r="H51" s="467" t="str">
        <f t="shared" si="22"/>
        <v xml:space="preserve"> </v>
      </c>
      <c r="I51" s="418" t="str">
        <f t="shared" si="14"/>
        <v xml:space="preserve"> </v>
      </c>
      <c r="J51" s="55"/>
      <c r="K51" s="49"/>
      <c r="L51" s="418" t="str">
        <f t="shared" si="20"/>
        <v xml:space="preserve"> </v>
      </c>
      <c r="M51" s="55"/>
      <c r="N51" s="467"/>
      <c r="O51" s="418" t="str">
        <f t="shared" si="21"/>
        <v xml:space="preserve"> </v>
      </c>
      <c r="P51" s="485"/>
      <c r="Q51" s="486"/>
    </row>
    <row r="52" spans="2:17" ht="12.75" customHeight="1" x14ac:dyDescent="0.2">
      <c r="B52" s="41">
        <v>61.13</v>
      </c>
      <c r="C52" s="37" t="s">
        <v>782</v>
      </c>
      <c r="D52" s="36"/>
      <c r="E52" s="38"/>
      <c r="F52" s="61" t="s">
        <v>275</v>
      </c>
      <c r="G52" s="55">
        <f>(5*12)*2+(10*10)</f>
        <v>220</v>
      </c>
      <c r="H52" s="468">
        <v>6</v>
      </c>
      <c r="I52" s="418">
        <f t="shared" si="14"/>
        <v>1320</v>
      </c>
      <c r="J52" s="55">
        <v>220</v>
      </c>
      <c r="K52" s="49">
        <v>30</v>
      </c>
      <c r="L52" s="418">
        <f t="shared" si="20"/>
        <v>6600</v>
      </c>
      <c r="M52" s="55">
        <v>220</v>
      </c>
      <c r="N52" s="468">
        <v>6</v>
      </c>
      <c r="O52" s="418">
        <f t="shared" si="21"/>
        <v>1320</v>
      </c>
      <c r="P52" s="485">
        <f t="shared" si="3"/>
        <v>24</v>
      </c>
      <c r="Q52" s="486">
        <f t="shared" si="4"/>
        <v>5280</v>
      </c>
    </row>
    <row r="53" spans="2:17" ht="12.75" customHeight="1" x14ac:dyDescent="0.2">
      <c r="B53" s="41"/>
      <c r="C53" s="59"/>
      <c r="D53" s="36"/>
      <c r="E53" s="38"/>
      <c r="F53" s="39"/>
      <c r="G53" s="40"/>
      <c r="H53" s="470"/>
      <c r="I53" s="470"/>
      <c r="J53" s="40"/>
      <c r="K53" s="49"/>
      <c r="L53" s="470"/>
      <c r="M53" s="40"/>
      <c r="N53" s="470"/>
      <c r="O53" s="470"/>
      <c r="P53" s="49"/>
      <c r="Q53" s="49"/>
    </row>
    <row r="54" spans="2:17" ht="12.75" customHeight="1" x14ac:dyDescent="0.2">
      <c r="B54" s="47"/>
      <c r="F54" s="61"/>
      <c r="G54" s="55"/>
      <c r="H54" s="467"/>
      <c r="I54" s="467"/>
      <c r="J54" s="55"/>
      <c r="K54" s="49"/>
      <c r="L54" s="467"/>
      <c r="M54" s="55"/>
      <c r="N54" s="467"/>
      <c r="O54" s="467"/>
      <c r="P54" s="49"/>
      <c r="Q54" s="49"/>
    </row>
    <row r="55" spans="2:17" ht="12.75" customHeight="1" x14ac:dyDescent="0.2">
      <c r="B55" s="47"/>
      <c r="D55" s="68"/>
      <c r="E55" s="48"/>
      <c r="F55" s="61"/>
      <c r="G55" s="55"/>
      <c r="H55" s="467"/>
      <c r="I55" s="467"/>
      <c r="J55" s="55"/>
      <c r="K55" s="49"/>
      <c r="L55" s="467"/>
      <c r="M55" s="55"/>
      <c r="N55" s="467"/>
      <c r="O55" s="467"/>
      <c r="P55" s="49"/>
      <c r="Q55" s="49"/>
    </row>
    <row r="56" spans="2:17" ht="12.75" customHeight="1" x14ac:dyDescent="0.2">
      <c r="B56" s="47"/>
      <c r="D56" s="68"/>
      <c r="E56" s="48"/>
      <c r="F56" s="45"/>
      <c r="G56" s="55"/>
      <c r="H56" s="467"/>
      <c r="I56" s="467"/>
      <c r="J56" s="55"/>
      <c r="K56" s="49"/>
      <c r="L56" s="467"/>
      <c r="M56" s="55"/>
      <c r="N56" s="467"/>
      <c r="O56" s="467"/>
      <c r="P56" s="49"/>
      <c r="Q56" s="49"/>
    </row>
    <row r="57" spans="2:17" ht="12.75" customHeight="1" x14ac:dyDescent="0.2">
      <c r="B57" s="47"/>
      <c r="D57" s="68"/>
      <c r="E57" s="48"/>
      <c r="F57" s="61"/>
      <c r="G57" s="55"/>
      <c r="H57" s="467"/>
      <c r="I57" s="467"/>
      <c r="J57" s="55"/>
      <c r="K57" s="49"/>
      <c r="L57" s="467"/>
      <c r="M57" s="55"/>
      <c r="N57" s="467"/>
      <c r="O57" s="467"/>
      <c r="P57" s="49"/>
      <c r="Q57" s="49"/>
    </row>
    <row r="58" spans="2:17" ht="12.75" customHeight="1" x14ac:dyDescent="0.2">
      <c r="B58" s="47"/>
      <c r="D58" s="68"/>
      <c r="E58" s="48"/>
      <c r="F58" s="61"/>
      <c r="G58" s="55"/>
      <c r="H58" s="467"/>
      <c r="I58" s="467"/>
      <c r="J58" s="55"/>
      <c r="K58" s="49"/>
      <c r="L58" s="467"/>
      <c r="M58" s="55"/>
      <c r="N58" s="467"/>
      <c r="O58" s="467"/>
      <c r="P58" s="49"/>
      <c r="Q58" s="49"/>
    </row>
    <row r="59" spans="2:17" ht="12.75" customHeight="1" x14ac:dyDescent="0.2">
      <c r="B59" s="47"/>
      <c r="C59" s="52"/>
      <c r="D59" s="46"/>
      <c r="F59" s="61"/>
      <c r="G59" s="55"/>
      <c r="H59" s="467"/>
      <c r="I59" s="467"/>
      <c r="J59" s="55"/>
      <c r="K59" s="49"/>
      <c r="L59" s="467"/>
      <c r="M59" s="55"/>
      <c r="N59" s="467"/>
      <c r="O59" s="467"/>
      <c r="P59" s="49"/>
      <c r="Q59" s="49"/>
    </row>
    <row r="60" spans="2:17" ht="12.75" customHeight="1" x14ac:dyDescent="0.2">
      <c r="B60" s="41"/>
      <c r="C60" s="59"/>
      <c r="D60" s="36"/>
      <c r="E60" s="38"/>
      <c r="F60" s="39"/>
      <c r="G60" s="55"/>
      <c r="H60" s="467"/>
      <c r="I60" s="471"/>
      <c r="J60" s="55"/>
      <c r="K60" s="49"/>
      <c r="L60" s="471"/>
      <c r="M60" s="55"/>
      <c r="N60" s="467"/>
      <c r="O60" s="471"/>
      <c r="P60" s="49"/>
      <c r="Q60" s="49"/>
    </row>
    <row r="61" spans="2:17" ht="12.75" customHeight="1" x14ac:dyDescent="0.2">
      <c r="B61" s="47"/>
      <c r="C61" s="52"/>
      <c r="D61" s="46"/>
      <c r="F61" s="61"/>
      <c r="G61" s="55"/>
      <c r="H61" s="467"/>
      <c r="I61" s="467"/>
      <c r="J61" s="55"/>
      <c r="K61" s="49"/>
      <c r="L61" s="467"/>
      <c r="M61" s="55"/>
      <c r="N61" s="467"/>
      <c r="O61" s="467"/>
      <c r="P61" s="49"/>
      <c r="Q61" s="49"/>
    </row>
    <row r="62" spans="2:17" ht="12.75" customHeight="1" x14ac:dyDescent="0.2">
      <c r="B62" s="47"/>
      <c r="C62" s="52"/>
      <c r="D62" s="46"/>
      <c r="F62" s="61"/>
      <c r="G62" s="55"/>
      <c r="H62" s="467"/>
      <c r="I62" s="467"/>
      <c r="J62" s="55"/>
      <c r="K62" s="49"/>
      <c r="L62" s="467"/>
      <c r="M62" s="55"/>
      <c r="N62" s="467"/>
      <c r="O62" s="467"/>
      <c r="P62" s="49"/>
      <c r="Q62" s="49"/>
    </row>
    <row r="63" spans="2:17" ht="12.75" customHeight="1" x14ac:dyDescent="0.2">
      <c r="B63" s="47"/>
      <c r="C63" s="52"/>
      <c r="D63" s="46"/>
      <c r="F63" s="61"/>
      <c r="G63" s="55"/>
      <c r="H63" s="467"/>
      <c r="I63" s="467"/>
      <c r="J63" s="55"/>
      <c r="K63" s="49"/>
      <c r="L63" s="467"/>
      <c r="M63" s="55"/>
      <c r="N63" s="467"/>
      <c r="O63" s="467"/>
      <c r="P63" s="49"/>
      <c r="Q63" s="49"/>
    </row>
    <row r="64" spans="2:17" ht="12.75" customHeight="1" x14ac:dyDescent="0.2">
      <c r="B64" s="47"/>
      <c r="C64" s="52"/>
      <c r="D64" s="46"/>
      <c r="F64" s="61"/>
      <c r="G64" s="55"/>
      <c r="H64" s="467"/>
      <c r="I64" s="467"/>
      <c r="J64" s="55"/>
      <c r="K64" s="49"/>
      <c r="L64" s="467"/>
      <c r="M64" s="55"/>
      <c r="N64" s="467"/>
      <c r="O64" s="467"/>
      <c r="P64" s="49"/>
      <c r="Q64" s="49"/>
    </row>
    <row r="65" spans="2:18" ht="12.75" customHeight="1" x14ac:dyDescent="0.2">
      <c r="B65" s="47"/>
      <c r="C65" s="52"/>
      <c r="D65" s="46"/>
      <c r="F65" s="61"/>
      <c r="G65" s="55"/>
      <c r="H65" s="467"/>
      <c r="I65" s="467"/>
      <c r="J65" s="55"/>
      <c r="K65" s="49"/>
      <c r="L65" s="467"/>
      <c r="M65" s="55"/>
      <c r="N65" s="467"/>
      <c r="O65" s="467"/>
      <c r="P65" s="49"/>
      <c r="Q65" s="49"/>
    </row>
    <row r="66" spans="2:18" ht="12.75" customHeight="1" x14ac:dyDescent="0.2">
      <c r="B66" s="47"/>
      <c r="C66" s="52"/>
      <c r="D66" s="46"/>
      <c r="F66" s="61"/>
      <c r="G66" s="55"/>
      <c r="H66" s="467"/>
      <c r="I66" s="467"/>
      <c r="J66" s="55"/>
      <c r="K66" s="49"/>
      <c r="L66" s="467"/>
      <c r="M66" s="55"/>
      <c r="N66" s="467"/>
      <c r="O66" s="467"/>
      <c r="P66" s="49"/>
      <c r="Q66" s="49"/>
    </row>
    <row r="67" spans="2:18" ht="12.75" customHeight="1" x14ac:dyDescent="0.2">
      <c r="B67" s="47"/>
      <c r="C67" s="52"/>
      <c r="D67" s="46"/>
      <c r="F67" s="61"/>
      <c r="G67" s="55"/>
      <c r="H67" s="467"/>
      <c r="I67" s="467"/>
      <c r="J67" s="55"/>
      <c r="K67" s="49"/>
      <c r="L67" s="467"/>
      <c r="M67" s="55"/>
      <c r="N67" s="467"/>
      <c r="O67" s="467"/>
      <c r="P67" s="49"/>
      <c r="Q67" s="49"/>
    </row>
    <row r="68" spans="2:18" ht="12.75" customHeight="1" x14ac:dyDescent="0.2">
      <c r="B68" s="47"/>
      <c r="C68" s="52"/>
      <c r="D68" s="46"/>
      <c r="F68" s="61"/>
      <c r="G68" s="55"/>
      <c r="H68" s="467"/>
      <c r="I68" s="467"/>
      <c r="J68" s="55"/>
      <c r="K68" s="49"/>
      <c r="L68" s="467"/>
      <c r="M68" s="55"/>
      <c r="N68" s="467"/>
      <c r="O68" s="467"/>
      <c r="P68" s="49"/>
      <c r="Q68" s="49"/>
    </row>
    <row r="69" spans="2:18" ht="12.75" customHeight="1" x14ac:dyDescent="0.2">
      <c r="B69" s="47"/>
      <c r="C69" s="52"/>
      <c r="D69" s="46"/>
      <c r="F69" s="61"/>
      <c r="G69" s="55"/>
      <c r="H69" s="467"/>
      <c r="I69" s="467"/>
      <c r="J69" s="55"/>
      <c r="K69" s="49"/>
      <c r="L69" s="467"/>
      <c r="M69" s="55"/>
      <c r="N69" s="467"/>
      <c r="O69" s="467"/>
      <c r="P69" s="49"/>
      <c r="Q69" s="49"/>
    </row>
    <row r="70" spans="2:18" ht="12.75" customHeight="1" x14ac:dyDescent="0.2">
      <c r="B70" s="47"/>
      <c r="F70" s="61"/>
      <c r="G70" s="55"/>
      <c r="H70" s="467"/>
      <c r="I70" s="467"/>
      <c r="J70" s="55"/>
      <c r="K70" s="49"/>
      <c r="L70" s="467"/>
      <c r="M70" s="55"/>
      <c r="N70" s="467"/>
      <c r="O70" s="467"/>
      <c r="P70" s="49"/>
      <c r="Q70" s="49"/>
    </row>
    <row r="71" spans="2:18" ht="12.75" customHeight="1" x14ac:dyDescent="0.2">
      <c r="B71" s="47"/>
      <c r="F71" s="61"/>
      <c r="G71" s="55"/>
      <c r="H71" s="467"/>
      <c r="I71" s="467"/>
      <c r="J71" s="55"/>
      <c r="K71" s="49"/>
      <c r="L71" s="467"/>
      <c r="M71" s="55"/>
      <c r="N71" s="467"/>
      <c r="O71" s="467"/>
      <c r="P71" s="49"/>
      <c r="Q71" s="49"/>
    </row>
    <row r="72" spans="2:18" ht="12.75" customHeight="1" x14ac:dyDescent="0.2">
      <c r="B72" s="47"/>
      <c r="F72" s="61"/>
      <c r="G72" s="55"/>
      <c r="H72" s="467"/>
      <c r="I72" s="467"/>
      <c r="J72" s="55"/>
      <c r="K72" s="49"/>
      <c r="L72" s="467"/>
      <c r="M72" s="55"/>
      <c r="N72" s="467"/>
      <c r="O72" s="467"/>
      <c r="P72" s="49"/>
      <c r="Q72" s="49"/>
    </row>
    <row r="73" spans="2:18" ht="12.75" customHeight="1" x14ac:dyDescent="0.2">
      <c r="B73" s="47"/>
      <c r="F73" s="61"/>
      <c r="G73" s="55"/>
      <c r="H73" s="467"/>
      <c r="I73" s="467"/>
      <c r="J73" s="55"/>
      <c r="K73" s="49"/>
      <c r="L73" s="467"/>
      <c r="M73" s="55"/>
      <c r="N73" s="467"/>
      <c r="O73" s="467"/>
      <c r="P73" s="49"/>
      <c r="Q73" s="49"/>
    </row>
    <row r="74" spans="2:18" ht="12.75" customHeight="1" x14ac:dyDescent="0.2">
      <c r="B74" s="47"/>
      <c r="F74" s="61"/>
      <c r="G74" s="55"/>
      <c r="H74" s="467"/>
      <c r="I74" s="467"/>
      <c r="J74" s="55"/>
      <c r="K74" s="49"/>
      <c r="L74" s="467"/>
      <c r="M74" s="55"/>
      <c r="N74" s="467"/>
      <c r="O74" s="467"/>
      <c r="P74" s="49"/>
      <c r="Q74" s="49"/>
    </row>
    <row r="75" spans="2:18" ht="12.75" customHeight="1" x14ac:dyDescent="0.2">
      <c r="B75" s="47"/>
      <c r="F75" s="61"/>
      <c r="G75" s="55"/>
      <c r="H75" s="467"/>
      <c r="I75" s="467"/>
      <c r="J75" s="55"/>
      <c r="K75" s="49"/>
      <c r="L75" s="467"/>
      <c r="M75" s="55"/>
      <c r="N75" s="467"/>
      <c r="O75" s="467"/>
      <c r="P75" s="49"/>
      <c r="Q75" s="49"/>
    </row>
    <row r="76" spans="2:18" s="73" customFormat="1" ht="12.75" customHeight="1" x14ac:dyDescent="0.2">
      <c r="B76" s="47"/>
      <c r="C76" s="56"/>
      <c r="D76" s="57"/>
      <c r="E76" s="67"/>
      <c r="G76" s="55"/>
      <c r="H76" s="467"/>
      <c r="I76" s="467"/>
      <c r="J76" s="55"/>
      <c r="K76" s="49"/>
      <c r="L76" s="467"/>
      <c r="M76" s="55"/>
      <c r="N76" s="467"/>
      <c r="O76" s="467"/>
      <c r="P76" s="482"/>
      <c r="Q76" s="482"/>
      <c r="R76" s="77"/>
    </row>
    <row r="77" spans="2:18" s="73" customFormat="1" ht="12.75" customHeight="1" x14ac:dyDescent="0.2">
      <c r="B77" s="101">
        <v>6100</v>
      </c>
      <c r="C77" s="102" t="s">
        <v>268</v>
      </c>
      <c r="D77" s="103"/>
      <c r="E77" s="198"/>
      <c r="F77" s="104"/>
      <c r="G77" s="105"/>
      <c r="H77" s="472"/>
      <c r="I77" s="473">
        <f>SUM(I12:I76)</f>
        <v>533700</v>
      </c>
      <c r="J77" s="105"/>
      <c r="K77" s="472"/>
      <c r="L77" s="473">
        <f t="shared" ref="L77" si="23">SUM(L12:L76)</f>
        <v>561375</v>
      </c>
      <c r="M77" s="105"/>
      <c r="N77" s="472"/>
      <c r="O77" s="473">
        <f>SUM(O12:O76)</f>
        <v>533820</v>
      </c>
      <c r="P77" s="473"/>
      <c r="Q77" s="473">
        <f t="shared" ref="Q77" si="24">SUM(Q12:Q76)</f>
        <v>27555</v>
      </c>
      <c r="R77" s="77"/>
    </row>
    <row r="78" spans="2:18" s="73" customFormat="1" ht="12.75" customHeight="1" x14ac:dyDescent="0.2">
      <c r="B78" s="71" t="s">
        <v>661</v>
      </c>
      <c r="C78" s="71"/>
      <c r="D78" s="96"/>
      <c r="E78" s="106"/>
      <c r="G78" s="74"/>
      <c r="H78" s="474"/>
      <c r="I78" s="474"/>
      <c r="J78" s="74"/>
      <c r="K78" s="474"/>
      <c r="L78" s="474"/>
      <c r="M78" s="74"/>
      <c r="N78" s="474"/>
      <c r="O78" s="474"/>
      <c r="R78" s="77"/>
    </row>
    <row r="79" spans="2:18" s="73" customFormat="1" ht="12.75" customHeight="1" x14ac:dyDescent="0.2">
      <c r="B79" s="71" t="s">
        <v>267</v>
      </c>
      <c r="C79" s="76"/>
      <c r="D79" s="57"/>
      <c r="E79" s="77"/>
      <c r="G79" s="74"/>
      <c r="H79" s="474"/>
      <c r="I79" s="474"/>
      <c r="J79" s="74"/>
      <c r="K79" s="474"/>
      <c r="L79" s="474"/>
      <c r="M79" s="74"/>
      <c r="N79" s="474"/>
      <c r="O79" s="474"/>
      <c r="R79" s="77"/>
    </row>
    <row r="80" spans="2:18" s="73" customFormat="1" ht="12.75" customHeight="1" x14ac:dyDescent="0.2">
      <c r="B80" s="107"/>
      <c r="C80" s="107"/>
      <c r="D80" s="108"/>
      <c r="E80" s="109"/>
      <c r="F80" s="83"/>
      <c r="G80" s="74"/>
      <c r="H80" s="475"/>
      <c r="I80" s="475"/>
      <c r="J80" s="74"/>
      <c r="K80" s="475"/>
      <c r="L80" s="475"/>
      <c r="M80" s="74"/>
      <c r="N80" s="475"/>
      <c r="O80" s="475"/>
      <c r="R80" s="77"/>
    </row>
    <row r="81" spans="2:18" s="73" customFormat="1" ht="12.75" customHeight="1" x14ac:dyDescent="0.2">
      <c r="B81" s="84" t="s">
        <v>263</v>
      </c>
      <c r="C81" s="85" t="s">
        <v>264</v>
      </c>
      <c r="D81" s="86"/>
      <c r="E81" s="87"/>
      <c r="F81" s="87" t="s">
        <v>265</v>
      </c>
      <c r="G81" s="88" t="s">
        <v>68</v>
      </c>
      <c r="H81" s="193"/>
      <c r="I81" s="193"/>
      <c r="J81" s="88" t="s">
        <v>68</v>
      </c>
      <c r="K81" s="193"/>
      <c r="L81" s="193"/>
      <c r="M81" s="88" t="s">
        <v>68</v>
      </c>
      <c r="N81" s="193"/>
      <c r="O81" s="193"/>
      <c r="P81" s="481"/>
      <c r="Q81" s="481"/>
      <c r="R81" s="77"/>
    </row>
    <row r="82" spans="2:18" s="73" customFormat="1" ht="12.75" customHeight="1" x14ac:dyDescent="0.2">
      <c r="B82" s="89" t="s">
        <v>266</v>
      </c>
      <c r="C82" s="90"/>
      <c r="D82" s="91"/>
      <c r="E82" s="92"/>
      <c r="F82" s="92"/>
      <c r="G82" s="93" t="s">
        <v>69</v>
      </c>
      <c r="H82" s="194" t="s">
        <v>262</v>
      </c>
      <c r="I82" s="194" t="s">
        <v>70</v>
      </c>
      <c r="J82" s="93" t="s">
        <v>69</v>
      </c>
      <c r="K82" s="194" t="s">
        <v>262</v>
      </c>
      <c r="L82" s="194" t="s">
        <v>70</v>
      </c>
      <c r="M82" s="93" t="s">
        <v>69</v>
      </c>
      <c r="N82" s="194" t="s">
        <v>262</v>
      </c>
      <c r="O82" s="194" t="s">
        <v>70</v>
      </c>
      <c r="P82" s="482" t="s">
        <v>70</v>
      </c>
      <c r="Q82" s="482" t="s">
        <v>70</v>
      </c>
      <c r="R82" s="77"/>
    </row>
    <row r="83" spans="2:18" s="73" customFormat="1" ht="12.75" customHeight="1" x14ac:dyDescent="0.2">
      <c r="B83" s="94"/>
      <c r="C83" s="76"/>
      <c r="D83" s="57"/>
      <c r="E83" s="67"/>
      <c r="F83" s="61"/>
      <c r="G83" s="55"/>
      <c r="H83" s="467"/>
      <c r="I83" s="467" t="str">
        <f>IF(G85=0," ",G85*H83)</f>
        <v xml:space="preserve"> </v>
      </c>
      <c r="J83" s="55"/>
      <c r="K83" s="49"/>
      <c r="L83" s="467" t="str">
        <f t="shared" ref="L83" si="25">IF(J85=0," ",J85*K83)</f>
        <v xml:space="preserve"> </v>
      </c>
      <c r="M83" s="55"/>
      <c r="N83" s="467"/>
      <c r="O83" s="467" t="str">
        <f t="shared" ref="O83" si="26">IF(M85=0," ",M85*N83)</f>
        <v xml:space="preserve"> </v>
      </c>
      <c r="P83" s="481"/>
      <c r="Q83" s="481"/>
      <c r="R83" s="77"/>
    </row>
    <row r="84" spans="2:18" s="73" customFormat="1" ht="12.75" customHeight="1" x14ac:dyDescent="0.2">
      <c r="B84" s="95">
        <v>6200</v>
      </c>
      <c r="C84" s="71" t="s">
        <v>597</v>
      </c>
      <c r="D84" s="96"/>
      <c r="E84" s="97"/>
      <c r="F84" s="61"/>
      <c r="G84" s="55"/>
      <c r="H84" s="467"/>
      <c r="I84" s="467" t="str">
        <f t="shared" ref="H84:I99" si="27">IF(G84=0," ",G84*H84)</f>
        <v xml:space="preserve"> </v>
      </c>
      <c r="J84" s="55"/>
      <c r="K84" s="49"/>
      <c r="L84" s="467" t="str">
        <f t="shared" ref="L84:L87" si="28">IF(J84=0," ",J84*K84)</f>
        <v xml:space="preserve"> </v>
      </c>
      <c r="M84" s="55"/>
      <c r="N84" s="467"/>
      <c r="O84" s="467" t="str">
        <f t="shared" ref="O84:O87" si="29">IF(M84=0," ",M84*N84)</f>
        <v xml:space="preserve"> </v>
      </c>
      <c r="P84" s="49"/>
      <c r="Q84" s="49"/>
      <c r="R84" s="77"/>
    </row>
    <row r="85" spans="2:18" s="73" customFormat="1" ht="12.75" customHeight="1" x14ac:dyDescent="0.2">
      <c r="B85" s="49"/>
      <c r="C85" s="71"/>
      <c r="D85" s="96"/>
      <c r="E85" s="97"/>
      <c r="F85" s="61"/>
      <c r="G85" s="55"/>
      <c r="H85" s="467"/>
      <c r="I85" s="467" t="str">
        <f t="shared" si="27"/>
        <v xml:space="preserve"> </v>
      </c>
      <c r="J85" s="55"/>
      <c r="K85" s="49"/>
      <c r="L85" s="467" t="str">
        <f t="shared" si="28"/>
        <v xml:space="preserve"> </v>
      </c>
      <c r="M85" s="55"/>
      <c r="N85" s="467"/>
      <c r="O85" s="467" t="str">
        <f t="shared" si="29"/>
        <v xml:space="preserve"> </v>
      </c>
      <c r="P85" s="49"/>
      <c r="Q85" s="49"/>
      <c r="R85" s="77"/>
    </row>
    <row r="86" spans="2:18" ht="12.75" customHeight="1" x14ac:dyDescent="0.2">
      <c r="B86" s="49">
        <v>62.02</v>
      </c>
      <c r="C86" s="76" t="s">
        <v>479</v>
      </c>
      <c r="D86" s="68"/>
      <c r="E86" s="76"/>
      <c r="F86" s="49"/>
      <c r="G86" s="110"/>
      <c r="H86" s="467"/>
      <c r="I86" s="467" t="str">
        <f t="shared" si="27"/>
        <v xml:space="preserve"> </v>
      </c>
      <c r="J86" s="110"/>
      <c r="K86" s="49"/>
      <c r="L86" s="467" t="str">
        <f t="shared" si="28"/>
        <v xml:space="preserve"> </v>
      </c>
      <c r="M86" s="110"/>
      <c r="N86" s="467"/>
      <c r="O86" s="467" t="str">
        <f t="shared" si="29"/>
        <v xml:space="preserve"> </v>
      </c>
      <c r="P86" s="49"/>
      <c r="Q86" s="49"/>
    </row>
    <row r="87" spans="2:18" ht="12.75" customHeight="1" x14ac:dyDescent="0.2">
      <c r="B87" s="49"/>
      <c r="C87" s="46" t="s">
        <v>278</v>
      </c>
      <c r="D87" s="46" t="s">
        <v>397</v>
      </c>
      <c r="E87" s="46"/>
      <c r="F87" s="49"/>
      <c r="G87" s="61"/>
      <c r="H87" s="476"/>
      <c r="I87" s="467" t="str">
        <f t="shared" si="27"/>
        <v xml:space="preserve"> </v>
      </c>
      <c r="J87" s="61"/>
      <c r="K87" s="49"/>
      <c r="L87" s="467" t="str">
        <f t="shared" si="28"/>
        <v xml:space="preserve"> </v>
      </c>
      <c r="M87" s="61"/>
      <c r="N87" s="476"/>
      <c r="O87" s="467" t="str">
        <f t="shared" si="29"/>
        <v xml:space="preserve"> </v>
      </c>
      <c r="P87" s="49"/>
      <c r="Q87" s="49"/>
    </row>
    <row r="88" spans="2:18" ht="12.75" customHeight="1" x14ac:dyDescent="0.2">
      <c r="B88" s="49"/>
      <c r="C88" s="46"/>
      <c r="D88" s="46" t="s">
        <v>277</v>
      </c>
      <c r="E88" s="46" t="s">
        <v>480</v>
      </c>
      <c r="F88" s="49" t="s">
        <v>275</v>
      </c>
      <c r="G88" s="65" t="s">
        <v>596</v>
      </c>
      <c r="H88" s="468">
        <v>600</v>
      </c>
      <c r="I88" s="418"/>
      <c r="J88" s="65" t="s">
        <v>596</v>
      </c>
      <c r="K88" s="49">
        <v>430</v>
      </c>
      <c r="L88" s="418"/>
      <c r="M88" s="65" t="s">
        <v>596</v>
      </c>
      <c r="N88" s="468">
        <v>430</v>
      </c>
      <c r="O88" s="418"/>
      <c r="P88" s="483">
        <f>K88-N88</f>
        <v>0</v>
      </c>
      <c r="Q88" s="483">
        <f>L88-O88</f>
        <v>0</v>
      </c>
    </row>
    <row r="89" spans="2:18" ht="12.75" customHeight="1" x14ac:dyDescent="0.2">
      <c r="B89" s="49"/>
      <c r="C89" s="46"/>
      <c r="D89" s="46"/>
      <c r="E89" s="46"/>
      <c r="F89" s="49"/>
      <c r="G89" s="61"/>
      <c r="H89" s="467" t="str">
        <f t="shared" si="27"/>
        <v xml:space="preserve"> </v>
      </c>
      <c r="I89" s="418" t="str">
        <f t="shared" si="27"/>
        <v xml:space="preserve"> </v>
      </c>
      <c r="J89" s="61"/>
      <c r="K89" s="49"/>
      <c r="L89" s="418" t="str">
        <f t="shared" ref="L89:L91" si="30">IF(J89=0," ",J89*K89)</f>
        <v xml:space="preserve"> </v>
      </c>
      <c r="M89" s="61"/>
      <c r="N89" s="467"/>
      <c r="O89" s="418" t="str">
        <f t="shared" ref="O89:O91" si="31">IF(M89=0," ",M89*N89)</f>
        <v xml:space="preserve"> </v>
      </c>
      <c r="P89" s="483"/>
      <c r="Q89" s="483"/>
    </row>
    <row r="90" spans="2:18" ht="12.75" customHeight="1" x14ac:dyDescent="0.2">
      <c r="B90" s="49"/>
      <c r="C90" s="46"/>
      <c r="D90" s="46" t="s">
        <v>124</v>
      </c>
      <c r="E90" s="46" t="s">
        <v>614</v>
      </c>
      <c r="F90" s="49" t="s">
        <v>275</v>
      </c>
      <c r="G90" s="182">
        <v>88</v>
      </c>
      <c r="H90" s="468">
        <v>600</v>
      </c>
      <c r="I90" s="418">
        <f t="shared" si="27"/>
        <v>52800</v>
      </c>
      <c r="J90" s="182">
        <v>88</v>
      </c>
      <c r="K90" s="49">
        <v>430</v>
      </c>
      <c r="L90" s="418">
        <f t="shared" si="30"/>
        <v>37840</v>
      </c>
      <c r="M90" s="182">
        <v>88</v>
      </c>
      <c r="N90" s="468">
        <v>430</v>
      </c>
      <c r="O90" s="418">
        <f t="shared" si="31"/>
        <v>37840</v>
      </c>
      <c r="P90" s="483">
        <f t="shared" ref="P90:P136" si="32">K90-N90</f>
        <v>0</v>
      </c>
      <c r="Q90" s="483">
        <f t="shared" ref="Q90:Q136" si="33">L90-O90</f>
        <v>0</v>
      </c>
    </row>
    <row r="91" spans="2:18" ht="12.75" customHeight="1" x14ac:dyDescent="0.2">
      <c r="B91" s="49"/>
      <c r="C91" s="76"/>
      <c r="D91" s="50"/>
      <c r="E91" s="76"/>
      <c r="F91" s="49"/>
      <c r="G91" s="61"/>
      <c r="H91" s="467" t="str">
        <f t="shared" si="27"/>
        <v xml:space="preserve"> </v>
      </c>
      <c r="I91" s="418" t="str">
        <f t="shared" si="27"/>
        <v xml:space="preserve"> </v>
      </c>
      <c r="J91" s="61"/>
      <c r="K91" s="49"/>
      <c r="L91" s="418" t="str">
        <f t="shared" si="30"/>
        <v xml:space="preserve"> </v>
      </c>
      <c r="M91" s="61"/>
      <c r="N91" s="467"/>
      <c r="O91" s="418" t="str">
        <f t="shared" si="31"/>
        <v xml:space="preserve"> </v>
      </c>
      <c r="P91" s="483"/>
      <c r="Q91" s="483"/>
    </row>
    <row r="92" spans="2:18" ht="12.75" customHeight="1" x14ac:dyDescent="0.2">
      <c r="B92" s="49"/>
      <c r="C92" s="76"/>
      <c r="D92" s="50" t="s">
        <v>125</v>
      </c>
      <c r="E92" s="76" t="s">
        <v>783</v>
      </c>
      <c r="F92" s="49" t="s">
        <v>275</v>
      </c>
      <c r="G92" s="65" t="s">
        <v>596</v>
      </c>
      <c r="H92" s="468">
        <v>600</v>
      </c>
      <c r="I92" s="418"/>
      <c r="J92" s="65" t="s">
        <v>596</v>
      </c>
      <c r="K92" s="49">
        <v>430</v>
      </c>
      <c r="L92" s="418"/>
      <c r="M92" s="65" t="s">
        <v>596</v>
      </c>
      <c r="N92" s="468">
        <v>430</v>
      </c>
      <c r="O92" s="418"/>
      <c r="P92" s="483">
        <f t="shared" si="32"/>
        <v>0</v>
      </c>
      <c r="Q92" s="483">
        <f t="shared" si="33"/>
        <v>0</v>
      </c>
    </row>
    <row r="93" spans="2:18" ht="12.75" customHeight="1" x14ac:dyDescent="0.2">
      <c r="B93" s="49"/>
      <c r="C93" s="76"/>
      <c r="D93" s="50"/>
      <c r="E93" s="76"/>
      <c r="F93" s="49"/>
      <c r="G93" s="61"/>
      <c r="H93" s="467"/>
      <c r="I93" s="418"/>
      <c r="J93" s="61"/>
      <c r="K93" s="49"/>
      <c r="L93" s="418"/>
      <c r="M93" s="61"/>
      <c r="N93" s="467"/>
      <c r="O93" s="418"/>
      <c r="P93" s="483"/>
      <c r="Q93" s="483"/>
    </row>
    <row r="94" spans="2:18" ht="12.75" customHeight="1" x14ac:dyDescent="0.2">
      <c r="B94" s="49"/>
      <c r="C94" s="76"/>
      <c r="D94" s="50" t="s">
        <v>784</v>
      </c>
      <c r="E94" s="76" t="s">
        <v>785</v>
      </c>
      <c r="F94" s="49" t="s">
        <v>275</v>
      </c>
      <c r="G94" s="65" t="s">
        <v>596</v>
      </c>
      <c r="H94" s="468">
        <v>600</v>
      </c>
      <c r="I94" s="418"/>
      <c r="J94" s="65" t="s">
        <v>596</v>
      </c>
      <c r="K94" s="49">
        <v>430</v>
      </c>
      <c r="L94" s="418"/>
      <c r="M94" s="65" t="s">
        <v>596</v>
      </c>
      <c r="N94" s="468">
        <v>430</v>
      </c>
      <c r="O94" s="418"/>
      <c r="P94" s="483">
        <f t="shared" si="32"/>
        <v>0</v>
      </c>
      <c r="Q94" s="483">
        <f t="shared" si="33"/>
        <v>0</v>
      </c>
    </row>
    <row r="95" spans="2:18" ht="12.75" customHeight="1" x14ac:dyDescent="0.2">
      <c r="B95" s="49"/>
      <c r="C95" s="76"/>
      <c r="D95" s="50"/>
      <c r="E95" s="76"/>
      <c r="F95" s="49"/>
      <c r="G95" s="61"/>
      <c r="H95" s="467"/>
      <c r="I95" s="418" t="str">
        <f t="shared" si="27"/>
        <v xml:space="preserve"> </v>
      </c>
      <c r="J95" s="61"/>
      <c r="K95" s="49"/>
      <c r="L95" s="418" t="str">
        <f t="shared" ref="L95:L100" si="34">IF(J95=0," ",J95*K95)</f>
        <v xml:space="preserve"> </v>
      </c>
      <c r="M95" s="61"/>
      <c r="N95" s="467"/>
      <c r="O95" s="418" t="str">
        <f t="shared" ref="O95:O100" si="35">IF(M95=0," ",M95*N95)</f>
        <v xml:space="preserve"> </v>
      </c>
      <c r="P95" s="483"/>
      <c r="Q95" s="483"/>
    </row>
    <row r="96" spans="2:18" ht="12.75" customHeight="1" x14ac:dyDescent="0.2">
      <c r="B96" s="49"/>
      <c r="C96" s="76"/>
      <c r="D96" s="50" t="s">
        <v>126</v>
      </c>
      <c r="E96" s="76" t="s">
        <v>786</v>
      </c>
      <c r="F96" s="49" t="s">
        <v>275</v>
      </c>
      <c r="G96" s="61">
        <v>32</v>
      </c>
      <c r="H96" s="468">
        <v>600</v>
      </c>
      <c r="I96" s="418">
        <f t="shared" si="27"/>
        <v>19200</v>
      </c>
      <c r="J96" s="61">
        <v>32</v>
      </c>
      <c r="K96" s="49">
        <v>430</v>
      </c>
      <c r="L96" s="418">
        <f t="shared" si="34"/>
        <v>13760</v>
      </c>
      <c r="M96" s="61">
        <v>32</v>
      </c>
      <c r="N96" s="468">
        <v>430</v>
      </c>
      <c r="O96" s="418">
        <f t="shared" si="35"/>
        <v>13760</v>
      </c>
      <c r="P96" s="483">
        <f t="shared" si="32"/>
        <v>0</v>
      </c>
      <c r="Q96" s="483">
        <f t="shared" si="33"/>
        <v>0</v>
      </c>
    </row>
    <row r="97" spans="2:17" ht="12.75" customHeight="1" x14ac:dyDescent="0.2">
      <c r="B97" s="49"/>
      <c r="C97" s="76"/>
      <c r="D97" s="50"/>
      <c r="E97" s="76"/>
      <c r="F97" s="49"/>
      <c r="G97" s="61"/>
      <c r="H97" s="467"/>
      <c r="I97" s="418" t="str">
        <f t="shared" si="27"/>
        <v xml:space="preserve"> </v>
      </c>
      <c r="J97" s="61"/>
      <c r="K97" s="49"/>
      <c r="L97" s="418" t="str">
        <f t="shared" si="34"/>
        <v xml:space="preserve"> </v>
      </c>
      <c r="M97" s="61"/>
      <c r="N97" s="467"/>
      <c r="O97" s="418" t="str">
        <f t="shared" si="35"/>
        <v xml:space="preserve"> </v>
      </c>
      <c r="P97" s="483"/>
      <c r="Q97" s="483"/>
    </row>
    <row r="98" spans="2:17" ht="12.75" customHeight="1" x14ac:dyDescent="0.2">
      <c r="B98" s="49"/>
      <c r="C98" s="76"/>
      <c r="D98" s="50" t="s">
        <v>787</v>
      </c>
      <c r="E98" s="76" t="s">
        <v>788</v>
      </c>
      <c r="F98" s="49" t="s">
        <v>275</v>
      </c>
      <c r="G98" s="61">
        <v>4</v>
      </c>
      <c r="H98" s="468">
        <v>600</v>
      </c>
      <c r="I98" s="418">
        <f t="shared" si="27"/>
        <v>2400</v>
      </c>
      <c r="J98" s="61">
        <v>4</v>
      </c>
      <c r="K98" s="49">
        <v>430</v>
      </c>
      <c r="L98" s="418">
        <f t="shared" si="34"/>
        <v>1720</v>
      </c>
      <c r="M98" s="61">
        <v>4</v>
      </c>
      <c r="N98" s="468">
        <v>430</v>
      </c>
      <c r="O98" s="418">
        <f t="shared" si="35"/>
        <v>1720</v>
      </c>
      <c r="P98" s="483">
        <f t="shared" si="32"/>
        <v>0</v>
      </c>
      <c r="Q98" s="483">
        <f t="shared" si="33"/>
        <v>0</v>
      </c>
    </row>
    <row r="99" spans="2:17" ht="12.75" customHeight="1" x14ac:dyDescent="0.2">
      <c r="B99" s="49"/>
      <c r="C99" s="76"/>
      <c r="D99" s="50"/>
      <c r="E99" s="76"/>
      <c r="F99" s="49"/>
      <c r="G99" s="61"/>
      <c r="H99" s="467"/>
      <c r="I99" s="418" t="str">
        <f t="shared" si="27"/>
        <v xml:space="preserve"> </v>
      </c>
      <c r="J99" s="61"/>
      <c r="K99" s="49"/>
      <c r="L99" s="418" t="str">
        <f t="shared" si="34"/>
        <v xml:space="preserve"> </v>
      </c>
      <c r="M99" s="61"/>
      <c r="N99" s="467"/>
      <c r="O99" s="418" t="str">
        <f t="shared" si="35"/>
        <v xml:space="preserve"> </v>
      </c>
      <c r="P99" s="483"/>
      <c r="Q99" s="483"/>
    </row>
    <row r="100" spans="2:17" ht="12.75" customHeight="1" x14ac:dyDescent="0.2">
      <c r="B100" s="49"/>
      <c r="C100" s="46" t="s">
        <v>279</v>
      </c>
      <c r="D100" s="46" t="s">
        <v>398</v>
      </c>
      <c r="E100" s="46"/>
      <c r="F100" s="49"/>
      <c r="G100" s="61"/>
      <c r="H100" s="467" t="str">
        <f t="shared" ref="H100:I115" si="36">IF(F100=0," ",F100*G100)</f>
        <v xml:space="preserve"> </v>
      </c>
      <c r="I100" s="418" t="str">
        <f t="shared" si="36"/>
        <v xml:space="preserve"> </v>
      </c>
      <c r="J100" s="61"/>
      <c r="K100" s="49"/>
      <c r="L100" s="418" t="str">
        <f t="shared" si="34"/>
        <v xml:space="preserve"> </v>
      </c>
      <c r="M100" s="61"/>
      <c r="N100" s="467"/>
      <c r="O100" s="418" t="str">
        <f t="shared" si="35"/>
        <v xml:space="preserve"> </v>
      </c>
      <c r="P100" s="483"/>
      <c r="Q100" s="483"/>
    </row>
    <row r="101" spans="2:17" ht="12.75" customHeight="1" x14ac:dyDescent="0.2">
      <c r="B101" s="49"/>
      <c r="C101" s="46"/>
      <c r="D101" s="46" t="s">
        <v>277</v>
      </c>
      <c r="E101" s="46" t="s">
        <v>480</v>
      </c>
      <c r="F101" s="49" t="s">
        <v>275</v>
      </c>
      <c r="G101" s="65" t="s">
        <v>596</v>
      </c>
      <c r="H101" s="468">
        <v>600</v>
      </c>
      <c r="I101" s="418"/>
      <c r="J101" s="65" t="s">
        <v>596</v>
      </c>
      <c r="K101" s="49">
        <v>430</v>
      </c>
      <c r="L101" s="418"/>
      <c r="M101" s="65" t="s">
        <v>596</v>
      </c>
      <c r="N101" s="468">
        <v>430</v>
      </c>
      <c r="O101" s="418"/>
      <c r="P101" s="483">
        <f t="shared" si="32"/>
        <v>0</v>
      </c>
      <c r="Q101" s="483">
        <f t="shared" si="33"/>
        <v>0</v>
      </c>
    </row>
    <row r="102" spans="2:17" ht="12.75" customHeight="1" x14ac:dyDescent="0.2">
      <c r="B102" s="49"/>
      <c r="C102" s="46"/>
      <c r="D102" s="46"/>
      <c r="E102" s="46"/>
      <c r="F102" s="49"/>
      <c r="G102" s="111"/>
      <c r="H102" s="468"/>
      <c r="I102" s="418" t="str">
        <f t="shared" si="36"/>
        <v xml:space="preserve"> </v>
      </c>
      <c r="J102" s="111"/>
      <c r="K102" s="49"/>
      <c r="L102" s="418" t="str">
        <f t="shared" ref="L102:L104" si="37">IF(J102=0," ",J102*K102)</f>
        <v xml:space="preserve"> </v>
      </c>
      <c r="M102" s="111"/>
      <c r="N102" s="468"/>
      <c r="O102" s="418" t="str">
        <f t="shared" ref="O102:O104" si="38">IF(M102=0," ",M102*N102)</f>
        <v xml:space="preserve"> </v>
      </c>
      <c r="P102" s="483"/>
      <c r="Q102" s="483"/>
    </row>
    <row r="103" spans="2:17" ht="12.75" customHeight="1" x14ac:dyDescent="0.2">
      <c r="B103" s="49"/>
      <c r="C103" s="220"/>
      <c r="D103" s="46" t="s">
        <v>124</v>
      </c>
      <c r="E103" s="46" t="s">
        <v>614</v>
      </c>
      <c r="F103" s="49" t="s">
        <v>275</v>
      </c>
      <c r="G103" s="183">
        <v>80</v>
      </c>
      <c r="H103" s="468">
        <v>600</v>
      </c>
      <c r="I103" s="418">
        <f t="shared" si="36"/>
        <v>48000</v>
      </c>
      <c r="J103" s="183">
        <v>80</v>
      </c>
      <c r="K103" s="49">
        <v>430</v>
      </c>
      <c r="L103" s="418">
        <f t="shared" si="37"/>
        <v>34400</v>
      </c>
      <c r="M103" s="183">
        <v>80</v>
      </c>
      <c r="N103" s="468">
        <v>430</v>
      </c>
      <c r="O103" s="418">
        <f t="shared" si="38"/>
        <v>34400</v>
      </c>
      <c r="P103" s="483">
        <f t="shared" si="32"/>
        <v>0</v>
      </c>
      <c r="Q103" s="483">
        <f t="shared" si="33"/>
        <v>0</v>
      </c>
    </row>
    <row r="104" spans="2:17" ht="12.75" customHeight="1" x14ac:dyDescent="0.2">
      <c r="B104" s="49"/>
      <c r="C104" s="46"/>
      <c r="D104" s="50"/>
      <c r="E104" s="76"/>
      <c r="F104" s="49"/>
      <c r="G104" s="55"/>
      <c r="H104" s="468"/>
      <c r="I104" s="418" t="str">
        <f t="shared" si="36"/>
        <v xml:space="preserve"> </v>
      </c>
      <c r="J104" s="55"/>
      <c r="K104" s="49"/>
      <c r="L104" s="418" t="str">
        <f t="shared" si="37"/>
        <v xml:space="preserve"> </v>
      </c>
      <c r="M104" s="55"/>
      <c r="N104" s="468"/>
      <c r="O104" s="418" t="str">
        <f t="shared" si="38"/>
        <v xml:space="preserve"> </v>
      </c>
      <c r="P104" s="483"/>
      <c r="Q104" s="483"/>
    </row>
    <row r="105" spans="2:17" ht="12.75" customHeight="1" x14ac:dyDescent="0.2">
      <c r="B105" s="49"/>
      <c r="C105" s="46"/>
      <c r="D105" s="50" t="s">
        <v>125</v>
      </c>
      <c r="E105" s="76" t="s">
        <v>788</v>
      </c>
      <c r="F105" s="49" t="s">
        <v>275</v>
      </c>
      <c r="G105" s="65" t="s">
        <v>596</v>
      </c>
      <c r="H105" s="468">
        <v>600</v>
      </c>
      <c r="I105" s="418"/>
      <c r="J105" s="65" t="s">
        <v>596</v>
      </c>
      <c r="K105" s="49">
        <v>430</v>
      </c>
      <c r="L105" s="418"/>
      <c r="M105" s="65" t="s">
        <v>596</v>
      </c>
      <c r="N105" s="468">
        <v>430</v>
      </c>
      <c r="O105" s="418"/>
      <c r="P105" s="483">
        <f t="shared" si="32"/>
        <v>0</v>
      </c>
      <c r="Q105" s="483">
        <f t="shared" si="33"/>
        <v>0</v>
      </c>
    </row>
    <row r="106" spans="2:17" ht="12.75" customHeight="1" x14ac:dyDescent="0.2">
      <c r="B106" s="49"/>
      <c r="C106" s="46"/>
      <c r="D106" s="50"/>
      <c r="E106" s="76"/>
      <c r="F106" s="49"/>
      <c r="G106" s="55"/>
      <c r="H106" s="468"/>
      <c r="I106" s="418"/>
      <c r="J106" s="55"/>
      <c r="K106" s="49"/>
      <c r="L106" s="418"/>
      <c r="M106" s="55"/>
      <c r="N106" s="468"/>
      <c r="O106" s="418"/>
      <c r="P106" s="483"/>
      <c r="Q106" s="483"/>
    </row>
    <row r="107" spans="2:17" ht="12.75" customHeight="1" x14ac:dyDescent="0.2">
      <c r="B107" s="49"/>
      <c r="C107" s="46"/>
      <c r="D107" s="50" t="s">
        <v>784</v>
      </c>
      <c r="E107" s="76" t="s">
        <v>789</v>
      </c>
      <c r="F107" s="49" t="s">
        <v>275</v>
      </c>
      <c r="G107" s="65" t="s">
        <v>596</v>
      </c>
      <c r="H107" s="468">
        <v>600</v>
      </c>
      <c r="I107" s="418"/>
      <c r="J107" s="65" t="s">
        <v>596</v>
      </c>
      <c r="K107" s="49">
        <v>430</v>
      </c>
      <c r="L107" s="418"/>
      <c r="M107" s="65" t="s">
        <v>596</v>
      </c>
      <c r="N107" s="468">
        <v>430</v>
      </c>
      <c r="O107" s="418"/>
      <c r="P107" s="483">
        <f t="shared" si="32"/>
        <v>0</v>
      </c>
      <c r="Q107" s="483">
        <f t="shared" si="33"/>
        <v>0</v>
      </c>
    </row>
    <row r="108" spans="2:17" ht="12.75" customHeight="1" x14ac:dyDescent="0.2">
      <c r="B108" s="49"/>
      <c r="C108" s="46"/>
      <c r="D108" s="50"/>
      <c r="E108" s="76"/>
      <c r="F108" s="49"/>
      <c r="G108" s="55"/>
      <c r="H108" s="468"/>
      <c r="I108" s="418"/>
      <c r="J108" s="55"/>
      <c r="K108" s="49"/>
      <c r="L108" s="418"/>
      <c r="M108" s="55"/>
      <c r="N108" s="468"/>
      <c r="O108" s="418"/>
      <c r="P108" s="483"/>
      <c r="Q108" s="483"/>
    </row>
    <row r="109" spans="2:17" ht="12.75" customHeight="1" x14ac:dyDescent="0.2">
      <c r="B109" s="49"/>
      <c r="C109" s="46"/>
      <c r="D109" s="50" t="s">
        <v>130</v>
      </c>
      <c r="E109" s="76" t="s">
        <v>790</v>
      </c>
      <c r="F109" s="49" t="s">
        <v>275</v>
      </c>
      <c r="G109" s="65" t="s">
        <v>596</v>
      </c>
      <c r="H109" s="468">
        <v>600</v>
      </c>
      <c r="I109" s="418"/>
      <c r="J109" s="65" t="s">
        <v>596</v>
      </c>
      <c r="K109" s="49">
        <v>430</v>
      </c>
      <c r="L109" s="418"/>
      <c r="M109" s="65" t="s">
        <v>596</v>
      </c>
      <c r="N109" s="468">
        <v>430</v>
      </c>
      <c r="O109" s="418"/>
      <c r="P109" s="483">
        <f t="shared" si="32"/>
        <v>0</v>
      </c>
      <c r="Q109" s="483">
        <f t="shared" si="33"/>
        <v>0</v>
      </c>
    </row>
    <row r="110" spans="2:17" ht="12.75" customHeight="1" x14ac:dyDescent="0.2">
      <c r="B110" s="49"/>
      <c r="C110" s="46"/>
      <c r="D110" s="50"/>
      <c r="E110" s="76"/>
      <c r="F110" s="49"/>
      <c r="G110" s="55"/>
      <c r="H110" s="468"/>
      <c r="I110" s="418"/>
      <c r="J110" s="55"/>
      <c r="K110" s="49"/>
      <c r="L110" s="418"/>
      <c r="M110" s="55"/>
      <c r="N110" s="468"/>
      <c r="O110" s="418"/>
      <c r="P110" s="483"/>
      <c r="Q110" s="483"/>
    </row>
    <row r="111" spans="2:17" ht="12.75" customHeight="1" x14ac:dyDescent="0.2">
      <c r="B111" s="49"/>
      <c r="C111" s="46"/>
      <c r="D111" s="50" t="s">
        <v>126</v>
      </c>
      <c r="E111" s="76" t="s">
        <v>803</v>
      </c>
      <c r="F111" s="49" t="s">
        <v>275</v>
      </c>
      <c r="G111" s="65" t="s">
        <v>596</v>
      </c>
      <c r="H111" s="468">
        <v>600</v>
      </c>
      <c r="I111" s="418"/>
      <c r="J111" s="65" t="s">
        <v>596</v>
      </c>
      <c r="K111" s="49">
        <v>430</v>
      </c>
      <c r="L111" s="418"/>
      <c r="M111" s="65" t="s">
        <v>596</v>
      </c>
      <c r="N111" s="468">
        <v>430</v>
      </c>
      <c r="O111" s="418"/>
      <c r="P111" s="483">
        <f t="shared" si="32"/>
        <v>0</v>
      </c>
      <c r="Q111" s="483">
        <f t="shared" si="33"/>
        <v>0</v>
      </c>
    </row>
    <row r="112" spans="2:17" ht="12.75" customHeight="1" x14ac:dyDescent="0.2">
      <c r="B112" s="49"/>
      <c r="C112" s="46"/>
      <c r="D112" s="50"/>
      <c r="E112" s="76"/>
      <c r="F112" s="49"/>
      <c r="G112" s="55"/>
      <c r="H112" s="468"/>
      <c r="I112" s="418" t="str">
        <f t="shared" si="36"/>
        <v xml:space="preserve"> </v>
      </c>
      <c r="J112" s="55"/>
      <c r="K112" s="49"/>
      <c r="L112" s="418" t="str">
        <f t="shared" ref="L112:L116" si="39">IF(J112=0," ",J112*K112)</f>
        <v xml:space="preserve"> </v>
      </c>
      <c r="M112" s="55"/>
      <c r="N112" s="468"/>
      <c r="O112" s="418" t="str">
        <f t="shared" ref="O112:O116" si="40">IF(M112=0," ",M112*N112)</f>
        <v xml:space="preserve"> </v>
      </c>
      <c r="P112" s="483"/>
      <c r="Q112" s="483"/>
    </row>
    <row r="113" spans="2:17" ht="12.75" customHeight="1" x14ac:dyDescent="0.2">
      <c r="B113" s="49"/>
      <c r="C113" s="46"/>
      <c r="D113" s="50" t="s">
        <v>126</v>
      </c>
      <c r="E113" s="76" t="s">
        <v>791</v>
      </c>
      <c r="F113" s="49" t="s">
        <v>275</v>
      </c>
      <c r="G113" s="55">
        <v>90</v>
      </c>
      <c r="H113" s="468">
        <v>600</v>
      </c>
      <c r="I113" s="418">
        <f t="shared" si="36"/>
        <v>54000</v>
      </c>
      <c r="J113" s="55">
        <v>90</v>
      </c>
      <c r="K113" s="49">
        <v>430</v>
      </c>
      <c r="L113" s="418">
        <f t="shared" si="39"/>
        <v>38700</v>
      </c>
      <c r="M113" s="55">
        <v>90</v>
      </c>
      <c r="N113" s="468">
        <v>430</v>
      </c>
      <c r="O113" s="418">
        <f t="shared" si="40"/>
        <v>38700</v>
      </c>
      <c r="P113" s="483">
        <f t="shared" si="32"/>
        <v>0</v>
      </c>
      <c r="Q113" s="483">
        <f t="shared" si="33"/>
        <v>0</v>
      </c>
    </row>
    <row r="114" spans="2:17" ht="12.75" customHeight="1" x14ac:dyDescent="0.2">
      <c r="B114" s="49"/>
      <c r="C114" s="46"/>
      <c r="D114" s="50"/>
      <c r="E114" s="76"/>
      <c r="F114" s="49"/>
      <c r="G114" s="55"/>
      <c r="H114" s="467"/>
      <c r="I114" s="418" t="str">
        <f t="shared" si="36"/>
        <v xml:space="preserve"> </v>
      </c>
      <c r="J114" s="55"/>
      <c r="K114" s="49"/>
      <c r="L114" s="418" t="str">
        <f t="shared" si="39"/>
        <v xml:space="preserve"> </v>
      </c>
      <c r="M114" s="55"/>
      <c r="N114" s="467"/>
      <c r="O114" s="418" t="str">
        <f t="shared" si="40"/>
        <v xml:space="preserve"> </v>
      </c>
      <c r="P114" s="483"/>
      <c r="Q114" s="483"/>
    </row>
    <row r="115" spans="2:17" ht="12.75" customHeight="1" x14ac:dyDescent="0.2">
      <c r="B115" s="49">
        <v>62.03</v>
      </c>
      <c r="C115" s="46" t="s">
        <v>481</v>
      </c>
      <c r="D115" s="50"/>
      <c r="E115" s="50"/>
      <c r="F115" s="45"/>
      <c r="G115" s="111"/>
      <c r="H115" s="467" t="str">
        <f>IF(F115=0," ",F115*G115)</f>
        <v xml:space="preserve"> </v>
      </c>
      <c r="I115" s="418" t="str">
        <f t="shared" si="36"/>
        <v xml:space="preserve"> </v>
      </c>
      <c r="J115" s="111"/>
      <c r="K115" s="49"/>
      <c r="L115" s="418" t="str">
        <f t="shared" si="39"/>
        <v xml:space="preserve"> </v>
      </c>
      <c r="M115" s="111"/>
      <c r="N115" s="467"/>
      <c r="O115" s="418" t="str">
        <f t="shared" si="40"/>
        <v xml:space="preserve"> </v>
      </c>
      <c r="P115" s="483"/>
      <c r="Q115" s="483"/>
    </row>
    <row r="116" spans="2:17" ht="12.75" customHeight="1" x14ac:dyDescent="0.2">
      <c r="B116" s="49"/>
      <c r="C116" s="46" t="s">
        <v>279</v>
      </c>
      <c r="D116" s="46" t="s">
        <v>398</v>
      </c>
      <c r="E116" s="50"/>
      <c r="F116" s="49"/>
      <c r="G116" s="111"/>
      <c r="H116" s="467"/>
      <c r="I116" s="418" t="str">
        <f t="shared" ref="I116:I137" si="41">IF(G116=0," ",G116*H116)</f>
        <v xml:space="preserve"> </v>
      </c>
      <c r="J116" s="111"/>
      <c r="K116" s="49"/>
      <c r="L116" s="418" t="str">
        <f t="shared" si="39"/>
        <v xml:space="preserve"> </v>
      </c>
      <c r="M116" s="111"/>
      <c r="N116" s="467"/>
      <c r="O116" s="418" t="str">
        <f t="shared" si="40"/>
        <v xml:space="preserve"> </v>
      </c>
      <c r="P116" s="483"/>
      <c r="Q116" s="483"/>
    </row>
    <row r="117" spans="2:17" ht="12.75" customHeight="1" x14ac:dyDescent="0.2">
      <c r="B117" s="49"/>
      <c r="C117" s="46"/>
      <c r="D117" s="50" t="s">
        <v>277</v>
      </c>
      <c r="E117" s="46" t="s">
        <v>792</v>
      </c>
      <c r="F117" s="49" t="s">
        <v>275</v>
      </c>
      <c r="G117" s="65" t="s">
        <v>596</v>
      </c>
      <c r="H117" s="468">
        <v>900</v>
      </c>
      <c r="I117" s="418"/>
      <c r="J117" s="65" t="s">
        <v>596</v>
      </c>
      <c r="K117" s="49">
        <v>1450</v>
      </c>
      <c r="L117" s="418"/>
      <c r="M117" s="65" t="s">
        <v>596</v>
      </c>
      <c r="N117" s="468">
        <v>1450</v>
      </c>
      <c r="O117" s="418"/>
      <c r="P117" s="483">
        <f t="shared" si="32"/>
        <v>0</v>
      </c>
      <c r="Q117" s="483">
        <f t="shared" si="33"/>
        <v>0</v>
      </c>
    </row>
    <row r="118" spans="2:17" ht="12.75" customHeight="1" x14ac:dyDescent="0.2">
      <c r="B118" s="49"/>
      <c r="C118" s="46"/>
      <c r="D118" s="50"/>
      <c r="E118" s="50"/>
      <c r="F118" s="45"/>
      <c r="G118" s="111"/>
      <c r="H118" s="467" t="str">
        <f>IF(F118=0," ",F118*G118)</f>
        <v xml:space="preserve"> </v>
      </c>
      <c r="I118" s="418"/>
      <c r="J118" s="111"/>
      <c r="K118" s="49" t="str">
        <f>IF(I118=0," ",I118*J118)</f>
        <v xml:space="preserve"> </v>
      </c>
      <c r="L118" s="418"/>
      <c r="M118" s="111"/>
      <c r="N118" s="467"/>
      <c r="O118" s="418"/>
      <c r="P118" s="483"/>
      <c r="Q118" s="483"/>
    </row>
    <row r="119" spans="2:17" ht="12.75" customHeight="1" x14ac:dyDescent="0.2">
      <c r="B119" s="49"/>
      <c r="C119" s="46"/>
      <c r="D119" s="46" t="s">
        <v>124</v>
      </c>
      <c r="E119" s="50" t="s">
        <v>793</v>
      </c>
      <c r="F119" s="49" t="s">
        <v>275</v>
      </c>
      <c r="G119" s="65" t="s">
        <v>596</v>
      </c>
      <c r="H119" s="468">
        <v>1800</v>
      </c>
      <c r="I119" s="418"/>
      <c r="J119" s="65" t="s">
        <v>596</v>
      </c>
      <c r="K119" s="49">
        <v>1550</v>
      </c>
      <c r="L119" s="418"/>
      <c r="M119" s="65" t="s">
        <v>596</v>
      </c>
      <c r="N119" s="468">
        <v>1550</v>
      </c>
      <c r="O119" s="418"/>
      <c r="P119" s="483">
        <f t="shared" si="32"/>
        <v>0</v>
      </c>
      <c r="Q119" s="483">
        <f t="shared" si="33"/>
        <v>0</v>
      </c>
    </row>
    <row r="120" spans="2:17" ht="12.75" customHeight="1" x14ac:dyDescent="0.2">
      <c r="B120" s="49"/>
      <c r="C120" s="46"/>
      <c r="D120" s="46"/>
      <c r="E120" s="50"/>
      <c r="F120" s="49"/>
      <c r="G120" s="111"/>
      <c r="H120" s="467"/>
      <c r="I120" s="418"/>
      <c r="J120" s="111"/>
      <c r="K120" s="49"/>
      <c r="L120" s="418"/>
      <c r="M120" s="111"/>
      <c r="N120" s="467"/>
      <c r="O120" s="418"/>
      <c r="P120" s="483"/>
      <c r="Q120" s="483"/>
    </row>
    <row r="121" spans="2:17" ht="12.75" customHeight="1" x14ac:dyDescent="0.2">
      <c r="B121" s="49">
        <v>62.04</v>
      </c>
      <c r="C121" s="63" t="s">
        <v>794</v>
      </c>
      <c r="D121" s="24"/>
      <c r="E121" s="66"/>
      <c r="F121" s="49"/>
      <c r="G121" s="111"/>
      <c r="H121" s="467"/>
      <c r="I121" s="418"/>
      <c r="J121" s="111"/>
      <c r="K121" s="49"/>
      <c r="L121" s="418"/>
      <c r="M121" s="111"/>
      <c r="N121" s="467"/>
      <c r="O121" s="418"/>
      <c r="P121" s="483"/>
      <c r="Q121" s="483"/>
    </row>
    <row r="122" spans="2:17" ht="12.75" customHeight="1" x14ac:dyDescent="0.2">
      <c r="B122" s="49"/>
      <c r="C122" s="63" t="s">
        <v>278</v>
      </c>
      <c r="D122" s="63" t="s">
        <v>397</v>
      </c>
      <c r="E122" s="66"/>
      <c r="F122" s="49"/>
      <c r="G122" s="111"/>
      <c r="H122" s="467"/>
      <c r="I122" s="418"/>
      <c r="J122" s="111"/>
      <c r="K122" s="49"/>
      <c r="L122" s="418"/>
      <c r="M122" s="111"/>
      <c r="N122" s="467"/>
      <c r="O122" s="418"/>
      <c r="P122" s="483"/>
      <c r="Q122" s="483"/>
    </row>
    <row r="123" spans="2:17" ht="12.75" customHeight="1" x14ac:dyDescent="0.2">
      <c r="B123" s="49"/>
      <c r="C123" s="63"/>
      <c r="D123" s="66" t="s">
        <v>277</v>
      </c>
      <c r="E123" s="66" t="s">
        <v>797</v>
      </c>
      <c r="F123" s="49" t="s">
        <v>275</v>
      </c>
      <c r="G123" s="65" t="s">
        <v>596</v>
      </c>
      <c r="H123" s="468">
        <v>900</v>
      </c>
      <c r="I123" s="418"/>
      <c r="J123" s="65" t="s">
        <v>596</v>
      </c>
      <c r="K123" s="49">
        <v>485</v>
      </c>
      <c r="L123" s="418"/>
      <c r="M123" s="65" t="s">
        <v>596</v>
      </c>
      <c r="N123" s="468">
        <v>485</v>
      </c>
      <c r="O123" s="418"/>
      <c r="P123" s="483">
        <f t="shared" si="32"/>
        <v>0</v>
      </c>
      <c r="Q123" s="483">
        <f t="shared" si="33"/>
        <v>0</v>
      </c>
    </row>
    <row r="124" spans="2:17" ht="12.75" customHeight="1" x14ac:dyDescent="0.2">
      <c r="B124" s="49"/>
      <c r="C124" s="63"/>
      <c r="D124" s="66"/>
      <c r="E124" s="66"/>
      <c r="F124" s="49"/>
      <c r="G124" s="111"/>
      <c r="H124" s="467"/>
      <c r="I124" s="418"/>
      <c r="J124" s="111"/>
      <c r="K124" s="49"/>
      <c r="L124" s="418"/>
      <c r="M124" s="111"/>
      <c r="N124" s="467"/>
      <c r="O124" s="418"/>
      <c r="P124" s="483"/>
      <c r="Q124" s="483"/>
    </row>
    <row r="125" spans="2:17" ht="12.75" customHeight="1" x14ac:dyDescent="0.2">
      <c r="B125" s="49"/>
      <c r="C125" s="63"/>
      <c r="D125" s="66" t="s">
        <v>124</v>
      </c>
      <c r="E125" s="66" t="s">
        <v>789</v>
      </c>
      <c r="F125" s="49" t="s">
        <v>275</v>
      </c>
      <c r="G125" s="65" t="s">
        <v>596</v>
      </c>
      <c r="H125" s="468">
        <v>750</v>
      </c>
      <c r="I125" s="418"/>
      <c r="J125" s="65" t="s">
        <v>596</v>
      </c>
      <c r="K125" s="49">
        <v>485</v>
      </c>
      <c r="L125" s="418"/>
      <c r="M125" s="65" t="s">
        <v>596</v>
      </c>
      <c r="N125" s="468">
        <v>485</v>
      </c>
      <c r="O125" s="418"/>
      <c r="P125" s="483">
        <f t="shared" si="32"/>
        <v>0</v>
      </c>
      <c r="Q125" s="483">
        <f t="shared" si="33"/>
        <v>0</v>
      </c>
    </row>
    <row r="126" spans="2:17" ht="12.75" customHeight="1" x14ac:dyDescent="0.2">
      <c r="B126" s="49"/>
      <c r="C126" s="63"/>
      <c r="D126" s="66"/>
      <c r="E126" s="66"/>
      <c r="F126" s="49"/>
      <c r="G126" s="111"/>
      <c r="H126" s="467"/>
      <c r="I126" s="418"/>
      <c r="J126" s="111"/>
      <c r="K126" s="49"/>
      <c r="L126" s="418"/>
      <c r="M126" s="111"/>
      <c r="N126" s="467"/>
      <c r="O126" s="418"/>
      <c r="P126" s="483"/>
      <c r="Q126" s="483"/>
    </row>
    <row r="127" spans="2:17" ht="12.75" customHeight="1" x14ac:dyDescent="0.2">
      <c r="B127" s="49"/>
      <c r="C127" s="63"/>
      <c r="D127" s="66" t="s">
        <v>125</v>
      </c>
      <c r="E127" s="66" t="s">
        <v>790</v>
      </c>
      <c r="F127" s="49" t="s">
        <v>275</v>
      </c>
      <c r="G127" s="65" t="s">
        <v>596</v>
      </c>
      <c r="H127" s="468">
        <v>700</v>
      </c>
      <c r="I127" s="418"/>
      <c r="J127" s="65" t="s">
        <v>596</v>
      </c>
      <c r="K127" s="49">
        <v>485</v>
      </c>
      <c r="L127" s="418"/>
      <c r="M127" s="65" t="s">
        <v>596</v>
      </c>
      <c r="N127" s="468">
        <v>485</v>
      </c>
      <c r="O127" s="418"/>
      <c r="P127" s="483">
        <f t="shared" si="32"/>
        <v>0</v>
      </c>
      <c r="Q127" s="483">
        <f t="shared" si="33"/>
        <v>0</v>
      </c>
    </row>
    <row r="128" spans="2:17" ht="12.75" customHeight="1" x14ac:dyDescent="0.2">
      <c r="B128" s="49"/>
      <c r="C128" s="63"/>
      <c r="D128" s="66"/>
      <c r="E128" s="66"/>
      <c r="F128" s="49"/>
      <c r="G128" s="111"/>
      <c r="H128" s="467"/>
      <c r="I128" s="418"/>
      <c r="J128" s="111"/>
      <c r="K128" s="49"/>
      <c r="L128" s="418"/>
      <c r="M128" s="111"/>
      <c r="N128" s="467"/>
      <c r="O128" s="418"/>
      <c r="P128" s="483"/>
      <c r="Q128" s="483"/>
    </row>
    <row r="129" spans="2:17" ht="12.75" customHeight="1" x14ac:dyDescent="0.2">
      <c r="B129" s="49"/>
      <c r="C129" s="63" t="s">
        <v>279</v>
      </c>
      <c r="D129" s="63" t="s">
        <v>398</v>
      </c>
      <c r="E129" s="66"/>
      <c r="F129" s="49"/>
      <c r="G129" s="111"/>
      <c r="H129" s="467"/>
      <c r="I129" s="418"/>
      <c r="J129" s="111"/>
      <c r="K129" s="49"/>
      <c r="L129" s="418"/>
      <c r="M129" s="111"/>
      <c r="N129" s="467"/>
      <c r="O129" s="418"/>
      <c r="P129" s="483"/>
      <c r="Q129" s="483"/>
    </row>
    <row r="130" spans="2:17" ht="12.75" customHeight="1" x14ac:dyDescent="0.2">
      <c r="B130" s="49"/>
      <c r="C130" s="63"/>
      <c r="D130" s="66" t="s">
        <v>277</v>
      </c>
      <c r="E130" s="66" t="s">
        <v>795</v>
      </c>
      <c r="F130" s="49" t="s">
        <v>275</v>
      </c>
      <c r="G130" s="65" t="s">
        <v>596</v>
      </c>
      <c r="H130" s="468">
        <v>600</v>
      </c>
      <c r="I130" s="418"/>
      <c r="J130" s="65" t="s">
        <v>596</v>
      </c>
      <c r="K130" s="49">
        <v>485</v>
      </c>
      <c r="L130" s="418"/>
      <c r="M130" s="65" t="s">
        <v>596</v>
      </c>
      <c r="N130" s="468">
        <v>485</v>
      </c>
      <c r="O130" s="418"/>
      <c r="P130" s="483">
        <f t="shared" si="32"/>
        <v>0</v>
      </c>
      <c r="Q130" s="483">
        <f t="shared" si="33"/>
        <v>0</v>
      </c>
    </row>
    <row r="131" spans="2:17" ht="12.75" customHeight="1" x14ac:dyDescent="0.2">
      <c r="B131" s="49"/>
      <c r="C131" s="63"/>
      <c r="D131" s="63"/>
      <c r="E131" s="121"/>
      <c r="F131" s="49"/>
      <c r="G131" s="111"/>
      <c r="H131" s="467"/>
      <c r="I131" s="418"/>
      <c r="J131" s="111"/>
      <c r="K131" s="49"/>
      <c r="L131" s="418"/>
      <c r="M131" s="111"/>
      <c r="N131" s="467"/>
      <c r="O131" s="418"/>
      <c r="P131" s="483"/>
      <c r="Q131" s="483"/>
    </row>
    <row r="132" spans="2:17" ht="12.75" customHeight="1" x14ac:dyDescent="0.2">
      <c r="B132" s="49"/>
      <c r="C132" s="63"/>
      <c r="D132" s="46" t="s">
        <v>124</v>
      </c>
      <c r="E132" s="46" t="s">
        <v>480</v>
      </c>
      <c r="F132" s="49" t="s">
        <v>275</v>
      </c>
      <c r="G132" s="65" t="s">
        <v>596</v>
      </c>
      <c r="H132" s="468">
        <v>600</v>
      </c>
      <c r="I132" s="418"/>
      <c r="J132" s="65" t="s">
        <v>596</v>
      </c>
      <c r="K132" s="49">
        <v>485</v>
      </c>
      <c r="L132" s="418"/>
      <c r="M132" s="65" t="s">
        <v>596</v>
      </c>
      <c r="N132" s="468">
        <v>485</v>
      </c>
      <c r="O132" s="418"/>
      <c r="P132" s="483">
        <f t="shared" si="32"/>
        <v>0</v>
      </c>
      <c r="Q132" s="483">
        <f t="shared" si="33"/>
        <v>0</v>
      </c>
    </row>
    <row r="133" spans="2:17" ht="12.75" customHeight="1" x14ac:dyDescent="0.2">
      <c r="B133" s="49"/>
      <c r="C133" s="63"/>
      <c r="D133" s="46"/>
      <c r="E133" s="46"/>
      <c r="F133" s="49"/>
      <c r="G133" s="111"/>
      <c r="H133" s="476"/>
      <c r="I133" s="418" t="str">
        <f t="shared" si="41"/>
        <v xml:space="preserve"> </v>
      </c>
      <c r="J133" s="111"/>
      <c r="K133" s="49"/>
      <c r="L133" s="418" t="str">
        <f t="shared" ref="L133" si="42">IF(J133=0," ",J133*K133)</f>
        <v xml:space="preserve"> </v>
      </c>
      <c r="M133" s="111"/>
      <c r="N133" s="476"/>
      <c r="O133" s="418" t="str">
        <f t="shared" ref="O133" si="43">IF(M133=0," ",M133*N133)</f>
        <v xml:space="preserve"> </v>
      </c>
      <c r="P133" s="483"/>
      <c r="Q133" s="483"/>
    </row>
    <row r="134" spans="2:17" ht="12.75" customHeight="1" x14ac:dyDescent="0.2">
      <c r="B134" s="49"/>
      <c r="C134" s="63"/>
      <c r="D134" s="46" t="s">
        <v>125</v>
      </c>
      <c r="E134" s="46" t="s">
        <v>796</v>
      </c>
      <c r="F134" s="49" t="s">
        <v>275</v>
      </c>
      <c r="G134" s="65" t="s">
        <v>596</v>
      </c>
      <c r="H134" s="477">
        <v>600</v>
      </c>
      <c r="I134" s="418"/>
      <c r="J134" s="65" t="s">
        <v>596</v>
      </c>
      <c r="K134" s="49">
        <v>450</v>
      </c>
      <c r="L134" s="418"/>
      <c r="M134" s="65" t="s">
        <v>596</v>
      </c>
      <c r="N134" s="477">
        <v>450</v>
      </c>
      <c r="O134" s="418"/>
      <c r="P134" s="483">
        <f t="shared" si="32"/>
        <v>0</v>
      </c>
      <c r="Q134" s="483">
        <f t="shared" si="33"/>
        <v>0</v>
      </c>
    </row>
    <row r="135" spans="2:17" ht="12.75" customHeight="1" x14ac:dyDescent="0.2">
      <c r="B135" s="49"/>
      <c r="C135" s="46"/>
      <c r="D135" s="50"/>
      <c r="E135" s="46"/>
      <c r="F135" s="49"/>
      <c r="G135" s="111"/>
      <c r="H135" s="476"/>
      <c r="I135" s="418" t="str">
        <f t="shared" si="41"/>
        <v xml:space="preserve"> </v>
      </c>
      <c r="J135" s="111"/>
      <c r="K135" s="49"/>
      <c r="L135" s="418" t="str">
        <f t="shared" ref="L135:L138" si="44">IF(J135=0," ",J135*K135)</f>
        <v xml:space="preserve"> </v>
      </c>
      <c r="M135" s="111"/>
      <c r="N135" s="476"/>
      <c r="O135" s="418" t="str">
        <f t="shared" ref="O135:O138" si="45">IF(M135=0," ",M135*N135)</f>
        <v xml:space="preserve"> </v>
      </c>
      <c r="P135" s="483"/>
      <c r="Q135" s="483"/>
    </row>
    <row r="136" spans="2:17" ht="12.75" customHeight="1" x14ac:dyDescent="0.2">
      <c r="B136" s="49"/>
      <c r="C136" s="46"/>
      <c r="D136" s="179" t="s">
        <v>784</v>
      </c>
      <c r="E136" s="179" t="s">
        <v>791</v>
      </c>
      <c r="F136" s="180" t="s">
        <v>841</v>
      </c>
      <c r="G136" s="181">
        <v>83</v>
      </c>
      <c r="H136" s="468">
        <v>600</v>
      </c>
      <c r="I136" s="418">
        <f t="shared" si="41"/>
        <v>49800</v>
      </c>
      <c r="J136" s="181">
        <v>83</v>
      </c>
      <c r="K136" s="49">
        <v>430</v>
      </c>
      <c r="L136" s="418">
        <f t="shared" si="44"/>
        <v>35690</v>
      </c>
      <c r="M136" s="181">
        <v>83</v>
      </c>
      <c r="N136" s="468">
        <v>430</v>
      </c>
      <c r="O136" s="418">
        <f t="shared" si="45"/>
        <v>35690</v>
      </c>
      <c r="P136" s="483">
        <f t="shared" si="32"/>
        <v>0</v>
      </c>
      <c r="Q136" s="483">
        <f t="shared" si="33"/>
        <v>0</v>
      </c>
    </row>
    <row r="137" spans="2:17" ht="12.75" customHeight="1" x14ac:dyDescent="0.2">
      <c r="B137" s="49"/>
      <c r="C137" s="46"/>
      <c r="D137" s="552"/>
      <c r="E137" s="553"/>
      <c r="F137" s="45"/>
      <c r="G137" s="49"/>
      <c r="H137" s="476"/>
      <c r="I137" s="418" t="str">
        <f t="shared" si="41"/>
        <v xml:space="preserve"> </v>
      </c>
      <c r="J137" s="49"/>
      <c r="K137" s="49"/>
      <c r="L137" s="418" t="str">
        <f t="shared" si="44"/>
        <v xml:space="preserve"> </v>
      </c>
      <c r="M137" s="49"/>
      <c r="N137" s="476"/>
      <c r="O137" s="418" t="str">
        <f t="shared" si="45"/>
        <v xml:space="preserve"> </v>
      </c>
      <c r="P137" s="49"/>
      <c r="Q137" s="49"/>
    </row>
    <row r="138" spans="2:17" ht="12.75" customHeight="1" x14ac:dyDescent="0.2">
      <c r="B138" s="49"/>
      <c r="C138" s="46"/>
      <c r="D138" s="46"/>
      <c r="E138" s="46"/>
      <c r="F138" s="45"/>
      <c r="G138" s="111"/>
      <c r="H138" s="476"/>
      <c r="I138" s="467" t="str">
        <f>IF(G138=0," ",G138*H138)</f>
        <v xml:space="preserve"> </v>
      </c>
      <c r="J138" s="111"/>
      <c r="K138" s="49"/>
      <c r="L138" s="467" t="str">
        <f t="shared" si="44"/>
        <v xml:space="preserve"> </v>
      </c>
      <c r="M138" s="111"/>
      <c r="N138" s="476"/>
      <c r="O138" s="467" t="str">
        <f t="shared" si="45"/>
        <v xml:space="preserve"> </v>
      </c>
      <c r="P138" s="49"/>
      <c r="Q138" s="49"/>
    </row>
    <row r="139" spans="2:17" ht="12.75" customHeight="1" x14ac:dyDescent="0.2">
      <c r="B139" s="49"/>
      <c r="C139" s="46"/>
      <c r="D139" s="46"/>
      <c r="E139" s="46"/>
      <c r="F139" s="45"/>
      <c r="G139" s="49"/>
      <c r="H139" s="476"/>
      <c r="I139" s="467"/>
      <c r="J139" s="49"/>
      <c r="K139" s="49"/>
      <c r="L139" s="467"/>
      <c r="M139" s="49"/>
      <c r="N139" s="476"/>
      <c r="O139" s="467"/>
      <c r="P139" s="49"/>
      <c r="Q139" s="49"/>
    </row>
    <row r="140" spans="2:17" ht="12.75" customHeight="1" x14ac:dyDescent="0.2">
      <c r="B140" s="49"/>
      <c r="C140" s="46"/>
      <c r="D140" s="46"/>
      <c r="E140" s="46"/>
      <c r="F140" s="45"/>
      <c r="G140" s="49"/>
      <c r="H140" s="476"/>
      <c r="I140" s="467"/>
      <c r="J140" s="49"/>
      <c r="K140" s="49"/>
      <c r="L140" s="467"/>
      <c r="M140" s="49"/>
      <c r="N140" s="476"/>
      <c r="O140" s="467"/>
      <c r="P140" s="49"/>
      <c r="Q140" s="49"/>
    </row>
    <row r="141" spans="2:17" ht="12.75" customHeight="1" x14ac:dyDescent="0.2">
      <c r="B141" s="49"/>
      <c r="C141" s="46"/>
      <c r="D141" s="46"/>
      <c r="E141" s="46"/>
      <c r="F141" s="45"/>
      <c r="G141" s="49"/>
      <c r="H141" s="476"/>
      <c r="I141" s="467"/>
      <c r="J141" s="49"/>
      <c r="K141" s="49"/>
      <c r="L141" s="467"/>
      <c r="M141" s="49"/>
      <c r="N141" s="476"/>
      <c r="O141" s="467"/>
      <c r="P141" s="49"/>
      <c r="Q141" s="49"/>
    </row>
    <row r="142" spans="2:17" ht="12.75" customHeight="1" x14ac:dyDescent="0.2">
      <c r="B142" s="49"/>
      <c r="C142" s="46"/>
      <c r="D142" s="46"/>
      <c r="E142" s="46"/>
      <c r="F142" s="45"/>
      <c r="G142" s="49"/>
      <c r="H142" s="476"/>
      <c r="I142" s="467"/>
      <c r="J142" s="49"/>
      <c r="K142" s="49"/>
      <c r="L142" s="467"/>
      <c r="M142" s="49"/>
      <c r="N142" s="476"/>
      <c r="O142" s="467"/>
      <c r="P142" s="49"/>
      <c r="Q142" s="49"/>
    </row>
    <row r="143" spans="2:17" ht="12.75" customHeight="1" x14ac:dyDescent="0.2">
      <c r="B143" s="49"/>
      <c r="C143" s="46"/>
      <c r="D143" s="46"/>
      <c r="E143" s="46"/>
      <c r="F143" s="45"/>
      <c r="G143" s="49"/>
      <c r="H143" s="476"/>
      <c r="I143" s="467"/>
      <c r="J143" s="49"/>
      <c r="K143" s="49"/>
      <c r="L143" s="467"/>
      <c r="M143" s="49"/>
      <c r="N143" s="476"/>
      <c r="O143" s="467"/>
      <c r="P143" s="49"/>
      <c r="Q143" s="49"/>
    </row>
    <row r="144" spans="2:17" ht="12.75" customHeight="1" x14ac:dyDescent="0.2">
      <c r="B144" s="49"/>
      <c r="C144" s="46"/>
      <c r="D144" s="46"/>
      <c r="E144" s="46"/>
      <c r="F144" s="45"/>
      <c r="G144" s="49"/>
      <c r="H144" s="476"/>
      <c r="I144" s="467"/>
      <c r="J144" s="49"/>
      <c r="K144" s="49"/>
      <c r="L144" s="467"/>
      <c r="M144" s="49"/>
      <c r="N144" s="476"/>
      <c r="O144" s="467"/>
      <c r="P144" s="49"/>
      <c r="Q144" s="49"/>
    </row>
    <row r="145" spans="2:18" ht="12.75" customHeight="1" x14ac:dyDescent="0.2">
      <c r="B145" s="49"/>
      <c r="C145" s="46"/>
      <c r="D145" s="46"/>
      <c r="E145" s="46"/>
      <c r="F145" s="45"/>
      <c r="G145" s="49"/>
      <c r="H145" s="476"/>
      <c r="I145" s="467"/>
      <c r="J145" s="49"/>
      <c r="K145" s="49"/>
      <c r="L145" s="467"/>
      <c r="M145" s="49"/>
      <c r="N145" s="476"/>
      <c r="O145" s="467"/>
      <c r="P145" s="49"/>
      <c r="Q145" s="49"/>
    </row>
    <row r="146" spans="2:18" ht="12.75" customHeight="1" x14ac:dyDescent="0.2">
      <c r="B146" s="49"/>
      <c r="C146" s="46"/>
      <c r="D146" s="46"/>
      <c r="E146" s="46"/>
      <c r="F146" s="45"/>
      <c r="G146" s="49"/>
      <c r="H146" s="476"/>
      <c r="I146" s="467"/>
      <c r="J146" s="49"/>
      <c r="K146" s="49"/>
      <c r="L146" s="467"/>
      <c r="M146" s="49"/>
      <c r="N146" s="476"/>
      <c r="O146" s="467"/>
      <c r="P146" s="49"/>
      <c r="Q146" s="49"/>
    </row>
    <row r="147" spans="2:18" ht="12.75" customHeight="1" x14ac:dyDescent="0.2">
      <c r="B147" s="49"/>
      <c r="C147" s="46"/>
      <c r="D147" s="46"/>
      <c r="E147" s="46"/>
      <c r="F147" s="45"/>
      <c r="G147" s="49"/>
      <c r="H147" s="476"/>
      <c r="I147" s="467"/>
      <c r="J147" s="49"/>
      <c r="K147" s="49"/>
      <c r="L147" s="467"/>
      <c r="M147" s="49"/>
      <c r="N147" s="476"/>
      <c r="O147" s="467"/>
      <c r="P147" s="49"/>
      <c r="Q147" s="49"/>
    </row>
    <row r="148" spans="2:18" ht="12.75" customHeight="1" x14ac:dyDescent="0.2">
      <c r="B148" s="49"/>
      <c r="C148" s="46"/>
      <c r="D148" s="46"/>
      <c r="E148" s="46"/>
      <c r="F148" s="45"/>
      <c r="G148" s="49"/>
      <c r="H148" s="476"/>
      <c r="I148" s="467"/>
      <c r="J148" s="49"/>
      <c r="K148" s="49"/>
      <c r="L148" s="467"/>
      <c r="M148" s="49"/>
      <c r="N148" s="476"/>
      <c r="O148" s="467"/>
      <c r="P148" s="49"/>
      <c r="Q148" s="49"/>
    </row>
    <row r="149" spans="2:18" ht="12.75" customHeight="1" x14ac:dyDescent="0.2">
      <c r="B149" s="49"/>
      <c r="C149" s="46"/>
      <c r="D149" s="46"/>
      <c r="E149" s="46"/>
      <c r="F149" s="45"/>
      <c r="G149" s="49"/>
      <c r="H149" s="476"/>
      <c r="I149" s="467"/>
      <c r="J149" s="49"/>
      <c r="K149" s="49"/>
      <c r="L149" s="467"/>
      <c r="M149" s="49"/>
      <c r="N149" s="476"/>
      <c r="O149" s="467"/>
      <c r="P149" s="49"/>
      <c r="Q149" s="49"/>
    </row>
    <row r="150" spans="2:18" s="73" customFormat="1" ht="12.75" customHeight="1" x14ac:dyDescent="0.2">
      <c r="B150" s="58"/>
      <c r="C150" s="46"/>
      <c r="D150" s="552"/>
      <c r="E150" s="553"/>
      <c r="F150" s="45"/>
      <c r="G150" s="49"/>
      <c r="H150" s="478"/>
      <c r="I150" s="467" t="str">
        <f>IF(G150=0," ",G150*H150)</f>
        <v xml:space="preserve"> </v>
      </c>
      <c r="J150" s="49"/>
      <c r="K150" s="49"/>
      <c r="L150" s="467" t="str">
        <f t="shared" ref="L150:L152" si="46">IF(J150=0," ",J150*K150)</f>
        <v xml:space="preserve"> </v>
      </c>
      <c r="M150" s="49"/>
      <c r="N150" s="478"/>
      <c r="O150" s="467" t="str">
        <f t="shared" ref="O150:O152" si="47">IF(M150=0," ",M150*N150)</f>
        <v xml:space="preserve"> </v>
      </c>
      <c r="P150" s="49"/>
      <c r="Q150" s="49"/>
      <c r="R150" s="77"/>
    </row>
    <row r="151" spans="2:18" s="73" customFormat="1" ht="12.75" customHeight="1" x14ac:dyDescent="0.2">
      <c r="B151" s="58"/>
      <c r="C151" s="46"/>
      <c r="D151" s="46"/>
      <c r="E151" s="46"/>
      <c r="F151" s="45"/>
      <c r="G151" s="111"/>
      <c r="H151" s="479"/>
      <c r="I151" s="467" t="str">
        <f>IF(G151=0," ",G151*H151)</f>
        <v xml:space="preserve"> </v>
      </c>
      <c r="J151" s="111"/>
      <c r="K151" s="49"/>
      <c r="L151" s="467" t="str">
        <f t="shared" si="46"/>
        <v xml:space="preserve"> </v>
      </c>
      <c r="M151" s="111"/>
      <c r="N151" s="479"/>
      <c r="O151" s="467" t="str">
        <f t="shared" si="47"/>
        <v xml:space="preserve"> </v>
      </c>
      <c r="P151" s="49"/>
      <c r="Q151" s="49"/>
      <c r="R151" s="77"/>
    </row>
    <row r="152" spans="2:18" s="73" customFormat="1" ht="12.75" customHeight="1" x14ac:dyDescent="0.2">
      <c r="B152" s="58"/>
      <c r="C152" s="46"/>
      <c r="D152" s="550"/>
      <c r="E152" s="551"/>
      <c r="F152" s="45"/>
      <c r="G152" s="49"/>
      <c r="H152" s="476"/>
      <c r="I152" s="467" t="str">
        <f>IF(G152=0," ",G152*H152)</f>
        <v xml:space="preserve"> </v>
      </c>
      <c r="J152" s="49"/>
      <c r="K152" s="49"/>
      <c r="L152" s="467" t="str">
        <f t="shared" si="46"/>
        <v xml:space="preserve"> </v>
      </c>
      <c r="M152" s="49"/>
      <c r="N152" s="476"/>
      <c r="O152" s="467" t="str">
        <f t="shared" si="47"/>
        <v xml:space="preserve"> </v>
      </c>
      <c r="P152" s="49"/>
      <c r="Q152" s="49"/>
      <c r="R152" s="77"/>
    </row>
    <row r="153" spans="2:18" s="73" customFormat="1" ht="12.75" customHeight="1" x14ac:dyDescent="0.2">
      <c r="B153" s="113"/>
      <c r="C153" s="46"/>
      <c r="D153" s="550"/>
      <c r="E153" s="551"/>
      <c r="F153" s="44"/>
      <c r="G153" s="114"/>
      <c r="H153" s="476"/>
      <c r="I153" s="480"/>
      <c r="J153" s="114"/>
      <c r="K153" s="49"/>
      <c r="L153" s="480"/>
      <c r="M153" s="114"/>
      <c r="N153" s="476"/>
      <c r="O153" s="480"/>
      <c r="P153" s="482"/>
      <c r="Q153" s="482"/>
      <c r="R153" s="77"/>
    </row>
    <row r="154" spans="2:18" ht="12.75" customHeight="1" x14ac:dyDescent="0.2">
      <c r="B154" s="101">
        <v>6200</v>
      </c>
      <c r="C154" s="102" t="s">
        <v>268</v>
      </c>
      <c r="D154" s="103"/>
      <c r="E154" s="198"/>
      <c r="F154" s="104"/>
      <c r="G154" s="105"/>
      <c r="H154" s="472"/>
      <c r="I154" s="473">
        <f>SUM(I88:I153)</f>
        <v>226200</v>
      </c>
      <c r="J154" s="105"/>
      <c r="K154" s="472"/>
      <c r="L154" s="473">
        <f t="shared" ref="L154" si="48">SUM(L88:L153)</f>
        <v>162110</v>
      </c>
      <c r="M154" s="105"/>
      <c r="N154" s="472"/>
      <c r="O154" s="473">
        <f>SUM(O88:O153)</f>
        <v>162110</v>
      </c>
      <c r="P154" s="473"/>
      <c r="Q154" s="473">
        <f t="shared" ref="Q154" si="49">SUM(Q88:Q153)</f>
        <v>0</v>
      </c>
    </row>
    <row r="155" spans="2:18" s="73" customFormat="1" ht="12.75" customHeight="1" x14ac:dyDescent="0.2">
      <c r="B155" s="71" t="s">
        <v>661</v>
      </c>
      <c r="C155" s="71"/>
      <c r="D155" s="96"/>
      <c r="E155" s="106"/>
      <c r="G155" s="74"/>
      <c r="H155" s="474"/>
      <c r="I155" s="474"/>
      <c r="J155" s="74"/>
      <c r="K155" s="474"/>
      <c r="L155" s="474"/>
      <c r="M155" s="74"/>
      <c r="N155" s="474"/>
      <c r="O155" s="474"/>
      <c r="R155" s="77"/>
    </row>
    <row r="156" spans="2:18" s="73" customFormat="1" ht="12.75" customHeight="1" x14ac:dyDescent="0.2">
      <c r="B156" s="71" t="s">
        <v>267</v>
      </c>
      <c r="C156" s="76"/>
      <c r="D156" s="57"/>
      <c r="E156" s="77"/>
      <c r="G156" s="74"/>
      <c r="H156" s="474"/>
      <c r="I156" s="474"/>
      <c r="J156" s="74"/>
      <c r="K156" s="474"/>
      <c r="L156" s="474"/>
      <c r="M156" s="74"/>
      <c r="N156" s="474"/>
      <c r="O156" s="474"/>
      <c r="R156" s="77"/>
    </row>
    <row r="157" spans="2:18" s="73" customFormat="1" ht="12.75" customHeight="1" x14ac:dyDescent="0.2">
      <c r="B157" s="107"/>
      <c r="C157" s="107"/>
      <c r="D157" s="108"/>
      <c r="E157" s="109"/>
      <c r="F157" s="83"/>
      <c r="G157" s="74"/>
      <c r="H157" s="475"/>
      <c r="I157" s="475"/>
      <c r="J157" s="74"/>
      <c r="K157" s="475"/>
      <c r="L157" s="475"/>
      <c r="M157" s="74"/>
      <c r="N157" s="475"/>
      <c r="O157" s="475"/>
      <c r="R157" s="77"/>
    </row>
    <row r="158" spans="2:18" s="73" customFormat="1" ht="12.75" customHeight="1" x14ac:dyDescent="0.2">
      <c r="B158" s="84" t="s">
        <v>263</v>
      </c>
      <c r="C158" s="85" t="s">
        <v>264</v>
      </c>
      <c r="D158" s="86"/>
      <c r="E158" s="87"/>
      <c r="F158" s="87" t="s">
        <v>265</v>
      </c>
      <c r="G158" s="88" t="s">
        <v>68</v>
      </c>
      <c r="H158" s="193"/>
      <c r="I158" s="193"/>
      <c r="J158" s="88" t="s">
        <v>68</v>
      </c>
      <c r="K158" s="193"/>
      <c r="L158" s="193"/>
      <c r="M158" s="88" t="s">
        <v>68</v>
      </c>
      <c r="N158" s="193"/>
      <c r="O158" s="193"/>
      <c r="P158" s="481"/>
      <c r="Q158" s="481"/>
      <c r="R158" s="77"/>
    </row>
    <row r="159" spans="2:18" s="73" customFormat="1" ht="12.75" customHeight="1" x14ac:dyDescent="0.2">
      <c r="B159" s="89" t="s">
        <v>266</v>
      </c>
      <c r="C159" s="90"/>
      <c r="D159" s="91"/>
      <c r="E159" s="92"/>
      <c r="F159" s="92"/>
      <c r="G159" s="93" t="s">
        <v>69</v>
      </c>
      <c r="H159" s="194" t="s">
        <v>262</v>
      </c>
      <c r="I159" s="194" t="s">
        <v>70</v>
      </c>
      <c r="J159" s="93" t="s">
        <v>69</v>
      </c>
      <c r="K159" s="194" t="s">
        <v>262</v>
      </c>
      <c r="L159" s="194" t="s">
        <v>70</v>
      </c>
      <c r="M159" s="93" t="s">
        <v>69</v>
      </c>
      <c r="N159" s="194" t="s">
        <v>262</v>
      </c>
      <c r="O159" s="194" t="s">
        <v>70</v>
      </c>
      <c r="P159" s="482" t="s">
        <v>70</v>
      </c>
      <c r="Q159" s="482" t="s">
        <v>70</v>
      </c>
      <c r="R159" s="77"/>
    </row>
    <row r="160" spans="2:18" s="73" customFormat="1" ht="12.75" customHeight="1" x14ac:dyDescent="0.2">
      <c r="B160" s="94"/>
      <c r="C160" s="76"/>
      <c r="D160" s="57"/>
      <c r="E160" s="67"/>
      <c r="F160" s="61"/>
      <c r="G160" s="55"/>
      <c r="H160" s="467"/>
      <c r="I160" s="467" t="str">
        <f>IF(G162=0," ",G162*H160)</f>
        <v xml:space="preserve"> </v>
      </c>
      <c r="J160" s="55"/>
      <c r="K160" s="49"/>
      <c r="L160" s="467" t="str">
        <f t="shared" ref="L160" si="50">IF(J162=0," ",J162*K160)</f>
        <v xml:space="preserve"> </v>
      </c>
      <c r="M160" s="55"/>
      <c r="N160" s="467"/>
      <c r="O160" s="467" t="str">
        <f t="shared" ref="O160" si="51">IF(M162=0," ",M162*N160)</f>
        <v xml:space="preserve"> </v>
      </c>
      <c r="P160" s="481"/>
      <c r="Q160" s="481"/>
      <c r="R160" s="77"/>
    </row>
    <row r="161" spans="2:18" s="73" customFormat="1" ht="12.75" customHeight="1" x14ac:dyDescent="0.2">
      <c r="B161" s="95">
        <v>6300</v>
      </c>
      <c r="C161" s="71" t="s">
        <v>399</v>
      </c>
      <c r="D161" s="96"/>
      <c r="E161" s="97"/>
      <c r="F161" s="61"/>
      <c r="G161" s="55"/>
      <c r="H161" s="467"/>
      <c r="I161" s="467" t="str">
        <f t="shared" ref="H161:I178" si="52">IF(G161=0," ",G161*H161)</f>
        <v xml:space="preserve"> </v>
      </c>
      <c r="J161" s="55"/>
      <c r="K161" s="49"/>
      <c r="L161" s="467" t="str">
        <f t="shared" ref="L161:L164" si="53">IF(J161=0," ",J161*K161)</f>
        <v xml:space="preserve"> </v>
      </c>
      <c r="M161" s="55"/>
      <c r="N161" s="467"/>
      <c r="O161" s="467" t="str">
        <f t="shared" ref="O161:O164" si="54">IF(M161=0," ",M161*N161)</f>
        <v xml:space="preserve"> </v>
      </c>
      <c r="P161" s="49"/>
      <c r="Q161" s="49"/>
      <c r="R161" s="77"/>
    </row>
    <row r="162" spans="2:18" s="73" customFormat="1" ht="12.75" customHeight="1" x14ac:dyDescent="0.2">
      <c r="B162" s="49"/>
      <c r="C162" s="71"/>
      <c r="D162" s="96"/>
      <c r="E162" s="97"/>
      <c r="F162" s="61"/>
      <c r="G162" s="55"/>
      <c r="H162" s="467"/>
      <c r="I162" s="467" t="str">
        <f t="shared" si="52"/>
        <v xml:space="preserve"> </v>
      </c>
      <c r="J162" s="55"/>
      <c r="K162" s="49"/>
      <c r="L162" s="467" t="str">
        <f t="shared" si="53"/>
        <v xml:space="preserve"> </v>
      </c>
      <c r="M162" s="55"/>
      <c r="N162" s="467"/>
      <c r="O162" s="467" t="str">
        <f t="shared" si="54"/>
        <v xml:space="preserve"> </v>
      </c>
      <c r="P162" s="49"/>
      <c r="Q162" s="49"/>
      <c r="R162" s="77"/>
    </row>
    <row r="163" spans="2:18" ht="12.75" customHeight="1" x14ac:dyDescent="0.2">
      <c r="B163" s="49">
        <v>63.01</v>
      </c>
      <c r="C163" s="76" t="s">
        <v>400</v>
      </c>
      <c r="D163" s="68"/>
      <c r="E163" s="76"/>
      <c r="F163" s="49"/>
      <c r="G163" s="110"/>
      <c r="H163" s="467"/>
      <c r="I163" s="467" t="str">
        <f t="shared" si="52"/>
        <v xml:space="preserve"> </v>
      </c>
      <c r="J163" s="110"/>
      <c r="K163" s="49"/>
      <c r="L163" s="467" t="str">
        <f t="shared" si="53"/>
        <v xml:space="preserve"> </v>
      </c>
      <c r="M163" s="110"/>
      <c r="N163" s="467"/>
      <c r="O163" s="467" t="str">
        <f t="shared" si="54"/>
        <v xml:space="preserve"> </v>
      </c>
      <c r="P163" s="49"/>
      <c r="Q163" s="49"/>
    </row>
    <row r="164" spans="2:18" ht="12.75" customHeight="1" x14ac:dyDescent="0.2">
      <c r="B164" s="49"/>
      <c r="C164" s="46" t="s">
        <v>278</v>
      </c>
      <c r="D164" s="46" t="s">
        <v>615</v>
      </c>
      <c r="E164" s="46"/>
      <c r="F164" s="49"/>
      <c r="G164" s="61"/>
      <c r="H164" s="476"/>
      <c r="I164" s="467" t="str">
        <f t="shared" si="52"/>
        <v xml:space="preserve"> </v>
      </c>
      <c r="J164" s="61"/>
      <c r="K164" s="49"/>
      <c r="L164" s="467" t="str">
        <f t="shared" si="53"/>
        <v xml:space="preserve"> </v>
      </c>
      <c r="M164" s="61"/>
      <c r="N164" s="476"/>
      <c r="O164" s="467" t="str">
        <f t="shared" si="54"/>
        <v xml:space="preserve"> </v>
      </c>
      <c r="P164" s="49"/>
      <c r="Q164" s="49"/>
    </row>
    <row r="165" spans="2:18" ht="12.75" customHeight="1" x14ac:dyDescent="0.2">
      <c r="B165" s="49"/>
      <c r="C165" s="46"/>
      <c r="D165" s="46" t="s">
        <v>277</v>
      </c>
      <c r="E165" s="46" t="s">
        <v>194</v>
      </c>
      <c r="F165" s="49" t="s">
        <v>317</v>
      </c>
      <c r="G165" s="65" t="s">
        <v>596</v>
      </c>
      <c r="H165" s="468">
        <v>18000</v>
      </c>
      <c r="I165" s="418"/>
      <c r="J165" s="65" t="s">
        <v>596</v>
      </c>
      <c r="K165" s="49">
        <v>19500</v>
      </c>
      <c r="L165" s="418"/>
      <c r="M165" s="65" t="s">
        <v>596</v>
      </c>
      <c r="N165" s="468">
        <v>19500</v>
      </c>
      <c r="O165" s="418"/>
      <c r="P165" s="483">
        <f>K165-N165</f>
        <v>0</v>
      </c>
      <c r="Q165" s="483">
        <f>L165-O165</f>
        <v>0</v>
      </c>
    </row>
    <row r="166" spans="2:18" ht="12.75" customHeight="1" x14ac:dyDescent="0.2">
      <c r="B166" s="49"/>
      <c r="C166" s="46"/>
      <c r="D166" s="46"/>
      <c r="E166" s="46"/>
      <c r="F166" s="49"/>
      <c r="G166" s="61"/>
      <c r="H166" s="467" t="str">
        <f t="shared" si="52"/>
        <v xml:space="preserve"> </v>
      </c>
      <c r="I166" s="418" t="str">
        <f t="shared" si="52"/>
        <v xml:space="preserve"> </v>
      </c>
      <c r="J166" s="61"/>
      <c r="K166" s="49"/>
      <c r="L166" s="418" t="str">
        <f t="shared" ref="L166" si="55">IF(J166=0," ",J166*K166)</f>
        <v xml:space="preserve"> </v>
      </c>
      <c r="M166" s="61"/>
      <c r="N166" s="467"/>
      <c r="O166" s="418" t="str">
        <f t="shared" ref="O166" si="56">IF(M166=0," ",M166*N166)</f>
        <v xml:space="preserve"> </v>
      </c>
      <c r="P166" s="483"/>
      <c r="Q166" s="483"/>
    </row>
    <row r="167" spans="2:18" ht="12.75" customHeight="1" x14ac:dyDescent="0.2">
      <c r="B167" s="49"/>
      <c r="C167" s="46"/>
      <c r="D167" s="46" t="s">
        <v>124</v>
      </c>
      <c r="E167" s="46" t="s">
        <v>598</v>
      </c>
      <c r="F167" s="49" t="s">
        <v>317</v>
      </c>
      <c r="G167" s="65" t="s">
        <v>596</v>
      </c>
      <c r="H167" s="468">
        <v>18000</v>
      </c>
      <c r="I167" s="418"/>
      <c r="J167" s="65" t="s">
        <v>596</v>
      </c>
      <c r="K167" s="49">
        <v>19500</v>
      </c>
      <c r="L167" s="418"/>
      <c r="M167" s="65" t="s">
        <v>596</v>
      </c>
      <c r="N167" s="468">
        <v>19500</v>
      </c>
      <c r="O167" s="418"/>
      <c r="P167" s="483">
        <f t="shared" ref="P167:P199" si="57">K167-N167</f>
        <v>0</v>
      </c>
      <c r="Q167" s="483">
        <f t="shared" ref="Q167:Q199" si="58">L167-O167</f>
        <v>0</v>
      </c>
    </row>
    <row r="168" spans="2:18" ht="12.75" customHeight="1" x14ac:dyDescent="0.2">
      <c r="B168" s="49"/>
      <c r="C168" s="76"/>
      <c r="D168" s="50"/>
      <c r="E168" s="76"/>
      <c r="F168" s="49"/>
      <c r="G168" s="61"/>
      <c r="H168" s="467" t="str">
        <f t="shared" si="52"/>
        <v xml:space="preserve"> </v>
      </c>
      <c r="I168" s="418" t="str">
        <f t="shared" si="52"/>
        <v xml:space="preserve"> </v>
      </c>
      <c r="J168" s="61"/>
      <c r="K168" s="49"/>
      <c r="L168" s="418" t="str">
        <f t="shared" ref="L168:L176" si="59">IF(J168=0," ",J168*K168)</f>
        <v xml:space="preserve"> </v>
      </c>
      <c r="M168" s="61"/>
      <c r="N168" s="467"/>
      <c r="O168" s="418" t="str">
        <f t="shared" ref="O168:O176" si="60">IF(M168=0," ",M168*N168)</f>
        <v xml:space="preserve"> </v>
      </c>
      <c r="P168" s="483"/>
      <c r="Q168" s="483"/>
    </row>
    <row r="169" spans="2:18" ht="12.75" customHeight="1" x14ac:dyDescent="0.2">
      <c r="B169" s="49"/>
      <c r="C169" s="46" t="s">
        <v>279</v>
      </c>
      <c r="D169" s="50" t="s">
        <v>614</v>
      </c>
      <c r="E169" s="76"/>
      <c r="F169" s="49"/>
      <c r="G169" s="55"/>
      <c r="H169" s="467" t="str">
        <f t="shared" si="52"/>
        <v xml:space="preserve"> </v>
      </c>
      <c r="I169" s="418" t="str">
        <f t="shared" si="52"/>
        <v xml:space="preserve"> </v>
      </c>
      <c r="J169" s="55"/>
      <c r="K169" s="49"/>
      <c r="L169" s="418" t="str">
        <f t="shared" si="59"/>
        <v xml:space="preserve"> </v>
      </c>
      <c r="M169" s="55"/>
      <c r="N169" s="467"/>
      <c r="O169" s="418" t="str">
        <f t="shared" si="60"/>
        <v xml:space="preserve"> </v>
      </c>
      <c r="P169" s="483"/>
      <c r="Q169" s="483"/>
    </row>
    <row r="170" spans="2:18" ht="12.75" customHeight="1" x14ac:dyDescent="0.2">
      <c r="B170" s="49"/>
      <c r="C170" s="46"/>
      <c r="D170" s="46" t="s">
        <v>277</v>
      </c>
      <c r="E170" s="46" t="s">
        <v>194</v>
      </c>
      <c r="F170" s="49" t="s">
        <v>317</v>
      </c>
      <c r="G170" s="184">
        <v>2</v>
      </c>
      <c r="H170" s="468">
        <v>18000</v>
      </c>
      <c r="I170" s="418">
        <f t="shared" si="52"/>
        <v>36000</v>
      </c>
      <c r="J170" s="184">
        <v>2</v>
      </c>
      <c r="K170" s="49">
        <v>19500</v>
      </c>
      <c r="L170" s="418">
        <f t="shared" si="59"/>
        <v>39000</v>
      </c>
      <c r="M170" s="184">
        <v>2</v>
      </c>
      <c r="N170" s="468">
        <v>19000</v>
      </c>
      <c r="O170" s="418">
        <f t="shared" si="60"/>
        <v>38000</v>
      </c>
      <c r="P170" s="486">
        <f t="shared" si="57"/>
        <v>500</v>
      </c>
      <c r="Q170" s="486">
        <f t="shared" si="58"/>
        <v>1000</v>
      </c>
    </row>
    <row r="171" spans="2:18" ht="12.75" customHeight="1" x14ac:dyDescent="0.2">
      <c r="B171" s="49"/>
      <c r="C171" s="46"/>
      <c r="D171" s="46"/>
      <c r="E171" s="46"/>
      <c r="F171" s="49"/>
      <c r="G171" s="111"/>
      <c r="H171" s="467" t="str">
        <f t="shared" si="52"/>
        <v xml:space="preserve"> </v>
      </c>
      <c r="I171" s="418" t="str">
        <f t="shared" si="52"/>
        <v xml:space="preserve"> </v>
      </c>
      <c r="J171" s="111"/>
      <c r="K171" s="49"/>
      <c r="L171" s="418" t="str">
        <f t="shared" si="59"/>
        <v xml:space="preserve"> </v>
      </c>
      <c r="M171" s="111"/>
      <c r="N171" s="467"/>
      <c r="O171" s="418" t="str">
        <f t="shared" si="60"/>
        <v xml:space="preserve"> </v>
      </c>
      <c r="P171" s="486"/>
      <c r="Q171" s="486"/>
    </row>
    <row r="172" spans="2:18" ht="12.75" customHeight="1" x14ac:dyDescent="0.2">
      <c r="B172" s="49"/>
      <c r="C172" s="46"/>
      <c r="D172" s="46" t="s">
        <v>124</v>
      </c>
      <c r="E172" s="46" t="s">
        <v>598</v>
      </c>
      <c r="F172" s="49" t="s">
        <v>317</v>
      </c>
      <c r="G172" s="184">
        <v>5</v>
      </c>
      <c r="H172" s="468">
        <v>18000</v>
      </c>
      <c r="I172" s="418">
        <f t="shared" si="52"/>
        <v>90000</v>
      </c>
      <c r="J172" s="184">
        <v>5</v>
      </c>
      <c r="K172" s="49">
        <v>19500</v>
      </c>
      <c r="L172" s="418">
        <f t="shared" si="59"/>
        <v>97500</v>
      </c>
      <c r="M172" s="184">
        <v>5</v>
      </c>
      <c r="N172" s="468">
        <v>19000</v>
      </c>
      <c r="O172" s="418">
        <f t="shared" si="60"/>
        <v>95000</v>
      </c>
      <c r="P172" s="486">
        <f t="shared" si="57"/>
        <v>500</v>
      </c>
      <c r="Q172" s="486">
        <f t="shared" si="58"/>
        <v>2500</v>
      </c>
    </row>
    <row r="173" spans="2:18" ht="12.75" customHeight="1" x14ac:dyDescent="0.2">
      <c r="B173" s="49"/>
      <c r="C173" s="46"/>
      <c r="D173" s="50"/>
      <c r="E173" s="51"/>
      <c r="F173" s="49"/>
      <c r="G173" s="111"/>
      <c r="H173" s="467" t="str">
        <f t="shared" si="52"/>
        <v xml:space="preserve"> </v>
      </c>
      <c r="I173" s="418" t="str">
        <f t="shared" si="52"/>
        <v xml:space="preserve"> </v>
      </c>
      <c r="J173" s="111"/>
      <c r="K173" s="49"/>
      <c r="L173" s="418" t="str">
        <f t="shared" si="59"/>
        <v xml:space="preserve"> </v>
      </c>
      <c r="M173" s="111"/>
      <c r="N173" s="467"/>
      <c r="O173" s="418" t="str">
        <f t="shared" si="60"/>
        <v xml:space="preserve"> </v>
      </c>
      <c r="P173" s="483"/>
      <c r="Q173" s="483"/>
    </row>
    <row r="174" spans="2:18" ht="12.75" customHeight="1" x14ac:dyDescent="0.2">
      <c r="B174" s="49"/>
      <c r="C174" s="46"/>
      <c r="D174" s="50" t="s">
        <v>125</v>
      </c>
      <c r="E174" s="222" t="s">
        <v>196</v>
      </c>
      <c r="F174" s="39" t="s">
        <v>318</v>
      </c>
      <c r="G174" s="40">
        <v>300</v>
      </c>
      <c r="H174" s="468">
        <v>30</v>
      </c>
      <c r="I174" s="418">
        <f t="shared" si="52"/>
        <v>9000</v>
      </c>
      <c r="J174" s="40">
        <v>300</v>
      </c>
      <c r="K174" s="49">
        <v>35</v>
      </c>
      <c r="L174" s="418">
        <f t="shared" si="59"/>
        <v>10500</v>
      </c>
      <c r="M174" s="40">
        <v>300</v>
      </c>
      <c r="N174" s="468">
        <v>35</v>
      </c>
      <c r="O174" s="418">
        <f t="shared" si="60"/>
        <v>10500</v>
      </c>
      <c r="P174" s="483">
        <f t="shared" si="57"/>
        <v>0</v>
      </c>
      <c r="Q174" s="483">
        <f t="shared" si="58"/>
        <v>0</v>
      </c>
    </row>
    <row r="175" spans="2:18" ht="12.75" customHeight="1" x14ac:dyDescent="0.2">
      <c r="B175" s="49"/>
      <c r="C175" s="46"/>
      <c r="D175" s="50"/>
      <c r="E175" s="50"/>
      <c r="F175" s="49"/>
      <c r="G175" s="61"/>
      <c r="H175" s="467"/>
      <c r="I175" s="418" t="str">
        <f t="shared" si="52"/>
        <v xml:space="preserve"> </v>
      </c>
      <c r="J175" s="61"/>
      <c r="K175" s="49"/>
      <c r="L175" s="418" t="str">
        <f t="shared" si="59"/>
        <v xml:space="preserve"> </v>
      </c>
      <c r="M175" s="61"/>
      <c r="N175" s="467"/>
      <c r="O175" s="418" t="str">
        <f t="shared" si="60"/>
        <v xml:space="preserve"> </v>
      </c>
      <c r="P175" s="483"/>
      <c r="Q175" s="483"/>
    </row>
    <row r="176" spans="2:18" ht="12.75" customHeight="1" x14ac:dyDescent="0.2">
      <c r="B176" s="49"/>
      <c r="C176" s="63" t="s">
        <v>276</v>
      </c>
      <c r="D176" s="63" t="s">
        <v>798</v>
      </c>
      <c r="E176" s="63"/>
      <c r="F176" s="49"/>
      <c r="G176" s="111"/>
      <c r="H176" s="467" t="str">
        <f>IF(F176=0," ",F176*G176)</f>
        <v xml:space="preserve"> </v>
      </c>
      <c r="I176" s="418" t="str">
        <f t="shared" si="52"/>
        <v xml:space="preserve"> </v>
      </c>
      <c r="J176" s="111"/>
      <c r="K176" s="49"/>
      <c r="L176" s="418" t="str">
        <f t="shared" si="59"/>
        <v xml:space="preserve"> </v>
      </c>
      <c r="M176" s="111"/>
      <c r="N176" s="467"/>
      <c r="O176" s="418" t="str">
        <f t="shared" si="60"/>
        <v xml:space="preserve"> </v>
      </c>
      <c r="P176" s="483"/>
      <c r="Q176" s="483"/>
    </row>
    <row r="177" spans="2:17" ht="12.75" customHeight="1" x14ac:dyDescent="0.2">
      <c r="B177" s="49"/>
      <c r="C177" s="63"/>
      <c r="D177" s="63" t="s">
        <v>277</v>
      </c>
      <c r="E177" s="63" t="s">
        <v>194</v>
      </c>
      <c r="F177" s="49" t="s">
        <v>317</v>
      </c>
      <c r="G177" s="65" t="s">
        <v>596</v>
      </c>
      <c r="H177" s="468">
        <v>18000</v>
      </c>
      <c r="I177" s="418"/>
      <c r="J177" s="65" t="s">
        <v>596</v>
      </c>
      <c r="K177" s="49">
        <v>19500</v>
      </c>
      <c r="L177" s="418"/>
      <c r="M177" s="65" t="s">
        <v>596</v>
      </c>
      <c r="N177" s="468">
        <v>19500</v>
      </c>
      <c r="O177" s="418"/>
      <c r="P177" s="483">
        <f t="shared" si="57"/>
        <v>0</v>
      </c>
      <c r="Q177" s="483">
        <f t="shared" si="58"/>
        <v>0</v>
      </c>
    </row>
    <row r="178" spans="2:17" ht="12.75" customHeight="1" x14ac:dyDescent="0.2">
      <c r="B178" s="49"/>
      <c r="C178" s="63"/>
      <c r="D178" s="63"/>
      <c r="E178" s="63"/>
      <c r="F178" s="49"/>
      <c r="G178" s="61"/>
      <c r="H178" s="467" t="str">
        <f t="shared" si="52"/>
        <v xml:space="preserve"> </v>
      </c>
      <c r="I178" s="418" t="str">
        <f t="shared" ref="I178:I201" si="61">IF(G178=0," ",G178*H178)</f>
        <v xml:space="preserve"> </v>
      </c>
      <c r="J178" s="61"/>
      <c r="K178" s="49"/>
      <c r="L178" s="418" t="str">
        <f t="shared" ref="L178:L181" si="62">IF(J178=0," ",J178*K178)</f>
        <v xml:space="preserve"> </v>
      </c>
      <c r="M178" s="61"/>
      <c r="N178" s="467"/>
      <c r="O178" s="418" t="str">
        <f t="shared" ref="O178:O181" si="63">IF(M178=0," ",M178*N178)</f>
        <v xml:space="preserve"> </v>
      </c>
      <c r="P178" s="483"/>
      <c r="Q178" s="483"/>
    </row>
    <row r="179" spans="2:17" ht="12.75" customHeight="1" x14ac:dyDescent="0.2">
      <c r="B179" s="49"/>
      <c r="C179" s="63"/>
      <c r="D179" s="63" t="s">
        <v>124</v>
      </c>
      <c r="E179" s="63" t="s">
        <v>598</v>
      </c>
      <c r="F179" s="49" t="s">
        <v>317</v>
      </c>
      <c r="G179" s="61">
        <v>1</v>
      </c>
      <c r="H179" s="468">
        <v>18000</v>
      </c>
      <c r="I179" s="418">
        <f t="shared" si="61"/>
        <v>18000</v>
      </c>
      <c r="J179" s="61">
        <v>1</v>
      </c>
      <c r="K179" s="49">
        <v>19000</v>
      </c>
      <c r="L179" s="418">
        <f t="shared" si="62"/>
        <v>19000</v>
      </c>
      <c r="M179" s="61">
        <v>1</v>
      </c>
      <c r="N179" s="468">
        <v>19000</v>
      </c>
      <c r="O179" s="418">
        <f t="shared" si="63"/>
        <v>19000</v>
      </c>
      <c r="P179" s="486">
        <f t="shared" si="57"/>
        <v>0</v>
      </c>
      <c r="Q179" s="486">
        <f t="shared" si="58"/>
        <v>0</v>
      </c>
    </row>
    <row r="180" spans="2:17" ht="12.75" customHeight="1" x14ac:dyDescent="0.2">
      <c r="B180" s="49"/>
      <c r="C180" s="35"/>
      <c r="D180" s="66"/>
      <c r="E180" s="35"/>
      <c r="F180" s="49"/>
      <c r="G180" s="61"/>
      <c r="H180" s="467"/>
      <c r="I180" s="418" t="str">
        <f t="shared" si="61"/>
        <v xml:space="preserve"> </v>
      </c>
      <c r="J180" s="61"/>
      <c r="K180" s="49"/>
      <c r="L180" s="418" t="str">
        <f t="shared" si="62"/>
        <v xml:space="preserve"> </v>
      </c>
      <c r="M180" s="61"/>
      <c r="N180" s="467"/>
      <c r="O180" s="418" t="str">
        <f t="shared" si="63"/>
        <v xml:space="preserve"> </v>
      </c>
      <c r="P180" s="483"/>
      <c r="Q180" s="483"/>
    </row>
    <row r="181" spans="2:17" ht="12.75" customHeight="1" x14ac:dyDescent="0.2">
      <c r="B181" s="49"/>
      <c r="C181" s="63" t="s">
        <v>281</v>
      </c>
      <c r="D181" s="63" t="s">
        <v>799</v>
      </c>
      <c r="E181" s="63"/>
      <c r="F181" s="49"/>
      <c r="G181" s="61"/>
      <c r="H181" s="467"/>
      <c r="I181" s="418" t="str">
        <f t="shared" si="61"/>
        <v xml:space="preserve"> </v>
      </c>
      <c r="J181" s="61"/>
      <c r="K181" s="49"/>
      <c r="L181" s="418" t="str">
        <f t="shared" si="62"/>
        <v xml:space="preserve"> </v>
      </c>
      <c r="M181" s="61"/>
      <c r="N181" s="467"/>
      <c r="O181" s="418" t="str">
        <f t="shared" si="63"/>
        <v xml:space="preserve"> </v>
      </c>
      <c r="P181" s="483"/>
      <c r="Q181" s="483"/>
    </row>
    <row r="182" spans="2:17" ht="12.75" customHeight="1" x14ac:dyDescent="0.2">
      <c r="B182" s="49"/>
      <c r="C182" s="63"/>
      <c r="D182" s="63" t="s">
        <v>277</v>
      </c>
      <c r="E182" s="63" t="s">
        <v>194</v>
      </c>
      <c r="F182" s="49" t="s">
        <v>317</v>
      </c>
      <c r="G182" s="65" t="s">
        <v>596</v>
      </c>
      <c r="H182" s="468">
        <v>18000</v>
      </c>
      <c r="I182" s="418"/>
      <c r="J182" s="65" t="s">
        <v>596</v>
      </c>
      <c r="K182" s="49">
        <v>19500</v>
      </c>
      <c r="L182" s="418"/>
      <c r="M182" s="65" t="s">
        <v>596</v>
      </c>
      <c r="N182" s="468">
        <v>19500</v>
      </c>
      <c r="O182" s="418"/>
      <c r="P182" s="483">
        <f t="shared" si="57"/>
        <v>0</v>
      </c>
      <c r="Q182" s="483">
        <f t="shared" si="58"/>
        <v>0</v>
      </c>
    </row>
    <row r="183" spans="2:17" ht="12.75" customHeight="1" x14ac:dyDescent="0.2">
      <c r="B183" s="49"/>
      <c r="C183" s="63"/>
      <c r="D183" s="63"/>
      <c r="E183" s="63"/>
      <c r="F183" s="49"/>
      <c r="G183" s="61"/>
      <c r="H183" s="467" t="str">
        <f t="shared" ref="H183" si="64">IF(F183=0," ",F183*G183)</f>
        <v xml:space="preserve"> </v>
      </c>
      <c r="I183" s="418"/>
      <c r="J183" s="61"/>
      <c r="K183" s="49" t="str">
        <f t="shared" ref="K183" si="65">IF(I183=0," ",I183*J183)</f>
        <v xml:space="preserve"> </v>
      </c>
      <c r="L183" s="418"/>
      <c r="M183" s="61"/>
      <c r="N183" s="467"/>
      <c r="O183" s="418"/>
      <c r="P183" s="483"/>
      <c r="Q183" s="483"/>
    </row>
    <row r="184" spans="2:17" ht="12.75" customHeight="1" x14ac:dyDescent="0.2">
      <c r="B184" s="49"/>
      <c r="C184" s="63"/>
      <c r="D184" s="63" t="s">
        <v>124</v>
      </c>
      <c r="E184" s="63" t="s">
        <v>598</v>
      </c>
      <c r="F184" s="49" t="s">
        <v>317</v>
      </c>
      <c r="G184" s="65" t="s">
        <v>596</v>
      </c>
      <c r="H184" s="468">
        <v>18000</v>
      </c>
      <c r="I184" s="418"/>
      <c r="J184" s="65" t="s">
        <v>596</v>
      </c>
      <c r="K184" s="49">
        <v>19500</v>
      </c>
      <c r="L184" s="418"/>
      <c r="M184" s="65" t="s">
        <v>596</v>
      </c>
      <c r="N184" s="468">
        <v>19500</v>
      </c>
      <c r="O184" s="418"/>
      <c r="P184" s="483">
        <f t="shared" si="57"/>
        <v>0</v>
      </c>
      <c r="Q184" s="483">
        <f t="shared" si="58"/>
        <v>0</v>
      </c>
    </row>
    <row r="185" spans="2:17" ht="12.75" customHeight="1" x14ac:dyDescent="0.2">
      <c r="B185" s="49"/>
      <c r="C185" s="63"/>
      <c r="D185" s="66"/>
      <c r="E185" s="66"/>
      <c r="F185" s="49"/>
      <c r="G185" s="61"/>
      <c r="H185" s="467"/>
      <c r="I185" s="418"/>
      <c r="J185" s="61"/>
      <c r="K185" s="49"/>
      <c r="L185" s="418"/>
      <c r="M185" s="61"/>
      <c r="N185" s="467"/>
      <c r="O185" s="418"/>
      <c r="P185" s="483"/>
      <c r="Q185" s="483"/>
    </row>
    <row r="186" spans="2:17" ht="12.75" customHeight="1" x14ac:dyDescent="0.2">
      <c r="B186" s="49"/>
      <c r="C186" s="63" t="s">
        <v>282</v>
      </c>
      <c r="D186" s="66" t="s">
        <v>800</v>
      </c>
      <c r="E186" s="66"/>
      <c r="F186" s="49"/>
      <c r="G186" s="49"/>
      <c r="H186" s="467"/>
      <c r="I186" s="418" t="str">
        <f t="shared" si="61"/>
        <v xml:space="preserve"> </v>
      </c>
      <c r="J186" s="49"/>
      <c r="K186" s="49"/>
      <c r="L186" s="418" t="str">
        <f t="shared" ref="L186" si="66">IF(J186=0," ",J186*K186)</f>
        <v xml:space="preserve"> </v>
      </c>
      <c r="M186" s="49"/>
      <c r="N186" s="467"/>
      <c r="O186" s="418" t="str">
        <f t="shared" ref="O186" si="67">IF(M186=0," ",M186*N186)</f>
        <v xml:space="preserve"> </v>
      </c>
      <c r="P186" s="483"/>
      <c r="Q186" s="483"/>
    </row>
    <row r="187" spans="2:17" ht="12.75" customHeight="1" x14ac:dyDescent="0.2">
      <c r="B187" s="49"/>
      <c r="C187" s="63"/>
      <c r="D187" s="63" t="s">
        <v>277</v>
      </c>
      <c r="E187" s="63" t="s">
        <v>194</v>
      </c>
      <c r="F187" s="49" t="s">
        <v>317</v>
      </c>
      <c r="G187" s="65" t="s">
        <v>596</v>
      </c>
      <c r="H187" s="468">
        <v>18000</v>
      </c>
      <c r="I187" s="418"/>
      <c r="J187" s="65" t="s">
        <v>596</v>
      </c>
      <c r="K187" s="49">
        <v>19500</v>
      </c>
      <c r="L187" s="418"/>
      <c r="M187" s="65" t="s">
        <v>596</v>
      </c>
      <c r="N187" s="468">
        <v>19500</v>
      </c>
      <c r="O187" s="418"/>
      <c r="P187" s="483">
        <f t="shared" si="57"/>
        <v>0</v>
      </c>
      <c r="Q187" s="483">
        <f t="shared" si="58"/>
        <v>0</v>
      </c>
    </row>
    <row r="188" spans="2:17" ht="12.75" customHeight="1" x14ac:dyDescent="0.2">
      <c r="B188" s="49"/>
      <c r="C188" s="63"/>
      <c r="D188" s="63"/>
      <c r="E188" s="63"/>
      <c r="F188" s="45"/>
      <c r="G188" s="111"/>
      <c r="H188" s="467" t="str">
        <f t="shared" ref="H188" si="68">IF(F188=0," ",F188*G188)</f>
        <v xml:space="preserve"> </v>
      </c>
      <c r="I188" s="418" t="str">
        <f t="shared" si="61"/>
        <v xml:space="preserve"> </v>
      </c>
      <c r="J188" s="111"/>
      <c r="K188" s="49"/>
      <c r="L188" s="418" t="str">
        <f t="shared" ref="L188" si="69">IF(J188=0," ",J188*K188)</f>
        <v xml:space="preserve"> </v>
      </c>
      <c r="M188" s="111"/>
      <c r="N188" s="467"/>
      <c r="O188" s="418" t="str">
        <f t="shared" ref="O188" si="70">IF(M188=0," ",M188*N188)</f>
        <v xml:space="preserve"> </v>
      </c>
      <c r="P188" s="483"/>
      <c r="Q188" s="483"/>
    </row>
    <row r="189" spans="2:17" ht="12.75" customHeight="1" x14ac:dyDescent="0.2">
      <c r="B189" s="49"/>
      <c r="C189" s="63"/>
      <c r="D189" s="63" t="s">
        <v>124</v>
      </c>
      <c r="E189" s="63" t="s">
        <v>598</v>
      </c>
      <c r="F189" s="49" t="s">
        <v>317</v>
      </c>
      <c r="G189" s="65" t="s">
        <v>596</v>
      </c>
      <c r="H189" s="468">
        <v>18000</v>
      </c>
      <c r="I189" s="418"/>
      <c r="J189" s="65" t="s">
        <v>596</v>
      </c>
      <c r="K189" s="49">
        <v>19500</v>
      </c>
      <c r="L189" s="418"/>
      <c r="M189" s="65" t="s">
        <v>596</v>
      </c>
      <c r="N189" s="468">
        <v>19500</v>
      </c>
      <c r="O189" s="418"/>
      <c r="P189" s="483">
        <f t="shared" si="57"/>
        <v>0</v>
      </c>
      <c r="Q189" s="483">
        <f t="shared" si="58"/>
        <v>0</v>
      </c>
    </row>
    <row r="190" spans="2:17" ht="12.75" customHeight="1" x14ac:dyDescent="0.2">
      <c r="B190" s="49"/>
      <c r="C190" s="220"/>
      <c r="D190" s="63"/>
      <c r="E190" s="63"/>
      <c r="F190" s="49"/>
      <c r="G190" s="111"/>
      <c r="H190" s="467" t="str">
        <f t="shared" ref="H190:I207" si="71">IF(F190=0," ",F190*G190)</f>
        <v xml:space="preserve"> </v>
      </c>
      <c r="I190" s="418" t="str">
        <f t="shared" si="61"/>
        <v xml:space="preserve"> </v>
      </c>
      <c r="J190" s="111"/>
      <c r="K190" s="49"/>
      <c r="L190" s="418" t="str">
        <f t="shared" ref="L190:L191" si="72">IF(J190=0," ",J190*K190)</f>
        <v xml:space="preserve"> </v>
      </c>
      <c r="M190" s="111"/>
      <c r="N190" s="467"/>
      <c r="O190" s="418" t="str">
        <f t="shared" ref="O190:O191" si="73">IF(M190=0," ",M190*N190)</f>
        <v xml:space="preserve"> </v>
      </c>
      <c r="P190" s="483"/>
      <c r="Q190" s="483"/>
    </row>
    <row r="191" spans="2:17" ht="12.75" customHeight="1" x14ac:dyDescent="0.2">
      <c r="B191" s="49"/>
      <c r="C191" s="63" t="s">
        <v>121</v>
      </c>
      <c r="D191" s="66" t="s">
        <v>801</v>
      </c>
      <c r="E191" s="35"/>
      <c r="F191" s="45"/>
      <c r="G191" s="111"/>
      <c r="H191" s="467" t="str">
        <f t="shared" si="71"/>
        <v xml:space="preserve"> </v>
      </c>
      <c r="I191" s="418" t="str">
        <f t="shared" si="61"/>
        <v xml:space="preserve"> </v>
      </c>
      <c r="J191" s="111"/>
      <c r="K191" s="49"/>
      <c r="L191" s="418" t="str">
        <f t="shared" si="72"/>
        <v xml:space="preserve"> </v>
      </c>
      <c r="M191" s="111"/>
      <c r="N191" s="467"/>
      <c r="O191" s="418" t="str">
        <f t="shared" si="73"/>
        <v xml:space="preserve"> </v>
      </c>
      <c r="P191" s="483"/>
      <c r="Q191" s="483"/>
    </row>
    <row r="192" spans="2:17" ht="12.75" customHeight="1" x14ac:dyDescent="0.2">
      <c r="B192" s="49"/>
      <c r="C192" s="63"/>
      <c r="D192" s="63" t="s">
        <v>277</v>
      </c>
      <c r="E192" s="63" t="s">
        <v>194</v>
      </c>
      <c r="F192" s="49" t="s">
        <v>317</v>
      </c>
      <c r="G192" s="65" t="s">
        <v>596</v>
      </c>
      <c r="H192" s="468">
        <v>18000</v>
      </c>
      <c r="I192" s="418"/>
      <c r="J192" s="65" t="s">
        <v>596</v>
      </c>
      <c r="K192" s="49">
        <v>19500</v>
      </c>
      <c r="L192" s="418"/>
      <c r="M192" s="65" t="s">
        <v>596</v>
      </c>
      <c r="N192" s="468">
        <v>19500</v>
      </c>
      <c r="O192" s="418"/>
      <c r="P192" s="483">
        <f t="shared" si="57"/>
        <v>0</v>
      </c>
      <c r="Q192" s="483">
        <f t="shared" si="58"/>
        <v>0</v>
      </c>
    </row>
    <row r="193" spans="2:17" ht="12.75" customHeight="1" x14ac:dyDescent="0.2">
      <c r="B193" s="49"/>
      <c r="C193" s="63"/>
      <c r="D193" s="63"/>
      <c r="E193" s="63"/>
      <c r="F193" s="45"/>
      <c r="G193" s="111"/>
      <c r="H193" s="467" t="str">
        <f t="shared" ref="H193" si="74">IF(F193=0," ",F193*G193)</f>
        <v xml:space="preserve"> </v>
      </c>
      <c r="I193" s="418"/>
      <c r="J193" s="111"/>
      <c r="K193" s="49" t="str">
        <f t="shared" ref="K193" si="75">IF(I193=0," ",I193*J193)</f>
        <v xml:space="preserve"> </v>
      </c>
      <c r="L193" s="418"/>
      <c r="M193" s="111"/>
      <c r="N193" s="467"/>
      <c r="O193" s="418"/>
      <c r="P193" s="483"/>
      <c r="Q193" s="483"/>
    </row>
    <row r="194" spans="2:17" ht="12.75" customHeight="1" x14ac:dyDescent="0.2">
      <c r="B194" s="49"/>
      <c r="C194" s="63"/>
      <c r="D194" s="63" t="s">
        <v>124</v>
      </c>
      <c r="E194" s="63" t="s">
        <v>598</v>
      </c>
      <c r="F194" s="49" t="s">
        <v>317</v>
      </c>
      <c r="G194" s="65" t="s">
        <v>596</v>
      </c>
      <c r="H194" s="468">
        <v>18000</v>
      </c>
      <c r="I194" s="418"/>
      <c r="J194" s="65" t="s">
        <v>596</v>
      </c>
      <c r="K194" s="49">
        <v>19500</v>
      </c>
      <c r="L194" s="418"/>
      <c r="M194" s="65" t="s">
        <v>596</v>
      </c>
      <c r="N194" s="468">
        <v>19500</v>
      </c>
      <c r="O194" s="418"/>
      <c r="P194" s="483">
        <f t="shared" si="57"/>
        <v>0</v>
      </c>
      <c r="Q194" s="483">
        <f t="shared" si="58"/>
        <v>0</v>
      </c>
    </row>
    <row r="195" spans="2:17" ht="12.75" customHeight="1" x14ac:dyDescent="0.2">
      <c r="B195" s="49"/>
      <c r="C195" s="63"/>
      <c r="D195" s="66"/>
      <c r="E195" s="115"/>
      <c r="F195" s="45"/>
      <c r="G195" s="111"/>
      <c r="H195" s="467" t="str">
        <f t="shared" si="71"/>
        <v xml:space="preserve"> </v>
      </c>
      <c r="I195" s="418"/>
      <c r="J195" s="111"/>
      <c r="K195" s="49" t="str">
        <f t="shared" ref="K195:K196" si="76">IF(I195=0," ",I195*J195)</f>
        <v xml:space="preserve"> </v>
      </c>
      <c r="L195" s="418"/>
      <c r="M195" s="111"/>
      <c r="N195" s="467"/>
      <c r="O195" s="418"/>
      <c r="P195" s="483"/>
      <c r="Q195" s="483"/>
    </row>
    <row r="196" spans="2:17" ht="12.75" customHeight="1" x14ac:dyDescent="0.2">
      <c r="B196" s="49"/>
      <c r="C196" s="63" t="s">
        <v>122</v>
      </c>
      <c r="D196" s="66" t="s">
        <v>802</v>
      </c>
      <c r="E196" s="35"/>
      <c r="F196" s="49"/>
      <c r="G196" s="111"/>
      <c r="H196" s="467" t="str">
        <f t="shared" si="71"/>
        <v xml:space="preserve"> </v>
      </c>
      <c r="I196" s="418"/>
      <c r="J196" s="111"/>
      <c r="K196" s="49" t="str">
        <f t="shared" si="76"/>
        <v xml:space="preserve"> </v>
      </c>
      <c r="L196" s="418"/>
      <c r="M196" s="111"/>
      <c r="N196" s="467"/>
      <c r="O196" s="418"/>
      <c r="P196" s="483"/>
      <c r="Q196" s="483"/>
    </row>
    <row r="197" spans="2:17" ht="12.75" customHeight="1" x14ac:dyDescent="0.2">
      <c r="B197" s="49"/>
      <c r="C197" s="63"/>
      <c r="D197" s="63" t="s">
        <v>277</v>
      </c>
      <c r="E197" s="63" t="s">
        <v>194</v>
      </c>
      <c r="F197" s="49" t="s">
        <v>317</v>
      </c>
      <c r="G197" s="65" t="s">
        <v>596</v>
      </c>
      <c r="H197" s="468">
        <v>18000</v>
      </c>
      <c r="I197" s="418"/>
      <c r="J197" s="65" t="s">
        <v>596</v>
      </c>
      <c r="K197" s="49">
        <v>19500</v>
      </c>
      <c r="L197" s="418"/>
      <c r="M197" s="65" t="s">
        <v>596</v>
      </c>
      <c r="N197" s="468">
        <v>19500</v>
      </c>
      <c r="O197" s="418"/>
      <c r="P197" s="483">
        <f t="shared" si="57"/>
        <v>0</v>
      </c>
      <c r="Q197" s="483">
        <f t="shared" si="58"/>
        <v>0</v>
      </c>
    </row>
    <row r="198" spans="2:17" ht="12.75" customHeight="1" x14ac:dyDescent="0.2">
      <c r="B198" s="49"/>
      <c r="C198" s="63"/>
      <c r="D198" s="63"/>
      <c r="E198" s="63"/>
      <c r="F198" s="45"/>
      <c r="G198" s="111"/>
      <c r="H198" s="467" t="str">
        <f t="shared" ref="H198" si="77">IF(F198=0," ",F198*G198)</f>
        <v xml:space="preserve"> </v>
      </c>
      <c r="I198" s="418"/>
      <c r="J198" s="111"/>
      <c r="K198" s="49" t="str">
        <f t="shared" ref="K198" si="78">IF(I198=0," ",I198*J198)</f>
        <v xml:space="preserve"> </v>
      </c>
      <c r="L198" s="418"/>
      <c r="M198" s="111"/>
      <c r="N198" s="467"/>
      <c r="O198" s="418"/>
      <c r="P198" s="483"/>
      <c r="Q198" s="483"/>
    </row>
    <row r="199" spans="2:17" ht="12.75" customHeight="1" x14ac:dyDescent="0.2">
      <c r="B199" s="49"/>
      <c r="C199" s="63"/>
      <c r="D199" s="63" t="s">
        <v>124</v>
      </c>
      <c r="E199" s="63" t="s">
        <v>598</v>
      </c>
      <c r="F199" s="49" t="s">
        <v>317</v>
      </c>
      <c r="G199" s="65" t="s">
        <v>596</v>
      </c>
      <c r="H199" s="468">
        <v>18000</v>
      </c>
      <c r="I199" s="418"/>
      <c r="J199" s="65" t="s">
        <v>596</v>
      </c>
      <c r="K199" s="49">
        <v>19500</v>
      </c>
      <c r="L199" s="418"/>
      <c r="M199" s="65" t="s">
        <v>596</v>
      </c>
      <c r="N199" s="468">
        <v>19500</v>
      </c>
      <c r="O199" s="418"/>
      <c r="P199" s="483">
        <f t="shared" si="57"/>
        <v>0</v>
      </c>
      <c r="Q199" s="483">
        <f t="shared" si="58"/>
        <v>0</v>
      </c>
    </row>
    <row r="200" spans="2:17" ht="12.75" customHeight="1" x14ac:dyDescent="0.2">
      <c r="B200" s="49"/>
      <c r="C200" s="46"/>
      <c r="D200" s="50"/>
      <c r="E200" s="50"/>
      <c r="F200" s="45"/>
      <c r="G200" s="111"/>
      <c r="H200" s="467" t="str">
        <f t="shared" si="71"/>
        <v xml:space="preserve"> </v>
      </c>
      <c r="I200" s="418" t="str">
        <f t="shared" si="61"/>
        <v xml:space="preserve"> </v>
      </c>
      <c r="J200" s="111"/>
      <c r="K200" s="49"/>
      <c r="L200" s="418" t="str">
        <f t="shared" ref="L200:L207" si="79">IF(J200=0," ",J200*K200)</f>
        <v xml:space="preserve"> </v>
      </c>
      <c r="M200" s="111"/>
      <c r="N200" s="467"/>
      <c r="O200" s="418" t="str">
        <f t="shared" ref="O200:O207" si="80">IF(M200=0," ",M200*N200)</f>
        <v xml:space="preserve"> </v>
      </c>
      <c r="P200" s="483"/>
      <c r="Q200" s="483"/>
    </row>
    <row r="201" spans="2:17" ht="12.75" customHeight="1" x14ac:dyDescent="0.2">
      <c r="B201" s="49"/>
      <c r="C201" s="46"/>
      <c r="D201" s="50"/>
      <c r="E201" s="50"/>
      <c r="F201" s="49"/>
      <c r="G201" s="55"/>
      <c r="H201" s="476"/>
      <c r="I201" s="418" t="str">
        <f t="shared" si="61"/>
        <v xml:space="preserve"> </v>
      </c>
      <c r="J201" s="55"/>
      <c r="K201" s="49"/>
      <c r="L201" s="418" t="str">
        <f t="shared" si="79"/>
        <v xml:space="preserve"> </v>
      </c>
      <c r="M201" s="55"/>
      <c r="N201" s="476"/>
      <c r="O201" s="418" t="str">
        <f t="shared" si="80"/>
        <v xml:space="preserve"> </v>
      </c>
      <c r="P201" s="49"/>
      <c r="Q201" s="49"/>
    </row>
    <row r="202" spans="2:17" ht="12.75" customHeight="1" x14ac:dyDescent="0.2">
      <c r="B202" s="49"/>
      <c r="C202" s="46"/>
      <c r="D202" s="46"/>
      <c r="E202" s="120"/>
      <c r="F202" s="45"/>
      <c r="G202" s="185"/>
      <c r="H202" s="476"/>
      <c r="I202" s="467" t="str">
        <f t="shared" si="71"/>
        <v xml:space="preserve"> </v>
      </c>
      <c r="J202" s="185"/>
      <c r="K202" s="49"/>
      <c r="L202" s="467" t="str">
        <f t="shared" si="79"/>
        <v xml:space="preserve"> </v>
      </c>
      <c r="M202" s="185"/>
      <c r="N202" s="476"/>
      <c r="O202" s="467" t="str">
        <f t="shared" si="80"/>
        <v xml:space="preserve"> </v>
      </c>
      <c r="P202" s="49"/>
      <c r="Q202" s="49"/>
    </row>
    <row r="203" spans="2:17" ht="12.75" customHeight="1" x14ac:dyDescent="0.2">
      <c r="B203" s="49"/>
      <c r="C203" s="46"/>
      <c r="D203" s="50"/>
      <c r="E203" s="50"/>
      <c r="F203" s="45"/>
      <c r="G203" s="111"/>
      <c r="H203" s="476"/>
      <c r="I203" s="467" t="str">
        <f t="shared" si="71"/>
        <v xml:space="preserve"> </v>
      </c>
      <c r="J203" s="111"/>
      <c r="K203" s="49"/>
      <c r="L203" s="467" t="str">
        <f t="shared" si="79"/>
        <v xml:space="preserve"> </v>
      </c>
      <c r="M203" s="111"/>
      <c r="N203" s="476"/>
      <c r="O203" s="467" t="str">
        <f t="shared" si="80"/>
        <v xml:space="preserve"> </v>
      </c>
      <c r="P203" s="49"/>
      <c r="Q203" s="49"/>
    </row>
    <row r="204" spans="2:17" ht="12.75" customHeight="1" x14ac:dyDescent="0.2">
      <c r="B204" s="49"/>
      <c r="C204" s="46"/>
      <c r="D204" s="50"/>
      <c r="E204" s="50"/>
      <c r="F204" s="45"/>
      <c r="G204" s="111"/>
      <c r="H204" s="476"/>
      <c r="I204" s="467" t="str">
        <f t="shared" si="71"/>
        <v xml:space="preserve"> </v>
      </c>
      <c r="J204" s="111"/>
      <c r="K204" s="49"/>
      <c r="L204" s="467" t="str">
        <f t="shared" si="79"/>
        <v xml:space="preserve"> </v>
      </c>
      <c r="M204" s="111"/>
      <c r="N204" s="476"/>
      <c r="O204" s="467" t="str">
        <f t="shared" si="80"/>
        <v xml:space="preserve"> </v>
      </c>
      <c r="P204" s="49"/>
      <c r="Q204" s="49"/>
    </row>
    <row r="205" spans="2:17" ht="12.75" customHeight="1" x14ac:dyDescent="0.2">
      <c r="B205" s="49"/>
      <c r="C205" s="46"/>
      <c r="D205" s="223"/>
      <c r="E205" s="50"/>
      <c r="F205" s="45"/>
      <c r="G205" s="49"/>
      <c r="H205" s="476"/>
      <c r="I205" s="467" t="str">
        <f t="shared" si="71"/>
        <v xml:space="preserve"> </v>
      </c>
      <c r="J205" s="49"/>
      <c r="K205" s="49"/>
      <c r="L205" s="467" t="str">
        <f t="shared" si="79"/>
        <v xml:space="preserve"> </v>
      </c>
      <c r="M205" s="49"/>
      <c r="N205" s="476"/>
      <c r="O205" s="467" t="str">
        <f t="shared" si="80"/>
        <v xml:space="preserve"> </v>
      </c>
      <c r="P205" s="49"/>
      <c r="Q205" s="49"/>
    </row>
    <row r="206" spans="2:17" ht="12.75" customHeight="1" x14ac:dyDescent="0.2">
      <c r="B206" s="49"/>
      <c r="C206" s="46"/>
      <c r="D206" s="46"/>
      <c r="E206" s="46"/>
      <c r="F206" s="45"/>
      <c r="G206" s="49"/>
      <c r="H206" s="476"/>
      <c r="I206" s="467" t="str">
        <f t="shared" si="71"/>
        <v xml:space="preserve"> </v>
      </c>
      <c r="J206" s="49"/>
      <c r="K206" s="49"/>
      <c r="L206" s="467" t="str">
        <f t="shared" si="79"/>
        <v xml:space="preserve"> </v>
      </c>
      <c r="M206" s="49"/>
      <c r="N206" s="476"/>
      <c r="O206" s="467" t="str">
        <f t="shared" si="80"/>
        <v xml:space="preserve"> </v>
      </c>
      <c r="P206" s="49"/>
      <c r="Q206" s="49"/>
    </row>
    <row r="207" spans="2:17" ht="12.75" customHeight="1" x14ac:dyDescent="0.2">
      <c r="B207" s="49"/>
      <c r="C207" s="550"/>
      <c r="D207" s="550"/>
      <c r="E207" s="551"/>
      <c r="F207" s="53"/>
      <c r="G207" s="112"/>
      <c r="H207" s="476"/>
      <c r="I207" s="467" t="str">
        <f t="shared" si="71"/>
        <v xml:space="preserve"> </v>
      </c>
      <c r="J207" s="112"/>
      <c r="K207" s="49"/>
      <c r="L207" s="467" t="str">
        <f t="shared" si="79"/>
        <v xml:space="preserve"> </v>
      </c>
      <c r="M207" s="112"/>
      <c r="N207" s="476"/>
      <c r="O207" s="467" t="str">
        <f t="shared" si="80"/>
        <v xml:space="preserve"> </v>
      </c>
      <c r="P207" s="49"/>
      <c r="Q207" s="49"/>
    </row>
    <row r="208" spans="2:17" ht="12.75" customHeight="1" x14ac:dyDescent="0.2">
      <c r="B208" s="49"/>
      <c r="C208" s="50"/>
      <c r="D208" s="50"/>
      <c r="E208" s="222"/>
      <c r="F208" s="53"/>
      <c r="G208" s="112"/>
      <c r="H208" s="476"/>
      <c r="I208" s="467"/>
      <c r="J208" s="112"/>
      <c r="K208" s="49"/>
      <c r="L208" s="467"/>
      <c r="M208" s="112"/>
      <c r="N208" s="476"/>
      <c r="O208" s="467"/>
      <c r="P208" s="49"/>
      <c r="Q208" s="49"/>
    </row>
    <row r="209" spans="2:17" ht="12.75" customHeight="1" x14ac:dyDescent="0.2">
      <c r="B209" s="49"/>
      <c r="C209" s="50"/>
      <c r="D209" s="50"/>
      <c r="E209" s="222"/>
      <c r="F209" s="53"/>
      <c r="G209" s="112"/>
      <c r="H209" s="476"/>
      <c r="I209" s="467"/>
      <c r="J209" s="112"/>
      <c r="K209" s="49"/>
      <c r="L209" s="467"/>
      <c r="M209" s="112"/>
      <c r="N209" s="476"/>
      <c r="O209" s="467"/>
      <c r="P209" s="49"/>
      <c r="Q209" s="49"/>
    </row>
    <row r="210" spans="2:17" ht="12.75" customHeight="1" x14ac:dyDescent="0.2">
      <c r="B210" s="49"/>
      <c r="C210" s="50"/>
      <c r="D210" s="50"/>
      <c r="E210" s="222"/>
      <c r="F210" s="53"/>
      <c r="G210" s="112"/>
      <c r="H210" s="476"/>
      <c r="I210" s="467"/>
      <c r="J210" s="112"/>
      <c r="K210" s="49"/>
      <c r="L210" s="467"/>
      <c r="M210" s="112"/>
      <c r="N210" s="476"/>
      <c r="O210" s="467"/>
      <c r="P210" s="49"/>
      <c r="Q210" s="49"/>
    </row>
    <row r="211" spans="2:17" ht="12.75" customHeight="1" x14ac:dyDescent="0.2">
      <c r="B211" s="49"/>
      <c r="C211" s="50"/>
      <c r="D211" s="50"/>
      <c r="E211" s="222"/>
      <c r="F211" s="53"/>
      <c r="G211" s="112"/>
      <c r="H211" s="476"/>
      <c r="I211" s="467"/>
      <c r="J211" s="112"/>
      <c r="K211" s="49"/>
      <c r="L211" s="467"/>
      <c r="M211" s="112"/>
      <c r="N211" s="476"/>
      <c r="O211" s="467"/>
      <c r="P211" s="49"/>
      <c r="Q211" s="49"/>
    </row>
    <row r="212" spans="2:17" ht="12.75" customHeight="1" x14ac:dyDescent="0.2">
      <c r="B212" s="49"/>
      <c r="C212" s="50"/>
      <c r="D212" s="50"/>
      <c r="E212" s="222"/>
      <c r="F212" s="53"/>
      <c r="G212" s="112"/>
      <c r="H212" s="476"/>
      <c r="I212" s="467"/>
      <c r="J212" s="112"/>
      <c r="K212" s="49"/>
      <c r="L212" s="467"/>
      <c r="M212" s="112"/>
      <c r="N212" s="476"/>
      <c r="O212" s="467"/>
      <c r="P212" s="49"/>
      <c r="Q212" s="49"/>
    </row>
    <row r="213" spans="2:17" ht="12.75" customHeight="1" x14ac:dyDescent="0.2">
      <c r="B213" s="49"/>
      <c r="C213" s="50"/>
      <c r="D213" s="50"/>
      <c r="E213" s="222"/>
      <c r="F213" s="53"/>
      <c r="G213" s="112"/>
      <c r="H213" s="476"/>
      <c r="I213" s="467"/>
      <c r="J213" s="112"/>
      <c r="K213" s="49"/>
      <c r="L213" s="467"/>
      <c r="M213" s="112"/>
      <c r="N213" s="476"/>
      <c r="O213" s="467"/>
      <c r="P213" s="49"/>
      <c r="Q213" s="49"/>
    </row>
    <row r="214" spans="2:17" ht="12.75" customHeight="1" x14ac:dyDescent="0.2">
      <c r="B214" s="49"/>
      <c r="C214" s="50"/>
      <c r="D214" s="50"/>
      <c r="E214" s="222"/>
      <c r="F214" s="53"/>
      <c r="G214" s="112"/>
      <c r="H214" s="476"/>
      <c r="I214" s="467"/>
      <c r="J214" s="112"/>
      <c r="K214" s="49"/>
      <c r="L214" s="467"/>
      <c r="M214" s="112"/>
      <c r="N214" s="476"/>
      <c r="O214" s="467"/>
      <c r="P214" s="49"/>
      <c r="Q214" s="49"/>
    </row>
    <row r="215" spans="2:17" ht="12.75" customHeight="1" x14ac:dyDescent="0.2">
      <c r="B215" s="49"/>
      <c r="C215" s="50"/>
      <c r="D215" s="50"/>
      <c r="E215" s="222"/>
      <c r="F215" s="53"/>
      <c r="G215" s="112"/>
      <c r="H215" s="476"/>
      <c r="I215" s="467"/>
      <c r="J215" s="112"/>
      <c r="K215" s="49"/>
      <c r="L215" s="467"/>
      <c r="M215" s="112"/>
      <c r="N215" s="476"/>
      <c r="O215" s="467"/>
      <c r="P215" s="49"/>
      <c r="Q215" s="49"/>
    </row>
    <row r="216" spans="2:17" ht="12.75" customHeight="1" x14ac:dyDescent="0.2">
      <c r="B216" s="49"/>
      <c r="C216" s="50"/>
      <c r="D216" s="50"/>
      <c r="E216" s="222"/>
      <c r="F216" s="53"/>
      <c r="G216" s="112"/>
      <c r="H216" s="476"/>
      <c r="I216" s="467"/>
      <c r="J216" s="112"/>
      <c r="K216" s="49"/>
      <c r="L216" s="467"/>
      <c r="M216" s="112"/>
      <c r="N216" s="476"/>
      <c r="O216" s="467"/>
      <c r="P216" s="49"/>
      <c r="Q216" s="49"/>
    </row>
    <row r="217" spans="2:17" ht="12.75" customHeight="1" x14ac:dyDescent="0.2">
      <c r="B217" s="49"/>
      <c r="C217" s="50"/>
      <c r="D217" s="50"/>
      <c r="E217" s="222"/>
      <c r="F217" s="53"/>
      <c r="G217" s="112"/>
      <c r="H217" s="476"/>
      <c r="I217" s="467"/>
      <c r="J217" s="112"/>
      <c r="K217" s="49"/>
      <c r="L217" s="467"/>
      <c r="M217" s="112"/>
      <c r="N217" s="476"/>
      <c r="O217" s="467"/>
      <c r="P217" s="49"/>
      <c r="Q217" s="49"/>
    </row>
    <row r="218" spans="2:17" ht="12.75" customHeight="1" x14ac:dyDescent="0.2">
      <c r="B218" s="49"/>
      <c r="C218" s="50"/>
      <c r="D218" s="50"/>
      <c r="E218" s="222"/>
      <c r="F218" s="53"/>
      <c r="G218" s="112"/>
      <c r="H218" s="476"/>
      <c r="I218" s="467"/>
      <c r="J218" s="112"/>
      <c r="K218" s="49"/>
      <c r="L218" s="467"/>
      <c r="M218" s="112"/>
      <c r="N218" s="476"/>
      <c r="O218" s="467"/>
      <c r="P218" s="49"/>
      <c r="Q218" s="49"/>
    </row>
    <row r="219" spans="2:17" ht="12.75" customHeight="1" x14ac:dyDescent="0.2">
      <c r="B219" s="49"/>
      <c r="C219" s="50"/>
      <c r="D219" s="50"/>
      <c r="E219" s="222"/>
      <c r="F219" s="53"/>
      <c r="G219" s="112"/>
      <c r="H219" s="476"/>
      <c r="I219" s="467"/>
      <c r="J219" s="112"/>
      <c r="K219" s="49"/>
      <c r="L219" s="467"/>
      <c r="M219" s="112"/>
      <c r="N219" s="476"/>
      <c r="O219" s="467"/>
      <c r="P219" s="49"/>
      <c r="Q219" s="49"/>
    </row>
    <row r="220" spans="2:17" ht="12.75" customHeight="1" x14ac:dyDescent="0.2">
      <c r="B220" s="49"/>
      <c r="C220" s="50"/>
      <c r="D220" s="50"/>
      <c r="E220" s="222"/>
      <c r="F220" s="53"/>
      <c r="G220" s="112"/>
      <c r="H220" s="476"/>
      <c r="I220" s="467"/>
      <c r="J220" s="112"/>
      <c r="K220" s="49"/>
      <c r="L220" s="467"/>
      <c r="M220" s="112"/>
      <c r="N220" s="476"/>
      <c r="O220" s="467"/>
      <c r="P220" s="49"/>
      <c r="Q220" s="49"/>
    </row>
    <row r="221" spans="2:17" ht="12.75" customHeight="1" x14ac:dyDescent="0.2">
      <c r="B221" s="49"/>
      <c r="C221" s="50"/>
      <c r="D221" s="50"/>
      <c r="E221" s="222"/>
      <c r="F221" s="53"/>
      <c r="G221" s="112"/>
      <c r="H221" s="476"/>
      <c r="I221" s="467"/>
      <c r="J221" s="112"/>
      <c r="K221" s="49"/>
      <c r="L221" s="467"/>
      <c r="M221" s="112"/>
      <c r="N221" s="476"/>
      <c r="O221" s="467"/>
      <c r="P221" s="49"/>
      <c r="Q221" s="49"/>
    </row>
    <row r="222" spans="2:17" ht="12.75" customHeight="1" x14ac:dyDescent="0.2">
      <c r="B222" s="49"/>
      <c r="C222" s="50"/>
      <c r="D222" s="50"/>
      <c r="E222" s="222"/>
      <c r="F222" s="53"/>
      <c r="G222" s="112"/>
      <c r="H222" s="476"/>
      <c r="I222" s="467"/>
      <c r="J222" s="112"/>
      <c r="K222" s="49"/>
      <c r="L222" s="467"/>
      <c r="M222" s="112"/>
      <c r="N222" s="476"/>
      <c r="O222" s="467"/>
      <c r="P222" s="49"/>
      <c r="Q222" s="49"/>
    </row>
    <row r="223" spans="2:17" ht="12.75" customHeight="1" x14ac:dyDescent="0.2">
      <c r="B223" s="49"/>
      <c r="C223" s="50"/>
      <c r="D223" s="50"/>
      <c r="E223" s="222"/>
      <c r="F223" s="53"/>
      <c r="G223" s="112"/>
      <c r="H223" s="476"/>
      <c r="I223" s="467"/>
      <c r="J223" s="112"/>
      <c r="K223" s="49"/>
      <c r="L223" s="467"/>
      <c r="M223" s="112"/>
      <c r="N223" s="476"/>
      <c r="O223" s="467"/>
      <c r="P223" s="49"/>
      <c r="Q223" s="49"/>
    </row>
    <row r="224" spans="2:17" ht="12.75" customHeight="1" x14ac:dyDescent="0.2">
      <c r="B224" s="49"/>
      <c r="C224" s="50"/>
      <c r="D224" s="50"/>
      <c r="E224" s="222"/>
      <c r="F224" s="53"/>
      <c r="G224" s="112"/>
      <c r="H224" s="476"/>
      <c r="I224" s="467"/>
      <c r="J224" s="112"/>
      <c r="K224" s="49"/>
      <c r="L224" s="467"/>
      <c r="M224" s="112"/>
      <c r="N224" s="476"/>
      <c r="O224" s="467"/>
      <c r="P224" s="49"/>
      <c r="Q224" s="49"/>
    </row>
    <row r="225" spans="2:18" ht="12.75" customHeight="1" x14ac:dyDescent="0.2">
      <c r="B225" s="49"/>
      <c r="C225" s="46"/>
      <c r="D225" s="550"/>
      <c r="E225" s="551"/>
      <c r="F225" s="45"/>
      <c r="G225" s="49"/>
      <c r="H225" s="476"/>
      <c r="I225" s="467" t="str">
        <f>IF(G225=0," ",G225*H225)</f>
        <v xml:space="preserve"> </v>
      </c>
      <c r="J225" s="49"/>
      <c r="K225" s="49"/>
      <c r="L225" s="467" t="str">
        <f t="shared" ref="L225:L229" si="81">IF(J225=0," ",J225*K225)</f>
        <v xml:space="preserve"> </v>
      </c>
      <c r="M225" s="49"/>
      <c r="N225" s="476"/>
      <c r="O225" s="467" t="str">
        <f t="shared" ref="O225:O229" si="82">IF(M225=0," ",M225*N225)</f>
        <v xml:space="preserve"> </v>
      </c>
      <c r="P225" s="49"/>
      <c r="Q225" s="49"/>
    </row>
    <row r="226" spans="2:18" s="73" customFormat="1" ht="12.75" customHeight="1" x14ac:dyDescent="0.2">
      <c r="B226" s="49"/>
      <c r="C226" s="220"/>
      <c r="D226" s="552"/>
      <c r="E226" s="553"/>
      <c r="F226" s="45"/>
      <c r="G226" s="49"/>
      <c r="H226" s="478"/>
      <c r="I226" s="467" t="str">
        <f>IF(G226=0," ",G226*H226)</f>
        <v xml:space="preserve"> </v>
      </c>
      <c r="J226" s="49"/>
      <c r="K226" s="49"/>
      <c r="L226" s="467" t="str">
        <f t="shared" si="81"/>
        <v xml:space="preserve"> </v>
      </c>
      <c r="M226" s="49"/>
      <c r="N226" s="478"/>
      <c r="O226" s="467" t="str">
        <f t="shared" si="82"/>
        <v xml:space="preserve"> </v>
      </c>
      <c r="P226" s="49"/>
      <c r="Q226" s="49"/>
      <c r="R226" s="77"/>
    </row>
    <row r="227" spans="2:18" s="73" customFormat="1" ht="12.75" customHeight="1" x14ac:dyDescent="0.2">
      <c r="B227" s="58"/>
      <c r="C227" s="46"/>
      <c r="D227" s="552"/>
      <c r="E227" s="553"/>
      <c r="F227" s="45"/>
      <c r="G227" s="49"/>
      <c r="H227" s="478"/>
      <c r="I227" s="467" t="str">
        <f>IF(G227=0," ",G227*H227)</f>
        <v xml:space="preserve"> </v>
      </c>
      <c r="J227" s="49"/>
      <c r="K227" s="49"/>
      <c r="L227" s="467" t="str">
        <f t="shared" si="81"/>
        <v xml:space="preserve"> </v>
      </c>
      <c r="M227" s="49"/>
      <c r="N227" s="478"/>
      <c r="O227" s="467" t="str">
        <f t="shared" si="82"/>
        <v xml:space="preserve"> </v>
      </c>
      <c r="P227" s="49"/>
      <c r="Q227" s="49"/>
      <c r="R227" s="77"/>
    </row>
    <row r="228" spans="2:18" s="73" customFormat="1" ht="12.75" customHeight="1" x14ac:dyDescent="0.2">
      <c r="B228" s="58"/>
      <c r="C228" s="46"/>
      <c r="D228" s="46"/>
      <c r="E228" s="46"/>
      <c r="F228" s="45"/>
      <c r="G228" s="111"/>
      <c r="H228" s="479"/>
      <c r="I228" s="467" t="str">
        <f>IF(G228=0," ",G228*H228)</f>
        <v xml:space="preserve"> </v>
      </c>
      <c r="J228" s="111"/>
      <c r="K228" s="49"/>
      <c r="L228" s="467" t="str">
        <f t="shared" si="81"/>
        <v xml:space="preserve"> </v>
      </c>
      <c r="M228" s="111"/>
      <c r="N228" s="479"/>
      <c r="O228" s="467" t="str">
        <f t="shared" si="82"/>
        <v xml:space="preserve"> </v>
      </c>
      <c r="P228" s="49"/>
      <c r="Q228" s="49"/>
      <c r="R228" s="77"/>
    </row>
    <row r="229" spans="2:18" s="73" customFormat="1" ht="12.75" customHeight="1" x14ac:dyDescent="0.2">
      <c r="B229" s="58"/>
      <c r="C229" s="46"/>
      <c r="D229" s="550"/>
      <c r="E229" s="551"/>
      <c r="F229" s="45"/>
      <c r="G229" s="49"/>
      <c r="H229" s="476"/>
      <c r="I229" s="467" t="str">
        <f>IF(G229=0," ",G229*H229)</f>
        <v xml:space="preserve"> </v>
      </c>
      <c r="J229" s="49"/>
      <c r="K229" s="49"/>
      <c r="L229" s="467" t="str">
        <f t="shared" si="81"/>
        <v xml:space="preserve"> </v>
      </c>
      <c r="M229" s="49"/>
      <c r="N229" s="476"/>
      <c r="O229" s="467" t="str">
        <f t="shared" si="82"/>
        <v xml:space="preserve"> </v>
      </c>
      <c r="P229" s="49"/>
      <c r="Q229" s="49"/>
      <c r="R229" s="77"/>
    </row>
    <row r="230" spans="2:18" s="73" customFormat="1" ht="12.75" customHeight="1" x14ac:dyDescent="0.2">
      <c r="B230" s="113"/>
      <c r="C230" s="46"/>
      <c r="D230" s="550"/>
      <c r="E230" s="551"/>
      <c r="F230" s="44"/>
      <c r="G230" s="114"/>
      <c r="H230" s="476"/>
      <c r="I230" s="480"/>
      <c r="J230" s="114"/>
      <c r="K230" s="49"/>
      <c r="L230" s="480"/>
      <c r="M230" s="114"/>
      <c r="N230" s="476"/>
      <c r="O230" s="480"/>
      <c r="P230" s="482"/>
      <c r="Q230" s="482"/>
      <c r="R230" s="77"/>
    </row>
    <row r="231" spans="2:18" ht="12.75" customHeight="1" x14ac:dyDescent="0.2">
      <c r="B231" s="101">
        <v>6300</v>
      </c>
      <c r="C231" s="102" t="s">
        <v>268</v>
      </c>
      <c r="D231" s="103"/>
      <c r="E231" s="198"/>
      <c r="F231" s="104"/>
      <c r="G231" s="105"/>
      <c r="H231" s="472"/>
      <c r="I231" s="473">
        <f>SUM(I165:I230)</f>
        <v>153000</v>
      </c>
      <c r="J231" s="105"/>
      <c r="K231" s="472"/>
      <c r="L231" s="473">
        <f t="shared" ref="L231" si="83">SUM(L165:L230)</f>
        <v>166000</v>
      </c>
      <c r="M231" s="105"/>
      <c r="N231" s="472"/>
      <c r="O231" s="473">
        <f>SUM(O165:O230)</f>
        <v>162500</v>
      </c>
      <c r="P231" s="473"/>
      <c r="Q231" s="473">
        <f t="shared" ref="Q231" si="84">SUM(Q165:Q230)</f>
        <v>3500</v>
      </c>
    </row>
    <row r="232" spans="2:18" ht="12.75" customHeight="1" x14ac:dyDescent="0.2">
      <c r="B232" s="71" t="s">
        <v>661</v>
      </c>
      <c r="C232" s="71"/>
      <c r="D232" s="96"/>
      <c r="E232" s="106"/>
      <c r="H232" s="474"/>
      <c r="I232" s="474"/>
      <c r="K232" s="474"/>
      <c r="L232" s="474"/>
      <c r="N232" s="474"/>
      <c r="O232" s="474"/>
    </row>
    <row r="233" spans="2:18" ht="12.75" customHeight="1" x14ac:dyDescent="0.2">
      <c r="B233" s="71" t="s">
        <v>267</v>
      </c>
      <c r="C233" s="76"/>
      <c r="E233" s="77"/>
      <c r="H233" s="474"/>
      <c r="I233" s="474" t="str">
        <f>IF(G238=0," ",G238*H233)</f>
        <v xml:space="preserve"> </v>
      </c>
      <c r="K233" s="474"/>
      <c r="L233" s="474" t="str">
        <f t="shared" ref="L233:L234" si="85">IF(J238=0," ",J238*K233)</f>
        <v xml:space="preserve"> </v>
      </c>
      <c r="N233" s="474"/>
      <c r="O233" s="474" t="str">
        <f t="shared" ref="O233:O234" si="86">IF(M238=0," ",M238*N233)</f>
        <v xml:space="preserve"> </v>
      </c>
    </row>
    <row r="234" spans="2:18" ht="12.75" customHeight="1" x14ac:dyDescent="0.2">
      <c r="B234" s="107"/>
      <c r="C234" s="107"/>
      <c r="D234" s="108"/>
      <c r="E234" s="109"/>
      <c r="F234" s="83"/>
      <c r="H234" s="475"/>
      <c r="I234" s="475" t="str">
        <f>IF(G239=0," ",G239*H234)</f>
        <v xml:space="preserve"> </v>
      </c>
      <c r="K234" s="475"/>
      <c r="L234" s="475" t="str">
        <f t="shared" si="85"/>
        <v xml:space="preserve"> </v>
      </c>
      <c r="N234" s="475"/>
      <c r="O234" s="475" t="str">
        <f t="shared" si="86"/>
        <v xml:space="preserve"> </v>
      </c>
    </row>
    <row r="235" spans="2:18" ht="12.75" customHeight="1" x14ac:dyDescent="0.2">
      <c r="B235" s="84" t="s">
        <v>263</v>
      </c>
      <c r="C235" s="85" t="s">
        <v>264</v>
      </c>
      <c r="D235" s="86"/>
      <c r="E235" s="87"/>
      <c r="F235" s="87" t="s">
        <v>265</v>
      </c>
      <c r="G235" s="88" t="s">
        <v>68</v>
      </c>
      <c r="H235" s="193"/>
      <c r="I235" s="193"/>
      <c r="J235" s="88" t="s">
        <v>68</v>
      </c>
      <c r="K235" s="193"/>
      <c r="L235" s="193"/>
      <c r="M235" s="88" t="s">
        <v>68</v>
      </c>
      <c r="N235" s="193"/>
      <c r="O235" s="193"/>
      <c r="P235" s="481"/>
      <c r="Q235" s="481"/>
    </row>
    <row r="236" spans="2:18" ht="12.75" customHeight="1" x14ac:dyDescent="0.2">
      <c r="B236" s="89" t="s">
        <v>266</v>
      </c>
      <c r="C236" s="90"/>
      <c r="D236" s="91"/>
      <c r="E236" s="92"/>
      <c r="F236" s="92"/>
      <c r="G236" s="93" t="s">
        <v>69</v>
      </c>
      <c r="H236" s="194" t="s">
        <v>262</v>
      </c>
      <c r="I236" s="194" t="s">
        <v>70</v>
      </c>
      <c r="J236" s="93" t="s">
        <v>69</v>
      </c>
      <c r="K236" s="194" t="s">
        <v>262</v>
      </c>
      <c r="L236" s="194" t="s">
        <v>70</v>
      </c>
      <c r="M236" s="93" t="s">
        <v>69</v>
      </c>
      <c r="N236" s="194" t="s">
        <v>262</v>
      </c>
      <c r="O236" s="194" t="s">
        <v>70</v>
      </c>
      <c r="P236" s="482" t="s">
        <v>70</v>
      </c>
      <c r="Q236" s="482" t="s">
        <v>70</v>
      </c>
    </row>
    <row r="237" spans="2:18" ht="12.75" customHeight="1" x14ac:dyDescent="0.2">
      <c r="B237" s="56"/>
      <c r="F237" s="61"/>
      <c r="G237" s="55"/>
      <c r="H237" s="467"/>
      <c r="I237" s="467" t="str">
        <f>IF(G243=0," ",G243*H237)</f>
        <v xml:space="preserve"> </v>
      </c>
      <c r="J237" s="55"/>
      <c r="K237" s="49"/>
      <c r="L237" s="467" t="str">
        <f t="shared" ref="L237" si="87">IF(J243=0," ",J243*K237)</f>
        <v xml:space="preserve"> </v>
      </c>
      <c r="M237" s="55"/>
      <c r="N237" s="467"/>
      <c r="O237" s="467" t="str">
        <f t="shared" ref="O237" si="88">IF(M243=0," ",M243*N237)</f>
        <v xml:space="preserve"> </v>
      </c>
      <c r="P237" s="481"/>
      <c r="Q237" s="481"/>
    </row>
    <row r="238" spans="2:18" ht="12.75" customHeight="1" x14ac:dyDescent="0.2">
      <c r="B238" s="116">
        <v>6400</v>
      </c>
      <c r="C238" s="117" t="s">
        <v>401</v>
      </c>
      <c r="D238" s="96"/>
      <c r="E238" s="97"/>
      <c r="F238" s="61"/>
      <c r="G238" s="55"/>
      <c r="H238" s="467"/>
      <c r="I238" s="467" t="str">
        <f t="shared" ref="H238:I246" si="89">IF(G238=0," ",G238*H238)</f>
        <v xml:space="preserve"> </v>
      </c>
      <c r="J238" s="55"/>
      <c r="K238" s="49"/>
      <c r="L238" s="467" t="str">
        <f t="shared" ref="L238:L241" si="90">IF(J238=0," ",J238*K238)</f>
        <v xml:space="preserve"> </v>
      </c>
      <c r="M238" s="55"/>
      <c r="N238" s="467"/>
      <c r="O238" s="467" t="str">
        <f t="shared" ref="O238:O241" si="91">IF(M238=0," ",M238*N238)</f>
        <v xml:space="preserve"> </v>
      </c>
      <c r="P238" s="49"/>
      <c r="Q238" s="49"/>
    </row>
    <row r="239" spans="2:18" ht="12.75" customHeight="1" x14ac:dyDescent="0.2">
      <c r="B239" s="47"/>
      <c r="F239" s="61"/>
      <c r="G239" s="55"/>
      <c r="H239" s="467"/>
      <c r="I239" s="467" t="str">
        <f t="shared" si="89"/>
        <v xml:space="preserve"> </v>
      </c>
      <c r="J239" s="55"/>
      <c r="K239" s="49"/>
      <c r="L239" s="467" t="str">
        <f t="shared" si="90"/>
        <v xml:space="preserve"> </v>
      </c>
      <c r="M239" s="55"/>
      <c r="N239" s="467"/>
      <c r="O239" s="467" t="str">
        <f t="shared" si="91"/>
        <v xml:space="preserve"> </v>
      </c>
      <c r="P239" s="49"/>
      <c r="Q239" s="49"/>
    </row>
    <row r="240" spans="2:18" ht="12.75" customHeight="1" x14ac:dyDescent="0.2">
      <c r="B240" s="49">
        <v>64.010000000000005</v>
      </c>
      <c r="C240" s="118" t="s">
        <v>482</v>
      </c>
      <c r="D240" s="119"/>
      <c r="E240" s="118"/>
      <c r="F240" s="61"/>
      <c r="G240" s="55"/>
      <c r="H240" s="467"/>
      <c r="I240" s="467" t="str">
        <f t="shared" si="89"/>
        <v xml:space="preserve"> </v>
      </c>
      <c r="J240" s="55"/>
      <c r="K240" s="49"/>
      <c r="L240" s="467" t="str">
        <f t="shared" si="90"/>
        <v xml:space="preserve"> </v>
      </c>
      <c r="M240" s="55"/>
      <c r="N240" s="467"/>
      <c r="O240" s="467" t="str">
        <f t="shared" si="91"/>
        <v xml:space="preserve"> </v>
      </c>
      <c r="P240" s="49"/>
      <c r="Q240" s="49"/>
    </row>
    <row r="241" spans="2:17" ht="12.75" customHeight="1" x14ac:dyDescent="0.2">
      <c r="B241" s="49"/>
      <c r="C241" s="56" t="s">
        <v>278</v>
      </c>
      <c r="D241" s="68" t="s">
        <v>599</v>
      </c>
      <c r="E241" s="48"/>
      <c r="F241" s="61"/>
      <c r="G241" s="55"/>
      <c r="H241" s="467"/>
      <c r="I241" s="467" t="str">
        <f t="shared" si="89"/>
        <v xml:space="preserve"> </v>
      </c>
      <c r="J241" s="55"/>
      <c r="K241" s="49"/>
      <c r="L241" s="467" t="str">
        <f t="shared" si="90"/>
        <v xml:space="preserve"> </v>
      </c>
      <c r="M241" s="55"/>
      <c r="N241" s="467"/>
      <c r="O241" s="467" t="str">
        <f t="shared" si="91"/>
        <v xml:space="preserve"> </v>
      </c>
      <c r="P241" s="49"/>
      <c r="Q241" s="49"/>
    </row>
    <row r="242" spans="2:17" ht="12.75" customHeight="1" x14ac:dyDescent="0.2">
      <c r="B242" s="118"/>
      <c r="D242" s="46" t="s">
        <v>277</v>
      </c>
      <c r="E242" s="120" t="s">
        <v>615</v>
      </c>
      <c r="F242" s="61" t="s">
        <v>829</v>
      </c>
      <c r="G242" s="65" t="s">
        <v>596</v>
      </c>
      <c r="H242" s="468">
        <v>2500</v>
      </c>
      <c r="I242" s="418"/>
      <c r="J242" s="65" t="s">
        <v>596</v>
      </c>
      <c r="K242" s="49">
        <v>2750</v>
      </c>
      <c r="L242" s="418"/>
      <c r="M242" s="65" t="s">
        <v>596</v>
      </c>
      <c r="N242" s="468">
        <v>2750</v>
      </c>
      <c r="O242" s="418"/>
      <c r="P242" s="483">
        <f>K242-N242</f>
        <v>0</v>
      </c>
      <c r="Q242" s="483">
        <f>L242-O242</f>
        <v>0</v>
      </c>
    </row>
    <row r="243" spans="2:17" ht="12.75" customHeight="1" x14ac:dyDescent="0.2">
      <c r="B243" s="49"/>
      <c r="D243" s="46"/>
      <c r="E243" s="120"/>
      <c r="F243" s="61"/>
      <c r="G243" s="55"/>
      <c r="H243" s="467" t="str">
        <f t="shared" si="89"/>
        <v xml:space="preserve"> </v>
      </c>
      <c r="I243" s="418" t="str">
        <f t="shared" si="89"/>
        <v xml:space="preserve"> </v>
      </c>
      <c r="J243" s="55"/>
      <c r="K243" s="49"/>
      <c r="L243" s="418" t="str">
        <f t="shared" ref="L243:L246" si="92">IF(J243=0," ",J243*K243)</f>
        <v xml:space="preserve"> </v>
      </c>
      <c r="M243" s="55"/>
      <c r="N243" s="467"/>
      <c r="O243" s="418" t="str">
        <f t="shared" ref="O243:O246" si="93">IF(M243=0," ",M243*N243)</f>
        <v xml:space="preserve"> </v>
      </c>
      <c r="P243" s="483"/>
      <c r="Q243" s="483"/>
    </row>
    <row r="244" spans="2:17" ht="12.75" customHeight="1" x14ac:dyDescent="0.2">
      <c r="B244" s="49"/>
      <c r="D244" s="46" t="s">
        <v>124</v>
      </c>
      <c r="E244" s="120" t="s">
        <v>614</v>
      </c>
      <c r="F244" s="61" t="s">
        <v>829</v>
      </c>
      <c r="G244" s="55">
        <v>6</v>
      </c>
      <c r="H244" s="468">
        <v>2500</v>
      </c>
      <c r="I244" s="418">
        <f t="shared" si="89"/>
        <v>15000</v>
      </c>
      <c r="J244" s="55">
        <v>6</v>
      </c>
      <c r="K244" s="49">
        <v>2750</v>
      </c>
      <c r="L244" s="418">
        <f t="shared" si="92"/>
        <v>16500</v>
      </c>
      <c r="M244" s="55">
        <v>6</v>
      </c>
      <c r="N244" s="468">
        <v>2750</v>
      </c>
      <c r="O244" s="418">
        <f t="shared" si="93"/>
        <v>16500</v>
      </c>
      <c r="P244" s="483">
        <f t="shared" ref="P244:P263" si="94">K244-N244</f>
        <v>0</v>
      </c>
      <c r="Q244" s="483">
        <f t="shared" ref="Q244:Q263" si="95">L244-O244</f>
        <v>0</v>
      </c>
    </row>
    <row r="245" spans="2:17" ht="12.75" customHeight="1" x14ac:dyDescent="0.2">
      <c r="B245" s="49"/>
      <c r="D245" s="50"/>
      <c r="E245" s="48"/>
      <c r="F245" s="61"/>
      <c r="G245" s="69"/>
      <c r="H245" s="467" t="str">
        <f t="shared" si="89"/>
        <v xml:space="preserve"> </v>
      </c>
      <c r="I245" s="418" t="str">
        <f t="shared" si="89"/>
        <v xml:space="preserve"> </v>
      </c>
      <c r="J245" s="69"/>
      <c r="K245" s="49"/>
      <c r="L245" s="418" t="str">
        <f t="shared" si="92"/>
        <v xml:space="preserve"> </v>
      </c>
      <c r="M245" s="69"/>
      <c r="N245" s="467"/>
      <c r="O245" s="418" t="str">
        <f t="shared" si="93"/>
        <v xml:space="preserve"> </v>
      </c>
      <c r="P245" s="483"/>
      <c r="Q245" s="483"/>
    </row>
    <row r="246" spans="2:17" ht="12.75" customHeight="1" x14ac:dyDescent="0.2">
      <c r="B246" s="49"/>
      <c r="C246" s="56" t="s">
        <v>279</v>
      </c>
      <c r="D246" s="68" t="s">
        <v>804</v>
      </c>
      <c r="E246" s="48"/>
      <c r="F246" s="61"/>
      <c r="G246" s="55"/>
      <c r="H246" s="467"/>
      <c r="I246" s="418" t="str">
        <f t="shared" si="89"/>
        <v xml:space="preserve"> </v>
      </c>
      <c r="J246" s="55"/>
      <c r="K246" s="49"/>
      <c r="L246" s="418" t="str">
        <f t="shared" si="92"/>
        <v xml:space="preserve"> </v>
      </c>
      <c r="M246" s="55"/>
      <c r="N246" s="467"/>
      <c r="O246" s="418" t="str">
        <f t="shared" si="93"/>
        <v xml:space="preserve"> </v>
      </c>
      <c r="P246" s="483"/>
      <c r="Q246" s="483"/>
    </row>
    <row r="247" spans="2:17" ht="12.75" customHeight="1" x14ac:dyDescent="0.2">
      <c r="B247" s="49"/>
      <c r="C247" s="37"/>
      <c r="D247" s="63" t="s">
        <v>277</v>
      </c>
      <c r="E247" s="121" t="s">
        <v>810</v>
      </c>
      <c r="F247" s="61" t="s">
        <v>829</v>
      </c>
      <c r="G247" s="65" t="s">
        <v>596</v>
      </c>
      <c r="H247" s="468">
        <v>3000</v>
      </c>
      <c r="I247" s="418"/>
      <c r="J247" s="65" t="s">
        <v>596</v>
      </c>
      <c r="K247" s="49">
        <v>3200</v>
      </c>
      <c r="L247" s="418"/>
      <c r="M247" s="65" t="s">
        <v>596</v>
      </c>
      <c r="N247" s="468">
        <v>3200</v>
      </c>
      <c r="O247" s="418"/>
      <c r="P247" s="483">
        <f t="shared" si="94"/>
        <v>0</v>
      </c>
      <c r="Q247" s="483">
        <f t="shared" si="95"/>
        <v>0</v>
      </c>
    </row>
    <row r="248" spans="2:17" ht="12.75" customHeight="1" x14ac:dyDescent="0.2">
      <c r="B248" s="49"/>
      <c r="C248" s="37"/>
      <c r="D248" s="63"/>
      <c r="E248" s="121"/>
      <c r="F248" s="61"/>
      <c r="G248" s="55"/>
      <c r="H248" s="468"/>
      <c r="I248" s="418"/>
      <c r="J248" s="55"/>
      <c r="K248" s="49"/>
      <c r="L248" s="418"/>
      <c r="M248" s="55"/>
      <c r="N248" s="468"/>
      <c r="O248" s="418"/>
      <c r="P248" s="483"/>
      <c r="Q248" s="483"/>
    </row>
    <row r="249" spans="2:17" ht="12.75" customHeight="1" x14ac:dyDescent="0.2">
      <c r="B249" s="49"/>
      <c r="C249" s="37"/>
      <c r="D249" s="63" t="s">
        <v>124</v>
      </c>
      <c r="E249" s="121" t="s">
        <v>805</v>
      </c>
      <c r="F249" s="61" t="s">
        <v>829</v>
      </c>
      <c r="G249" s="65" t="s">
        <v>596</v>
      </c>
      <c r="H249" s="468">
        <v>3000</v>
      </c>
      <c r="I249" s="418"/>
      <c r="J249" s="65" t="s">
        <v>596</v>
      </c>
      <c r="K249" s="49">
        <v>3200</v>
      </c>
      <c r="L249" s="418"/>
      <c r="M249" s="65" t="s">
        <v>596</v>
      </c>
      <c r="N249" s="468">
        <v>3200</v>
      </c>
      <c r="O249" s="418"/>
      <c r="P249" s="483">
        <f t="shared" si="94"/>
        <v>0</v>
      </c>
      <c r="Q249" s="483">
        <f t="shared" si="95"/>
        <v>0</v>
      </c>
    </row>
    <row r="250" spans="2:17" ht="12.75" customHeight="1" x14ac:dyDescent="0.2">
      <c r="B250" s="49"/>
      <c r="C250" s="37"/>
      <c r="D250" s="66"/>
      <c r="E250" s="43"/>
      <c r="F250" s="61"/>
      <c r="G250" s="55"/>
      <c r="H250" s="468"/>
      <c r="I250" s="418"/>
      <c r="J250" s="55"/>
      <c r="K250" s="49"/>
      <c r="L250" s="418"/>
      <c r="M250" s="55"/>
      <c r="N250" s="468"/>
      <c r="O250" s="418"/>
      <c r="P250" s="483"/>
      <c r="Q250" s="483"/>
    </row>
    <row r="251" spans="2:17" ht="12.75" customHeight="1" x14ac:dyDescent="0.2">
      <c r="B251" s="49"/>
      <c r="C251" s="37"/>
      <c r="D251" s="63" t="s">
        <v>125</v>
      </c>
      <c r="E251" s="121" t="s">
        <v>785</v>
      </c>
      <c r="F251" s="61" t="s">
        <v>829</v>
      </c>
      <c r="G251" s="65" t="s">
        <v>596</v>
      </c>
      <c r="H251" s="468">
        <v>3000</v>
      </c>
      <c r="I251" s="418"/>
      <c r="J251" s="65" t="s">
        <v>596</v>
      </c>
      <c r="K251" s="49">
        <v>3200</v>
      </c>
      <c r="L251" s="418"/>
      <c r="M251" s="65" t="s">
        <v>596</v>
      </c>
      <c r="N251" s="468">
        <v>3200</v>
      </c>
      <c r="O251" s="418"/>
      <c r="P251" s="483">
        <f t="shared" si="94"/>
        <v>0</v>
      </c>
      <c r="Q251" s="483">
        <f t="shared" si="95"/>
        <v>0</v>
      </c>
    </row>
    <row r="252" spans="2:17" ht="12.75" customHeight="1" x14ac:dyDescent="0.2">
      <c r="B252" s="49"/>
      <c r="C252" s="37"/>
      <c r="D252" s="66"/>
      <c r="E252" s="122"/>
      <c r="F252" s="61"/>
      <c r="G252" s="55"/>
      <c r="H252" s="468"/>
      <c r="I252" s="418"/>
      <c r="J252" s="55"/>
      <c r="K252" s="49"/>
      <c r="L252" s="418"/>
      <c r="M252" s="55"/>
      <c r="N252" s="468"/>
      <c r="O252" s="418"/>
      <c r="P252" s="483"/>
      <c r="Q252" s="483"/>
    </row>
    <row r="253" spans="2:17" ht="12.75" customHeight="1" x14ac:dyDescent="0.2">
      <c r="B253" s="49"/>
      <c r="C253" s="37"/>
      <c r="D253" s="66" t="s">
        <v>784</v>
      </c>
      <c r="E253" s="224" t="s">
        <v>806</v>
      </c>
      <c r="F253" s="61" t="s">
        <v>829</v>
      </c>
      <c r="G253" s="65" t="s">
        <v>596</v>
      </c>
      <c r="H253" s="468">
        <v>3000</v>
      </c>
      <c r="I253" s="418"/>
      <c r="J253" s="65" t="s">
        <v>596</v>
      </c>
      <c r="K253" s="49">
        <v>3200</v>
      </c>
      <c r="L253" s="418"/>
      <c r="M253" s="65" t="s">
        <v>596</v>
      </c>
      <c r="N253" s="468">
        <v>3200</v>
      </c>
      <c r="O253" s="418"/>
      <c r="P253" s="483">
        <f t="shared" si="94"/>
        <v>0</v>
      </c>
      <c r="Q253" s="483">
        <f t="shared" si="95"/>
        <v>0</v>
      </c>
    </row>
    <row r="254" spans="2:17" ht="12.75" customHeight="1" x14ac:dyDescent="0.2">
      <c r="B254" s="49"/>
      <c r="C254" s="37"/>
      <c r="D254" s="36"/>
      <c r="E254" s="38"/>
      <c r="F254" s="61"/>
      <c r="G254" s="55"/>
      <c r="H254" s="468"/>
      <c r="I254" s="418"/>
      <c r="J254" s="55"/>
      <c r="K254" s="49"/>
      <c r="L254" s="418"/>
      <c r="M254" s="55"/>
      <c r="N254" s="468"/>
      <c r="O254" s="418"/>
      <c r="P254" s="483"/>
      <c r="Q254" s="483"/>
    </row>
    <row r="255" spans="2:17" ht="12.75" customHeight="1" x14ac:dyDescent="0.2">
      <c r="B255" s="49"/>
      <c r="C255" s="37"/>
      <c r="D255" s="36" t="s">
        <v>130</v>
      </c>
      <c r="E255" s="38" t="s">
        <v>807</v>
      </c>
      <c r="F255" s="61" t="s">
        <v>829</v>
      </c>
      <c r="G255" s="65" t="s">
        <v>596</v>
      </c>
      <c r="H255" s="468">
        <v>3000</v>
      </c>
      <c r="I255" s="418"/>
      <c r="J255" s="65" t="s">
        <v>596</v>
      </c>
      <c r="K255" s="49">
        <v>3200</v>
      </c>
      <c r="L255" s="418"/>
      <c r="M255" s="65" t="s">
        <v>596</v>
      </c>
      <c r="N255" s="468">
        <v>3200</v>
      </c>
      <c r="O255" s="418"/>
      <c r="P255" s="483">
        <f t="shared" si="94"/>
        <v>0</v>
      </c>
      <c r="Q255" s="483">
        <f t="shared" si="95"/>
        <v>0</v>
      </c>
    </row>
    <row r="256" spans="2:17" ht="12.75" customHeight="1" x14ac:dyDescent="0.2">
      <c r="B256" s="49"/>
      <c r="C256" s="37"/>
      <c r="D256" s="36"/>
      <c r="E256" s="38"/>
      <c r="F256" s="61"/>
      <c r="G256" s="55"/>
      <c r="H256" s="468"/>
      <c r="I256" s="418" t="str">
        <f t="shared" ref="I256:I263" si="96">IF(G256=0," ",G256*H256)</f>
        <v xml:space="preserve"> </v>
      </c>
      <c r="J256" s="55"/>
      <c r="K256" s="49"/>
      <c r="L256" s="418" t="str">
        <f t="shared" ref="L256:L258" si="97">IF(J256=0," ",J256*K256)</f>
        <v xml:space="preserve"> </v>
      </c>
      <c r="M256" s="55"/>
      <c r="N256" s="468"/>
      <c r="O256" s="418" t="str">
        <f t="shared" ref="O256:O258" si="98">IF(M256=0," ",M256*N256)</f>
        <v xml:space="preserve"> </v>
      </c>
      <c r="P256" s="483"/>
      <c r="Q256" s="483"/>
    </row>
    <row r="257" spans="2:17" ht="12.75" customHeight="1" x14ac:dyDescent="0.2">
      <c r="B257" s="49"/>
      <c r="C257" s="37"/>
      <c r="D257" s="36" t="s">
        <v>126</v>
      </c>
      <c r="E257" s="38" t="s">
        <v>808</v>
      </c>
      <c r="F257" s="61" t="s">
        <v>829</v>
      </c>
      <c r="G257" s="55">
        <v>42</v>
      </c>
      <c r="H257" s="468">
        <v>3000</v>
      </c>
      <c r="I257" s="418">
        <f t="shared" si="96"/>
        <v>126000</v>
      </c>
      <c r="J257" s="55">
        <v>42</v>
      </c>
      <c r="K257" s="49">
        <v>3000</v>
      </c>
      <c r="L257" s="418">
        <f t="shared" si="97"/>
        <v>126000</v>
      </c>
      <c r="M257" s="55">
        <v>42</v>
      </c>
      <c r="N257" s="468">
        <v>3000</v>
      </c>
      <c r="O257" s="418">
        <f t="shared" si="98"/>
        <v>126000</v>
      </c>
      <c r="P257" s="483">
        <f t="shared" si="94"/>
        <v>0</v>
      </c>
      <c r="Q257" s="483">
        <f t="shared" si="95"/>
        <v>0</v>
      </c>
    </row>
    <row r="258" spans="2:17" ht="12.75" customHeight="1" x14ac:dyDescent="0.2">
      <c r="B258" s="49"/>
      <c r="C258" s="37"/>
      <c r="D258" s="36"/>
      <c r="E258" s="38"/>
      <c r="F258" s="49"/>
      <c r="G258" s="55"/>
      <c r="H258" s="468"/>
      <c r="I258" s="418" t="str">
        <f t="shared" si="96"/>
        <v xml:space="preserve"> </v>
      </c>
      <c r="J258" s="55"/>
      <c r="K258" s="49"/>
      <c r="L258" s="418" t="str">
        <f t="shared" si="97"/>
        <v xml:space="preserve"> </v>
      </c>
      <c r="M258" s="55"/>
      <c r="N258" s="468"/>
      <c r="O258" s="418" t="str">
        <f t="shared" si="98"/>
        <v xml:space="preserve"> </v>
      </c>
      <c r="P258" s="483"/>
      <c r="Q258" s="483"/>
    </row>
    <row r="259" spans="2:17" ht="12.75" customHeight="1" x14ac:dyDescent="0.2">
      <c r="B259" s="49"/>
      <c r="C259" s="37"/>
      <c r="D259" s="42" t="s">
        <v>787</v>
      </c>
      <c r="E259" s="38" t="s">
        <v>809</v>
      </c>
      <c r="F259" s="61" t="s">
        <v>829</v>
      </c>
      <c r="G259" s="65" t="s">
        <v>596</v>
      </c>
      <c r="H259" s="468">
        <v>3000</v>
      </c>
      <c r="I259" s="418"/>
      <c r="J259" s="65" t="s">
        <v>596</v>
      </c>
      <c r="K259" s="49">
        <v>3200</v>
      </c>
      <c r="L259" s="418"/>
      <c r="M259" s="65" t="s">
        <v>596</v>
      </c>
      <c r="N259" s="468">
        <v>3200</v>
      </c>
      <c r="O259" s="418"/>
      <c r="P259" s="483">
        <f t="shared" si="94"/>
        <v>0</v>
      </c>
      <c r="Q259" s="483">
        <f t="shared" si="95"/>
        <v>0</v>
      </c>
    </row>
    <row r="260" spans="2:17" ht="12.75" customHeight="1" x14ac:dyDescent="0.2">
      <c r="B260" s="56"/>
      <c r="F260" s="61"/>
      <c r="G260" s="55"/>
      <c r="H260" s="468"/>
      <c r="I260" s="418"/>
      <c r="J260" s="55"/>
      <c r="K260" s="49"/>
      <c r="L260" s="418"/>
      <c r="M260" s="55"/>
      <c r="N260" s="468"/>
      <c r="O260" s="418"/>
      <c r="P260" s="483"/>
      <c r="Q260" s="483"/>
    </row>
    <row r="261" spans="2:17" ht="12.75" customHeight="1" x14ac:dyDescent="0.2">
      <c r="B261" s="56"/>
      <c r="D261" s="57" t="s">
        <v>787</v>
      </c>
      <c r="E261" s="67" t="s">
        <v>790</v>
      </c>
      <c r="F261" s="61" t="s">
        <v>829</v>
      </c>
      <c r="G261" s="65" t="s">
        <v>596</v>
      </c>
      <c r="H261" s="468">
        <v>3000</v>
      </c>
      <c r="I261" s="418"/>
      <c r="J261" s="65" t="s">
        <v>596</v>
      </c>
      <c r="K261" s="49">
        <v>3200</v>
      </c>
      <c r="L261" s="418"/>
      <c r="M261" s="65" t="s">
        <v>596</v>
      </c>
      <c r="N261" s="468">
        <v>3200</v>
      </c>
      <c r="O261" s="418"/>
      <c r="P261" s="483">
        <f t="shared" si="94"/>
        <v>0</v>
      </c>
      <c r="Q261" s="483">
        <f t="shared" si="95"/>
        <v>0</v>
      </c>
    </row>
    <row r="262" spans="2:17" ht="12.75" customHeight="1" x14ac:dyDescent="0.2">
      <c r="B262" s="56"/>
      <c r="F262" s="61"/>
      <c r="G262" s="55"/>
      <c r="H262" s="467"/>
      <c r="I262" s="418" t="str">
        <f t="shared" si="96"/>
        <v xml:space="preserve"> </v>
      </c>
      <c r="J262" s="55"/>
      <c r="K262" s="49"/>
      <c r="L262" s="418" t="str">
        <f t="shared" ref="L262:L263" si="99">IF(J262=0," ",J262*K262)</f>
        <v xml:space="preserve"> </v>
      </c>
      <c r="M262" s="55"/>
      <c r="N262" s="467"/>
      <c r="O262" s="418" t="str">
        <f t="shared" ref="O262:O263" si="100">IF(M262=0," ",M262*N262)</f>
        <v xml:space="preserve"> </v>
      </c>
      <c r="P262" s="483"/>
      <c r="Q262" s="483"/>
    </row>
    <row r="263" spans="2:17" ht="12.75" customHeight="1" x14ac:dyDescent="0.2">
      <c r="B263" s="47"/>
      <c r="D263" s="57" t="s">
        <v>855</v>
      </c>
      <c r="E263" s="67" t="s">
        <v>791</v>
      </c>
      <c r="F263" s="61" t="s">
        <v>829</v>
      </c>
      <c r="G263" s="55">
        <v>80</v>
      </c>
      <c r="H263" s="467">
        <v>3000</v>
      </c>
      <c r="I263" s="418">
        <f t="shared" si="96"/>
        <v>240000</v>
      </c>
      <c r="J263" s="55">
        <v>80</v>
      </c>
      <c r="K263" s="49">
        <v>3000</v>
      </c>
      <c r="L263" s="418">
        <f t="shared" si="99"/>
        <v>240000</v>
      </c>
      <c r="M263" s="55">
        <v>80</v>
      </c>
      <c r="N263" s="467">
        <v>3000</v>
      </c>
      <c r="O263" s="418">
        <f t="shared" si="100"/>
        <v>240000</v>
      </c>
      <c r="P263" s="483">
        <f t="shared" si="94"/>
        <v>0</v>
      </c>
      <c r="Q263" s="483">
        <f t="shared" si="95"/>
        <v>0</v>
      </c>
    </row>
    <row r="264" spans="2:17" ht="12.75" customHeight="1" x14ac:dyDescent="0.2">
      <c r="B264" s="47"/>
      <c r="F264" s="61"/>
      <c r="G264" s="55"/>
      <c r="H264" s="467"/>
      <c r="I264" s="467"/>
      <c r="J264" s="55"/>
      <c r="K264" s="49"/>
      <c r="L264" s="467"/>
      <c r="M264" s="55"/>
      <c r="N264" s="467"/>
      <c r="O264" s="467"/>
      <c r="P264" s="49"/>
      <c r="Q264" s="49"/>
    </row>
    <row r="265" spans="2:17" ht="12.75" customHeight="1" x14ac:dyDescent="0.2">
      <c r="B265" s="47"/>
      <c r="F265" s="61"/>
      <c r="G265" s="55"/>
      <c r="H265" s="467"/>
      <c r="I265" s="467"/>
      <c r="J265" s="55"/>
      <c r="K265" s="49"/>
      <c r="L265" s="467"/>
      <c r="M265" s="55"/>
      <c r="N265" s="467"/>
      <c r="O265" s="467"/>
      <c r="P265" s="49"/>
      <c r="Q265" s="49"/>
    </row>
    <row r="266" spans="2:17" ht="12.75" customHeight="1" x14ac:dyDescent="0.2">
      <c r="B266" s="47"/>
      <c r="F266" s="61"/>
      <c r="G266" s="55"/>
      <c r="H266" s="467"/>
      <c r="I266" s="467"/>
      <c r="J266" s="55"/>
      <c r="K266" s="49"/>
      <c r="L266" s="467"/>
      <c r="M266" s="55"/>
      <c r="N266" s="467"/>
      <c r="O266" s="467"/>
      <c r="P266" s="49"/>
      <c r="Q266" s="49"/>
    </row>
    <row r="267" spans="2:17" ht="12.75" customHeight="1" x14ac:dyDescent="0.2">
      <c r="B267" s="47"/>
      <c r="F267" s="61"/>
      <c r="G267" s="55"/>
      <c r="H267" s="467"/>
      <c r="I267" s="467"/>
      <c r="J267" s="55"/>
      <c r="K267" s="49"/>
      <c r="L267" s="467"/>
      <c r="M267" s="55"/>
      <c r="N267" s="467"/>
      <c r="O267" s="467"/>
      <c r="P267" s="49"/>
      <c r="Q267" s="49"/>
    </row>
    <row r="268" spans="2:17" ht="12.75" customHeight="1" x14ac:dyDescent="0.2">
      <c r="B268" s="47"/>
      <c r="F268" s="61"/>
      <c r="G268" s="55"/>
      <c r="H268" s="467"/>
      <c r="I268" s="467"/>
      <c r="J268" s="55"/>
      <c r="K268" s="49"/>
      <c r="L268" s="467"/>
      <c r="M268" s="55"/>
      <c r="N268" s="467"/>
      <c r="O268" s="467"/>
      <c r="P268" s="49"/>
      <c r="Q268" s="49"/>
    </row>
    <row r="269" spans="2:17" ht="12.75" customHeight="1" x14ac:dyDescent="0.2">
      <c r="B269" s="47"/>
      <c r="F269" s="61"/>
      <c r="G269" s="55"/>
      <c r="H269" s="467"/>
      <c r="I269" s="467"/>
      <c r="J269" s="55"/>
      <c r="K269" s="49"/>
      <c r="L269" s="467"/>
      <c r="M269" s="55"/>
      <c r="N269" s="467"/>
      <c r="O269" s="467"/>
      <c r="P269" s="49"/>
      <c r="Q269" s="49"/>
    </row>
    <row r="270" spans="2:17" ht="12.75" customHeight="1" x14ac:dyDescent="0.2">
      <c r="B270" s="47"/>
      <c r="F270" s="61"/>
      <c r="G270" s="55"/>
      <c r="H270" s="467"/>
      <c r="I270" s="467"/>
      <c r="J270" s="55"/>
      <c r="K270" s="49"/>
      <c r="L270" s="467"/>
      <c r="M270" s="55"/>
      <c r="N270" s="467"/>
      <c r="O270" s="467"/>
      <c r="P270" s="49"/>
      <c r="Q270" s="49"/>
    </row>
    <row r="271" spans="2:17" ht="12.75" customHeight="1" x14ac:dyDescent="0.2">
      <c r="B271" s="47"/>
      <c r="F271" s="61"/>
      <c r="G271" s="55"/>
      <c r="H271" s="467"/>
      <c r="I271" s="467"/>
      <c r="J271" s="55"/>
      <c r="K271" s="49"/>
      <c r="L271" s="467"/>
      <c r="M271" s="55"/>
      <c r="N271" s="467"/>
      <c r="O271" s="467"/>
      <c r="P271" s="49"/>
      <c r="Q271" s="49"/>
    </row>
    <row r="272" spans="2:17" ht="12.75" customHeight="1" x14ac:dyDescent="0.2">
      <c r="B272" s="47"/>
      <c r="F272" s="61"/>
      <c r="G272" s="55"/>
      <c r="H272" s="467"/>
      <c r="I272" s="467"/>
      <c r="J272" s="55"/>
      <c r="K272" s="49"/>
      <c r="L272" s="467"/>
      <c r="M272" s="55"/>
      <c r="N272" s="467"/>
      <c r="O272" s="467"/>
      <c r="P272" s="49"/>
      <c r="Q272" s="49"/>
    </row>
    <row r="273" spans="2:17" ht="12.75" customHeight="1" x14ac:dyDescent="0.2">
      <c r="B273" s="56"/>
      <c r="F273" s="61"/>
      <c r="G273" s="55"/>
      <c r="H273" s="467"/>
      <c r="I273" s="467"/>
      <c r="J273" s="55"/>
      <c r="K273" s="49"/>
      <c r="L273" s="467"/>
      <c r="M273" s="55"/>
      <c r="N273" s="467"/>
      <c r="O273" s="467"/>
      <c r="P273" s="49"/>
      <c r="Q273" s="49"/>
    </row>
    <row r="274" spans="2:17" ht="12.75" customHeight="1" x14ac:dyDescent="0.2">
      <c r="B274" s="56"/>
      <c r="F274" s="61"/>
      <c r="G274" s="55"/>
      <c r="H274" s="467"/>
      <c r="I274" s="467"/>
      <c r="J274" s="55"/>
      <c r="K274" s="49"/>
      <c r="L274" s="467"/>
      <c r="M274" s="55"/>
      <c r="N274" s="467"/>
      <c r="O274" s="467"/>
      <c r="P274" s="49"/>
      <c r="Q274" s="49"/>
    </row>
    <row r="275" spans="2:17" ht="12.75" customHeight="1" x14ac:dyDescent="0.2">
      <c r="B275" s="56"/>
      <c r="F275" s="61"/>
      <c r="G275" s="55"/>
      <c r="H275" s="467"/>
      <c r="I275" s="467"/>
      <c r="J275" s="55"/>
      <c r="K275" s="49"/>
      <c r="L275" s="467"/>
      <c r="M275" s="55"/>
      <c r="N275" s="467"/>
      <c r="O275" s="467"/>
      <c r="P275" s="49"/>
      <c r="Q275" s="49"/>
    </row>
    <row r="276" spans="2:17" ht="12.75" customHeight="1" x14ac:dyDescent="0.2">
      <c r="B276" s="47"/>
      <c r="F276" s="61"/>
      <c r="G276" s="55"/>
      <c r="H276" s="467"/>
      <c r="I276" s="467"/>
      <c r="J276" s="55"/>
      <c r="K276" s="49"/>
      <c r="L276" s="467"/>
      <c r="M276" s="55"/>
      <c r="N276" s="467"/>
      <c r="O276" s="467"/>
      <c r="P276" s="49"/>
      <c r="Q276" s="49"/>
    </row>
    <row r="277" spans="2:17" ht="12.75" customHeight="1" x14ac:dyDescent="0.2">
      <c r="B277" s="47"/>
      <c r="F277" s="61"/>
      <c r="G277" s="55"/>
      <c r="H277" s="467"/>
      <c r="I277" s="467"/>
      <c r="J277" s="55"/>
      <c r="K277" s="49"/>
      <c r="L277" s="467"/>
      <c r="M277" s="55"/>
      <c r="N277" s="467"/>
      <c r="O277" s="467"/>
      <c r="P277" s="49"/>
      <c r="Q277" s="49"/>
    </row>
    <row r="278" spans="2:17" ht="12.75" customHeight="1" x14ac:dyDescent="0.2">
      <c r="B278" s="47"/>
      <c r="F278" s="61"/>
      <c r="G278" s="55"/>
      <c r="H278" s="467"/>
      <c r="I278" s="467"/>
      <c r="J278" s="55"/>
      <c r="K278" s="49"/>
      <c r="L278" s="467"/>
      <c r="M278" s="55"/>
      <c r="N278" s="467"/>
      <c r="O278" s="467"/>
      <c r="P278" s="49"/>
      <c r="Q278" s="49"/>
    </row>
    <row r="279" spans="2:17" ht="12.75" customHeight="1" x14ac:dyDescent="0.2">
      <c r="B279" s="56"/>
      <c r="F279" s="61"/>
      <c r="G279" s="55"/>
      <c r="H279" s="467"/>
      <c r="I279" s="467"/>
      <c r="J279" s="55"/>
      <c r="K279" s="49"/>
      <c r="L279" s="467"/>
      <c r="M279" s="55"/>
      <c r="N279" s="467"/>
      <c r="O279" s="467"/>
      <c r="P279" s="49"/>
      <c r="Q279" s="49"/>
    </row>
    <row r="280" spans="2:17" ht="12.75" customHeight="1" x14ac:dyDescent="0.2">
      <c r="B280" s="56"/>
      <c r="F280" s="61"/>
      <c r="G280" s="55"/>
      <c r="H280" s="467"/>
      <c r="I280" s="467"/>
      <c r="J280" s="55"/>
      <c r="K280" s="49"/>
      <c r="L280" s="467"/>
      <c r="M280" s="55"/>
      <c r="N280" s="467"/>
      <c r="O280" s="467"/>
      <c r="P280" s="49"/>
      <c r="Q280" s="49"/>
    </row>
    <row r="281" spans="2:17" ht="12.75" customHeight="1" x14ac:dyDescent="0.2">
      <c r="B281" s="56"/>
      <c r="F281" s="61"/>
      <c r="G281" s="55"/>
      <c r="H281" s="467"/>
      <c r="I281" s="467"/>
      <c r="J281" s="55"/>
      <c r="K281" s="49"/>
      <c r="L281" s="467"/>
      <c r="M281" s="55"/>
      <c r="N281" s="467"/>
      <c r="O281" s="467"/>
      <c r="P281" s="49"/>
      <c r="Q281" s="49"/>
    </row>
    <row r="282" spans="2:17" ht="12.75" customHeight="1" x14ac:dyDescent="0.2">
      <c r="B282" s="56"/>
      <c r="F282" s="61"/>
      <c r="G282" s="55"/>
      <c r="H282" s="467"/>
      <c r="I282" s="467"/>
      <c r="J282" s="55"/>
      <c r="K282" s="49"/>
      <c r="L282" s="467"/>
      <c r="M282" s="55"/>
      <c r="N282" s="467"/>
      <c r="O282" s="467"/>
      <c r="P282" s="49"/>
      <c r="Q282" s="49"/>
    </row>
    <row r="283" spans="2:17" ht="12.75" customHeight="1" x14ac:dyDescent="0.2">
      <c r="B283" s="56"/>
      <c r="F283" s="61"/>
      <c r="G283" s="55"/>
      <c r="H283" s="467"/>
      <c r="I283" s="467"/>
      <c r="J283" s="55"/>
      <c r="K283" s="49"/>
      <c r="L283" s="467"/>
      <c r="M283" s="55"/>
      <c r="N283" s="467"/>
      <c r="O283" s="467"/>
      <c r="P283" s="49"/>
      <c r="Q283" s="49"/>
    </row>
    <row r="284" spans="2:17" ht="12.75" customHeight="1" x14ac:dyDescent="0.2">
      <c r="B284" s="56"/>
      <c r="F284" s="61"/>
      <c r="G284" s="55"/>
      <c r="H284" s="467"/>
      <c r="I284" s="467"/>
      <c r="J284" s="55"/>
      <c r="K284" s="49"/>
      <c r="L284" s="467"/>
      <c r="M284" s="55"/>
      <c r="N284" s="467"/>
      <c r="O284" s="467"/>
      <c r="P284" s="49"/>
      <c r="Q284" s="49"/>
    </row>
    <row r="285" spans="2:17" ht="12.75" customHeight="1" x14ac:dyDescent="0.2">
      <c r="B285" s="56"/>
      <c r="F285" s="61"/>
      <c r="G285" s="55"/>
      <c r="H285" s="467"/>
      <c r="I285" s="467"/>
      <c r="J285" s="55"/>
      <c r="K285" s="49"/>
      <c r="L285" s="467"/>
      <c r="M285" s="55"/>
      <c r="N285" s="467"/>
      <c r="O285" s="467"/>
      <c r="P285" s="49"/>
      <c r="Q285" s="49"/>
    </row>
    <row r="286" spans="2:17" ht="12.75" customHeight="1" x14ac:dyDescent="0.2">
      <c r="B286" s="56"/>
      <c r="F286" s="61"/>
      <c r="G286" s="55"/>
      <c r="H286" s="467"/>
      <c r="I286" s="467"/>
      <c r="J286" s="55"/>
      <c r="K286" s="49"/>
      <c r="L286" s="467"/>
      <c r="M286" s="55"/>
      <c r="N286" s="467"/>
      <c r="O286" s="467"/>
      <c r="P286" s="49"/>
      <c r="Q286" s="49"/>
    </row>
    <row r="287" spans="2:17" ht="12.75" customHeight="1" x14ac:dyDescent="0.2">
      <c r="B287" s="56"/>
      <c r="F287" s="61"/>
      <c r="G287" s="55"/>
      <c r="H287" s="467"/>
      <c r="I287" s="467"/>
      <c r="J287" s="55"/>
      <c r="K287" s="49"/>
      <c r="L287" s="467"/>
      <c r="M287" s="55"/>
      <c r="N287" s="467"/>
      <c r="O287" s="467"/>
      <c r="P287" s="49"/>
      <c r="Q287" s="49"/>
    </row>
    <row r="288" spans="2:17" ht="12.75" customHeight="1" x14ac:dyDescent="0.2">
      <c r="B288" s="56"/>
      <c r="F288" s="61"/>
      <c r="G288" s="55"/>
      <c r="H288" s="467"/>
      <c r="I288" s="467"/>
      <c r="J288" s="55"/>
      <c r="K288" s="49"/>
      <c r="L288" s="467"/>
      <c r="M288" s="55"/>
      <c r="N288" s="467"/>
      <c r="O288" s="467"/>
      <c r="P288" s="49"/>
      <c r="Q288" s="49"/>
    </row>
    <row r="289" spans="2:17" ht="12.75" customHeight="1" x14ac:dyDescent="0.2">
      <c r="B289" s="56"/>
      <c r="F289" s="61"/>
      <c r="G289" s="55"/>
      <c r="H289" s="467"/>
      <c r="I289" s="467"/>
      <c r="J289" s="55"/>
      <c r="K289" s="49"/>
      <c r="L289" s="467"/>
      <c r="M289" s="55"/>
      <c r="N289" s="467"/>
      <c r="O289" s="467"/>
      <c r="P289" s="49"/>
      <c r="Q289" s="49"/>
    </row>
    <row r="290" spans="2:17" ht="12.75" customHeight="1" x14ac:dyDescent="0.2">
      <c r="B290" s="56"/>
      <c r="F290" s="61"/>
      <c r="G290" s="55"/>
      <c r="H290" s="467"/>
      <c r="I290" s="467"/>
      <c r="J290" s="55"/>
      <c r="K290" s="49"/>
      <c r="L290" s="467"/>
      <c r="M290" s="55"/>
      <c r="N290" s="467"/>
      <c r="O290" s="467"/>
      <c r="P290" s="49"/>
      <c r="Q290" s="49"/>
    </row>
    <row r="291" spans="2:17" ht="12.75" customHeight="1" x14ac:dyDescent="0.2">
      <c r="B291" s="56"/>
      <c r="F291" s="61"/>
      <c r="G291" s="55"/>
      <c r="H291" s="467"/>
      <c r="I291" s="467"/>
      <c r="J291" s="55"/>
      <c r="K291" s="49"/>
      <c r="L291" s="467"/>
      <c r="M291" s="55"/>
      <c r="N291" s="467"/>
      <c r="O291" s="467"/>
      <c r="P291" s="49"/>
      <c r="Q291" s="49"/>
    </row>
    <row r="292" spans="2:17" ht="12.75" customHeight="1" x14ac:dyDescent="0.2">
      <c r="B292" s="56"/>
      <c r="F292" s="61"/>
      <c r="G292" s="55"/>
      <c r="H292" s="467"/>
      <c r="I292" s="467"/>
      <c r="J292" s="55"/>
      <c r="K292" s="49"/>
      <c r="L292" s="467"/>
      <c r="M292" s="55"/>
      <c r="N292" s="467"/>
      <c r="O292" s="467"/>
      <c r="P292" s="49"/>
      <c r="Q292" s="49"/>
    </row>
    <row r="293" spans="2:17" ht="12.75" customHeight="1" x14ac:dyDescent="0.2">
      <c r="B293" s="56"/>
      <c r="F293" s="61"/>
      <c r="G293" s="55"/>
      <c r="H293" s="467"/>
      <c r="I293" s="467"/>
      <c r="J293" s="55"/>
      <c r="K293" s="49"/>
      <c r="L293" s="467"/>
      <c r="M293" s="55"/>
      <c r="N293" s="467"/>
      <c r="O293" s="467"/>
      <c r="P293" s="49"/>
      <c r="Q293" s="49"/>
    </row>
    <row r="294" spans="2:17" ht="12.75" customHeight="1" x14ac:dyDescent="0.2">
      <c r="B294" s="56"/>
      <c r="F294" s="61"/>
      <c r="G294" s="55"/>
      <c r="H294" s="467"/>
      <c r="I294" s="467"/>
      <c r="J294" s="55"/>
      <c r="K294" s="49"/>
      <c r="L294" s="467"/>
      <c r="M294" s="55"/>
      <c r="N294" s="467"/>
      <c r="O294" s="467"/>
      <c r="P294" s="49"/>
      <c r="Q294" s="49"/>
    </row>
    <row r="295" spans="2:17" ht="12.75" customHeight="1" x14ac:dyDescent="0.2">
      <c r="B295" s="56"/>
      <c r="F295" s="61"/>
      <c r="G295" s="55"/>
      <c r="H295" s="467"/>
      <c r="I295" s="467"/>
      <c r="J295" s="55"/>
      <c r="K295" s="49"/>
      <c r="L295" s="467"/>
      <c r="M295" s="55"/>
      <c r="N295" s="467"/>
      <c r="O295" s="467"/>
      <c r="P295" s="49"/>
      <c r="Q295" s="49"/>
    </row>
    <row r="296" spans="2:17" ht="12.75" customHeight="1" x14ac:dyDescent="0.2">
      <c r="B296" s="56"/>
      <c r="F296" s="61"/>
      <c r="G296" s="55"/>
      <c r="H296" s="467"/>
      <c r="I296" s="467"/>
      <c r="J296" s="55"/>
      <c r="K296" s="49"/>
      <c r="L296" s="467"/>
      <c r="M296" s="55"/>
      <c r="N296" s="467"/>
      <c r="O296" s="467"/>
      <c r="P296" s="49"/>
      <c r="Q296" s="49"/>
    </row>
    <row r="297" spans="2:17" ht="12.75" customHeight="1" x14ac:dyDescent="0.2">
      <c r="B297" s="56"/>
      <c r="F297" s="61"/>
      <c r="G297" s="55"/>
      <c r="H297" s="467"/>
      <c r="I297" s="467"/>
      <c r="J297" s="55"/>
      <c r="K297" s="49"/>
      <c r="L297" s="467"/>
      <c r="M297" s="55"/>
      <c r="N297" s="467"/>
      <c r="O297" s="467"/>
      <c r="P297" s="49"/>
      <c r="Q297" s="49"/>
    </row>
    <row r="298" spans="2:17" ht="12.75" customHeight="1" x14ac:dyDescent="0.2">
      <c r="B298" s="47"/>
      <c r="F298" s="61"/>
      <c r="G298" s="55"/>
      <c r="H298" s="467"/>
      <c r="I298" s="467"/>
      <c r="J298" s="55"/>
      <c r="K298" s="49"/>
      <c r="L298" s="467"/>
      <c r="M298" s="55"/>
      <c r="N298" s="467"/>
      <c r="O298" s="467"/>
      <c r="P298" s="49"/>
      <c r="Q298" s="49"/>
    </row>
    <row r="299" spans="2:17" ht="12.75" customHeight="1" x14ac:dyDescent="0.2">
      <c r="B299" s="47"/>
      <c r="C299" s="123"/>
      <c r="F299" s="49"/>
      <c r="G299" s="55"/>
      <c r="H299" s="467"/>
      <c r="I299" s="467"/>
      <c r="J299" s="55"/>
      <c r="K299" s="49"/>
      <c r="L299" s="467"/>
      <c r="M299" s="55"/>
      <c r="N299" s="467"/>
      <c r="O299" s="467"/>
      <c r="P299" s="49"/>
      <c r="Q299" s="49"/>
    </row>
    <row r="300" spans="2:17" ht="12.75" customHeight="1" x14ac:dyDescent="0.2">
      <c r="B300" s="56"/>
      <c r="F300" s="61"/>
      <c r="G300" s="55"/>
      <c r="H300" s="467"/>
      <c r="I300" s="467"/>
      <c r="J300" s="55"/>
      <c r="K300" s="49"/>
      <c r="L300" s="467"/>
      <c r="M300" s="55"/>
      <c r="N300" s="467"/>
      <c r="O300" s="467"/>
      <c r="P300" s="49"/>
      <c r="Q300" s="49"/>
    </row>
    <row r="301" spans="2:17" ht="12.75" customHeight="1" x14ac:dyDescent="0.2">
      <c r="B301" s="56"/>
      <c r="F301" s="61"/>
      <c r="G301" s="55"/>
      <c r="H301" s="467"/>
      <c r="I301" s="467"/>
      <c r="J301" s="55"/>
      <c r="K301" s="49"/>
      <c r="L301" s="467"/>
      <c r="M301" s="55"/>
      <c r="N301" s="467"/>
      <c r="O301" s="467"/>
      <c r="P301" s="49"/>
      <c r="Q301" s="49"/>
    </row>
    <row r="302" spans="2:17" ht="12.75" customHeight="1" x14ac:dyDescent="0.2">
      <c r="B302" s="56"/>
      <c r="F302" s="61"/>
      <c r="G302" s="55"/>
      <c r="H302" s="467"/>
      <c r="I302" s="467"/>
      <c r="J302" s="55"/>
      <c r="K302" s="49"/>
      <c r="L302" s="467"/>
      <c r="M302" s="55"/>
      <c r="N302" s="467"/>
      <c r="O302" s="467"/>
      <c r="P302" s="49"/>
      <c r="Q302" s="49"/>
    </row>
    <row r="303" spans="2:17" ht="12.75" customHeight="1" x14ac:dyDescent="0.2">
      <c r="B303" s="56"/>
      <c r="C303" s="123"/>
      <c r="F303" s="49"/>
      <c r="G303" s="55"/>
      <c r="H303" s="467"/>
      <c r="I303" s="467" t="str">
        <f>IF(G303=0," ",G303*H303)</f>
        <v xml:space="preserve"> </v>
      </c>
      <c r="J303" s="55"/>
      <c r="K303" s="49"/>
      <c r="L303" s="467" t="str">
        <f t="shared" ref="L303:L306" si="101">IF(J303=0," ",J303*K303)</f>
        <v xml:space="preserve"> </v>
      </c>
      <c r="M303" s="55"/>
      <c r="N303" s="467"/>
      <c r="O303" s="467" t="str">
        <f t="shared" ref="O303:O306" si="102">IF(M303=0," ",M303*N303)</f>
        <v xml:space="preserve"> </v>
      </c>
      <c r="P303" s="49"/>
      <c r="Q303" s="49"/>
    </row>
    <row r="304" spans="2:17" ht="12.75" customHeight="1" x14ac:dyDescent="0.2">
      <c r="B304" s="56"/>
      <c r="F304" s="61"/>
      <c r="G304" s="55"/>
      <c r="H304" s="467"/>
      <c r="I304" s="467" t="str">
        <f>IF(G304=0," ",G304*H304)</f>
        <v xml:space="preserve"> </v>
      </c>
      <c r="J304" s="55"/>
      <c r="K304" s="49"/>
      <c r="L304" s="467" t="str">
        <f t="shared" si="101"/>
        <v xml:space="preserve"> </v>
      </c>
      <c r="M304" s="55"/>
      <c r="N304" s="467"/>
      <c r="O304" s="467" t="str">
        <f t="shared" si="102"/>
        <v xml:space="preserve"> </v>
      </c>
      <c r="P304" s="49"/>
      <c r="Q304" s="49"/>
    </row>
    <row r="305" spans="2:17" ht="12.75" customHeight="1" x14ac:dyDescent="0.2">
      <c r="B305" s="56"/>
      <c r="F305" s="61"/>
      <c r="G305" s="69"/>
      <c r="H305" s="467"/>
      <c r="I305" s="467" t="str">
        <f>IF(G305=0," ",G305*H305)</f>
        <v xml:space="preserve"> </v>
      </c>
      <c r="J305" s="69"/>
      <c r="K305" s="49"/>
      <c r="L305" s="467" t="str">
        <f t="shared" si="101"/>
        <v xml:space="preserve"> </v>
      </c>
      <c r="M305" s="69"/>
      <c r="N305" s="467"/>
      <c r="O305" s="467" t="str">
        <f t="shared" si="102"/>
        <v xml:space="preserve"> </v>
      </c>
      <c r="P305" s="49"/>
      <c r="Q305" s="49"/>
    </row>
    <row r="306" spans="2:17" ht="12.75" customHeight="1" x14ac:dyDescent="0.2">
      <c r="B306" s="56"/>
      <c r="F306" s="61"/>
      <c r="G306" s="69"/>
      <c r="H306" s="467"/>
      <c r="I306" s="467" t="str">
        <f>IF(G306=0," ",G306*H306)</f>
        <v xml:space="preserve"> </v>
      </c>
      <c r="J306" s="69"/>
      <c r="K306" s="49"/>
      <c r="L306" s="467" t="str">
        <f t="shared" si="101"/>
        <v xml:space="preserve"> </v>
      </c>
      <c r="M306" s="69"/>
      <c r="N306" s="467"/>
      <c r="O306" s="467" t="str">
        <f t="shared" si="102"/>
        <v xml:space="preserve"> </v>
      </c>
      <c r="P306" s="49"/>
      <c r="Q306" s="49"/>
    </row>
    <row r="307" spans="2:17" ht="12.75" customHeight="1" x14ac:dyDescent="0.2">
      <c r="B307" s="56"/>
      <c r="F307" s="61"/>
      <c r="G307" s="55"/>
      <c r="H307" s="467"/>
      <c r="I307" s="467"/>
      <c r="J307" s="55"/>
      <c r="K307" s="49"/>
      <c r="L307" s="467"/>
      <c r="M307" s="55"/>
      <c r="N307" s="467"/>
      <c r="O307" s="467"/>
      <c r="P307" s="482"/>
      <c r="Q307" s="482"/>
    </row>
    <row r="308" spans="2:17" ht="12.75" customHeight="1" x14ac:dyDescent="0.2">
      <c r="B308" s="101">
        <v>6400</v>
      </c>
      <c r="C308" s="102" t="s">
        <v>268</v>
      </c>
      <c r="D308" s="103"/>
      <c r="E308" s="198"/>
      <c r="F308" s="104"/>
      <c r="G308" s="105"/>
      <c r="H308" s="472"/>
      <c r="I308" s="473">
        <f>SUM(I242:I307)</f>
        <v>381000</v>
      </c>
      <c r="J308" s="105"/>
      <c r="K308" s="472"/>
      <c r="L308" s="473">
        <f t="shared" ref="L308" si="103">SUM(L242:L307)</f>
        <v>382500</v>
      </c>
      <c r="M308" s="105"/>
      <c r="N308" s="472"/>
      <c r="O308" s="473">
        <f>SUM(O242:O307)</f>
        <v>382500</v>
      </c>
      <c r="P308" s="473"/>
      <c r="Q308" s="473">
        <f t="shared" ref="Q308" si="104">SUM(Q242:Q307)</f>
        <v>0</v>
      </c>
    </row>
    <row r="309" spans="2:17" ht="12.75" customHeight="1" x14ac:dyDescent="0.2">
      <c r="B309" s="71" t="s">
        <v>661</v>
      </c>
      <c r="C309" s="71"/>
      <c r="D309" s="96"/>
      <c r="E309" s="106"/>
      <c r="H309" s="474"/>
      <c r="I309" s="474"/>
      <c r="K309" s="474"/>
      <c r="L309" s="474"/>
      <c r="N309" s="474"/>
      <c r="O309" s="474"/>
    </row>
    <row r="310" spans="2:17" ht="12.75" customHeight="1" x14ac:dyDescent="0.2">
      <c r="B310" s="71" t="s">
        <v>267</v>
      </c>
      <c r="C310" s="76"/>
      <c r="E310" s="77"/>
      <c r="H310" s="474"/>
      <c r="I310" s="474"/>
      <c r="K310" s="474"/>
      <c r="L310" s="474"/>
      <c r="N310" s="474"/>
      <c r="O310" s="474"/>
    </row>
    <row r="311" spans="2:17" ht="12.75" customHeight="1" x14ac:dyDescent="0.2">
      <c r="B311" s="107"/>
      <c r="C311" s="107"/>
      <c r="D311" s="108"/>
      <c r="E311" s="109"/>
      <c r="F311" s="83"/>
      <c r="I311" s="191" t="str">
        <f>IF(G316=0," ",G316*H311)</f>
        <v xml:space="preserve"> </v>
      </c>
      <c r="L311" s="191" t="str">
        <f t="shared" ref="L311" si="105">IF(J316=0," ",J316*K311)</f>
        <v xml:space="preserve"> </v>
      </c>
      <c r="O311" s="191" t="str">
        <f t="shared" ref="O311" si="106">IF(M316=0," ",M316*N311)</f>
        <v xml:space="preserve"> </v>
      </c>
    </row>
    <row r="312" spans="2:17" ht="12.75" customHeight="1" x14ac:dyDescent="0.2">
      <c r="B312" s="84" t="s">
        <v>263</v>
      </c>
      <c r="C312" s="85" t="s">
        <v>264</v>
      </c>
      <c r="D312" s="86" t="s">
        <v>264</v>
      </c>
      <c r="E312" s="87"/>
      <c r="F312" s="87" t="s">
        <v>265</v>
      </c>
      <c r="G312" s="88" t="s">
        <v>68</v>
      </c>
      <c r="H312" s="193"/>
      <c r="I312" s="193"/>
      <c r="J312" s="88" t="s">
        <v>68</v>
      </c>
      <c r="K312" s="193"/>
      <c r="L312" s="193"/>
      <c r="M312" s="88" t="s">
        <v>68</v>
      </c>
      <c r="N312" s="193"/>
      <c r="O312" s="193"/>
      <c r="P312" s="481"/>
      <c r="Q312" s="481"/>
    </row>
    <row r="313" spans="2:17" ht="12.75" customHeight="1" x14ac:dyDescent="0.2">
      <c r="B313" s="89" t="s">
        <v>266</v>
      </c>
      <c r="C313" s="90"/>
      <c r="D313" s="91"/>
      <c r="E313" s="92"/>
      <c r="F313" s="92"/>
      <c r="G313" s="93" t="s">
        <v>69</v>
      </c>
      <c r="H313" s="194" t="s">
        <v>262</v>
      </c>
      <c r="I313" s="194" t="s">
        <v>70</v>
      </c>
      <c r="J313" s="93" t="s">
        <v>69</v>
      </c>
      <c r="K313" s="194" t="s">
        <v>262</v>
      </c>
      <c r="L313" s="194" t="s">
        <v>70</v>
      </c>
      <c r="M313" s="93" t="s">
        <v>69</v>
      </c>
      <c r="N313" s="194" t="s">
        <v>262</v>
      </c>
      <c r="O313" s="194" t="s">
        <v>70</v>
      </c>
      <c r="P313" s="482" t="s">
        <v>70</v>
      </c>
      <c r="Q313" s="482" t="s">
        <v>70</v>
      </c>
    </row>
    <row r="314" spans="2:17" ht="12.75" customHeight="1" x14ac:dyDescent="0.2">
      <c r="B314" s="56"/>
      <c r="F314" s="61"/>
      <c r="G314" s="55"/>
      <c r="H314" s="467"/>
      <c r="I314" s="467" t="str">
        <f>IF(G321=0," ",G321*H314)</f>
        <v xml:space="preserve"> </v>
      </c>
      <c r="J314" s="55"/>
      <c r="K314" s="49"/>
      <c r="L314" s="467" t="str">
        <f t="shared" ref="L314" si="107">IF(J321=0," ",J321*K314)</f>
        <v xml:space="preserve"> </v>
      </c>
      <c r="M314" s="55"/>
      <c r="N314" s="467"/>
      <c r="O314" s="467" t="str">
        <f t="shared" ref="O314" si="108">IF(M321=0," ",M321*N314)</f>
        <v xml:space="preserve"> </v>
      </c>
      <c r="P314" s="481"/>
      <c r="Q314" s="481"/>
    </row>
    <row r="315" spans="2:17" ht="12.75" customHeight="1" x14ac:dyDescent="0.2">
      <c r="B315" s="116">
        <v>6600</v>
      </c>
      <c r="C315" s="117" t="s">
        <v>600</v>
      </c>
      <c r="D315" s="96"/>
      <c r="E315" s="97"/>
      <c r="F315" s="61"/>
      <c r="G315" s="55"/>
      <c r="H315" s="467"/>
      <c r="I315" s="467" t="str">
        <f t="shared" ref="H315:I328" si="109">IF(G315=0," ",G315*H315)</f>
        <v xml:space="preserve"> </v>
      </c>
      <c r="J315" s="55"/>
      <c r="K315" s="49"/>
      <c r="L315" s="467" t="str">
        <f t="shared" ref="L315:L328" si="110">IF(J315=0," ",J315*K315)</f>
        <v xml:space="preserve"> </v>
      </c>
      <c r="M315" s="55"/>
      <c r="N315" s="467"/>
      <c r="O315" s="467" t="str">
        <f t="shared" ref="O315:O328" si="111">IF(M315=0," ",M315*N315)</f>
        <v xml:space="preserve"> </v>
      </c>
      <c r="P315" s="49"/>
      <c r="Q315" s="49"/>
    </row>
    <row r="316" spans="2:17" ht="12.75" customHeight="1" x14ac:dyDescent="0.2">
      <c r="B316" s="47"/>
      <c r="C316" s="117" t="s">
        <v>601</v>
      </c>
      <c r="F316" s="61"/>
      <c r="G316" s="55"/>
      <c r="H316" s="467"/>
      <c r="I316" s="467" t="str">
        <f t="shared" si="109"/>
        <v xml:space="preserve"> </v>
      </c>
      <c r="J316" s="55"/>
      <c r="K316" s="49"/>
      <c r="L316" s="467" t="str">
        <f t="shared" si="110"/>
        <v xml:space="preserve"> </v>
      </c>
      <c r="M316" s="55"/>
      <c r="N316" s="467"/>
      <c r="O316" s="467" t="str">
        <f t="shared" si="111"/>
        <v xml:space="preserve"> </v>
      </c>
      <c r="P316" s="49"/>
      <c r="Q316" s="49"/>
    </row>
    <row r="317" spans="2:17" ht="12.75" customHeight="1" x14ac:dyDescent="0.2">
      <c r="B317" s="47"/>
      <c r="C317" s="225"/>
      <c r="D317" s="226"/>
      <c r="E317" s="227"/>
      <c r="F317" s="228"/>
      <c r="G317" s="124"/>
      <c r="H317" s="467"/>
      <c r="I317" s="467" t="str">
        <f t="shared" si="109"/>
        <v xml:space="preserve"> </v>
      </c>
      <c r="J317" s="124"/>
      <c r="K317" s="49"/>
      <c r="L317" s="467" t="str">
        <f t="shared" si="110"/>
        <v xml:space="preserve"> </v>
      </c>
      <c r="M317" s="124"/>
      <c r="N317" s="467"/>
      <c r="O317" s="467" t="str">
        <f t="shared" si="111"/>
        <v xml:space="preserve"> </v>
      </c>
      <c r="P317" s="49"/>
      <c r="Q317" s="49"/>
    </row>
    <row r="318" spans="2:17" ht="12.75" customHeight="1" x14ac:dyDescent="0.2">
      <c r="B318" s="47">
        <v>66.06</v>
      </c>
      <c r="C318" s="56" t="s">
        <v>402</v>
      </c>
      <c r="F318" s="61"/>
      <c r="G318" s="110"/>
      <c r="H318" s="467"/>
      <c r="I318" s="467" t="str">
        <f t="shared" si="109"/>
        <v xml:space="preserve"> </v>
      </c>
      <c r="J318" s="110"/>
      <c r="K318" s="49"/>
      <c r="L318" s="467" t="str">
        <f t="shared" si="110"/>
        <v xml:space="preserve"> </v>
      </c>
      <c r="M318" s="110"/>
      <c r="N318" s="467"/>
      <c r="O318" s="467" t="str">
        <f t="shared" si="111"/>
        <v xml:space="preserve"> </v>
      </c>
      <c r="P318" s="49"/>
      <c r="Q318" s="49"/>
    </row>
    <row r="319" spans="2:17" ht="12.75" customHeight="1" x14ac:dyDescent="0.2">
      <c r="B319" s="47"/>
      <c r="C319" s="56" t="s">
        <v>278</v>
      </c>
      <c r="D319" s="57" t="s">
        <v>403</v>
      </c>
      <c r="F319" s="61"/>
      <c r="G319" s="110"/>
      <c r="H319" s="467"/>
      <c r="I319" s="467" t="str">
        <f t="shared" si="109"/>
        <v xml:space="preserve"> </v>
      </c>
      <c r="J319" s="110"/>
      <c r="K319" s="49"/>
      <c r="L319" s="467" t="str">
        <f t="shared" si="110"/>
        <v xml:space="preserve"> </v>
      </c>
      <c r="M319" s="110"/>
      <c r="N319" s="467"/>
      <c r="O319" s="467" t="str">
        <f t="shared" si="111"/>
        <v xml:space="preserve"> </v>
      </c>
      <c r="P319" s="49"/>
      <c r="Q319" s="49"/>
    </row>
    <row r="320" spans="2:17" ht="12.75" customHeight="1" x14ac:dyDescent="0.2">
      <c r="B320" s="47"/>
      <c r="D320" s="57" t="s">
        <v>277</v>
      </c>
      <c r="E320" s="67" t="s">
        <v>602</v>
      </c>
      <c r="F320" s="49" t="s">
        <v>275</v>
      </c>
      <c r="G320" s="55">
        <f>(75*0.8)</f>
        <v>60</v>
      </c>
      <c r="H320" s="468">
        <v>100</v>
      </c>
      <c r="I320" s="418">
        <f t="shared" si="109"/>
        <v>6000</v>
      </c>
      <c r="J320" s="55">
        <f t="shared" ref="J320" si="112">(75*0.8)</f>
        <v>60</v>
      </c>
      <c r="K320" s="49">
        <v>65</v>
      </c>
      <c r="L320" s="418">
        <f t="shared" si="110"/>
        <v>3900</v>
      </c>
      <c r="M320" s="55">
        <f t="shared" ref="M320" si="113">(75*0.8)</f>
        <v>60</v>
      </c>
      <c r="N320" s="468">
        <v>65</v>
      </c>
      <c r="O320" s="418">
        <f t="shared" si="111"/>
        <v>3900</v>
      </c>
      <c r="P320" s="483">
        <f>K320-N320</f>
        <v>0</v>
      </c>
      <c r="Q320" s="483">
        <f>L320-O320</f>
        <v>0</v>
      </c>
    </row>
    <row r="321" spans="2:17" ht="12.75" customHeight="1" x14ac:dyDescent="0.2">
      <c r="B321" s="47"/>
      <c r="D321" s="68"/>
      <c r="E321" s="48"/>
      <c r="F321" s="61"/>
      <c r="G321" s="55"/>
      <c r="H321" s="467" t="str">
        <f t="shared" si="109"/>
        <v xml:space="preserve"> </v>
      </c>
      <c r="I321" s="418" t="str">
        <f t="shared" si="109"/>
        <v xml:space="preserve"> </v>
      </c>
      <c r="J321" s="55"/>
      <c r="K321" s="49"/>
      <c r="L321" s="418" t="str">
        <f t="shared" si="110"/>
        <v xml:space="preserve"> </v>
      </c>
      <c r="M321" s="55"/>
      <c r="N321" s="467"/>
      <c r="O321" s="418" t="str">
        <f t="shared" si="111"/>
        <v xml:space="preserve"> </v>
      </c>
      <c r="P321" s="483"/>
      <c r="Q321" s="483"/>
    </row>
    <row r="322" spans="2:17" ht="12.75" customHeight="1" x14ac:dyDescent="0.2">
      <c r="B322" s="47">
        <v>66.069999999999993</v>
      </c>
      <c r="C322" s="56" t="s">
        <v>404</v>
      </c>
      <c r="F322" s="61"/>
      <c r="G322" s="55"/>
      <c r="H322" s="467" t="str">
        <f t="shared" si="109"/>
        <v xml:space="preserve"> </v>
      </c>
      <c r="I322" s="418" t="str">
        <f t="shared" si="109"/>
        <v xml:space="preserve"> </v>
      </c>
      <c r="J322" s="55"/>
      <c r="K322" s="49"/>
      <c r="L322" s="418" t="str">
        <f t="shared" si="110"/>
        <v xml:space="preserve"> </v>
      </c>
      <c r="M322" s="55"/>
      <c r="N322" s="467"/>
      <c r="O322" s="418" t="str">
        <f t="shared" si="111"/>
        <v xml:space="preserve"> </v>
      </c>
      <c r="P322" s="483"/>
      <c r="Q322" s="483"/>
    </row>
    <row r="323" spans="2:17" ht="12.75" customHeight="1" x14ac:dyDescent="0.2">
      <c r="B323" s="47"/>
      <c r="C323" s="56" t="s">
        <v>278</v>
      </c>
      <c r="D323" s="57" t="s">
        <v>403</v>
      </c>
      <c r="F323" s="45"/>
      <c r="G323" s="49"/>
      <c r="H323" s="467" t="str">
        <f t="shared" si="109"/>
        <v xml:space="preserve"> </v>
      </c>
      <c r="I323" s="418" t="str">
        <f t="shared" si="109"/>
        <v xml:space="preserve"> </v>
      </c>
      <c r="J323" s="49"/>
      <c r="K323" s="49"/>
      <c r="L323" s="418" t="str">
        <f t="shared" si="110"/>
        <v xml:space="preserve"> </v>
      </c>
      <c r="M323" s="49"/>
      <c r="N323" s="467"/>
      <c r="O323" s="418" t="str">
        <f t="shared" si="111"/>
        <v xml:space="preserve"> </v>
      </c>
      <c r="P323" s="483"/>
      <c r="Q323" s="483"/>
    </row>
    <row r="324" spans="2:17" ht="12.75" customHeight="1" x14ac:dyDescent="0.2">
      <c r="B324" s="47"/>
      <c r="D324" s="57" t="s">
        <v>277</v>
      </c>
      <c r="E324" s="67" t="s">
        <v>483</v>
      </c>
      <c r="F324" s="49" t="s">
        <v>275</v>
      </c>
      <c r="G324" s="55">
        <v>7</v>
      </c>
      <c r="H324" s="468">
        <v>120</v>
      </c>
      <c r="I324" s="418">
        <f t="shared" si="109"/>
        <v>840</v>
      </c>
      <c r="J324" s="55">
        <v>7</v>
      </c>
      <c r="K324" s="49">
        <v>75</v>
      </c>
      <c r="L324" s="418">
        <f t="shared" si="110"/>
        <v>525</v>
      </c>
      <c r="M324" s="55">
        <v>7</v>
      </c>
      <c r="N324" s="468">
        <v>75</v>
      </c>
      <c r="O324" s="418">
        <f t="shared" si="111"/>
        <v>525</v>
      </c>
      <c r="P324" s="483">
        <f t="shared" ref="P324:P357" si="114">K324-N324</f>
        <v>0</v>
      </c>
      <c r="Q324" s="483">
        <f t="shared" ref="Q324:Q357" si="115">L324-O324</f>
        <v>0</v>
      </c>
    </row>
    <row r="325" spans="2:17" ht="12.75" customHeight="1" x14ac:dyDescent="0.2">
      <c r="B325" s="47"/>
      <c r="C325" s="225"/>
      <c r="D325" s="226"/>
      <c r="E325" s="227"/>
      <c r="F325" s="45"/>
      <c r="G325" s="49"/>
      <c r="H325" s="467" t="str">
        <f t="shared" si="109"/>
        <v xml:space="preserve"> </v>
      </c>
      <c r="I325" s="418" t="str">
        <f t="shared" si="109"/>
        <v xml:space="preserve"> </v>
      </c>
      <c r="J325" s="49"/>
      <c r="K325" s="49"/>
      <c r="L325" s="418" t="str">
        <f t="shared" si="110"/>
        <v xml:space="preserve"> </v>
      </c>
      <c r="M325" s="49"/>
      <c r="N325" s="467"/>
      <c r="O325" s="418" t="str">
        <f t="shared" si="111"/>
        <v xml:space="preserve"> </v>
      </c>
      <c r="P325" s="483"/>
      <c r="Q325" s="483"/>
    </row>
    <row r="326" spans="2:17" ht="12.75" customHeight="1" x14ac:dyDescent="0.2">
      <c r="B326" s="47">
        <v>66.08</v>
      </c>
      <c r="C326" s="229" t="s">
        <v>811</v>
      </c>
      <c r="D326" s="230"/>
      <c r="E326" s="227"/>
      <c r="F326" s="45"/>
      <c r="G326" s="49"/>
      <c r="H326" s="467"/>
      <c r="I326" s="418" t="str">
        <f t="shared" si="109"/>
        <v xml:space="preserve"> </v>
      </c>
      <c r="J326" s="49"/>
      <c r="K326" s="49"/>
      <c r="L326" s="418" t="str">
        <f t="shared" si="110"/>
        <v xml:space="preserve"> </v>
      </c>
      <c r="M326" s="49"/>
      <c r="N326" s="467"/>
      <c r="O326" s="418" t="str">
        <f t="shared" si="111"/>
        <v xml:space="preserve"> </v>
      </c>
      <c r="P326" s="483"/>
      <c r="Q326" s="483"/>
    </row>
    <row r="327" spans="2:17" ht="12.75" customHeight="1" x14ac:dyDescent="0.2">
      <c r="B327" s="47"/>
      <c r="C327" s="229" t="s">
        <v>278</v>
      </c>
      <c r="D327" s="230" t="s">
        <v>812</v>
      </c>
      <c r="E327" s="227"/>
      <c r="F327" s="45" t="s">
        <v>310</v>
      </c>
      <c r="G327" s="49">
        <v>100</v>
      </c>
      <c r="H327" s="468">
        <v>150</v>
      </c>
      <c r="I327" s="418">
        <f t="shared" si="109"/>
        <v>15000</v>
      </c>
      <c r="J327" s="49">
        <v>100</v>
      </c>
      <c r="K327" s="49">
        <v>60</v>
      </c>
      <c r="L327" s="418">
        <f t="shared" si="110"/>
        <v>6000</v>
      </c>
      <c r="M327" s="49">
        <v>100</v>
      </c>
      <c r="N327" s="468">
        <v>60</v>
      </c>
      <c r="O327" s="418">
        <f t="shared" si="111"/>
        <v>6000</v>
      </c>
      <c r="P327" s="483">
        <f t="shared" si="114"/>
        <v>0</v>
      </c>
      <c r="Q327" s="483">
        <f t="shared" si="115"/>
        <v>0</v>
      </c>
    </row>
    <row r="328" spans="2:17" ht="12.75" customHeight="1" x14ac:dyDescent="0.2">
      <c r="B328" s="47"/>
      <c r="C328" s="225"/>
      <c r="D328" s="226"/>
      <c r="E328" s="227"/>
      <c r="F328" s="45"/>
      <c r="G328" s="49"/>
      <c r="H328" s="467"/>
      <c r="I328" s="418" t="str">
        <f t="shared" si="109"/>
        <v xml:space="preserve"> </v>
      </c>
      <c r="J328" s="49"/>
      <c r="K328" s="49"/>
      <c r="L328" s="418" t="str">
        <f t="shared" si="110"/>
        <v xml:space="preserve"> </v>
      </c>
      <c r="M328" s="49"/>
      <c r="N328" s="467"/>
      <c r="O328" s="418" t="str">
        <f t="shared" si="111"/>
        <v xml:space="preserve"> </v>
      </c>
      <c r="P328" s="483"/>
      <c r="Q328" s="483"/>
    </row>
    <row r="329" spans="2:17" ht="12.75" customHeight="1" x14ac:dyDescent="0.2">
      <c r="B329" s="47">
        <v>66.13</v>
      </c>
      <c r="C329" s="225" t="s">
        <v>484</v>
      </c>
      <c r="D329" s="226"/>
      <c r="E329" s="227"/>
      <c r="F329" s="44" t="s">
        <v>77</v>
      </c>
      <c r="G329" s="65" t="s">
        <v>596</v>
      </c>
      <c r="H329" s="477">
        <v>200</v>
      </c>
      <c r="I329" s="418"/>
      <c r="J329" s="65" t="s">
        <v>596</v>
      </c>
      <c r="K329" s="49">
        <v>195</v>
      </c>
      <c r="L329" s="418"/>
      <c r="M329" s="65" t="s">
        <v>596</v>
      </c>
      <c r="N329" s="477">
        <v>195</v>
      </c>
      <c r="O329" s="418"/>
      <c r="P329" s="483">
        <f t="shared" si="114"/>
        <v>0</v>
      </c>
      <c r="Q329" s="483">
        <f t="shared" si="115"/>
        <v>0</v>
      </c>
    </row>
    <row r="330" spans="2:17" ht="12.75" customHeight="1" x14ac:dyDescent="0.2">
      <c r="B330" s="49"/>
      <c r="C330" s="52"/>
      <c r="D330" s="46"/>
      <c r="E330" s="46"/>
      <c r="F330" s="32"/>
      <c r="G330" s="60"/>
      <c r="H330" s="467"/>
      <c r="I330" s="418"/>
      <c r="J330" s="60"/>
      <c r="K330" s="49"/>
      <c r="L330" s="418"/>
      <c r="M330" s="60"/>
      <c r="N330" s="467"/>
      <c r="O330" s="418"/>
      <c r="P330" s="483"/>
      <c r="Q330" s="483"/>
    </row>
    <row r="331" spans="2:17" ht="12.75" customHeight="1" x14ac:dyDescent="0.2">
      <c r="B331" s="49">
        <v>66.14</v>
      </c>
      <c r="C331" s="52" t="s">
        <v>814</v>
      </c>
      <c r="D331" s="46"/>
      <c r="E331" s="46"/>
      <c r="F331" s="45"/>
      <c r="G331" s="60"/>
      <c r="H331" s="467"/>
      <c r="I331" s="418"/>
      <c r="J331" s="60"/>
      <c r="K331" s="49"/>
      <c r="L331" s="418"/>
      <c r="M331" s="60"/>
      <c r="N331" s="467"/>
      <c r="O331" s="418"/>
      <c r="P331" s="483"/>
      <c r="Q331" s="483"/>
    </row>
    <row r="332" spans="2:17" ht="12.75" customHeight="1" x14ac:dyDescent="0.2">
      <c r="B332" s="49"/>
      <c r="C332" s="52" t="s">
        <v>815</v>
      </c>
      <c r="D332" s="46" t="s">
        <v>616</v>
      </c>
      <c r="E332" s="46"/>
      <c r="F332" s="45" t="s">
        <v>254</v>
      </c>
      <c r="G332" s="65" t="s">
        <v>596</v>
      </c>
      <c r="H332" s="477">
        <v>240</v>
      </c>
      <c r="I332" s="418"/>
      <c r="J332" s="65" t="s">
        <v>596</v>
      </c>
      <c r="K332" s="49">
        <v>185</v>
      </c>
      <c r="L332" s="418"/>
      <c r="M332" s="65" t="s">
        <v>596</v>
      </c>
      <c r="N332" s="477">
        <v>185</v>
      </c>
      <c r="O332" s="418"/>
      <c r="P332" s="483">
        <f t="shared" si="114"/>
        <v>0</v>
      </c>
      <c r="Q332" s="483">
        <f t="shared" si="115"/>
        <v>0</v>
      </c>
    </row>
    <row r="333" spans="2:17" ht="12.75" customHeight="1" x14ac:dyDescent="0.2">
      <c r="B333" s="49"/>
      <c r="C333" s="77"/>
      <c r="D333" s="46" t="s">
        <v>617</v>
      </c>
      <c r="E333" s="46"/>
      <c r="F333" s="32"/>
      <c r="G333" s="60"/>
      <c r="H333" s="467"/>
      <c r="I333" s="418" t="str">
        <f t="shared" ref="I333:I359" si="116">IF(G333=0," ",G333*H333)</f>
        <v xml:space="preserve"> </v>
      </c>
      <c r="J333" s="60"/>
      <c r="K333" s="49"/>
      <c r="L333" s="418" t="str">
        <f t="shared" ref="L333:L349" si="117">IF(J333=0," ",J333*K333)</f>
        <v xml:space="preserve"> </v>
      </c>
      <c r="M333" s="60"/>
      <c r="N333" s="467"/>
      <c r="O333" s="418" t="str">
        <f t="shared" ref="O333:O349" si="118">IF(M333=0," ",M333*N333)</f>
        <v xml:space="preserve"> </v>
      </c>
      <c r="P333" s="483"/>
      <c r="Q333" s="483"/>
    </row>
    <row r="334" spans="2:17" ht="12.75" customHeight="1" x14ac:dyDescent="0.2">
      <c r="B334" s="49"/>
      <c r="C334" s="77"/>
      <c r="D334" s="46" t="s">
        <v>618</v>
      </c>
      <c r="E334" s="46"/>
      <c r="F334" s="32"/>
      <c r="G334" s="125"/>
      <c r="H334" s="467"/>
      <c r="I334" s="418" t="str">
        <f t="shared" si="116"/>
        <v xml:space="preserve"> </v>
      </c>
      <c r="J334" s="125"/>
      <c r="K334" s="49"/>
      <c r="L334" s="418" t="str">
        <f t="shared" si="117"/>
        <v xml:space="preserve"> </v>
      </c>
      <c r="M334" s="125"/>
      <c r="N334" s="467"/>
      <c r="O334" s="418" t="str">
        <f t="shared" si="118"/>
        <v xml:space="preserve"> </v>
      </c>
      <c r="P334" s="483"/>
      <c r="Q334" s="483"/>
    </row>
    <row r="335" spans="2:17" ht="12.75" customHeight="1" x14ac:dyDescent="0.2">
      <c r="B335" s="49"/>
      <c r="C335" s="52"/>
      <c r="D335" s="50"/>
      <c r="E335" s="46"/>
      <c r="F335" s="32"/>
      <c r="G335" s="125"/>
      <c r="H335" s="467"/>
      <c r="I335" s="418" t="str">
        <f t="shared" si="116"/>
        <v xml:space="preserve"> </v>
      </c>
      <c r="J335" s="125"/>
      <c r="K335" s="49"/>
      <c r="L335" s="418" t="str">
        <f t="shared" si="117"/>
        <v xml:space="preserve"> </v>
      </c>
      <c r="M335" s="125"/>
      <c r="N335" s="467"/>
      <c r="O335" s="418" t="str">
        <f t="shared" si="118"/>
        <v xml:space="preserve"> </v>
      </c>
      <c r="P335" s="483"/>
      <c r="Q335" s="483"/>
    </row>
    <row r="336" spans="2:17" ht="12.75" customHeight="1" x14ac:dyDescent="0.2">
      <c r="B336" s="49"/>
      <c r="C336" s="52" t="s">
        <v>279</v>
      </c>
      <c r="D336" s="46" t="s">
        <v>813</v>
      </c>
      <c r="E336" s="46"/>
      <c r="F336" s="32" t="s">
        <v>254</v>
      </c>
      <c r="G336" s="60">
        <v>20</v>
      </c>
      <c r="H336" s="468">
        <v>200</v>
      </c>
      <c r="I336" s="418">
        <f t="shared" si="116"/>
        <v>4000</v>
      </c>
      <c r="J336" s="60">
        <v>20</v>
      </c>
      <c r="K336" s="49">
        <v>185</v>
      </c>
      <c r="L336" s="418">
        <f t="shared" si="117"/>
        <v>3700</v>
      </c>
      <c r="M336" s="60">
        <v>20</v>
      </c>
      <c r="N336" s="468">
        <v>185</v>
      </c>
      <c r="O336" s="418">
        <f t="shared" si="118"/>
        <v>3700</v>
      </c>
      <c r="P336" s="483">
        <f t="shared" si="114"/>
        <v>0</v>
      </c>
      <c r="Q336" s="483">
        <f t="shared" si="115"/>
        <v>0</v>
      </c>
    </row>
    <row r="337" spans="2:17" ht="12.75" customHeight="1" x14ac:dyDescent="0.2">
      <c r="B337" s="49"/>
      <c r="C337" s="52"/>
      <c r="D337" s="46"/>
      <c r="E337" s="46"/>
      <c r="F337" s="45"/>
      <c r="G337" s="47"/>
      <c r="H337" s="467"/>
      <c r="I337" s="418" t="str">
        <f t="shared" si="116"/>
        <v xml:space="preserve"> </v>
      </c>
      <c r="J337" s="47"/>
      <c r="K337" s="49"/>
      <c r="L337" s="418" t="str">
        <f t="shared" si="117"/>
        <v xml:space="preserve"> </v>
      </c>
      <c r="M337" s="47"/>
      <c r="N337" s="467"/>
      <c r="O337" s="418" t="str">
        <f t="shared" si="118"/>
        <v xml:space="preserve"> </v>
      </c>
      <c r="P337" s="483"/>
      <c r="Q337" s="483"/>
    </row>
    <row r="338" spans="2:17" ht="12.75" customHeight="1" x14ac:dyDescent="0.2">
      <c r="B338" s="64">
        <v>66.150000000000006</v>
      </c>
      <c r="C338" s="62" t="s">
        <v>816</v>
      </c>
      <c r="D338" s="66"/>
      <c r="E338" s="63"/>
      <c r="F338" s="32"/>
      <c r="G338" s="47"/>
      <c r="H338" s="467"/>
      <c r="I338" s="418" t="str">
        <f t="shared" si="116"/>
        <v xml:space="preserve"> </v>
      </c>
      <c r="J338" s="47"/>
      <c r="K338" s="49"/>
      <c r="L338" s="418" t="str">
        <f t="shared" si="117"/>
        <v xml:space="preserve"> </v>
      </c>
      <c r="M338" s="47"/>
      <c r="N338" s="467"/>
      <c r="O338" s="418" t="str">
        <f t="shared" si="118"/>
        <v xml:space="preserve"> </v>
      </c>
      <c r="P338" s="483"/>
      <c r="Q338" s="483"/>
    </row>
    <row r="339" spans="2:17" ht="12.75" customHeight="1" x14ac:dyDescent="0.2">
      <c r="B339" s="126"/>
      <c r="C339" s="62" t="s">
        <v>278</v>
      </c>
      <c r="D339" s="66" t="s">
        <v>817</v>
      </c>
      <c r="E339" s="63"/>
      <c r="F339" s="3" t="s">
        <v>310</v>
      </c>
      <c r="G339" s="47">
        <v>24</v>
      </c>
      <c r="H339" s="468">
        <v>2000</v>
      </c>
      <c r="I339" s="418">
        <f t="shared" si="116"/>
        <v>48000</v>
      </c>
      <c r="J339" s="47">
        <v>24</v>
      </c>
      <c r="K339" s="49">
        <v>550</v>
      </c>
      <c r="L339" s="418">
        <f t="shared" si="117"/>
        <v>13200</v>
      </c>
      <c r="M339" s="47">
        <v>24</v>
      </c>
      <c r="N339" s="468">
        <v>550</v>
      </c>
      <c r="O339" s="418">
        <f t="shared" si="118"/>
        <v>13200</v>
      </c>
      <c r="P339" s="483">
        <f t="shared" si="114"/>
        <v>0</v>
      </c>
      <c r="Q339" s="483">
        <f t="shared" si="115"/>
        <v>0</v>
      </c>
    </row>
    <row r="340" spans="2:17" ht="12.75" customHeight="1" x14ac:dyDescent="0.2">
      <c r="B340" s="64"/>
      <c r="C340" s="62"/>
      <c r="D340" s="66"/>
      <c r="E340" s="63"/>
      <c r="F340" s="32"/>
      <c r="G340" s="47"/>
      <c r="H340" s="467"/>
      <c r="I340" s="418" t="str">
        <f t="shared" si="116"/>
        <v xml:space="preserve"> </v>
      </c>
      <c r="J340" s="47"/>
      <c r="K340" s="49"/>
      <c r="L340" s="418" t="str">
        <f t="shared" si="117"/>
        <v xml:space="preserve"> </v>
      </c>
      <c r="M340" s="47"/>
      <c r="N340" s="467"/>
      <c r="O340" s="418" t="str">
        <f t="shared" si="118"/>
        <v xml:space="preserve"> </v>
      </c>
      <c r="P340" s="483"/>
      <c r="Q340" s="483"/>
    </row>
    <row r="341" spans="2:17" ht="12.75" customHeight="1" x14ac:dyDescent="0.2">
      <c r="B341" s="64">
        <v>66.17</v>
      </c>
      <c r="C341" s="62" t="s">
        <v>818</v>
      </c>
      <c r="D341" s="63"/>
      <c r="E341" s="63"/>
      <c r="F341" s="32" t="s">
        <v>254</v>
      </c>
      <c r="G341" s="47">
        <v>4</v>
      </c>
      <c r="H341" s="468">
        <v>5000</v>
      </c>
      <c r="I341" s="418">
        <f t="shared" si="116"/>
        <v>20000</v>
      </c>
      <c r="J341" s="47">
        <v>4</v>
      </c>
      <c r="K341" s="49">
        <v>2800</v>
      </c>
      <c r="L341" s="418">
        <f t="shared" si="117"/>
        <v>11200</v>
      </c>
      <c r="M341" s="47">
        <v>4</v>
      </c>
      <c r="N341" s="468">
        <v>2800</v>
      </c>
      <c r="O341" s="418">
        <f t="shared" si="118"/>
        <v>11200</v>
      </c>
      <c r="P341" s="483">
        <f t="shared" si="114"/>
        <v>0</v>
      </c>
      <c r="Q341" s="483">
        <f t="shared" si="115"/>
        <v>0</v>
      </c>
    </row>
    <row r="342" spans="2:17" ht="12.75" customHeight="1" x14ac:dyDescent="0.2">
      <c r="B342" s="47"/>
      <c r="C342" s="52"/>
      <c r="D342" s="46"/>
      <c r="E342" s="46"/>
      <c r="F342" s="45"/>
      <c r="G342" s="47"/>
      <c r="H342" s="467"/>
      <c r="I342" s="418" t="str">
        <f t="shared" si="116"/>
        <v xml:space="preserve"> </v>
      </c>
      <c r="J342" s="47"/>
      <c r="K342" s="49"/>
      <c r="L342" s="418" t="str">
        <f t="shared" si="117"/>
        <v xml:space="preserve"> </v>
      </c>
      <c r="M342" s="47"/>
      <c r="N342" s="467"/>
      <c r="O342" s="418" t="str">
        <f t="shared" si="118"/>
        <v xml:space="preserve"> </v>
      </c>
      <c r="P342" s="483"/>
      <c r="Q342" s="483"/>
    </row>
    <row r="343" spans="2:17" ht="12.75" customHeight="1" x14ac:dyDescent="0.2">
      <c r="B343" s="47">
        <v>66.180000000000007</v>
      </c>
      <c r="C343" s="52" t="s">
        <v>819</v>
      </c>
      <c r="D343" s="46"/>
      <c r="E343" s="46"/>
      <c r="F343" s="45" t="s">
        <v>254</v>
      </c>
      <c r="G343" s="47">
        <v>4</v>
      </c>
      <c r="H343" s="468">
        <v>300</v>
      </c>
      <c r="I343" s="418">
        <f t="shared" si="116"/>
        <v>1200</v>
      </c>
      <c r="J343" s="47">
        <v>4</v>
      </c>
      <c r="K343" s="49">
        <v>350</v>
      </c>
      <c r="L343" s="418">
        <f t="shared" si="117"/>
        <v>1400</v>
      </c>
      <c r="M343" s="47">
        <v>4</v>
      </c>
      <c r="N343" s="468">
        <v>350</v>
      </c>
      <c r="O343" s="418">
        <f t="shared" si="118"/>
        <v>1400</v>
      </c>
      <c r="P343" s="483">
        <f t="shared" si="114"/>
        <v>0</v>
      </c>
      <c r="Q343" s="483">
        <f t="shared" si="115"/>
        <v>0</v>
      </c>
    </row>
    <row r="344" spans="2:17" ht="12.75" customHeight="1" x14ac:dyDescent="0.2">
      <c r="B344" s="47"/>
      <c r="C344" s="52"/>
      <c r="D344" s="46"/>
      <c r="E344" s="46"/>
      <c r="F344" s="45"/>
      <c r="G344" s="47"/>
      <c r="H344" s="467"/>
      <c r="I344" s="418" t="str">
        <f t="shared" si="116"/>
        <v xml:space="preserve"> </v>
      </c>
      <c r="J344" s="47"/>
      <c r="K344" s="49"/>
      <c r="L344" s="418" t="str">
        <f t="shared" si="117"/>
        <v xml:space="preserve"> </v>
      </c>
      <c r="M344" s="47"/>
      <c r="N344" s="467"/>
      <c r="O344" s="418" t="str">
        <f t="shared" si="118"/>
        <v xml:space="preserve"> </v>
      </c>
      <c r="P344" s="483"/>
      <c r="Q344" s="483"/>
    </row>
    <row r="345" spans="2:17" ht="12.75" customHeight="1" x14ac:dyDescent="0.2">
      <c r="B345" s="47">
        <v>66.19</v>
      </c>
      <c r="C345" s="56" t="s">
        <v>603</v>
      </c>
      <c r="F345" s="61"/>
      <c r="G345" s="55"/>
      <c r="H345" s="467" t="str">
        <f>IF(F345=0," ",F345*G345)</f>
        <v xml:space="preserve"> </v>
      </c>
      <c r="I345" s="418" t="str">
        <f t="shared" si="116"/>
        <v xml:space="preserve"> </v>
      </c>
      <c r="J345" s="55"/>
      <c r="K345" s="49"/>
      <c r="L345" s="418" t="str">
        <f t="shared" si="117"/>
        <v xml:space="preserve"> </v>
      </c>
      <c r="M345" s="55"/>
      <c r="N345" s="467" t="s">
        <v>849</v>
      </c>
      <c r="O345" s="418" t="str">
        <f t="shared" si="118"/>
        <v xml:space="preserve"> </v>
      </c>
      <c r="P345" s="483"/>
      <c r="Q345" s="483"/>
    </row>
    <row r="346" spans="2:17" ht="12.75" customHeight="1" x14ac:dyDescent="0.2">
      <c r="B346" s="47"/>
      <c r="C346" s="56" t="s">
        <v>278</v>
      </c>
      <c r="D346" s="57" t="s">
        <v>820</v>
      </c>
      <c r="F346" s="61"/>
      <c r="G346" s="55"/>
      <c r="H346" s="467"/>
      <c r="I346" s="418" t="str">
        <f t="shared" si="116"/>
        <v xml:space="preserve"> </v>
      </c>
      <c r="J346" s="55"/>
      <c r="K346" s="49"/>
      <c r="L346" s="418" t="str">
        <f t="shared" si="117"/>
        <v xml:space="preserve"> </v>
      </c>
      <c r="M346" s="55"/>
      <c r="N346" s="467"/>
      <c r="O346" s="418" t="str">
        <f t="shared" si="118"/>
        <v xml:space="preserve"> </v>
      </c>
      <c r="P346" s="483"/>
      <c r="Q346" s="483"/>
    </row>
    <row r="347" spans="2:17" ht="12.75" customHeight="1" x14ac:dyDescent="0.2">
      <c r="B347" s="47"/>
      <c r="D347" s="57" t="s">
        <v>277</v>
      </c>
      <c r="E347" s="67" t="s">
        <v>821</v>
      </c>
      <c r="F347" s="61" t="s">
        <v>310</v>
      </c>
      <c r="G347" s="55">
        <v>10</v>
      </c>
      <c r="H347" s="468">
        <v>110</v>
      </c>
      <c r="I347" s="418">
        <f t="shared" si="116"/>
        <v>1100</v>
      </c>
      <c r="J347" s="55">
        <v>10</v>
      </c>
      <c r="K347" s="49">
        <v>250</v>
      </c>
      <c r="L347" s="418">
        <f t="shared" si="117"/>
        <v>2500</v>
      </c>
      <c r="M347" s="55">
        <v>10</v>
      </c>
      <c r="N347" s="468">
        <v>250</v>
      </c>
      <c r="O347" s="418">
        <f t="shared" si="118"/>
        <v>2500</v>
      </c>
      <c r="P347" s="483">
        <f t="shared" si="114"/>
        <v>0</v>
      </c>
      <c r="Q347" s="483">
        <f t="shared" si="115"/>
        <v>0</v>
      </c>
    </row>
    <row r="348" spans="2:17" ht="12.75" customHeight="1" x14ac:dyDescent="0.2">
      <c r="B348" s="47"/>
      <c r="F348" s="61"/>
      <c r="G348" s="55"/>
      <c r="H348" s="467"/>
      <c r="I348" s="418" t="str">
        <f t="shared" si="116"/>
        <v xml:space="preserve"> </v>
      </c>
      <c r="J348" s="55"/>
      <c r="K348" s="49"/>
      <c r="L348" s="418" t="str">
        <f t="shared" si="117"/>
        <v xml:space="preserve"> </v>
      </c>
      <c r="M348" s="55"/>
      <c r="N348" s="467"/>
      <c r="O348" s="418" t="str">
        <f t="shared" si="118"/>
        <v xml:space="preserve"> </v>
      </c>
      <c r="P348" s="483"/>
      <c r="Q348" s="483"/>
    </row>
    <row r="349" spans="2:17" ht="12.75" customHeight="1" x14ac:dyDescent="0.2">
      <c r="B349" s="47"/>
      <c r="C349" s="56" t="s">
        <v>279</v>
      </c>
      <c r="D349" s="57" t="s">
        <v>604</v>
      </c>
      <c r="F349" s="61"/>
      <c r="G349" s="55"/>
      <c r="H349" s="467" t="str">
        <f>IF(F349=0," ",F349*G349)</f>
        <v xml:space="preserve"> </v>
      </c>
      <c r="I349" s="418" t="str">
        <f t="shared" si="116"/>
        <v xml:space="preserve"> </v>
      </c>
      <c r="J349" s="55"/>
      <c r="K349" s="49"/>
      <c r="L349" s="418" t="str">
        <f t="shared" si="117"/>
        <v xml:space="preserve"> </v>
      </c>
      <c r="M349" s="55"/>
      <c r="N349" s="467"/>
      <c r="O349" s="418" t="str">
        <f t="shared" si="118"/>
        <v xml:space="preserve"> </v>
      </c>
      <c r="P349" s="483"/>
      <c r="Q349" s="483"/>
    </row>
    <row r="350" spans="2:17" ht="12.75" customHeight="1" x14ac:dyDescent="0.2">
      <c r="B350" s="47"/>
      <c r="D350" s="57" t="s">
        <v>605</v>
      </c>
      <c r="F350" s="61" t="s">
        <v>310</v>
      </c>
      <c r="G350" s="65" t="s">
        <v>596</v>
      </c>
      <c r="H350" s="468">
        <v>60</v>
      </c>
      <c r="I350" s="418"/>
      <c r="J350" s="65" t="s">
        <v>596</v>
      </c>
      <c r="K350" s="49">
        <v>69</v>
      </c>
      <c r="L350" s="418"/>
      <c r="M350" s="65" t="s">
        <v>596</v>
      </c>
      <c r="N350" s="468">
        <v>69</v>
      </c>
      <c r="O350" s="418"/>
      <c r="P350" s="483">
        <f t="shared" si="114"/>
        <v>0</v>
      </c>
      <c r="Q350" s="483">
        <f t="shared" si="115"/>
        <v>0</v>
      </c>
    </row>
    <row r="351" spans="2:17" ht="12.75" customHeight="1" x14ac:dyDescent="0.2">
      <c r="B351" s="47"/>
      <c r="F351" s="61"/>
      <c r="G351" s="55"/>
      <c r="H351" s="467" t="str">
        <f t="shared" ref="H351:H353" si="119">IF(F351=0," ",F351*G351)</f>
        <v xml:space="preserve"> </v>
      </c>
      <c r="I351" s="418" t="str">
        <f t="shared" si="116"/>
        <v xml:space="preserve"> </v>
      </c>
      <c r="J351" s="55"/>
      <c r="K351" s="49"/>
      <c r="L351" s="418" t="str">
        <f t="shared" ref="L351:L359" si="120">IF(J351=0," ",J351*K351)</f>
        <v xml:space="preserve"> </v>
      </c>
      <c r="M351" s="55"/>
      <c r="N351" s="467"/>
      <c r="O351" s="418" t="str">
        <f t="shared" ref="O351:O359" si="121">IF(M351=0," ",M351*N351)</f>
        <v xml:space="preserve"> </v>
      </c>
      <c r="P351" s="483"/>
      <c r="Q351" s="483"/>
    </row>
    <row r="352" spans="2:17" ht="12.75" customHeight="1" x14ac:dyDescent="0.2">
      <c r="B352" s="47"/>
      <c r="C352" s="56" t="s">
        <v>276</v>
      </c>
      <c r="D352" s="57" t="s">
        <v>822</v>
      </c>
      <c r="F352" s="61" t="s">
        <v>310</v>
      </c>
      <c r="G352" s="55">
        <v>60</v>
      </c>
      <c r="H352" s="468">
        <v>80</v>
      </c>
      <c r="I352" s="418">
        <f t="shared" si="116"/>
        <v>4800</v>
      </c>
      <c r="J352" s="55">
        <v>60</v>
      </c>
      <c r="K352" s="49">
        <v>250</v>
      </c>
      <c r="L352" s="418">
        <f t="shared" si="120"/>
        <v>15000</v>
      </c>
      <c r="M352" s="55">
        <v>60</v>
      </c>
      <c r="N352" s="468">
        <v>250</v>
      </c>
      <c r="O352" s="418">
        <f t="shared" si="121"/>
        <v>15000</v>
      </c>
      <c r="P352" s="483">
        <f t="shared" si="114"/>
        <v>0</v>
      </c>
      <c r="Q352" s="483">
        <f t="shared" si="115"/>
        <v>0</v>
      </c>
    </row>
    <row r="353" spans="2:18" ht="12.75" customHeight="1" x14ac:dyDescent="0.2">
      <c r="B353" s="47"/>
      <c r="F353" s="61"/>
      <c r="G353" s="55"/>
      <c r="H353" s="467" t="str">
        <f t="shared" si="119"/>
        <v xml:space="preserve"> </v>
      </c>
      <c r="I353" s="418" t="str">
        <f t="shared" si="116"/>
        <v xml:space="preserve"> </v>
      </c>
      <c r="J353" s="55"/>
      <c r="K353" s="49"/>
      <c r="L353" s="418" t="str">
        <f t="shared" si="120"/>
        <v xml:space="preserve"> </v>
      </c>
      <c r="M353" s="55"/>
      <c r="N353" s="467"/>
      <c r="O353" s="418" t="str">
        <f t="shared" si="121"/>
        <v xml:space="preserve"> </v>
      </c>
      <c r="P353" s="483"/>
      <c r="Q353" s="483"/>
    </row>
    <row r="354" spans="2:18" ht="12.75" customHeight="1" x14ac:dyDescent="0.2">
      <c r="B354" s="47">
        <v>66.209999999999994</v>
      </c>
      <c r="C354" s="56" t="s">
        <v>606</v>
      </c>
      <c r="F354" s="61"/>
      <c r="G354" s="55"/>
      <c r="H354" s="467" t="str">
        <f>IF(F354=0," ",F354*G354)</f>
        <v xml:space="preserve"> </v>
      </c>
      <c r="I354" s="418" t="str">
        <f t="shared" si="116"/>
        <v xml:space="preserve"> </v>
      </c>
      <c r="J354" s="55"/>
      <c r="K354" s="49"/>
      <c r="L354" s="418" t="str">
        <f t="shared" si="120"/>
        <v xml:space="preserve"> </v>
      </c>
      <c r="M354" s="55"/>
      <c r="N354" s="467"/>
      <c r="O354" s="418" t="str">
        <f t="shared" si="121"/>
        <v xml:space="preserve"> </v>
      </c>
      <c r="P354" s="483"/>
      <c r="Q354" s="483"/>
    </row>
    <row r="355" spans="2:18" s="73" customFormat="1" ht="12.75" customHeight="1" x14ac:dyDescent="0.2">
      <c r="B355" s="47"/>
      <c r="C355" s="56" t="s">
        <v>607</v>
      </c>
      <c r="D355" s="57"/>
      <c r="E355" s="67"/>
      <c r="F355" s="49" t="s">
        <v>275</v>
      </c>
      <c r="G355" s="55">
        <f>(0.45*0.45)*67</f>
        <v>13.567500000000001</v>
      </c>
      <c r="H355" s="468">
        <v>12</v>
      </c>
      <c r="I355" s="418">
        <f t="shared" si="116"/>
        <v>162.81</v>
      </c>
      <c r="J355" s="55">
        <f t="shared" ref="J355" si="122">(0.45*0.45)*67</f>
        <v>13.567500000000001</v>
      </c>
      <c r="K355" s="49">
        <v>45</v>
      </c>
      <c r="L355" s="418">
        <f t="shared" si="120"/>
        <v>610.53750000000002</v>
      </c>
      <c r="M355" s="55">
        <f t="shared" ref="M355" si="123">(0.45*0.45)*67</f>
        <v>13.567500000000001</v>
      </c>
      <c r="N355" s="468">
        <v>45</v>
      </c>
      <c r="O355" s="418">
        <f t="shared" si="121"/>
        <v>610.53750000000002</v>
      </c>
      <c r="P355" s="483">
        <f t="shared" si="114"/>
        <v>0</v>
      </c>
      <c r="Q355" s="483">
        <f t="shared" si="115"/>
        <v>0</v>
      </c>
      <c r="R355" s="77"/>
    </row>
    <row r="356" spans="2:18" s="73" customFormat="1" ht="12.75" customHeight="1" x14ac:dyDescent="0.2">
      <c r="B356" s="47"/>
      <c r="C356" s="56"/>
      <c r="D356" s="57"/>
      <c r="E356" s="67"/>
      <c r="F356" s="61"/>
      <c r="G356" s="55"/>
      <c r="H356" s="467" t="str">
        <f>IF(F356=0," ",F356*G356)</f>
        <v xml:space="preserve"> </v>
      </c>
      <c r="I356" s="418" t="str">
        <f t="shared" si="116"/>
        <v xml:space="preserve"> </v>
      </c>
      <c r="J356" s="55"/>
      <c r="K356" s="49"/>
      <c r="L356" s="418" t="str">
        <f t="shared" si="120"/>
        <v xml:space="preserve"> </v>
      </c>
      <c r="M356" s="55"/>
      <c r="N356" s="467"/>
      <c r="O356" s="418" t="str">
        <f t="shared" si="121"/>
        <v xml:space="preserve"> </v>
      </c>
      <c r="P356" s="483"/>
      <c r="Q356" s="483"/>
      <c r="R356" s="77"/>
    </row>
    <row r="357" spans="2:18" s="73" customFormat="1" ht="12.75" customHeight="1" x14ac:dyDescent="0.2">
      <c r="B357" s="47">
        <v>66.23</v>
      </c>
      <c r="C357" s="56" t="s">
        <v>608</v>
      </c>
      <c r="D357" s="57"/>
      <c r="E357" s="67"/>
      <c r="F357" s="61" t="s">
        <v>829</v>
      </c>
      <c r="G357" s="55">
        <f>(0.3*0.3*67)</f>
        <v>6.0299999999999994</v>
      </c>
      <c r="H357" s="468">
        <v>450</v>
      </c>
      <c r="I357" s="418">
        <f t="shared" si="116"/>
        <v>2713.4999999999995</v>
      </c>
      <c r="J357" s="55">
        <f t="shared" ref="J357" si="124">(0.3*0.3*67)</f>
        <v>6.0299999999999994</v>
      </c>
      <c r="K357" s="49">
        <v>650</v>
      </c>
      <c r="L357" s="418">
        <f t="shared" si="120"/>
        <v>3919.4999999999995</v>
      </c>
      <c r="M357" s="55">
        <f t="shared" ref="M357" si="125">(0.3*0.3*67)</f>
        <v>6.0299999999999994</v>
      </c>
      <c r="N357" s="468">
        <v>650</v>
      </c>
      <c r="O357" s="418">
        <f t="shared" si="121"/>
        <v>3919.4999999999995</v>
      </c>
      <c r="P357" s="483">
        <f t="shared" si="114"/>
        <v>0</v>
      </c>
      <c r="Q357" s="483">
        <f t="shared" si="115"/>
        <v>0</v>
      </c>
      <c r="R357" s="77"/>
    </row>
    <row r="358" spans="2:18" s="73" customFormat="1" ht="12.75" customHeight="1" x14ac:dyDescent="0.2">
      <c r="B358" s="47"/>
      <c r="C358" s="56"/>
      <c r="D358" s="57"/>
      <c r="E358" s="67"/>
      <c r="F358" s="61"/>
      <c r="G358" s="55"/>
      <c r="H358" s="467"/>
      <c r="I358" s="418" t="str">
        <f t="shared" si="116"/>
        <v xml:space="preserve"> </v>
      </c>
      <c r="J358" s="55"/>
      <c r="K358" s="49"/>
      <c r="L358" s="418" t="str">
        <f t="shared" si="120"/>
        <v xml:space="preserve"> </v>
      </c>
      <c r="M358" s="55"/>
      <c r="N358" s="467"/>
      <c r="O358" s="418" t="str">
        <f t="shared" si="121"/>
        <v xml:space="preserve"> </v>
      </c>
      <c r="P358" s="49"/>
      <c r="Q358" s="49"/>
      <c r="R358" s="77"/>
    </row>
    <row r="359" spans="2:18" s="73" customFormat="1" ht="12.75" customHeight="1" x14ac:dyDescent="0.2">
      <c r="B359" s="47"/>
      <c r="C359" s="56"/>
      <c r="D359" s="57"/>
      <c r="E359" s="67"/>
      <c r="F359" s="61"/>
      <c r="G359" s="55"/>
      <c r="H359" s="467"/>
      <c r="I359" s="418" t="str">
        <f t="shared" si="116"/>
        <v xml:space="preserve"> </v>
      </c>
      <c r="J359" s="55"/>
      <c r="K359" s="49"/>
      <c r="L359" s="418" t="str">
        <f t="shared" si="120"/>
        <v xml:space="preserve"> </v>
      </c>
      <c r="M359" s="55"/>
      <c r="N359" s="467"/>
      <c r="O359" s="418" t="str">
        <f t="shared" si="121"/>
        <v xml:space="preserve"> </v>
      </c>
      <c r="P359" s="49"/>
      <c r="Q359" s="49"/>
      <c r="R359" s="77"/>
    </row>
    <row r="360" spans="2:18" ht="12.75" customHeight="1" x14ac:dyDescent="0.2">
      <c r="B360" s="70"/>
      <c r="F360" s="61"/>
      <c r="G360" s="55"/>
      <c r="H360" s="467"/>
      <c r="I360" s="467"/>
      <c r="J360" s="55"/>
      <c r="K360" s="49"/>
      <c r="L360" s="467"/>
      <c r="M360" s="55"/>
      <c r="N360" s="467"/>
      <c r="O360" s="467"/>
      <c r="P360" s="49"/>
      <c r="Q360" s="49"/>
    </row>
    <row r="361" spans="2:18" ht="12.75" customHeight="1" x14ac:dyDescent="0.2">
      <c r="B361" s="47"/>
      <c r="F361" s="61"/>
      <c r="G361" s="55"/>
      <c r="H361" s="467"/>
      <c r="I361" s="467"/>
      <c r="J361" s="55"/>
      <c r="K361" s="49"/>
      <c r="L361" s="467"/>
      <c r="M361" s="55"/>
      <c r="N361" s="467"/>
      <c r="O361" s="467"/>
      <c r="P361" s="49"/>
      <c r="Q361" s="49"/>
    </row>
    <row r="362" spans="2:18" ht="12.75" customHeight="1" x14ac:dyDescent="0.2">
      <c r="B362" s="47"/>
      <c r="C362" s="225"/>
      <c r="D362" s="226"/>
      <c r="E362" s="227"/>
      <c r="F362" s="228"/>
      <c r="G362" s="49"/>
      <c r="H362" s="467"/>
      <c r="I362" s="467"/>
      <c r="J362" s="49"/>
      <c r="K362" s="49"/>
      <c r="L362" s="467"/>
      <c r="M362" s="49"/>
      <c r="N362" s="467"/>
      <c r="O362" s="467"/>
      <c r="P362" s="49"/>
      <c r="Q362" s="49"/>
    </row>
    <row r="363" spans="2:18" ht="12.75" customHeight="1" x14ac:dyDescent="0.2">
      <c r="B363" s="47"/>
      <c r="C363" s="225"/>
      <c r="D363" s="226"/>
      <c r="E363" s="227"/>
      <c r="F363" s="228"/>
      <c r="G363" s="110"/>
      <c r="H363" s="467"/>
      <c r="I363" s="467"/>
      <c r="J363" s="110"/>
      <c r="K363" s="49"/>
      <c r="L363" s="467"/>
      <c r="M363" s="110"/>
      <c r="N363" s="467"/>
      <c r="O363" s="467"/>
      <c r="P363" s="49"/>
      <c r="Q363" s="49"/>
    </row>
    <row r="364" spans="2:18" ht="12.75" customHeight="1" x14ac:dyDescent="0.2">
      <c r="B364" s="112"/>
      <c r="C364" s="52"/>
      <c r="D364" s="50"/>
      <c r="E364" s="46"/>
      <c r="F364" s="45"/>
      <c r="G364" s="60"/>
      <c r="H364" s="467"/>
      <c r="I364" s="467"/>
      <c r="J364" s="60"/>
      <c r="K364" s="49"/>
      <c r="L364" s="467"/>
      <c r="M364" s="60"/>
      <c r="N364" s="467"/>
      <c r="O364" s="467"/>
      <c r="P364" s="49"/>
      <c r="Q364" s="49"/>
    </row>
    <row r="365" spans="2:18" ht="12.75" customHeight="1" x14ac:dyDescent="0.2">
      <c r="B365" s="49"/>
      <c r="C365" s="52"/>
      <c r="D365" s="50"/>
      <c r="E365" s="46"/>
      <c r="F365" s="32"/>
      <c r="G365" s="60"/>
      <c r="H365" s="467"/>
      <c r="I365" s="467"/>
      <c r="J365" s="60"/>
      <c r="K365" s="49"/>
      <c r="L365" s="467"/>
      <c r="M365" s="60"/>
      <c r="N365" s="467"/>
      <c r="O365" s="467"/>
      <c r="P365" s="49"/>
      <c r="Q365" s="49"/>
    </row>
    <row r="366" spans="2:18" ht="12.75" customHeight="1" x14ac:dyDescent="0.2">
      <c r="B366" s="49"/>
      <c r="C366" s="52"/>
      <c r="D366" s="46"/>
      <c r="E366" s="46"/>
      <c r="F366" s="32"/>
      <c r="G366" s="60"/>
      <c r="H366" s="467"/>
      <c r="I366" s="467"/>
      <c r="J366" s="60"/>
      <c r="K366" s="49"/>
      <c r="L366" s="467"/>
      <c r="M366" s="60"/>
      <c r="N366" s="467"/>
      <c r="O366" s="467"/>
      <c r="P366" s="49"/>
      <c r="Q366" s="49"/>
    </row>
    <row r="367" spans="2:18" ht="12.75" customHeight="1" x14ac:dyDescent="0.2">
      <c r="B367" s="112"/>
      <c r="C367" s="52"/>
      <c r="D367" s="50"/>
      <c r="E367" s="46"/>
      <c r="F367" s="32"/>
      <c r="G367" s="60"/>
      <c r="H367" s="467"/>
      <c r="I367" s="467" t="str">
        <f>IF(G367=0," ",G367*H367)</f>
        <v xml:space="preserve"> </v>
      </c>
      <c r="J367" s="60"/>
      <c r="K367" s="49"/>
      <c r="L367" s="467" t="str">
        <f t="shared" ref="L367" si="126">IF(J367=0," ",J367*K367)</f>
        <v xml:space="preserve"> </v>
      </c>
      <c r="M367" s="60"/>
      <c r="N367" s="467"/>
      <c r="O367" s="467" t="str">
        <f t="shared" ref="O367" si="127">IF(M367=0," ",M367*N367)</f>
        <v xml:space="preserve"> </v>
      </c>
      <c r="P367" s="49"/>
      <c r="Q367" s="49"/>
    </row>
    <row r="368" spans="2:18" ht="12.75" customHeight="1" x14ac:dyDescent="0.2">
      <c r="B368" s="47"/>
      <c r="F368" s="49"/>
      <c r="G368" s="110"/>
      <c r="H368" s="467"/>
      <c r="I368" s="467"/>
      <c r="J368" s="110"/>
      <c r="K368" s="49"/>
      <c r="L368" s="467"/>
      <c r="M368" s="110"/>
      <c r="N368" s="467"/>
      <c r="O368" s="467"/>
      <c r="P368" s="49"/>
      <c r="Q368" s="49"/>
    </row>
    <row r="369" spans="2:18" ht="12.75" customHeight="1" x14ac:dyDescent="0.2">
      <c r="B369" s="47"/>
      <c r="F369" s="61"/>
      <c r="G369" s="55"/>
      <c r="H369" s="467"/>
      <c r="I369" s="467" t="str">
        <f>IF(G369=0," ",G369*H369)</f>
        <v xml:space="preserve"> </v>
      </c>
      <c r="J369" s="55"/>
      <c r="K369" s="49"/>
      <c r="L369" s="467" t="str">
        <f t="shared" ref="L369" si="128">IF(J369=0," ",J369*K369)</f>
        <v xml:space="preserve"> </v>
      </c>
      <c r="M369" s="55"/>
      <c r="N369" s="467"/>
      <c r="O369" s="467" t="str">
        <f t="shared" ref="O369" si="129">IF(M369=0," ",M369*N369)</f>
        <v xml:space="preserve"> </v>
      </c>
      <c r="P369" s="49"/>
      <c r="Q369" s="49"/>
    </row>
    <row r="370" spans="2:18" ht="12.75" customHeight="1" x14ac:dyDescent="0.2">
      <c r="B370" s="47"/>
      <c r="F370" s="61"/>
      <c r="G370" s="65"/>
      <c r="H370" s="467"/>
      <c r="I370" s="467"/>
      <c r="J370" s="65"/>
      <c r="K370" s="49"/>
      <c r="L370" s="467"/>
      <c r="M370" s="65"/>
      <c r="N370" s="467"/>
      <c r="O370" s="467"/>
      <c r="P370" s="49"/>
      <c r="Q370" s="49"/>
    </row>
    <row r="371" spans="2:18" ht="12.75" customHeight="1" x14ac:dyDescent="0.2">
      <c r="B371" s="47"/>
      <c r="F371" s="61"/>
      <c r="G371" s="110"/>
      <c r="H371" s="467"/>
      <c r="I371" s="467" t="str">
        <f>IF(G371=0," ",G371*H371)</f>
        <v xml:space="preserve"> </v>
      </c>
      <c r="J371" s="110"/>
      <c r="K371" s="49"/>
      <c r="L371" s="467" t="str">
        <f t="shared" ref="L371" si="130">IF(J371=0," ",J371*K371)</f>
        <v xml:space="preserve"> </v>
      </c>
      <c r="M371" s="110"/>
      <c r="N371" s="467"/>
      <c r="O371" s="467" t="str">
        <f t="shared" ref="O371" si="131">IF(M371=0," ",M371*N371)</f>
        <v xml:space="preserve"> </v>
      </c>
      <c r="P371" s="49"/>
      <c r="Q371" s="49"/>
    </row>
    <row r="372" spans="2:18" s="73" customFormat="1" ht="12.75" customHeight="1" x14ac:dyDescent="0.2">
      <c r="B372" s="47"/>
      <c r="C372" s="56"/>
      <c r="D372" s="57"/>
      <c r="E372" s="67"/>
      <c r="F372" s="61"/>
      <c r="G372" s="55"/>
      <c r="H372" s="467"/>
      <c r="I372" s="467"/>
      <c r="J372" s="55"/>
      <c r="K372" s="49"/>
      <c r="L372" s="467"/>
      <c r="M372" s="55"/>
      <c r="N372" s="467"/>
      <c r="O372" s="467"/>
      <c r="P372" s="49"/>
      <c r="Q372" s="49"/>
      <c r="R372" s="77"/>
    </row>
    <row r="373" spans="2:18" s="73" customFormat="1" ht="12.75" customHeight="1" x14ac:dyDescent="0.2">
      <c r="B373" s="47"/>
      <c r="C373" s="56"/>
      <c r="D373" s="57"/>
      <c r="E373" s="67"/>
      <c r="F373" s="61"/>
      <c r="G373" s="55"/>
      <c r="H373" s="467"/>
      <c r="I373" s="467"/>
      <c r="J373" s="55"/>
      <c r="K373" s="49"/>
      <c r="L373" s="467"/>
      <c r="M373" s="55"/>
      <c r="N373" s="467"/>
      <c r="O373" s="467"/>
      <c r="P373" s="49"/>
      <c r="Q373" s="49"/>
      <c r="R373" s="77"/>
    </row>
    <row r="374" spans="2:18" s="73" customFormat="1" ht="12.75" customHeight="1" x14ac:dyDescent="0.2">
      <c r="B374" s="47"/>
      <c r="C374" s="56"/>
      <c r="D374" s="57"/>
      <c r="E374" s="67"/>
      <c r="F374" s="61"/>
      <c r="G374" s="55"/>
      <c r="H374" s="467"/>
      <c r="I374" s="467"/>
      <c r="J374" s="55"/>
      <c r="K374" s="49"/>
      <c r="L374" s="467"/>
      <c r="M374" s="55"/>
      <c r="N374" s="467"/>
      <c r="O374" s="467"/>
      <c r="P374" s="49"/>
      <c r="Q374" s="49"/>
      <c r="R374" s="77"/>
    </row>
    <row r="375" spans="2:18" s="73" customFormat="1" ht="12.75" customHeight="1" x14ac:dyDescent="0.2">
      <c r="B375" s="47"/>
      <c r="C375" s="56"/>
      <c r="D375" s="57"/>
      <c r="E375" s="67"/>
      <c r="F375" s="61"/>
      <c r="G375" s="55"/>
      <c r="H375" s="467"/>
      <c r="I375" s="467"/>
      <c r="J375" s="55"/>
      <c r="K375" s="49"/>
      <c r="L375" s="467"/>
      <c r="M375" s="55"/>
      <c r="N375" s="467"/>
      <c r="O375" s="467"/>
      <c r="P375" s="49"/>
      <c r="Q375" s="49"/>
      <c r="R375" s="77"/>
    </row>
    <row r="376" spans="2:18" s="73" customFormat="1" ht="12.75" customHeight="1" x14ac:dyDescent="0.2">
      <c r="B376" s="47"/>
      <c r="C376" s="56"/>
      <c r="D376" s="57"/>
      <c r="E376" s="67"/>
      <c r="F376" s="61"/>
      <c r="G376" s="55"/>
      <c r="H376" s="467"/>
      <c r="I376" s="467"/>
      <c r="J376" s="55"/>
      <c r="K376" s="49"/>
      <c r="L376" s="467"/>
      <c r="M376" s="55"/>
      <c r="N376" s="467"/>
      <c r="O376" s="467"/>
      <c r="P376" s="49"/>
      <c r="Q376" s="49"/>
      <c r="R376" s="77"/>
    </row>
    <row r="377" spans="2:18" s="73" customFormat="1" ht="12.75" customHeight="1" x14ac:dyDescent="0.2">
      <c r="B377" s="47"/>
      <c r="C377" s="56"/>
      <c r="D377" s="57"/>
      <c r="E377" s="67"/>
      <c r="F377" s="61"/>
      <c r="G377" s="55"/>
      <c r="H377" s="467"/>
      <c r="I377" s="467"/>
      <c r="J377" s="55"/>
      <c r="K377" s="49"/>
      <c r="L377" s="467"/>
      <c r="M377" s="55"/>
      <c r="N377" s="467"/>
      <c r="O377" s="467"/>
      <c r="P377" s="49"/>
      <c r="Q377" s="49"/>
      <c r="R377" s="77"/>
    </row>
    <row r="378" spans="2:18" s="73" customFormat="1" ht="12.75" customHeight="1" x14ac:dyDescent="0.2">
      <c r="B378" s="47"/>
      <c r="C378" s="56"/>
      <c r="D378" s="57"/>
      <c r="E378" s="67"/>
      <c r="F378" s="61"/>
      <c r="G378" s="55"/>
      <c r="H378" s="467"/>
      <c r="I378" s="467"/>
      <c r="J378" s="55"/>
      <c r="K378" s="49"/>
      <c r="L378" s="467"/>
      <c r="M378" s="55"/>
      <c r="N378" s="467"/>
      <c r="O378" s="467"/>
      <c r="P378" s="49"/>
      <c r="Q378" s="49"/>
      <c r="R378" s="77"/>
    </row>
    <row r="379" spans="2:18" s="73" customFormat="1" ht="12.75" customHeight="1" x14ac:dyDescent="0.2">
      <c r="B379" s="47"/>
      <c r="C379" s="56"/>
      <c r="D379" s="57"/>
      <c r="E379" s="67"/>
      <c r="F379" s="61"/>
      <c r="G379" s="55"/>
      <c r="H379" s="467"/>
      <c r="I379" s="467"/>
      <c r="J379" s="55"/>
      <c r="K379" s="49"/>
      <c r="L379" s="467"/>
      <c r="M379" s="55"/>
      <c r="N379" s="467"/>
      <c r="O379" s="467"/>
      <c r="P379" s="49"/>
      <c r="Q379" s="49"/>
      <c r="R379" s="77"/>
    </row>
    <row r="380" spans="2:18" s="73" customFormat="1" ht="12.75" customHeight="1" x14ac:dyDescent="0.2">
      <c r="B380" s="47"/>
      <c r="C380" s="56"/>
      <c r="D380" s="57"/>
      <c r="E380" s="67"/>
      <c r="F380" s="61"/>
      <c r="G380" s="55"/>
      <c r="H380" s="467"/>
      <c r="I380" s="467"/>
      <c r="J380" s="55"/>
      <c r="K380" s="49"/>
      <c r="L380" s="467"/>
      <c r="M380" s="55"/>
      <c r="N380" s="467"/>
      <c r="O380" s="467"/>
      <c r="P380" s="49"/>
      <c r="Q380" s="49"/>
      <c r="R380" s="77"/>
    </row>
    <row r="381" spans="2:18" s="73" customFormat="1" ht="12.75" customHeight="1" x14ac:dyDescent="0.2">
      <c r="B381" s="47"/>
      <c r="C381" s="56"/>
      <c r="D381" s="57"/>
      <c r="E381" s="67"/>
      <c r="F381" s="61"/>
      <c r="G381" s="55"/>
      <c r="H381" s="467"/>
      <c r="I381" s="467"/>
      <c r="J381" s="55"/>
      <c r="K381" s="49"/>
      <c r="L381" s="467"/>
      <c r="M381" s="55"/>
      <c r="N381" s="467"/>
      <c r="O381" s="467"/>
      <c r="P381" s="49"/>
      <c r="Q381" s="49"/>
      <c r="R381" s="77"/>
    </row>
    <row r="382" spans="2:18" ht="12.75" customHeight="1" x14ac:dyDescent="0.2">
      <c r="B382" s="47"/>
      <c r="F382" s="61"/>
      <c r="G382" s="55"/>
      <c r="H382" s="467"/>
      <c r="I382" s="467"/>
      <c r="J382" s="55"/>
      <c r="K382" s="49"/>
      <c r="L382" s="467"/>
      <c r="M382" s="55"/>
      <c r="N382" s="467"/>
      <c r="O382" s="467"/>
      <c r="P382" s="49"/>
      <c r="Q382" s="49"/>
    </row>
    <row r="383" spans="2:18" s="73" customFormat="1" ht="12.75" customHeight="1" x14ac:dyDescent="0.2">
      <c r="B383" s="56"/>
      <c r="C383" s="56"/>
      <c r="D383" s="57"/>
      <c r="E383" s="67"/>
      <c r="F383" s="61"/>
      <c r="G383" s="55"/>
      <c r="H383" s="467"/>
      <c r="I383" s="467"/>
      <c r="J383" s="55"/>
      <c r="K383" s="49"/>
      <c r="L383" s="467"/>
      <c r="M383" s="55"/>
      <c r="N383" s="467"/>
      <c r="O383" s="467"/>
      <c r="P383" s="482"/>
      <c r="Q383" s="482"/>
      <c r="R383" s="77"/>
    </row>
    <row r="384" spans="2:18" ht="12.75" customHeight="1" x14ac:dyDescent="0.2">
      <c r="B384" s="101">
        <v>6600</v>
      </c>
      <c r="C384" s="102" t="s">
        <v>268</v>
      </c>
      <c r="D384" s="103"/>
      <c r="E384" s="198"/>
      <c r="F384" s="104"/>
      <c r="G384" s="105"/>
      <c r="H384" s="472"/>
      <c r="I384" s="473">
        <f>SUM(I319:I383)</f>
        <v>103816.31</v>
      </c>
      <c r="J384" s="105"/>
      <c r="K384" s="472"/>
      <c r="L384" s="473">
        <f t="shared" ref="L384" si="132">SUM(L319:L383)</f>
        <v>61955.037499999999</v>
      </c>
      <c r="M384" s="105"/>
      <c r="N384" s="472"/>
      <c r="O384" s="473">
        <f>SUM(O319:O383)</f>
        <v>61955.037499999999</v>
      </c>
      <c r="P384" s="473"/>
      <c r="Q384" s="473">
        <f t="shared" ref="Q384" si="133">SUM(Q319:Q383)</f>
        <v>0</v>
      </c>
    </row>
    <row r="385" spans="2:18" s="128" customFormat="1" ht="12.75" customHeight="1" x14ac:dyDescent="0.2">
      <c r="B385" s="76"/>
      <c r="C385" s="76"/>
      <c r="D385" s="57"/>
      <c r="E385" s="77"/>
      <c r="F385" s="73"/>
      <c r="G385" s="74"/>
      <c r="H385" s="191"/>
      <c r="I385" s="191"/>
      <c r="J385" s="74"/>
      <c r="K385" s="191"/>
      <c r="L385" s="191"/>
      <c r="M385" s="74"/>
      <c r="N385" s="191"/>
      <c r="O385" s="191"/>
      <c r="P385" s="73"/>
      <c r="Q385" s="73"/>
      <c r="R385" s="77"/>
    </row>
    <row r="386" spans="2:18" s="128" customFormat="1" ht="12.75" customHeight="1" x14ac:dyDescent="0.2">
      <c r="B386" s="76"/>
      <c r="C386" s="76"/>
      <c r="D386" s="57"/>
      <c r="E386" s="77"/>
      <c r="F386" s="73"/>
      <c r="G386" s="74"/>
      <c r="H386" s="191"/>
      <c r="I386" s="191"/>
      <c r="J386" s="74"/>
      <c r="K386" s="191"/>
      <c r="L386" s="191"/>
      <c r="M386" s="74"/>
      <c r="N386" s="191"/>
      <c r="O386" s="191"/>
      <c r="P386" s="73"/>
      <c r="Q386" s="73"/>
      <c r="R386" s="77"/>
    </row>
    <row r="387" spans="2:18" s="128" customFormat="1" ht="12.75" customHeight="1" x14ac:dyDescent="0.2">
      <c r="B387" s="76"/>
      <c r="C387" s="76"/>
      <c r="D387" s="57"/>
      <c r="E387" s="77"/>
      <c r="F387" s="73"/>
      <c r="G387" s="74"/>
      <c r="H387" s="191"/>
      <c r="I387" s="191"/>
      <c r="J387" s="74"/>
      <c r="K387" s="191"/>
      <c r="L387" s="191"/>
      <c r="M387" s="74"/>
      <c r="N387" s="191"/>
      <c r="O387" s="191"/>
      <c r="P387" s="73"/>
      <c r="Q387" s="73"/>
      <c r="R387" s="77"/>
    </row>
    <row r="388" spans="2:18" s="128" customFormat="1" ht="12.75" customHeight="1" x14ac:dyDescent="0.2">
      <c r="B388" s="76"/>
      <c r="C388" s="76"/>
      <c r="D388" s="57"/>
      <c r="E388" s="77"/>
      <c r="F388" s="73"/>
      <c r="G388" s="74"/>
      <c r="H388" s="191"/>
      <c r="I388" s="191"/>
      <c r="J388" s="74"/>
      <c r="K388" s="191"/>
      <c r="L388" s="191"/>
      <c r="M388" s="74"/>
      <c r="N388" s="191"/>
      <c r="O388" s="191"/>
      <c r="P388" s="73"/>
      <c r="Q388" s="73"/>
      <c r="R388" s="77"/>
    </row>
    <row r="389" spans="2:18" s="128" customFormat="1" ht="12.75" customHeight="1" x14ac:dyDescent="0.2">
      <c r="B389" s="76"/>
      <c r="C389" s="76"/>
      <c r="D389" s="57"/>
      <c r="E389" s="77"/>
      <c r="F389" s="73"/>
      <c r="G389" s="74"/>
      <c r="H389" s="191"/>
      <c r="I389" s="191"/>
      <c r="J389" s="74"/>
      <c r="K389" s="191"/>
      <c r="L389" s="191"/>
      <c r="M389" s="74"/>
      <c r="N389" s="191"/>
      <c r="O389" s="191"/>
      <c r="P389" s="73"/>
      <c r="Q389" s="73"/>
      <c r="R389" s="77"/>
    </row>
    <row r="390" spans="2:18" s="128" customFormat="1" ht="12.75" customHeight="1" x14ac:dyDescent="0.2">
      <c r="B390" s="76"/>
      <c r="C390" s="76"/>
      <c r="D390" s="57"/>
      <c r="E390" s="77"/>
      <c r="F390" s="73"/>
      <c r="G390" s="74"/>
      <c r="H390" s="191"/>
      <c r="I390" s="191"/>
      <c r="J390" s="74"/>
      <c r="K390" s="191"/>
      <c r="L390" s="191"/>
      <c r="M390" s="74"/>
      <c r="N390" s="191"/>
      <c r="O390" s="191"/>
      <c r="P390" s="73"/>
      <c r="Q390" s="73"/>
      <c r="R390" s="77"/>
    </row>
    <row r="391" spans="2:18" s="128" customFormat="1" ht="12.75" customHeight="1" x14ac:dyDescent="0.2">
      <c r="B391" s="76"/>
      <c r="C391" s="76"/>
      <c r="D391" s="57"/>
      <c r="E391" s="77"/>
      <c r="F391" s="73"/>
      <c r="G391" s="74"/>
      <c r="H391" s="191"/>
      <c r="I391" s="191"/>
      <c r="J391" s="74"/>
      <c r="K391" s="191"/>
      <c r="L391" s="191"/>
      <c r="M391" s="74"/>
      <c r="N391" s="191"/>
      <c r="O391" s="191"/>
      <c r="P391" s="73"/>
      <c r="Q391" s="73"/>
      <c r="R391" s="77"/>
    </row>
    <row r="392" spans="2:18" s="128" customFormat="1" ht="12.75" customHeight="1" x14ac:dyDescent="0.2">
      <c r="B392" s="76"/>
      <c r="C392" s="76"/>
      <c r="D392" s="57"/>
      <c r="E392" s="77"/>
      <c r="F392" s="73"/>
      <c r="G392" s="74"/>
      <c r="H392" s="191"/>
      <c r="I392" s="191"/>
      <c r="J392" s="74"/>
      <c r="K392" s="191"/>
      <c r="L392" s="191"/>
      <c r="M392" s="74"/>
      <c r="N392" s="191"/>
      <c r="O392" s="191"/>
      <c r="P392" s="73"/>
      <c r="Q392" s="73"/>
      <c r="R392" s="77"/>
    </row>
    <row r="393" spans="2:18" s="128" customFormat="1" ht="12.75" customHeight="1" x14ac:dyDescent="0.2">
      <c r="B393" s="76"/>
      <c r="C393" s="76"/>
      <c r="D393" s="57"/>
      <c r="E393" s="77"/>
      <c r="F393" s="73"/>
      <c r="G393" s="74"/>
      <c r="H393" s="191"/>
      <c r="I393" s="191"/>
      <c r="J393" s="74"/>
      <c r="K393" s="191"/>
      <c r="L393" s="191"/>
      <c r="M393" s="74"/>
      <c r="N393" s="191"/>
      <c r="O393" s="191"/>
      <c r="P393" s="73"/>
      <c r="Q393" s="73"/>
      <c r="R393" s="77"/>
    </row>
  </sheetData>
  <mergeCells count="13">
    <mergeCell ref="G2:I2"/>
    <mergeCell ref="J2:L2"/>
    <mergeCell ref="M2:O2"/>
    <mergeCell ref="D230:E230"/>
    <mergeCell ref="D137:E137"/>
    <mergeCell ref="D229:E229"/>
    <mergeCell ref="D152:E152"/>
    <mergeCell ref="D150:E150"/>
    <mergeCell ref="D153:E153"/>
    <mergeCell ref="C207:E207"/>
    <mergeCell ref="D225:E225"/>
    <mergeCell ref="D226:E226"/>
    <mergeCell ref="D227:E227"/>
  </mergeCells>
  <pageMargins left="0.86614173228346458" right="0.43307086614173229" top="1.1811023622047245" bottom="0.47244094488188981" header="0.35433070866141736" footer="0.47244094488188981"/>
  <pageSetup paperSize="9" scale="40" fitToHeight="0" orientation="portrait" useFirstPageNumber="1" horizontalDpi="4294967294" r:id="rId1"/>
  <headerFooter alignWithMargins="0">
    <oddHeader>&amp;C&amp;9 B.&amp;P&amp;"Arial,Bold"&amp;11MPUMALANGA DEPARTMENT OF PUBLIC WORKS, ROADS &amp; TRANSPORT&amp;"Arial,Regular"Reconstruction of road D481 between Mooiplaas and Ekulindeni in Gert Sibande region of Mpumalanga Province (7.2 km)</oddHeader>
    <oddFooter>&amp;LPart C2: Pricing Data &amp;RC2.2 Bill of Quantities   C &amp;P+67/(&amp;P/37 of BoQ)</oddFooter>
  </headerFooter>
  <rowBreaks count="4" manualBreakCount="4">
    <brk id="77" max="16" man="1"/>
    <brk id="154" max="16" man="1"/>
    <brk id="231" max="16" man="1"/>
    <brk id="308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R81"/>
  <sheetViews>
    <sheetView view="pageBreakPreview" zoomScaleSheetLayoutView="100" workbookViewId="0">
      <selection activeCell="K11" sqref="K11"/>
    </sheetView>
  </sheetViews>
  <sheetFormatPr defaultColWidth="9.140625" defaultRowHeight="12" x14ac:dyDescent="0.2"/>
  <cols>
    <col min="1" max="1" width="3.7109375" style="77" customWidth="1"/>
    <col min="2" max="2" width="12.140625" style="76" customWidth="1"/>
    <col min="3" max="3" width="2.7109375" style="56" customWidth="1"/>
    <col min="4" max="4" width="3.7109375" style="57" customWidth="1"/>
    <col min="5" max="5" width="39.5703125" style="67" customWidth="1"/>
    <col min="6" max="6" width="9.85546875" style="73" customWidth="1"/>
    <col min="7" max="7" width="11.42578125" style="74" customWidth="1"/>
    <col min="8" max="8" width="13.28515625" style="128" customWidth="1"/>
    <col min="9" max="11" width="15.42578125" style="128" customWidth="1"/>
    <col min="12" max="12" width="11.42578125" style="73" customWidth="1"/>
    <col min="13" max="14" width="9.140625" style="73" customWidth="1"/>
    <col min="15" max="15" width="9.140625" style="73"/>
    <col min="16" max="16" width="9.140625" style="77"/>
    <col min="17" max="18" width="12.28515625" style="77" customWidth="1"/>
    <col min="19" max="16384" width="9.140625" style="77"/>
  </cols>
  <sheetData>
    <row r="1" spans="2:18" ht="12.75" customHeight="1" x14ac:dyDescent="0.2">
      <c r="B1" s="71" t="s">
        <v>661</v>
      </c>
      <c r="C1" s="71"/>
      <c r="D1" s="72"/>
      <c r="E1" s="71"/>
      <c r="H1" s="75"/>
      <c r="I1" s="75"/>
      <c r="J1" s="75"/>
      <c r="K1" s="75"/>
    </row>
    <row r="2" spans="2:18" s="73" customFormat="1" ht="12.75" customHeight="1" x14ac:dyDescent="0.2">
      <c r="B2" s="71" t="s">
        <v>609</v>
      </c>
      <c r="C2" s="76"/>
      <c r="D2" s="57"/>
      <c r="E2" s="77"/>
      <c r="G2" s="74"/>
      <c r="H2" s="78"/>
      <c r="I2" s="78"/>
      <c r="J2" s="78"/>
      <c r="K2" s="78"/>
      <c r="M2" s="79" t="s">
        <v>780</v>
      </c>
      <c r="N2" s="33">
        <v>0.15</v>
      </c>
      <c r="P2" s="77"/>
      <c r="Q2" s="77"/>
      <c r="R2" s="77"/>
    </row>
    <row r="3" spans="2:18" ht="12.75" customHeight="1" x14ac:dyDescent="0.2">
      <c r="B3" s="80"/>
      <c r="C3" s="81"/>
      <c r="D3" s="82"/>
      <c r="E3" s="81"/>
      <c r="F3" s="83"/>
      <c r="H3" s="75"/>
      <c r="I3" s="75"/>
      <c r="J3" s="75"/>
      <c r="K3" s="75"/>
      <c r="M3" s="79" t="s">
        <v>779</v>
      </c>
      <c r="N3" s="33">
        <v>0.1</v>
      </c>
    </row>
    <row r="4" spans="2:18" ht="12.75" customHeight="1" x14ac:dyDescent="0.2">
      <c r="B4" s="556" t="s">
        <v>836</v>
      </c>
      <c r="C4" s="558" t="s">
        <v>335</v>
      </c>
      <c r="D4" s="559"/>
      <c r="E4" s="559"/>
      <c r="F4" s="559"/>
      <c r="G4" s="559"/>
      <c r="H4" s="560"/>
      <c r="I4" s="554" t="s">
        <v>846</v>
      </c>
      <c r="J4" s="554" t="s">
        <v>846</v>
      </c>
      <c r="K4" s="554" t="s">
        <v>846</v>
      </c>
    </row>
    <row r="5" spans="2:18" ht="12.75" customHeight="1" x14ac:dyDescent="0.2">
      <c r="B5" s="557"/>
      <c r="C5" s="561"/>
      <c r="D5" s="562"/>
      <c r="E5" s="562"/>
      <c r="F5" s="562"/>
      <c r="G5" s="562"/>
      <c r="H5" s="563"/>
      <c r="I5" s="555"/>
      <c r="J5" s="555"/>
      <c r="K5" s="555"/>
    </row>
    <row r="6" spans="2:18" ht="12.75" customHeight="1" x14ac:dyDescent="0.2">
      <c r="B6" s="94"/>
      <c r="C6" s="76"/>
      <c r="E6" s="77"/>
      <c r="H6" s="127"/>
      <c r="I6" s="133" t="str">
        <f>IF(G16=0," ",G16*H6)</f>
        <v xml:space="preserve"> </v>
      </c>
      <c r="J6" s="133" t="str">
        <f t="shared" ref="J6:K6" si="0">IF(H16=0," ",H16*I6)</f>
        <v xml:space="preserve"> </v>
      </c>
      <c r="K6" s="133" t="str">
        <f t="shared" si="0"/>
        <v xml:space="preserve"> </v>
      </c>
    </row>
    <row r="7" spans="2:18" ht="12.75" customHeight="1" x14ac:dyDescent="0.2">
      <c r="B7" s="95">
        <v>6100</v>
      </c>
      <c r="C7" s="71" t="s">
        <v>363</v>
      </c>
      <c r="D7" s="96"/>
      <c r="E7" s="106"/>
      <c r="H7" s="127"/>
      <c r="I7" s="232">
        <f>'Schedule B Structures'!I77</f>
        <v>533700</v>
      </c>
      <c r="J7" s="232">
        <f>'Schedule B Structures'!L77</f>
        <v>561375</v>
      </c>
      <c r="K7" s="232">
        <f>'Schedule B Structures'!O77</f>
        <v>533820</v>
      </c>
    </row>
    <row r="8" spans="2:18" ht="12.75" customHeight="1" x14ac:dyDescent="0.2">
      <c r="B8" s="49"/>
      <c r="C8" s="71"/>
      <c r="E8" s="77"/>
      <c r="H8" s="127"/>
      <c r="I8" s="232" t="str">
        <f>IF(G8=0," ",G8*H8)</f>
        <v xml:space="preserve"> </v>
      </c>
      <c r="J8" s="232" t="str">
        <f t="shared" ref="J8" si="1">IF(H8=0," ",H8*I8)</f>
        <v xml:space="preserve"> </v>
      </c>
      <c r="K8" s="232"/>
    </row>
    <row r="9" spans="2:18" ht="12.75" customHeight="1" x14ac:dyDescent="0.2">
      <c r="B9" s="95">
        <v>6200</v>
      </c>
      <c r="C9" s="71" t="s">
        <v>597</v>
      </c>
      <c r="D9" s="96"/>
      <c r="E9" s="106"/>
      <c r="H9" s="127"/>
      <c r="I9" s="232">
        <f>'Schedule B Structures'!I154</f>
        <v>226200</v>
      </c>
      <c r="J9" s="232">
        <f>'Schedule B Structures'!L154</f>
        <v>162110</v>
      </c>
      <c r="K9" s="232">
        <f>'Schedule B Structures'!O154</f>
        <v>162110</v>
      </c>
    </row>
    <row r="10" spans="2:18" ht="12.75" customHeight="1" x14ac:dyDescent="0.2">
      <c r="B10" s="49"/>
      <c r="C10" s="71"/>
      <c r="E10" s="77"/>
      <c r="H10" s="127"/>
      <c r="I10" s="232"/>
      <c r="J10" s="232"/>
      <c r="K10" s="232"/>
    </row>
    <row r="11" spans="2:18" ht="12.75" customHeight="1" x14ac:dyDescent="0.2">
      <c r="B11" s="95">
        <v>6300</v>
      </c>
      <c r="C11" s="71" t="s">
        <v>399</v>
      </c>
      <c r="D11" s="96"/>
      <c r="E11" s="106"/>
      <c r="H11" s="127"/>
      <c r="I11" s="232">
        <f>'Schedule B Structures'!I231</f>
        <v>153000</v>
      </c>
      <c r="J11" s="232">
        <f>'Schedule B Structures'!L231</f>
        <v>166000</v>
      </c>
      <c r="K11" s="232">
        <f>'Schedule B Structures'!O231</f>
        <v>162500</v>
      </c>
    </row>
    <row r="12" spans="2:18" s="128" customFormat="1" ht="12.75" customHeight="1" x14ac:dyDescent="0.2">
      <c r="B12" s="49"/>
      <c r="C12" s="71"/>
      <c r="D12" s="57"/>
      <c r="E12" s="77"/>
      <c r="F12" s="73"/>
      <c r="G12" s="74"/>
      <c r="H12" s="127"/>
      <c r="I12" s="232"/>
      <c r="J12" s="232"/>
      <c r="K12" s="232"/>
      <c r="L12" s="73"/>
      <c r="M12" s="73"/>
      <c r="N12" s="73"/>
      <c r="O12" s="73"/>
      <c r="P12" s="77"/>
      <c r="Q12" s="77"/>
      <c r="R12" s="77"/>
    </row>
    <row r="13" spans="2:18" s="128" customFormat="1" ht="12.75" customHeight="1" x14ac:dyDescent="0.2">
      <c r="B13" s="95">
        <v>6400</v>
      </c>
      <c r="C13" s="71" t="s">
        <v>401</v>
      </c>
      <c r="D13" s="96"/>
      <c r="E13" s="106"/>
      <c r="F13" s="73"/>
      <c r="G13" s="74"/>
      <c r="H13" s="127"/>
      <c r="I13" s="232">
        <f>'Schedule B Structures'!I308</f>
        <v>381000</v>
      </c>
      <c r="J13" s="232">
        <f>'Schedule B Structures'!L308</f>
        <v>382500</v>
      </c>
      <c r="K13" s="232">
        <f>'Schedule B Structures'!O308</f>
        <v>382500</v>
      </c>
      <c r="L13" s="73"/>
      <c r="M13" s="73"/>
      <c r="N13" s="73"/>
      <c r="O13" s="73"/>
      <c r="P13" s="77"/>
      <c r="Q13" s="77"/>
      <c r="R13" s="77"/>
    </row>
    <row r="14" spans="2:18" s="128" customFormat="1" ht="12.75" customHeight="1" x14ac:dyDescent="0.2">
      <c r="B14" s="49"/>
      <c r="C14" s="71"/>
      <c r="D14" s="57"/>
      <c r="E14" s="77"/>
      <c r="F14" s="73"/>
      <c r="G14" s="74"/>
      <c r="H14" s="127"/>
      <c r="I14" s="232"/>
      <c r="J14" s="232"/>
      <c r="K14" s="232"/>
      <c r="L14" s="73"/>
      <c r="M14" s="73"/>
      <c r="N14" s="73"/>
      <c r="O14" s="73"/>
      <c r="P14" s="77"/>
      <c r="Q14" s="77"/>
      <c r="R14" s="77"/>
    </row>
    <row r="15" spans="2:18" s="128" customFormat="1" ht="12.75" customHeight="1" x14ac:dyDescent="0.2">
      <c r="B15" s="95">
        <v>6600</v>
      </c>
      <c r="C15" s="71" t="s">
        <v>600</v>
      </c>
      <c r="D15" s="96"/>
      <c r="E15" s="106"/>
      <c r="F15" s="73"/>
      <c r="G15" s="74"/>
      <c r="H15" s="127"/>
      <c r="I15" s="232">
        <f>'Schedule B Structures'!I384</f>
        <v>103816.31</v>
      </c>
      <c r="J15" s="232">
        <f>'Schedule B Structures'!L384</f>
        <v>61955.037499999999</v>
      </c>
      <c r="K15" s="232">
        <f>'Schedule B Structures'!O384</f>
        <v>61955.037499999999</v>
      </c>
      <c r="L15" s="73"/>
      <c r="M15" s="73"/>
      <c r="N15" s="73"/>
      <c r="O15" s="73"/>
      <c r="P15" s="77"/>
      <c r="Q15" s="77"/>
      <c r="R15" s="77"/>
    </row>
    <row r="16" spans="2:18" s="128" customFormat="1" ht="12.75" customHeight="1" x14ac:dyDescent="0.2">
      <c r="B16" s="49"/>
      <c r="C16" s="71" t="s">
        <v>601</v>
      </c>
      <c r="D16" s="57"/>
      <c r="E16" s="77"/>
      <c r="F16" s="73"/>
      <c r="G16" s="74"/>
      <c r="H16" s="127"/>
      <c r="I16" s="54"/>
      <c r="J16" s="54"/>
      <c r="K16" s="54"/>
      <c r="L16" s="73"/>
      <c r="M16" s="73"/>
      <c r="N16" s="73"/>
      <c r="O16" s="73"/>
      <c r="P16" s="77"/>
      <c r="Q16" s="77"/>
      <c r="R16" s="77"/>
    </row>
    <row r="17" spans="2:18" s="128" customFormat="1" ht="12.75" customHeight="1" x14ac:dyDescent="0.2">
      <c r="B17" s="49"/>
      <c r="C17" s="71"/>
      <c r="D17" s="57"/>
      <c r="E17" s="77"/>
      <c r="F17" s="73"/>
      <c r="G17" s="74"/>
      <c r="H17" s="127"/>
      <c r="I17" s="54"/>
      <c r="J17" s="54"/>
      <c r="K17" s="54"/>
      <c r="L17" s="73"/>
      <c r="M17" s="73"/>
      <c r="N17" s="73"/>
      <c r="O17" s="73"/>
      <c r="P17" s="77"/>
      <c r="Q17" s="77"/>
      <c r="R17" s="77"/>
    </row>
    <row r="18" spans="2:18" s="128" customFormat="1" ht="12.75" customHeight="1" x14ac:dyDescent="0.2">
      <c r="B18" s="49"/>
      <c r="C18" s="71"/>
      <c r="D18" s="57"/>
      <c r="E18" s="77"/>
      <c r="F18" s="73"/>
      <c r="G18" s="74"/>
      <c r="H18" s="127"/>
      <c r="I18" s="54"/>
      <c r="J18" s="54"/>
      <c r="K18" s="54"/>
      <c r="L18" s="73"/>
      <c r="M18" s="73"/>
      <c r="N18" s="73"/>
      <c r="O18" s="73"/>
      <c r="P18" s="77"/>
      <c r="Q18" s="77"/>
      <c r="R18" s="77"/>
    </row>
    <row r="19" spans="2:18" s="128" customFormat="1" ht="12.75" customHeight="1" x14ac:dyDescent="0.2">
      <c r="B19" s="49"/>
      <c r="C19" s="71"/>
      <c r="D19" s="57"/>
      <c r="E19" s="77"/>
      <c r="F19" s="73"/>
      <c r="G19" s="74"/>
      <c r="H19" s="127"/>
      <c r="I19" s="54"/>
      <c r="J19" s="54"/>
      <c r="K19" s="54"/>
      <c r="L19" s="73"/>
      <c r="M19" s="73"/>
      <c r="N19" s="73"/>
      <c r="O19" s="73"/>
      <c r="P19" s="77"/>
      <c r="Q19" s="77"/>
      <c r="R19" s="77"/>
    </row>
    <row r="20" spans="2:18" s="128" customFormat="1" ht="12.75" customHeight="1" x14ac:dyDescent="0.2">
      <c r="B20" s="49"/>
      <c r="C20" s="71"/>
      <c r="D20" s="57"/>
      <c r="E20" s="77"/>
      <c r="F20" s="73"/>
      <c r="G20" s="74"/>
      <c r="H20" s="127"/>
      <c r="I20" s="54"/>
      <c r="J20" s="54"/>
      <c r="K20" s="54"/>
      <c r="L20" s="73"/>
      <c r="M20" s="73"/>
      <c r="N20" s="73"/>
      <c r="O20" s="73"/>
      <c r="P20" s="77"/>
      <c r="Q20" s="77"/>
      <c r="R20" s="77"/>
    </row>
    <row r="21" spans="2:18" s="128" customFormat="1" ht="12.75" customHeight="1" x14ac:dyDescent="0.2">
      <c r="B21" s="49"/>
      <c r="C21" s="71"/>
      <c r="D21" s="57"/>
      <c r="E21" s="77"/>
      <c r="F21" s="73"/>
      <c r="G21" s="74"/>
      <c r="H21" s="127"/>
      <c r="I21" s="54"/>
      <c r="J21" s="54"/>
      <c r="K21" s="54"/>
      <c r="L21" s="73"/>
      <c r="M21" s="73"/>
      <c r="N21" s="73"/>
      <c r="O21" s="73"/>
      <c r="P21" s="77"/>
      <c r="Q21" s="77"/>
      <c r="R21" s="77"/>
    </row>
    <row r="22" spans="2:18" s="128" customFormat="1" ht="12.75" customHeight="1" x14ac:dyDescent="0.2">
      <c r="B22" s="49"/>
      <c r="C22" s="71"/>
      <c r="D22" s="57"/>
      <c r="E22" s="77"/>
      <c r="F22" s="73"/>
      <c r="G22" s="74"/>
      <c r="H22" s="127"/>
      <c r="I22" s="54"/>
      <c r="J22" s="54"/>
      <c r="K22" s="54"/>
      <c r="L22" s="73"/>
      <c r="M22" s="73"/>
      <c r="N22" s="73"/>
      <c r="O22" s="73"/>
      <c r="P22" s="77"/>
      <c r="Q22" s="77"/>
      <c r="R22" s="77"/>
    </row>
    <row r="23" spans="2:18" s="128" customFormat="1" ht="12.75" customHeight="1" x14ac:dyDescent="0.2">
      <c r="B23" s="49"/>
      <c r="C23" s="71"/>
      <c r="D23" s="57"/>
      <c r="E23" s="77"/>
      <c r="F23" s="73"/>
      <c r="G23" s="74"/>
      <c r="H23" s="127"/>
      <c r="I23" s="54"/>
      <c r="J23" s="54"/>
      <c r="K23" s="54"/>
      <c r="L23" s="73"/>
      <c r="M23" s="73"/>
      <c r="N23" s="73"/>
      <c r="O23" s="73"/>
      <c r="P23" s="77"/>
      <c r="Q23" s="77"/>
      <c r="R23" s="77"/>
    </row>
    <row r="24" spans="2:18" s="128" customFormat="1" ht="12.75" customHeight="1" x14ac:dyDescent="0.2">
      <c r="B24" s="49"/>
      <c r="C24" s="71"/>
      <c r="D24" s="57"/>
      <c r="E24" s="77"/>
      <c r="F24" s="73"/>
      <c r="G24" s="74"/>
      <c r="H24" s="127"/>
      <c r="I24" s="54"/>
      <c r="J24" s="54"/>
      <c r="K24" s="54"/>
      <c r="L24" s="73"/>
      <c r="M24" s="73"/>
      <c r="N24" s="73"/>
      <c r="O24" s="73"/>
      <c r="P24" s="77"/>
      <c r="Q24" s="77"/>
      <c r="R24" s="77"/>
    </row>
    <row r="25" spans="2:18" s="128" customFormat="1" ht="12.75" customHeight="1" x14ac:dyDescent="0.2">
      <c r="B25" s="49"/>
      <c r="C25" s="71"/>
      <c r="D25" s="57"/>
      <c r="E25" s="77"/>
      <c r="F25" s="73"/>
      <c r="G25" s="74"/>
      <c r="H25" s="127"/>
      <c r="I25" s="54"/>
      <c r="J25" s="54"/>
      <c r="K25" s="54"/>
      <c r="L25" s="73"/>
      <c r="M25" s="73"/>
      <c r="N25" s="73"/>
      <c r="O25" s="73"/>
      <c r="P25" s="77"/>
      <c r="Q25" s="77"/>
      <c r="R25" s="77"/>
    </row>
    <row r="26" spans="2:18" s="128" customFormat="1" ht="12.75" customHeight="1" x14ac:dyDescent="0.2">
      <c r="B26" s="49"/>
      <c r="C26" s="71"/>
      <c r="D26" s="57"/>
      <c r="E26" s="77"/>
      <c r="F26" s="73"/>
      <c r="G26" s="74"/>
      <c r="H26" s="127"/>
      <c r="I26" s="54"/>
      <c r="J26" s="54"/>
      <c r="K26" s="54"/>
      <c r="L26" s="73"/>
      <c r="M26" s="73"/>
      <c r="N26" s="73"/>
      <c r="O26" s="73"/>
      <c r="P26" s="77"/>
      <c r="Q26" s="77"/>
      <c r="R26" s="77"/>
    </row>
    <row r="27" spans="2:18" s="128" customFormat="1" ht="12.75" customHeight="1" x14ac:dyDescent="0.2">
      <c r="B27" s="49"/>
      <c r="C27" s="71"/>
      <c r="D27" s="57"/>
      <c r="E27" s="77"/>
      <c r="F27" s="73"/>
      <c r="G27" s="74"/>
      <c r="H27" s="127"/>
      <c r="I27" s="54"/>
      <c r="J27" s="54"/>
      <c r="K27" s="54"/>
      <c r="L27" s="73"/>
      <c r="M27" s="73"/>
      <c r="N27" s="73"/>
      <c r="O27" s="73"/>
      <c r="P27" s="77"/>
      <c r="Q27" s="77"/>
      <c r="R27" s="77"/>
    </row>
    <row r="28" spans="2:18" s="128" customFormat="1" ht="12.75" customHeight="1" x14ac:dyDescent="0.2">
      <c r="B28" s="49"/>
      <c r="C28" s="71"/>
      <c r="D28" s="57"/>
      <c r="E28" s="77"/>
      <c r="F28" s="73"/>
      <c r="G28" s="74"/>
      <c r="H28" s="127"/>
      <c r="I28" s="54"/>
      <c r="J28" s="54"/>
      <c r="K28" s="54"/>
      <c r="L28" s="73"/>
      <c r="M28" s="73"/>
      <c r="N28" s="73"/>
      <c r="O28" s="73"/>
      <c r="P28" s="77"/>
      <c r="Q28" s="77"/>
      <c r="R28" s="77"/>
    </row>
    <row r="29" spans="2:18" s="128" customFormat="1" ht="12.75" customHeight="1" x14ac:dyDescent="0.2">
      <c r="B29" s="49"/>
      <c r="C29" s="71"/>
      <c r="D29" s="57"/>
      <c r="E29" s="77"/>
      <c r="F29" s="73"/>
      <c r="G29" s="74"/>
      <c r="H29" s="127"/>
      <c r="I29" s="54"/>
      <c r="J29" s="54"/>
      <c r="K29" s="54"/>
      <c r="L29" s="73"/>
      <c r="M29" s="73"/>
      <c r="N29" s="73"/>
      <c r="O29" s="73"/>
      <c r="P29" s="77"/>
      <c r="Q29" s="77"/>
      <c r="R29" s="77"/>
    </row>
    <row r="30" spans="2:18" s="128" customFormat="1" ht="12.75" customHeight="1" x14ac:dyDescent="0.2">
      <c r="B30" s="49"/>
      <c r="C30" s="71"/>
      <c r="D30" s="57"/>
      <c r="E30" s="77"/>
      <c r="F30" s="73"/>
      <c r="G30" s="74"/>
      <c r="H30" s="127"/>
      <c r="I30" s="54"/>
      <c r="J30" s="54"/>
      <c r="K30" s="54"/>
      <c r="L30" s="73"/>
      <c r="M30" s="73"/>
      <c r="N30" s="73"/>
      <c r="O30" s="73"/>
      <c r="P30" s="77"/>
      <c r="Q30" s="77"/>
      <c r="R30" s="77"/>
    </row>
    <row r="31" spans="2:18" s="128" customFormat="1" ht="12.75" customHeight="1" x14ac:dyDescent="0.2">
      <c r="B31" s="49"/>
      <c r="C31" s="71"/>
      <c r="D31" s="57"/>
      <c r="E31" s="77"/>
      <c r="F31" s="73"/>
      <c r="G31" s="74"/>
      <c r="H31" s="127"/>
      <c r="I31" s="54"/>
      <c r="J31" s="54"/>
      <c r="K31" s="54"/>
      <c r="L31" s="73"/>
      <c r="M31" s="73"/>
      <c r="N31" s="73"/>
      <c r="O31" s="73"/>
      <c r="P31" s="77"/>
      <c r="Q31" s="77"/>
      <c r="R31" s="77"/>
    </row>
    <row r="32" spans="2:18" s="128" customFormat="1" ht="12.75" customHeight="1" x14ac:dyDescent="0.2">
      <c r="B32" s="49"/>
      <c r="C32" s="71"/>
      <c r="D32" s="57"/>
      <c r="E32" s="77"/>
      <c r="F32" s="73"/>
      <c r="G32" s="74"/>
      <c r="H32" s="127"/>
      <c r="I32" s="54"/>
      <c r="J32" s="54"/>
      <c r="K32" s="54"/>
      <c r="L32" s="73"/>
      <c r="M32" s="73"/>
      <c r="N32" s="73"/>
      <c r="O32" s="73"/>
      <c r="P32" s="77"/>
      <c r="Q32" s="77"/>
      <c r="R32" s="77"/>
    </row>
    <row r="33" spans="2:18" s="128" customFormat="1" ht="12.75" customHeight="1" x14ac:dyDescent="0.2">
      <c r="B33" s="49"/>
      <c r="C33" s="71"/>
      <c r="D33" s="57"/>
      <c r="E33" s="77"/>
      <c r="F33" s="73"/>
      <c r="G33" s="74"/>
      <c r="H33" s="127"/>
      <c r="I33" s="54"/>
      <c r="J33" s="54"/>
      <c r="K33" s="54"/>
      <c r="L33" s="73"/>
      <c r="M33" s="73"/>
      <c r="N33" s="73"/>
      <c r="O33" s="73"/>
      <c r="P33" s="77"/>
      <c r="Q33" s="77"/>
      <c r="R33" s="77"/>
    </row>
    <row r="34" spans="2:18" s="128" customFormat="1" ht="12.75" customHeight="1" x14ac:dyDescent="0.2">
      <c r="B34" s="49"/>
      <c r="C34" s="71"/>
      <c r="D34" s="57"/>
      <c r="E34" s="77"/>
      <c r="F34" s="73"/>
      <c r="G34" s="74"/>
      <c r="H34" s="127"/>
      <c r="I34" s="54"/>
      <c r="J34" s="54"/>
      <c r="K34" s="54"/>
      <c r="L34" s="73"/>
      <c r="M34" s="73"/>
      <c r="N34" s="73"/>
      <c r="O34" s="73"/>
      <c r="P34" s="77"/>
      <c r="Q34" s="77"/>
      <c r="R34" s="77"/>
    </row>
    <row r="35" spans="2:18" s="128" customFormat="1" ht="12.75" customHeight="1" x14ac:dyDescent="0.2">
      <c r="B35" s="49"/>
      <c r="C35" s="71"/>
      <c r="D35" s="57"/>
      <c r="E35" s="77"/>
      <c r="F35" s="73"/>
      <c r="G35" s="74"/>
      <c r="H35" s="127"/>
      <c r="I35" s="54"/>
      <c r="J35" s="54"/>
      <c r="K35" s="54"/>
      <c r="L35" s="73"/>
      <c r="M35" s="73"/>
      <c r="N35" s="73"/>
      <c r="O35" s="73"/>
      <c r="P35" s="77"/>
      <c r="Q35" s="77"/>
      <c r="R35" s="77"/>
    </row>
    <row r="36" spans="2:18" s="128" customFormat="1" ht="12.75" customHeight="1" x14ac:dyDescent="0.2">
      <c r="B36" s="49"/>
      <c r="C36" s="71"/>
      <c r="D36" s="57"/>
      <c r="E36" s="77"/>
      <c r="F36" s="73"/>
      <c r="G36" s="74"/>
      <c r="H36" s="127"/>
      <c r="I36" s="54"/>
      <c r="J36" s="54"/>
      <c r="K36" s="54"/>
      <c r="L36" s="73"/>
      <c r="M36" s="73"/>
      <c r="N36" s="73"/>
      <c r="O36" s="73"/>
      <c r="P36" s="77"/>
      <c r="Q36" s="77"/>
      <c r="R36" s="77"/>
    </row>
    <row r="37" spans="2:18" s="128" customFormat="1" ht="12.75" customHeight="1" x14ac:dyDescent="0.2">
      <c r="B37" s="49"/>
      <c r="C37" s="71"/>
      <c r="D37" s="57"/>
      <c r="E37" s="77"/>
      <c r="F37" s="73"/>
      <c r="G37" s="74"/>
      <c r="H37" s="127"/>
      <c r="I37" s="54"/>
      <c r="J37" s="54"/>
      <c r="K37" s="54"/>
      <c r="L37" s="73"/>
      <c r="M37" s="73"/>
      <c r="N37" s="73"/>
      <c r="O37" s="73"/>
      <c r="P37" s="77"/>
      <c r="Q37" s="77"/>
      <c r="R37" s="77"/>
    </row>
    <row r="38" spans="2:18" s="128" customFormat="1" ht="12.75" customHeight="1" x14ac:dyDescent="0.2">
      <c r="B38" s="49"/>
      <c r="C38" s="71"/>
      <c r="D38" s="57"/>
      <c r="E38" s="77"/>
      <c r="F38" s="73"/>
      <c r="G38" s="74"/>
      <c r="H38" s="127"/>
      <c r="I38" s="54"/>
      <c r="J38" s="54"/>
      <c r="K38" s="54"/>
      <c r="L38" s="73"/>
      <c r="M38" s="73"/>
      <c r="N38" s="73"/>
      <c r="O38" s="73"/>
      <c r="P38" s="77"/>
      <c r="Q38" s="77"/>
      <c r="R38" s="77"/>
    </row>
    <row r="39" spans="2:18" s="128" customFormat="1" ht="12.75" customHeight="1" x14ac:dyDescent="0.2">
      <c r="B39" s="49"/>
      <c r="C39" s="71"/>
      <c r="D39" s="57"/>
      <c r="E39" s="77"/>
      <c r="F39" s="73"/>
      <c r="G39" s="74"/>
      <c r="H39" s="127"/>
      <c r="I39" s="54"/>
      <c r="J39" s="54"/>
      <c r="K39" s="54"/>
      <c r="L39" s="73"/>
      <c r="M39" s="73"/>
      <c r="N39" s="73"/>
      <c r="O39" s="73"/>
      <c r="P39" s="77"/>
      <c r="Q39" s="77"/>
      <c r="R39" s="77"/>
    </row>
    <row r="40" spans="2:18" s="128" customFormat="1" ht="12.75" customHeight="1" x14ac:dyDescent="0.2">
      <c r="B40" s="49"/>
      <c r="C40" s="71"/>
      <c r="D40" s="57"/>
      <c r="E40" s="77"/>
      <c r="F40" s="73"/>
      <c r="G40" s="74"/>
      <c r="H40" s="127"/>
      <c r="I40" s="54"/>
      <c r="J40" s="54"/>
      <c r="K40" s="54"/>
      <c r="L40" s="73"/>
      <c r="M40" s="73"/>
      <c r="N40" s="73"/>
      <c r="O40" s="73"/>
      <c r="P40" s="77"/>
      <c r="Q40" s="77"/>
      <c r="R40" s="77"/>
    </row>
    <row r="41" spans="2:18" s="128" customFormat="1" ht="12.75" customHeight="1" x14ac:dyDescent="0.2">
      <c r="B41" s="49"/>
      <c r="C41" s="71"/>
      <c r="D41" s="57"/>
      <c r="E41" s="77"/>
      <c r="F41" s="73"/>
      <c r="G41" s="74"/>
      <c r="H41" s="127"/>
      <c r="I41" s="54"/>
      <c r="J41" s="54"/>
      <c r="K41" s="54"/>
      <c r="L41" s="73"/>
      <c r="M41" s="73"/>
      <c r="N41" s="73"/>
      <c r="O41" s="73"/>
      <c r="P41" s="77"/>
      <c r="Q41" s="77"/>
      <c r="R41" s="77"/>
    </row>
    <row r="42" spans="2:18" s="128" customFormat="1" ht="12.75" customHeight="1" x14ac:dyDescent="0.2">
      <c r="B42" s="49"/>
      <c r="C42" s="71"/>
      <c r="D42" s="57"/>
      <c r="E42" s="77"/>
      <c r="F42" s="73"/>
      <c r="G42" s="74"/>
      <c r="H42" s="127"/>
      <c r="I42" s="54"/>
      <c r="J42" s="54"/>
      <c r="K42" s="54"/>
      <c r="L42" s="73"/>
      <c r="M42" s="73"/>
      <c r="N42" s="73"/>
      <c r="O42" s="73"/>
      <c r="P42" s="77"/>
      <c r="Q42" s="77"/>
      <c r="R42" s="77"/>
    </row>
    <row r="43" spans="2:18" s="128" customFormat="1" ht="12.75" customHeight="1" x14ac:dyDescent="0.2">
      <c r="B43" s="49"/>
      <c r="C43" s="71"/>
      <c r="D43" s="57"/>
      <c r="E43" s="77"/>
      <c r="F43" s="73"/>
      <c r="G43" s="74"/>
      <c r="H43" s="127"/>
      <c r="I43" s="54"/>
      <c r="J43" s="54"/>
      <c r="K43" s="54"/>
      <c r="L43" s="73"/>
      <c r="M43" s="73"/>
      <c r="N43" s="73"/>
      <c r="O43" s="73"/>
      <c r="P43" s="77"/>
      <c r="Q43" s="77"/>
      <c r="R43" s="77"/>
    </row>
    <row r="44" spans="2:18" s="128" customFormat="1" ht="12.75" customHeight="1" x14ac:dyDescent="0.2">
      <c r="B44" s="49"/>
      <c r="C44" s="71"/>
      <c r="D44" s="57"/>
      <c r="E44" s="77"/>
      <c r="F44" s="73"/>
      <c r="G44" s="74"/>
      <c r="H44" s="127"/>
      <c r="I44" s="54"/>
      <c r="J44" s="54"/>
      <c r="K44" s="54"/>
      <c r="L44" s="73"/>
      <c r="M44" s="73"/>
      <c r="N44" s="73"/>
      <c r="O44" s="73"/>
      <c r="P44" s="77"/>
      <c r="Q44" s="77"/>
      <c r="R44" s="77"/>
    </row>
    <row r="45" spans="2:18" s="128" customFormat="1" ht="12.75" customHeight="1" x14ac:dyDescent="0.2">
      <c r="B45" s="49"/>
      <c r="C45" s="71"/>
      <c r="D45" s="57"/>
      <c r="E45" s="77"/>
      <c r="F45" s="73"/>
      <c r="G45" s="74"/>
      <c r="H45" s="127"/>
      <c r="I45" s="54"/>
      <c r="J45" s="54"/>
      <c r="K45" s="54"/>
      <c r="L45" s="73"/>
      <c r="M45" s="73"/>
      <c r="N45" s="73"/>
      <c r="O45" s="73"/>
      <c r="P45" s="77"/>
      <c r="Q45" s="77"/>
      <c r="R45" s="77"/>
    </row>
    <row r="46" spans="2:18" s="128" customFormat="1" ht="12.75" customHeight="1" x14ac:dyDescent="0.2">
      <c r="B46" s="49"/>
      <c r="C46" s="71"/>
      <c r="D46" s="57"/>
      <c r="E46" s="77"/>
      <c r="F46" s="73"/>
      <c r="G46" s="74"/>
      <c r="H46" s="127"/>
      <c r="I46" s="54"/>
      <c r="J46" s="54"/>
      <c r="K46" s="54"/>
      <c r="L46" s="73"/>
      <c r="M46" s="73"/>
      <c r="N46" s="73"/>
      <c r="O46" s="73"/>
      <c r="P46" s="77"/>
      <c r="Q46" s="77"/>
      <c r="R46" s="77"/>
    </row>
    <row r="47" spans="2:18" s="128" customFormat="1" ht="12.75" customHeight="1" x14ac:dyDescent="0.2">
      <c r="B47" s="49"/>
      <c r="C47" s="71"/>
      <c r="D47" s="57"/>
      <c r="E47" s="77"/>
      <c r="F47" s="73"/>
      <c r="G47" s="74"/>
      <c r="H47" s="127"/>
      <c r="I47" s="54"/>
      <c r="J47" s="54"/>
      <c r="K47" s="54"/>
      <c r="L47" s="73"/>
      <c r="M47" s="73"/>
      <c r="N47" s="73"/>
      <c r="O47" s="73"/>
      <c r="P47" s="77"/>
      <c r="Q47" s="77"/>
      <c r="R47" s="77"/>
    </row>
    <row r="48" spans="2:18" s="128" customFormat="1" ht="12.75" customHeight="1" x14ac:dyDescent="0.2">
      <c r="B48" s="49"/>
      <c r="C48" s="71"/>
      <c r="D48" s="57"/>
      <c r="E48" s="77"/>
      <c r="F48" s="73"/>
      <c r="G48" s="74"/>
      <c r="H48" s="127"/>
      <c r="I48" s="54"/>
      <c r="J48" s="54"/>
      <c r="K48" s="54"/>
      <c r="L48" s="73"/>
      <c r="M48" s="73"/>
      <c r="N48" s="73"/>
      <c r="O48" s="73"/>
      <c r="P48" s="77"/>
      <c r="Q48" s="77"/>
      <c r="R48" s="77"/>
    </row>
    <row r="49" spans="2:18" s="128" customFormat="1" ht="12.75" customHeight="1" x14ac:dyDescent="0.2">
      <c r="B49" s="49"/>
      <c r="C49" s="71"/>
      <c r="D49" s="57"/>
      <c r="E49" s="77"/>
      <c r="F49" s="73"/>
      <c r="G49" s="74"/>
      <c r="H49" s="127"/>
      <c r="I49" s="54"/>
      <c r="J49" s="54"/>
      <c r="K49" s="54"/>
      <c r="L49" s="73"/>
      <c r="M49" s="73"/>
      <c r="N49" s="73"/>
      <c r="O49" s="73"/>
      <c r="P49" s="77"/>
      <c r="Q49" s="77"/>
      <c r="R49" s="77"/>
    </row>
    <row r="50" spans="2:18" s="128" customFormat="1" ht="12.75" customHeight="1" x14ac:dyDescent="0.2">
      <c r="B50" s="49"/>
      <c r="C50" s="71"/>
      <c r="D50" s="57"/>
      <c r="E50" s="77"/>
      <c r="F50" s="73"/>
      <c r="G50" s="74"/>
      <c r="H50" s="127"/>
      <c r="I50" s="54"/>
      <c r="J50" s="54"/>
      <c r="K50" s="54"/>
      <c r="L50" s="73"/>
      <c r="M50" s="73"/>
      <c r="N50" s="73"/>
      <c r="O50" s="73"/>
      <c r="P50" s="77"/>
      <c r="Q50" s="77"/>
      <c r="R50" s="77"/>
    </row>
    <row r="51" spans="2:18" s="128" customFormat="1" ht="12.75" customHeight="1" x14ac:dyDescent="0.2">
      <c r="B51" s="49"/>
      <c r="C51" s="71"/>
      <c r="D51" s="57"/>
      <c r="E51" s="77"/>
      <c r="F51" s="73"/>
      <c r="G51" s="74"/>
      <c r="H51" s="127"/>
      <c r="I51" s="54"/>
      <c r="J51" s="54"/>
      <c r="K51" s="54"/>
      <c r="L51" s="73"/>
      <c r="M51" s="73"/>
      <c r="N51" s="73"/>
      <c r="O51" s="73"/>
      <c r="P51" s="77"/>
      <c r="Q51" s="77"/>
      <c r="R51" s="77"/>
    </row>
    <row r="52" spans="2:18" s="128" customFormat="1" ht="12.75" customHeight="1" x14ac:dyDescent="0.2">
      <c r="B52" s="49"/>
      <c r="C52" s="71"/>
      <c r="D52" s="57"/>
      <c r="E52" s="77"/>
      <c r="F52" s="73"/>
      <c r="G52" s="74"/>
      <c r="H52" s="127"/>
      <c r="I52" s="54"/>
      <c r="J52" s="54"/>
      <c r="K52" s="54"/>
      <c r="L52" s="73"/>
      <c r="M52" s="73"/>
      <c r="N52" s="73"/>
      <c r="O52" s="73"/>
      <c r="P52" s="77"/>
      <c r="Q52" s="77"/>
      <c r="R52" s="77"/>
    </row>
    <row r="53" spans="2:18" s="128" customFormat="1" ht="12.75" customHeight="1" x14ac:dyDescent="0.2">
      <c r="B53" s="49"/>
      <c r="C53" s="71"/>
      <c r="D53" s="57"/>
      <c r="E53" s="77"/>
      <c r="F53" s="73"/>
      <c r="G53" s="74"/>
      <c r="H53" s="127"/>
      <c r="I53" s="54"/>
      <c r="J53" s="54"/>
      <c r="K53" s="54"/>
      <c r="L53" s="73"/>
      <c r="M53" s="73"/>
      <c r="N53" s="73"/>
      <c r="O53" s="73"/>
      <c r="P53" s="77"/>
      <c r="Q53" s="77"/>
      <c r="R53" s="77"/>
    </row>
    <row r="54" spans="2:18" s="128" customFormat="1" ht="12.75" customHeight="1" x14ac:dyDescent="0.2">
      <c r="B54" s="49"/>
      <c r="C54" s="71"/>
      <c r="D54" s="57"/>
      <c r="E54" s="77"/>
      <c r="F54" s="73"/>
      <c r="G54" s="74"/>
      <c r="H54" s="127"/>
      <c r="I54" s="54"/>
      <c r="J54" s="54"/>
      <c r="K54" s="54"/>
      <c r="L54" s="73"/>
      <c r="M54" s="73"/>
      <c r="N54" s="73"/>
      <c r="O54" s="73"/>
      <c r="P54" s="77"/>
      <c r="Q54" s="77"/>
      <c r="R54" s="77"/>
    </row>
    <row r="55" spans="2:18" s="128" customFormat="1" ht="12.75" customHeight="1" x14ac:dyDescent="0.2">
      <c r="B55" s="49"/>
      <c r="C55" s="71"/>
      <c r="D55" s="57"/>
      <c r="E55" s="77"/>
      <c r="F55" s="73"/>
      <c r="G55" s="74"/>
      <c r="H55" s="127"/>
      <c r="I55" s="54"/>
      <c r="J55" s="54"/>
      <c r="K55" s="54"/>
      <c r="L55" s="73"/>
      <c r="M55" s="73"/>
      <c r="N55" s="73"/>
      <c r="O55" s="73"/>
      <c r="P55" s="77"/>
      <c r="Q55" s="77"/>
      <c r="R55" s="77"/>
    </row>
    <row r="56" spans="2:18" s="128" customFormat="1" ht="12.75" customHeight="1" x14ac:dyDescent="0.2">
      <c r="B56" s="49"/>
      <c r="C56" s="71"/>
      <c r="D56" s="57"/>
      <c r="E56" s="77"/>
      <c r="F56" s="73"/>
      <c r="G56" s="74"/>
      <c r="H56" s="127"/>
      <c r="I56" s="54"/>
      <c r="J56" s="54"/>
      <c r="K56" s="54"/>
      <c r="L56" s="73"/>
      <c r="M56" s="73"/>
      <c r="N56" s="73"/>
      <c r="O56" s="73"/>
      <c r="P56" s="77"/>
      <c r="Q56" s="77"/>
      <c r="R56" s="77"/>
    </row>
    <row r="57" spans="2:18" s="128" customFormat="1" ht="12.75" customHeight="1" x14ac:dyDescent="0.2">
      <c r="B57" s="49"/>
      <c r="C57" s="71"/>
      <c r="D57" s="57"/>
      <c r="E57" s="77"/>
      <c r="F57" s="73"/>
      <c r="G57" s="74"/>
      <c r="H57" s="127"/>
      <c r="I57" s="54"/>
      <c r="J57" s="54"/>
      <c r="K57" s="54"/>
      <c r="L57" s="73"/>
      <c r="M57" s="73"/>
      <c r="N57" s="73"/>
      <c r="O57" s="73"/>
      <c r="P57" s="77"/>
      <c r="Q57" s="77"/>
      <c r="R57" s="77"/>
    </row>
    <row r="58" spans="2:18" s="128" customFormat="1" ht="12.75" customHeight="1" x14ac:dyDescent="0.2">
      <c r="B58" s="49"/>
      <c r="C58" s="71"/>
      <c r="D58" s="57"/>
      <c r="E58" s="77"/>
      <c r="F58" s="73"/>
      <c r="G58" s="74"/>
      <c r="H58" s="127"/>
      <c r="I58" s="54"/>
      <c r="J58" s="54"/>
      <c r="K58" s="54"/>
      <c r="L58" s="73"/>
      <c r="M58" s="73"/>
      <c r="N58" s="73"/>
      <c r="O58" s="73"/>
      <c r="P58" s="77"/>
      <c r="Q58" s="77"/>
      <c r="R58" s="77"/>
    </row>
    <row r="59" spans="2:18" s="128" customFormat="1" ht="12.75" customHeight="1" x14ac:dyDescent="0.2">
      <c r="B59" s="49"/>
      <c r="C59" s="71"/>
      <c r="D59" s="57"/>
      <c r="E59" s="77"/>
      <c r="F59" s="73"/>
      <c r="G59" s="74"/>
      <c r="H59" s="127"/>
      <c r="I59" s="54"/>
      <c r="J59" s="54"/>
      <c r="K59" s="54"/>
      <c r="L59" s="73"/>
      <c r="M59" s="73"/>
      <c r="N59" s="73"/>
      <c r="O59" s="73"/>
      <c r="P59" s="77"/>
      <c r="Q59" s="77"/>
      <c r="R59" s="77"/>
    </row>
    <row r="60" spans="2:18" s="128" customFormat="1" ht="12.75" customHeight="1" x14ac:dyDescent="0.2">
      <c r="B60" s="49"/>
      <c r="C60" s="71"/>
      <c r="D60" s="57"/>
      <c r="E60" s="77"/>
      <c r="F60" s="73"/>
      <c r="G60" s="74"/>
      <c r="H60" s="127"/>
      <c r="I60" s="54"/>
      <c r="J60" s="54"/>
      <c r="K60" s="54"/>
      <c r="L60" s="73"/>
      <c r="M60" s="73"/>
      <c r="N60" s="73"/>
      <c r="O60" s="73"/>
      <c r="P60" s="77"/>
      <c r="Q60" s="77"/>
      <c r="R60" s="77"/>
    </row>
    <row r="61" spans="2:18" s="128" customFormat="1" ht="12.75" customHeight="1" x14ac:dyDescent="0.2">
      <c r="B61" s="49"/>
      <c r="C61" s="71"/>
      <c r="D61" s="57"/>
      <c r="E61" s="77"/>
      <c r="F61" s="73"/>
      <c r="G61" s="74"/>
      <c r="H61" s="127"/>
      <c r="I61" s="54"/>
      <c r="J61" s="54"/>
      <c r="K61" s="54"/>
      <c r="L61" s="73"/>
      <c r="M61" s="73"/>
      <c r="N61" s="73"/>
      <c r="O61" s="73"/>
      <c r="P61" s="77"/>
      <c r="Q61" s="77"/>
      <c r="R61" s="77"/>
    </row>
    <row r="62" spans="2:18" s="128" customFormat="1" ht="12.75" customHeight="1" x14ac:dyDescent="0.2">
      <c r="B62" s="49"/>
      <c r="C62" s="71"/>
      <c r="D62" s="57"/>
      <c r="E62" s="77"/>
      <c r="F62" s="73"/>
      <c r="G62" s="74"/>
      <c r="H62" s="127"/>
      <c r="I62" s="54"/>
      <c r="J62" s="54"/>
      <c r="K62" s="54"/>
      <c r="L62" s="73"/>
      <c r="M62" s="73"/>
      <c r="N62" s="73"/>
      <c r="O62" s="73"/>
      <c r="P62" s="77"/>
      <c r="Q62" s="77"/>
      <c r="R62" s="77"/>
    </row>
    <row r="63" spans="2:18" s="128" customFormat="1" ht="12.75" customHeight="1" x14ac:dyDescent="0.2">
      <c r="B63" s="49"/>
      <c r="C63" s="71"/>
      <c r="D63" s="57"/>
      <c r="E63" s="77"/>
      <c r="F63" s="73"/>
      <c r="G63" s="74"/>
      <c r="H63" s="127"/>
      <c r="I63" s="54"/>
      <c r="J63" s="54"/>
      <c r="K63" s="54"/>
      <c r="L63" s="73"/>
      <c r="M63" s="73"/>
      <c r="N63" s="73"/>
      <c r="O63" s="73"/>
      <c r="P63" s="77"/>
      <c r="Q63" s="77"/>
      <c r="R63" s="77"/>
    </row>
    <row r="64" spans="2:18" s="128" customFormat="1" ht="12.75" customHeight="1" x14ac:dyDescent="0.2">
      <c r="B64" s="49"/>
      <c r="C64" s="71"/>
      <c r="D64" s="57"/>
      <c r="E64" s="77"/>
      <c r="F64" s="73"/>
      <c r="G64" s="74"/>
      <c r="H64" s="127"/>
      <c r="I64" s="54"/>
      <c r="J64" s="54"/>
      <c r="K64" s="54"/>
      <c r="L64" s="73"/>
      <c r="M64" s="73"/>
      <c r="N64" s="73"/>
      <c r="O64" s="73"/>
      <c r="P64" s="77"/>
      <c r="Q64" s="77"/>
      <c r="R64" s="77"/>
    </row>
    <row r="65" spans="2:18" s="128" customFormat="1" ht="12.75" customHeight="1" x14ac:dyDescent="0.2">
      <c r="B65" s="49"/>
      <c r="C65" s="71"/>
      <c r="D65" s="57"/>
      <c r="E65" s="77"/>
      <c r="F65" s="73"/>
      <c r="G65" s="74"/>
      <c r="H65" s="127"/>
      <c r="I65" s="54"/>
      <c r="J65" s="54"/>
      <c r="K65" s="54"/>
      <c r="L65" s="73"/>
      <c r="M65" s="73"/>
      <c r="N65" s="73"/>
      <c r="O65" s="73"/>
      <c r="P65" s="77"/>
      <c r="Q65" s="77"/>
      <c r="R65" s="77"/>
    </row>
    <row r="66" spans="2:18" s="128" customFormat="1" ht="12.75" customHeight="1" x14ac:dyDescent="0.2">
      <c r="B66" s="49"/>
      <c r="C66" s="71"/>
      <c r="D66" s="57"/>
      <c r="E66" s="77"/>
      <c r="F66" s="73"/>
      <c r="G66" s="74"/>
      <c r="H66" s="127"/>
      <c r="I66" s="54"/>
      <c r="J66" s="54"/>
      <c r="K66" s="54"/>
      <c r="L66" s="73"/>
      <c r="M66" s="73"/>
      <c r="N66" s="73"/>
      <c r="O66" s="73"/>
      <c r="P66" s="77"/>
      <c r="Q66" s="77"/>
      <c r="R66" s="77"/>
    </row>
    <row r="67" spans="2:18" s="128" customFormat="1" ht="12.75" customHeight="1" x14ac:dyDescent="0.2">
      <c r="B67" s="49"/>
      <c r="C67" s="71"/>
      <c r="D67" s="57"/>
      <c r="E67" s="77"/>
      <c r="F67" s="73"/>
      <c r="G67" s="74"/>
      <c r="H67" s="127"/>
      <c r="I67" s="54"/>
      <c r="J67" s="54"/>
      <c r="K67" s="54"/>
      <c r="L67" s="73"/>
      <c r="M67" s="73"/>
      <c r="N67" s="73"/>
      <c r="O67" s="73"/>
      <c r="P67" s="77"/>
      <c r="Q67" s="77"/>
      <c r="R67" s="77"/>
    </row>
    <row r="68" spans="2:18" s="128" customFormat="1" ht="12.75" customHeight="1" x14ac:dyDescent="0.2">
      <c r="B68" s="49"/>
      <c r="C68" s="71"/>
      <c r="D68" s="57"/>
      <c r="E68" s="77"/>
      <c r="F68" s="73"/>
      <c r="G68" s="74"/>
      <c r="H68" s="127"/>
      <c r="I68" s="54"/>
      <c r="J68" s="54"/>
      <c r="K68" s="54"/>
      <c r="L68" s="73"/>
      <c r="M68" s="73"/>
      <c r="N68" s="73"/>
      <c r="O68" s="73"/>
      <c r="P68" s="77"/>
      <c r="Q68" s="77"/>
      <c r="R68" s="77"/>
    </row>
    <row r="69" spans="2:18" s="128" customFormat="1" ht="12.75" customHeight="1" x14ac:dyDescent="0.2">
      <c r="B69" s="49"/>
      <c r="C69" s="71"/>
      <c r="D69" s="57"/>
      <c r="E69" s="77"/>
      <c r="F69" s="73"/>
      <c r="G69" s="74"/>
      <c r="H69" s="127"/>
      <c r="I69" s="54"/>
      <c r="J69" s="54"/>
      <c r="K69" s="54"/>
      <c r="L69" s="73"/>
      <c r="M69" s="73"/>
      <c r="N69" s="73"/>
      <c r="O69" s="73"/>
      <c r="P69" s="77"/>
      <c r="Q69" s="77"/>
      <c r="R69" s="77"/>
    </row>
    <row r="70" spans="2:18" s="128" customFormat="1" ht="12.75" customHeight="1" x14ac:dyDescent="0.2">
      <c r="B70" s="49"/>
      <c r="C70" s="71"/>
      <c r="D70" s="57"/>
      <c r="E70" s="77"/>
      <c r="F70" s="73"/>
      <c r="G70" s="74"/>
      <c r="H70" s="127"/>
      <c r="I70" s="54"/>
      <c r="J70" s="54"/>
      <c r="K70" s="54"/>
      <c r="L70" s="73"/>
      <c r="M70" s="73"/>
      <c r="N70" s="73"/>
      <c r="O70" s="73"/>
      <c r="P70" s="77"/>
      <c r="Q70" s="77"/>
      <c r="R70" s="77"/>
    </row>
    <row r="71" spans="2:18" s="128" customFormat="1" ht="12.75" customHeight="1" x14ac:dyDescent="0.2">
      <c r="B71" s="49"/>
      <c r="C71" s="71"/>
      <c r="D71" s="57"/>
      <c r="E71" s="77"/>
      <c r="F71" s="73"/>
      <c r="G71" s="74"/>
      <c r="H71" s="127"/>
      <c r="I71" s="54"/>
      <c r="J71" s="54"/>
      <c r="K71" s="54"/>
      <c r="L71" s="73"/>
      <c r="M71" s="73"/>
      <c r="N71" s="73"/>
      <c r="O71" s="73"/>
      <c r="P71" s="77"/>
      <c r="Q71" s="77"/>
      <c r="R71" s="77"/>
    </row>
    <row r="72" spans="2:18" s="128" customFormat="1" ht="12.75" customHeight="1" x14ac:dyDescent="0.2">
      <c r="B72" s="49"/>
      <c r="C72" s="71"/>
      <c r="D72" s="57"/>
      <c r="E72" s="77"/>
      <c r="F72" s="73"/>
      <c r="G72" s="74"/>
      <c r="H72" s="127"/>
      <c r="I72" s="54"/>
      <c r="J72" s="54"/>
      <c r="K72" s="54"/>
      <c r="L72" s="73"/>
      <c r="M72" s="73"/>
      <c r="N72" s="73"/>
      <c r="O72" s="73"/>
      <c r="P72" s="77"/>
      <c r="Q72" s="77"/>
      <c r="R72" s="77"/>
    </row>
    <row r="73" spans="2:18" s="128" customFormat="1" ht="12.75" customHeight="1" x14ac:dyDescent="0.2">
      <c r="B73" s="49"/>
      <c r="C73" s="71"/>
      <c r="D73" s="57"/>
      <c r="E73" s="77"/>
      <c r="F73" s="73"/>
      <c r="G73" s="74"/>
      <c r="H73" s="127"/>
      <c r="I73" s="54"/>
      <c r="J73" s="54"/>
      <c r="K73" s="54"/>
      <c r="L73" s="73"/>
      <c r="M73" s="73"/>
      <c r="N73" s="73"/>
      <c r="O73" s="73"/>
      <c r="P73" s="77"/>
      <c r="Q73" s="77"/>
      <c r="R73" s="77"/>
    </row>
    <row r="74" spans="2:18" s="128" customFormat="1" ht="12.75" customHeight="1" x14ac:dyDescent="0.2">
      <c r="B74" s="49"/>
      <c r="C74" s="71"/>
      <c r="D74" s="57"/>
      <c r="E74" s="77"/>
      <c r="F74" s="73"/>
      <c r="G74" s="74"/>
      <c r="H74" s="127"/>
      <c r="I74" s="54"/>
      <c r="J74" s="54"/>
      <c r="K74" s="54"/>
      <c r="L74" s="73"/>
      <c r="M74" s="73"/>
      <c r="N74" s="73"/>
      <c r="O74" s="73"/>
      <c r="P74" s="77"/>
      <c r="Q74" s="77"/>
      <c r="R74" s="77"/>
    </row>
    <row r="75" spans="2:18" s="128" customFormat="1" ht="12.75" customHeight="1" x14ac:dyDescent="0.2">
      <c r="B75" s="49"/>
      <c r="C75" s="71"/>
      <c r="D75" s="57"/>
      <c r="E75" s="77"/>
      <c r="F75" s="73"/>
      <c r="G75" s="74"/>
      <c r="H75" s="127"/>
      <c r="I75" s="54"/>
      <c r="J75" s="54"/>
      <c r="K75" s="54"/>
      <c r="L75" s="73"/>
      <c r="M75" s="73"/>
      <c r="N75" s="73"/>
      <c r="O75" s="73"/>
      <c r="P75" s="77"/>
      <c r="Q75" s="77"/>
      <c r="R75" s="77"/>
    </row>
    <row r="76" spans="2:18" s="128" customFormat="1" ht="12.75" customHeight="1" x14ac:dyDescent="0.2">
      <c r="B76" s="49"/>
      <c r="C76" s="71"/>
      <c r="D76" s="57"/>
      <c r="E76" s="77"/>
      <c r="F76" s="73"/>
      <c r="G76" s="74"/>
      <c r="H76" s="127"/>
      <c r="I76" s="54"/>
      <c r="J76" s="54"/>
      <c r="K76" s="54"/>
      <c r="L76" s="73"/>
      <c r="M76" s="73"/>
      <c r="N76" s="73"/>
      <c r="O76" s="73"/>
      <c r="P76" s="77"/>
      <c r="Q76" s="77"/>
      <c r="R76" s="77"/>
    </row>
    <row r="77" spans="2:18" s="128" customFormat="1" ht="12.75" customHeight="1" x14ac:dyDescent="0.2">
      <c r="B77" s="49"/>
      <c r="C77" s="71"/>
      <c r="D77" s="57"/>
      <c r="E77" s="77"/>
      <c r="F77" s="73"/>
      <c r="G77" s="74"/>
      <c r="H77" s="127"/>
      <c r="I77" s="54"/>
      <c r="J77" s="54"/>
      <c r="K77" s="54"/>
      <c r="L77" s="73"/>
      <c r="M77" s="73"/>
      <c r="N77" s="73"/>
      <c r="O77" s="73"/>
      <c r="P77" s="77"/>
      <c r="Q77" s="77"/>
      <c r="R77" s="77"/>
    </row>
    <row r="78" spans="2:18" s="128" customFormat="1" ht="12.75" customHeight="1" x14ac:dyDescent="0.2">
      <c r="B78" s="49"/>
      <c r="C78" s="71"/>
      <c r="D78" s="57"/>
      <c r="E78" s="77"/>
      <c r="F78" s="73"/>
      <c r="G78" s="74"/>
      <c r="H78" s="127"/>
      <c r="I78" s="54"/>
      <c r="J78" s="54"/>
      <c r="K78" s="54"/>
      <c r="L78" s="73"/>
      <c r="M78" s="73"/>
      <c r="N78" s="73"/>
      <c r="O78" s="73"/>
      <c r="P78" s="77"/>
      <c r="Q78" s="77"/>
      <c r="R78" s="77"/>
    </row>
    <row r="79" spans="2:18" s="128" customFormat="1" ht="12.75" customHeight="1" x14ac:dyDescent="0.2">
      <c r="B79" s="95"/>
      <c r="C79" s="71"/>
      <c r="D79" s="96"/>
      <c r="E79" s="106"/>
      <c r="F79" s="73"/>
      <c r="G79" s="74"/>
      <c r="H79" s="127"/>
      <c r="I79" s="134"/>
      <c r="J79" s="134"/>
      <c r="K79" s="134"/>
      <c r="L79" s="73"/>
      <c r="M79" s="73"/>
      <c r="N79" s="73"/>
      <c r="O79" s="73"/>
      <c r="P79" s="77"/>
      <c r="Q79" s="77"/>
      <c r="R79" s="77"/>
    </row>
    <row r="80" spans="2:18" s="128" customFormat="1" ht="12.75" customHeight="1" x14ac:dyDescent="0.2">
      <c r="B80" s="102" t="s">
        <v>662</v>
      </c>
      <c r="C80" s="135"/>
      <c r="D80" s="136"/>
      <c r="E80" s="137"/>
      <c r="F80" s="104"/>
      <c r="G80" s="105"/>
      <c r="H80" s="138"/>
      <c r="I80" s="231">
        <f>SUM(I7:I79)</f>
        <v>1397716.31</v>
      </c>
      <c r="J80" s="231">
        <f t="shared" ref="J80:K80" si="2">SUM(J7:J79)</f>
        <v>1333940.0375000001</v>
      </c>
      <c r="K80" s="231">
        <f t="shared" si="2"/>
        <v>1302885.0375000001</v>
      </c>
      <c r="L80" s="510">
        <f>J80-K80</f>
        <v>31055</v>
      </c>
      <c r="M80" s="73"/>
      <c r="N80" s="73"/>
      <c r="O80" s="73"/>
      <c r="P80" s="77"/>
      <c r="Q80" s="77"/>
      <c r="R80" s="77"/>
    </row>
    <row r="81" spans="2:18" s="128" customFormat="1" ht="12.75" customHeight="1" x14ac:dyDescent="0.2">
      <c r="B81" s="76"/>
      <c r="C81" s="76"/>
      <c r="D81" s="57"/>
      <c r="E81" s="77"/>
      <c r="F81" s="73"/>
      <c r="G81" s="74"/>
      <c r="L81" s="73"/>
      <c r="M81" s="73"/>
      <c r="N81" s="73"/>
      <c r="O81" s="73"/>
      <c r="P81" s="77"/>
      <c r="Q81" s="77"/>
      <c r="R81" s="77"/>
    </row>
  </sheetData>
  <mergeCells count="5">
    <mergeCell ref="I4:I5"/>
    <mergeCell ref="B4:B5"/>
    <mergeCell ref="C4:H5"/>
    <mergeCell ref="J4:J5"/>
    <mergeCell ref="K4:K5"/>
  </mergeCells>
  <pageMargins left="0.70866141732283472" right="0.70866141732283472" top="0.74803149606299213" bottom="0.74803149606299213" header="0.31496062992125984" footer="0.31496062992125984"/>
  <pageSetup paperSize="9" scale="62" fitToHeight="0" orientation="portrait" r:id="rId1"/>
  <headerFooter>
    <oddHeader>&amp;C&amp;"Arial,Bold"MPUMALANGA DEPARTMENT OF PUBLIC WORKS, ROADS &amp; TRANSPORT&amp;"Arial,Regular" Reconstruction of road D481 between Mooiplaas and Ekulindeni in Gert Sibande region of Mpumalanga Province (7.2 km)</oddHeader>
    <oddFooter>&amp;LPart C2: Pricing Data &amp;RC2.2 Bill of Quantities   C &amp;P+72/(&amp;P/37 of BoQ)</oddFooter>
  </headerFooter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56"/>
  <sheetViews>
    <sheetView view="pageLayout" topLeftCell="A40" zoomScaleNormal="75" zoomScaleSheetLayoutView="85" workbookViewId="0">
      <selection activeCell="L18" sqref="L18"/>
    </sheetView>
  </sheetViews>
  <sheetFormatPr defaultRowHeight="12.75" x14ac:dyDescent="0.2"/>
  <cols>
    <col min="1" max="1" width="3.42578125" customWidth="1"/>
    <col min="2" max="2" width="7.7109375" customWidth="1"/>
    <col min="3" max="3" width="47.85546875" customWidth="1"/>
    <col min="4" max="4" width="9" customWidth="1"/>
    <col min="5" max="5" width="10.85546875" customWidth="1"/>
    <col min="6" max="6" width="9.7109375" customWidth="1"/>
    <col min="7" max="7" width="12.42578125" customWidth="1"/>
    <col min="8" max="8" width="3.28515625" customWidth="1"/>
  </cols>
  <sheetData>
    <row r="1" spans="2:7" x14ac:dyDescent="0.2">
      <c r="B1" s="24" t="s">
        <v>334</v>
      </c>
      <c r="C1" s="24"/>
      <c r="D1" s="2"/>
      <c r="E1" s="2"/>
      <c r="F1" s="7"/>
      <c r="G1" s="20"/>
    </row>
    <row r="2" spans="2:7" x14ac:dyDescent="0.2">
      <c r="B2" s="23"/>
      <c r="C2" s="24"/>
      <c r="D2" s="2"/>
      <c r="E2" s="2"/>
      <c r="F2" s="7"/>
      <c r="G2" s="20"/>
    </row>
    <row r="3" spans="2:7" x14ac:dyDescent="0.2">
      <c r="B3" s="11" t="s">
        <v>263</v>
      </c>
      <c r="C3" s="11" t="s">
        <v>264</v>
      </c>
      <c r="D3" s="30" t="s">
        <v>265</v>
      </c>
      <c r="E3" s="26" t="s">
        <v>68</v>
      </c>
      <c r="F3" s="28" t="s">
        <v>78</v>
      </c>
      <c r="G3" s="28" t="s">
        <v>78</v>
      </c>
    </row>
    <row r="4" spans="2:7" x14ac:dyDescent="0.2">
      <c r="B4" s="12" t="s">
        <v>266</v>
      </c>
      <c r="C4" s="12"/>
      <c r="D4" s="31"/>
      <c r="E4" s="27" t="s">
        <v>69</v>
      </c>
      <c r="F4" s="29" t="s">
        <v>262</v>
      </c>
      <c r="G4" s="29" t="s">
        <v>70</v>
      </c>
    </row>
    <row r="5" spans="2:7" x14ac:dyDescent="0.2">
      <c r="B5" s="13"/>
      <c r="C5" s="1"/>
      <c r="D5" s="3"/>
      <c r="E5" s="3"/>
      <c r="F5" s="5"/>
      <c r="G5" s="9"/>
    </row>
    <row r="6" spans="2:7" x14ac:dyDescent="0.2">
      <c r="B6" s="22" t="s">
        <v>333</v>
      </c>
      <c r="C6" s="14" t="s">
        <v>81</v>
      </c>
      <c r="D6" s="3"/>
      <c r="E6" s="3"/>
      <c r="F6" s="5"/>
      <c r="G6" s="9"/>
    </row>
    <row r="7" spans="2:7" x14ac:dyDescent="0.2">
      <c r="B7" s="3"/>
      <c r="C7" s="1"/>
      <c r="D7" s="3"/>
      <c r="E7" s="3"/>
      <c r="F7" s="5"/>
      <c r="G7" s="9"/>
    </row>
    <row r="8" spans="2:7" x14ac:dyDescent="0.2">
      <c r="B8" s="3" t="s">
        <v>337</v>
      </c>
      <c r="C8" s="1" t="s">
        <v>336</v>
      </c>
      <c r="D8" s="3"/>
      <c r="E8" s="3"/>
      <c r="F8" s="5"/>
      <c r="G8" s="9"/>
    </row>
    <row r="9" spans="2:7" x14ac:dyDescent="0.2">
      <c r="B9" s="3"/>
      <c r="C9" s="1"/>
      <c r="D9" s="3"/>
      <c r="E9" s="3"/>
      <c r="F9" s="5"/>
      <c r="G9" s="9"/>
    </row>
    <row r="10" spans="2:7" x14ac:dyDescent="0.2">
      <c r="B10" s="3"/>
      <c r="C10" s="1" t="s">
        <v>338</v>
      </c>
      <c r="D10" s="3" t="s">
        <v>339</v>
      </c>
      <c r="E10" s="3"/>
      <c r="F10" s="5">
        <v>-5000</v>
      </c>
      <c r="G10" s="9"/>
    </row>
    <row r="11" spans="2:7" x14ac:dyDescent="0.2">
      <c r="B11" s="3"/>
      <c r="C11" s="13"/>
      <c r="D11" s="3"/>
      <c r="E11" s="8"/>
      <c r="F11" s="5"/>
      <c r="G11" s="9"/>
    </row>
    <row r="12" spans="2:7" x14ac:dyDescent="0.2">
      <c r="B12" s="3"/>
      <c r="C12" s="13" t="s">
        <v>340</v>
      </c>
      <c r="D12" s="3" t="s">
        <v>339</v>
      </c>
      <c r="E12" s="8"/>
      <c r="F12" s="5">
        <v>-10000</v>
      </c>
      <c r="G12" s="9"/>
    </row>
    <row r="13" spans="2:7" x14ac:dyDescent="0.2">
      <c r="B13" s="3"/>
      <c r="C13" s="1"/>
      <c r="D13" s="3"/>
      <c r="E13" s="8"/>
      <c r="F13" s="5"/>
      <c r="G13" s="9"/>
    </row>
    <row r="14" spans="2:7" x14ac:dyDescent="0.2">
      <c r="B14" s="3"/>
      <c r="C14" s="1" t="s">
        <v>341</v>
      </c>
      <c r="D14" s="3" t="s">
        <v>339</v>
      </c>
      <c r="E14" s="8"/>
      <c r="F14" s="5">
        <v>-30000</v>
      </c>
      <c r="G14" s="9"/>
    </row>
    <row r="15" spans="2:7" x14ac:dyDescent="0.2">
      <c r="B15" s="3"/>
      <c r="C15" s="1"/>
      <c r="D15" s="3"/>
      <c r="E15" s="3"/>
      <c r="F15" s="5"/>
      <c r="G15" s="9"/>
    </row>
    <row r="16" spans="2:7" x14ac:dyDescent="0.2">
      <c r="B16" s="3" t="s">
        <v>343</v>
      </c>
      <c r="C16" s="1" t="s">
        <v>342</v>
      </c>
      <c r="D16" s="3"/>
      <c r="E16" s="3"/>
      <c r="F16" s="5"/>
      <c r="G16" s="9"/>
    </row>
    <row r="17" spans="2:7" x14ac:dyDescent="0.2">
      <c r="B17" s="15"/>
      <c r="C17" s="4"/>
      <c r="D17" s="2"/>
      <c r="E17" s="3"/>
      <c r="F17" s="5"/>
      <c r="G17" s="9"/>
    </row>
    <row r="18" spans="2:7" ht="36" customHeight="1" x14ac:dyDescent="0.2">
      <c r="B18" s="15"/>
      <c r="C18" s="6" t="s">
        <v>344</v>
      </c>
      <c r="D18" s="3" t="s">
        <v>339</v>
      </c>
      <c r="E18" s="3"/>
      <c r="F18" s="5">
        <v>-10000</v>
      </c>
      <c r="G18" s="9"/>
    </row>
    <row r="19" spans="2:7" x14ac:dyDescent="0.2">
      <c r="B19" s="15"/>
      <c r="C19" s="6" t="s">
        <v>345</v>
      </c>
      <c r="D19" s="3" t="s">
        <v>339</v>
      </c>
      <c r="E19" s="3"/>
      <c r="F19" s="5">
        <v>-5000</v>
      </c>
      <c r="G19" s="9"/>
    </row>
    <row r="20" spans="2:7" x14ac:dyDescent="0.2">
      <c r="B20" s="15"/>
      <c r="C20" s="4"/>
      <c r="D20" s="2"/>
      <c r="E20" s="3"/>
      <c r="F20" s="5"/>
      <c r="G20" s="9"/>
    </row>
    <row r="21" spans="2:7" x14ac:dyDescent="0.2">
      <c r="B21" s="15"/>
      <c r="C21" s="1" t="s">
        <v>346</v>
      </c>
      <c r="D21" s="3" t="s">
        <v>339</v>
      </c>
      <c r="E21" s="3"/>
      <c r="F21" s="5">
        <v>-5000</v>
      </c>
      <c r="G21" s="9"/>
    </row>
    <row r="22" spans="2:7" x14ac:dyDescent="0.2">
      <c r="B22" s="15"/>
      <c r="C22" s="4"/>
      <c r="D22" s="2"/>
      <c r="E22" s="3"/>
      <c r="F22" s="5"/>
      <c r="G22" s="9"/>
    </row>
    <row r="23" spans="2:7" x14ac:dyDescent="0.2">
      <c r="B23" s="15"/>
      <c r="C23" s="1" t="s">
        <v>347</v>
      </c>
      <c r="D23" s="3" t="s">
        <v>339</v>
      </c>
      <c r="E23" s="3"/>
      <c r="F23" s="5">
        <v>-10000</v>
      </c>
      <c r="G23" s="9"/>
    </row>
    <row r="24" spans="2:7" x14ac:dyDescent="0.2">
      <c r="B24" s="15"/>
      <c r="C24" s="4"/>
      <c r="D24" s="2"/>
      <c r="E24" s="3"/>
      <c r="F24" s="5"/>
      <c r="G24" s="9"/>
    </row>
    <row r="25" spans="2:7" x14ac:dyDescent="0.2">
      <c r="B25" s="15"/>
      <c r="C25" s="1" t="s">
        <v>348</v>
      </c>
      <c r="D25" s="3" t="s">
        <v>339</v>
      </c>
      <c r="E25" s="3"/>
      <c r="F25" s="5">
        <v>-5000</v>
      </c>
      <c r="G25" s="9"/>
    </row>
    <row r="26" spans="2:7" x14ac:dyDescent="0.2">
      <c r="B26" s="15"/>
      <c r="C26" s="4"/>
      <c r="D26" s="2"/>
      <c r="E26" s="3"/>
      <c r="F26" s="5"/>
      <c r="G26" s="9"/>
    </row>
    <row r="27" spans="2:7" ht="48" x14ac:dyDescent="0.2">
      <c r="B27" s="15"/>
      <c r="C27" s="6" t="s">
        <v>523</v>
      </c>
      <c r="D27" s="3" t="s">
        <v>339</v>
      </c>
      <c r="E27" s="3"/>
      <c r="F27" s="5">
        <v>-5000</v>
      </c>
      <c r="G27" s="9"/>
    </row>
    <row r="28" spans="2:7" x14ac:dyDescent="0.2">
      <c r="B28" s="15"/>
      <c r="C28" s="4"/>
      <c r="D28" s="2"/>
      <c r="E28" s="3"/>
      <c r="F28" s="5"/>
      <c r="G28" s="9"/>
    </row>
    <row r="29" spans="2:7" x14ac:dyDescent="0.2">
      <c r="B29" s="25" t="s">
        <v>351</v>
      </c>
      <c r="C29" s="1" t="s">
        <v>350</v>
      </c>
      <c r="D29" s="3"/>
      <c r="E29" s="3"/>
      <c r="F29" s="5"/>
      <c r="G29" s="9"/>
    </row>
    <row r="30" spans="2:7" x14ac:dyDescent="0.2">
      <c r="B30" s="25"/>
      <c r="C30" s="1"/>
      <c r="D30" s="2"/>
      <c r="E30" s="3"/>
      <c r="F30" s="5"/>
      <c r="G30" s="9"/>
    </row>
    <row r="31" spans="2:7" x14ac:dyDescent="0.2">
      <c r="B31" s="25"/>
      <c r="C31" s="1" t="s">
        <v>349</v>
      </c>
      <c r="D31" s="3" t="s">
        <v>339</v>
      </c>
      <c r="E31" s="3"/>
      <c r="F31" s="5">
        <v>-1000</v>
      </c>
      <c r="G31" s="9"/>
    </row>
    <row r="32" spans="2:7" x14ac:dyDescent="0.2">
      <c r="B32" s="25"/>
      <c r="C32" s="1"/>
      <c r="D32" s="2"/>
      <c r="E32" s="3"/>
      <c r="F32" s="5"/>
      <c r="G32" s="9"/>
    </row>
    <row r="33" spans="2:7" x14ac:dyDescent="0.2">
      <c r="B33" s="15"/>
      <c r="C33" s="1" t="s">
        <v>352</v>
      </c>
      <c r="D33" s="3" t="s">
        <v>339</v>
      </c>
      <c r="E33" s="3"/>
      <c r="F33" s="5">
        <v>-1000</v>
      </c>
      <c r="G33" s="9"/>
    </row>
    <row r="34" spans="2:7" x14ac:dyDescent="0.2">
      <c r="B34" s="15"/>
      <c r="C34" s="1"/>
      <c r="D34" s="2"/>
      <c r="E34" s="3"/>
      <c r="F34" s="5"/>
      <c r="G34" s="9"/>
    </row>
    <row r="35" spans="2:7" x14ac:dyDescent="0.2">
      <c r="B35" s="15"/>
      <c r="C35" s="1" t="s">
        <v>353</v>
      </c>
      <c r="D35" s="3" t="s">
        <v>339</v>
      </c>
      <c r="E35" s="3"/>
      <c r="F35" s="5">
        <v>-1000</v>
      </c>
      <c r="G35" s="9"/>
    </row>
    <row r="36" spans="2:7" x14ac:dyDescent="0.2">
      <c r="B36" s="15"/>
      <c r="C36" s="1"/>
      <c r="D36" s="2"/>
      <c r="E36" s="3"/>
      <c r="F36" s="5"/>
      <c r="G36" s="9"/>
    </row>
    <row r="37" spans="2:7" x14ac:dyDescent="0.2">
      <c r="B37" s="15"/>
      <c r="C37" s="1" t="s">
        <v>354</v>
      </c>
      <c r="D37" s="3" t="s">
        <v>339</v>
      </c>
      <c r="E37" s="3"/>
      <c r="F37" s="5">
        <v>-1000</v>
      </c>
      <c r="G37" s="9"/>
    </row>
    <row r="38" spans="2:7" x14ac:dyDescent="0.2">
      <c r="B38" s="15"/>
      <c r="C38" s="1"/>
      <c r="D38" s="2"/>
      <c r="E38" s="3"/>
      <c r="F38" s="5"/>
      <c r="G38" s="9"/>
    </row>
    <row r="39" spans="2:7" ht="17.25" customHeight="1" x14ac:dyDescent="0.2">
      <c r="B39" s="15"/>
      <c r="C39" s="19" t="s">
        <v>355</v>
      </c>
      <c r="D39" s="3" t="s">
        <v>339</v>
      </c>
      <c r="E39" s="3"/>
      <c r="F39" s="5">
        <v>-1000</v>
      </c>
      <c r="G39" s="9"/>
    </row>
    <row r="40" spans="2:7" x14ac:dyDescent="0.2">
      <c r="B40" s="15"/>
      <c r="C40" s="1"/>
      <c r="D40" s="2"/>
      <c r="E40" s="3"/>
      <c r="F40" s="5"/>
      <c r="G40" s="9"/>
    </row>
    <row r="41" spans="2:7" x14ac:dyDescent="0.2">
      <c r="B41" s="15"/>
      <c r="C41" s="19" t="s">
        <v>356</v>
      </c>
      <c r="D41" s="3" t="s">
        <v>339</v>
      </c>
      <c r="E41" s="3"/>
      <c r="F41" s="5">
        <v>-500</v>
      </c>
      <c r="G41" s="9"/>
    </row>
    <row r="42" spans="2:7" x14ac:dyDescent="0.2">
      <c r="B42" s="15"/>
      <c r="C42" s="1"/>
      <c r="D42" s="2"/>
      <c r="E42" s="3"/>
      <c r="F42" s="5"/>
      <c r="G42" s="9"/>
    </row>
    <row r="43" spans="2:7" ht="24" x14ac:dyDescent="0.2">
      <c r="B43" s="15"/>
      <c r="C43" s="19" t="s">
        <v>357</v>
      </c>
      <c r="D43" s="3" t="s">
        <v>339</v>
      </c>
      <c r="E43" s="3"/>
      <c r="F43" s="5">
        <v>-500</v>
      </c>
      <c r="G43" s="9"/>
    </row>
    <row r="44" spans="2:7" x14ac:dyDescent="0.2">
      <c r="B44" s="15"/>
      <c r="C44" s="1"/>
      <c r="D44" s="2"/>
      <c r="E44" s="3"/>
      <c r="F44" s="5"/>
      <c r="G44" s="9"/>
    </row>
    <row r="45" spans="2:7" ht="27.75" customHeight="1" x14ac:dyDescent="0.2">
      <c r="B45" s="15"/>
      <c r="C45" s="19" t="s">
        <v>358</v>
      </c>
      <c r="D45" s="3" t="s">
        <v>339</v>
      </c>
      <c r="E45" s="3"/>
      <c r="F45" s="5">
        <v>-2000</v>
      </c>
      <c r="G45" s="9"/>
    </row>
    <row r="46" spans="2:7" x14ac:dyDescent="0.2">
      <c r="B46" s="15"/>
      <c r="C46" s="1"/>
      <c r="D46" s="2"/>
      <c r="E46" s="3"/>
      <c r="F46" s="5"/>
      <c r="G46" s="9"/>
    </row>
    <row r="47" spans="2:7" x14ac:dyDescent="0.2">
      <c r="B47" s="15"/>
      <c r="C47" s="1" t="s">
        <v>359</v>
      </c>
      <c r="D47" s="3" t="s">
        <v>339</v>
      </c>
      <c r="E47" s="3"/>
      <c r="F47" s="5">
        <v>-2000</v>
      </c>
      <c r="G47" s="9"/>
    </row>
    <row r="48" spans="2:7" x14ac:dyDescent="0.2">
      <c r="B48" s="15"/>
      <c r="C48" s="1"/>
      <c r="D48" s="2"/>
      <c r="E48" s="3"/>
      <c r="F48" s="5"/>
      <c r="G48" s="9"/>
    </row>
    <row r="49" spans="2:7" ht="24" x14ac:dyDescent="0.2">
      <c r="B49" s="15"/>
      <c r="C49" s="19" t="s">
        <v>360</v>
      </c>
      <c r="D49" s="3" t="s">
        <v>339</v>
      </c>
      <c r="E49" s="3"/>
      <c r="F49" s="5">
        <v>-500</v>
      </c>
      <c r="G49" s="9"/>
    </row>
    <row r="50" spans="2:7" x14ac:dyDescent="0.2">
      <c r="B50" s="15"/>
      <c r="C50" s="19"/>
      <c r="D50" s="2"/>
      <c r="E50" s="3"/>
      <c r="F50" s="5"/>
      <c r="G50" s="9"/>
    </row>
    <row r="51" spans="2:7" x14ac:dyDescent="0.2">
      <c r="B51" s="15"/>
      <c r="C51" s="19"/>
      <c r="D51" s="2"/>
      <c r="E51" s="3"/>
      <c r="F51" s="5"/>
      <c r="G51" s="9"/>
    </row>
    <row r="52" spans="2:7" x14ac:dyDescent="0.2">
      <c r="B52" s="15"/>
      <c r="C52" s="19"/>
      <c r="D52" s="2"/>
      <c r="E52" s="3"/>
      <c r="F52" s="5"/>
      <c r="G52" s="9"/>
    </row>
    <row r="53" spans="2:7" x14ac:dyDescent="0.2">
      <c r="B53" s="15"/>
      <c r="C53" s="19"/>
      <c r="D53" s="2"/>
      <c r="E53" s="3"/>
      <c r="F53" s="5"/>
      <c r="G53" s="9"/>
    </row>
    <row r="54" spans="2:7" x14ac:dyDescent="0.2">
      <c r="B54" s="15"/>
      <c r="C54" s="19"/>
      <c r="D54" s="2"/>
      <c r="E54" s="3"/>
      <c r="F54" s="5"/>
      <c r="G54" s="9"/>
    </row>
    <row r="55" spans="2:7" x14ac:dyDescent="0.2">
      <c r="B55" s="15"/>
      <c r="C55" s="1"/>
      <c r="D55" s="2"/>
      <c r="E55" s="3"/>
      <c r="F55" s="5"/>
      <c r="G55" s="9"/>
    </row>
    <row r="56" spans="2:7" x14ac:dyDescent="0.2">
      <c r="B56" s="21" t="s">
        <v>333</v>
      </c>
      <c r="C56" s="16" t="s">
        <v>268</v>
      </c>
      <c r="D56" s="17"/>
      <c r="E56" s="17"/>
      <c r="F56" s="10"/>
      <c r="G56" s="18"/>
    </row>
  </sheetData>
  <sheetProtection sheet="1" objects="1" scenarios="1"/>
  <phoneticPr fontId="0" type="noConversion"/>
  <pageMargins left="0.78740157480314965" right="0.15748031496062992" top="1.1023622047244095" bottom="0.86614173228346458" header="0.27559055118110237" footer="0.51181102362204722"/>
  <pageSetup paperSize="9" scale="88" orientation="portrait" horizontalDpi="4294967294" verticalDpi="300" r:id="rId1"/>
  <headerFooter alignWithMargins="0">
    <oddHeader>&amp;C C.&amp;P&amp;"Arial,Bold"&amp;12MPUMALANGA DEPARTMENT OF PUBLIC WORKS, ROADS &amp; TRANSPORT -Reconstruction of road D481 between Mooiplaas &amp; Ekulindeni&amp;"Arial,Regular"&amp;10 (7,2km)</oddHeader>
    <oddFooter>&amp;LPart C2: Pricing Data &amp;RC2.2 Bill of Quantities   C &amp;P+73/(&amp;P/37 of BoQ)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FF72-2A1D-4491-A5C6-1607BE8DD6F8}">
  <sheetPr>
    <pageSetUpPr fitToPage="1"/>
  </sheetPr>
  <dimension ref="B1:T161"/>
  <sheetViews>
    <sheetView view="pageBreakPreview" topLeftCell="D1" zoomScale="85" zoomScaleNormal="85" zoomScaleSheetLayoutView="85" workbookViewId="0">
      <pane ySplit="5" topLeftCell="A139" activePane="bottomLeft" state="frozen"/>
      <selection pane="bottomLeft" activeCell="N135" sqref="N135"/>
    </sheetView>
  </sheetViews>
  <sheetFormatPr defaultColWidth="9.140625" defaultRowHeight="12.75" customHeight="1" x14ac:dyDescent="0.2"/>
  <cols>
    <col min="1" max="1" width="3.7109375" style="77" customWidth="1"/>
    <col min="2" max="2" width="12.140625" style="76" customWidth="1"/>
    <col min="3" max="3" width="2.7109375" style="56" customWidth="1"/>
    <col min="4" max="4" width="3.7109375" style="57" customWidth="1"/>
    <col min="5" max="5" width="39.5703125" style="67" customWidth="1"/>
    <col min="6" max="6" width="9.85546875" style="73" customWidth="1"/>
    <col min="7" max="7" width="12.85546875" style="74" customWidth="1"/>
    <col min="8" max="8" width="14.85546875" style="196" customWidth="1"/>
    <col min="9" max="9" width="16.5703125" style="196" bestFit="1" customWidth="1"/>
    <col min="10" max="10" width="12.85546875" style="74" customWidth="1"/>
    <col min="11" max="11" width="14.85546875" style="196" customWidth="1"/>
    <col min="12" max="12" width="16.5703125" style="196" bestFit="1" customWidth="1"/>
    <col min="13" max="13" width="12.85546875" style="74" customWidth="1"/>
    <col min="14" max="14" width="14.85546875" style="196" customWidth="1"/>
    <col min="15" max="15" width="16.5703125" style="196" bestFit="1" customWidth="1"/>
    <col min="16" max="16" width="11.28515625" style="77" customWidth="1"/>
    <col min="17" max="18" width="12.28515625" style="77" customWidth="1"/>
    <col min="19" max="16384" width="9.140625" style="77"/>
  </cols>
  <sheetData>
    <row r="1" spans="2:18" ht="12.75" customHeight="1" x14ac:dyDescent="0.2">
      <c r="B1" s="71" t="s">
        <v>871</v>
      </c>
      <c r="C1" s="71"/>
      <c r="D1" s="72"/>
      <c r="E1" s="71"/>
      <c r="H1" s="191"/>
      <c r="I1" s="191"/>
      <c r="K1" s="191"/>
      <c r="L1" s="191"/>
      <c r="N1" s="191"/>
      <c r="O1" s="191"/>
    </row>
    <row r="2" spans="2:18" s="73" customFormat="1" ht="12.75" customHeight="1" x14ac:dyDescent="0.2">
      <c r="B2" s="71" t="s">
        <v>267</v>
      </c>
      <c r="C2" s="76"/>
      <c r="D2" s="57"/>
      <c r="E2" s="77"/>
      <c r="G2" s="564" t="s">
        <v>880</v>
      </c>
      <c r="H2" s="565"/>
      <c r="I2" s="566"/>
      <c r="J2" s="564" t="s">
        <v>881</v>
      </c>
      <c r="K2" s="565"/>
      <c r="L2" s="566"/>
      <c r="M2" s="564" t="s">
        <v>882</v>
      </c>
      <c r="N2" s="565"/>
      <c r="O2" s="566"/>
      <c r="P2" s="416" t="s">
        <v>884</v>
      </c>
      <c r="Q2" s="416" t="s">
        <v>884</v>
      </c>
      <c r="R2" s="77"/>
    </row>
    <row r="3" spans="2:18" ht="12.75" customHeight="1" x14ac:dyDescent="0.2">
      <c r="B3" s="80"/>
      <c r="C3" s="81"/>
      <c r="D3" s="82"/>
      <c r="E3" s="81"/>
      <c r="F3" s="83"/>
      <c r="G3" s="253"/>
      <c r="H3" s="410"/>
      <c r="I3" s="411"/>
      <c r="J3" s="253"/>
      <c r="K3" s="410"/>
      <c r="L3" s="411"/>
      <c r="M3" s="253"/>
      <c r="N3" s="410"/>
      <c r="O3" s="411"/>
      <c r="P3" s="417" t="s">
        <v>883</v>
      </c>
      <c r="Q3" s="417" t="s">
        <v>70</v>
      </c>
    </row>
    <row r="4" spans="2:18" ht="12.75" customHeight="1" x14ac:dyDescent="0.2">
      <c r="B4" s="84" t="s">
        <v>263</v>
      </c>
      <c r="C4" s="85" t="s">
        <v>264</v>
      </c>
      <c r="D4" s="86" t="s">
        <v>264</v>
      </c>
      <c r="E4" s="87"/>
      <c r="F4" s="87" t="s">
        <v>265</v>
      </c>
      <c r="G4" s="88" t="s">
        <v>68</v>
      </c>
      <c r="H4" s="193" t="s">
        <v>78</v>
      </c>
      <c r="I4" s="193" t="s">
        <v>78</v>
      </c>
      <c r="J4" s="88" t="s">
        <v>68</v>
      </c>
      <c r="K4" s="193" t="s">
        <v>78</v>
      </c>
      <c r="L4" s="193" t="s">
        <v>78</v>
      </c>
      <c r="M4" s="88" t="s">
        <v>68</v>
      </c>
      <c r="N4" s="193" t="s">
        <v>78</v>
      </c>
      <c r="O4" s="193" t="s">
        <v>78</v>
      </c>
      <c r="P4" s="252" t="s">
        <v>849</v>
      </c>
      <c r="Q4" s="252" t="s">
        <v>849</v>
      </c>
    </row>
    <row r="5" spans="2:18" ht="12.75" customHeight="1" x14ac:dyDescent="0.2">
      <c r="B5" s="89" t="s">
        <v>266</v>
      </c>
      <c r="C5" s="90"/>
      <c r="D5" s="91"/>
      <c r="E5" s="92"/>
      <c r="F5" s="92"/>
      <c r="G5" s="93" t="s">
        <v>69</v>
      </c>
      <c r="H5" s="194" t="s">
        <v>262</v>
      </c>
      <c r="I5" s="194" t="s">
        <v>70</v>
      </c>
      <c r="J5" s="93" t="s">
        <v>69</v>
      </c>
      <c r="K5" s="194" t="s">
        <v>262</v>
      </c>
      <c r="L5" s="194" t="s">
        <v>70</v>
      </c>
      <c r="M5" s="93" t="s">
        <v>69</v>
      </c>
      <c r="N5" s="194" t="s">
        <v>262</v>
      </c>
      <c r="O5" s="194" t="s">
        <v>70</v>
      </c>
      <c r="P5" s="258" t="s">
        <v>70</v>
      </c>
      <c r="Q5" s="258" t="s">
        <v>70</v>
      </c>
    </row>
    <row r="6" spans="2:18" ht="12.75" customHeight="1" x14ac:dyDescent="0.2">
      <c r="B6" s="94"/>
      <c r="F6" s="61"/>
      <c r="G6" s="55"/>
      <c r="H6" s="189"/>
      <c r="I6" s="189"/>
      <c r="J6" s="55"/>
      <c r="K6" s="413"/>
      <c r="L6" s="189"/>
      <c r="M6" s="55"/>
      <c r="N6" s="189"/>
      <c r="O6" s="189"/>
      <c r="P6" s="488"/>
      <c r="Q6" s="487"/>
    </row>
    <row r="7" spans="2:18" ht="12.75" customHeight="1" x14ac:dyDescent="0.2">
      <c r="B7" s="47"/>
      <c r="C7" s="217"/>
      <c r="D7" s="46"/>
      <c r="F7" s="61"/>
      <c r="G7" s="55"/>
      <c r="H7" s="189"/>
      <c r="I7" s="189"/>
      <c r="J7" s="55"/>
      <c r="K7" s="413"/>
      <c r="L7" s="189"/>
      <c r="M7" s="55"/>
      <c r="N7" s="189"/>
      <c r="O7" s="189"/>
      <c r="P7" s="413"/>
      <c r="Q7" s="67"/>
    </row>
    <row r="8" spans="2:18" ht="12.75" customHeight="1" x14ac:dyDescent="0.2">
      <c r="B8" s="47"/>
      <c r="C8" s="117"/>
      <c r="F8" s="61"/>
      <c r="G8" s="55"/>
      <c r="H8" s="189"/>
      <c r="I8" s="189"/>
      <c r="J8" s="55"/>
      <c r="K8" s="413"/>
      <c r="L8" s="189"/>
      <c r="M8" s="55"/>
      <c r="N8" s="189"/>
      <c r="O8" s="189"/>
      <c r="P8" s="413"/>
      <c r="Q8" s="67"/>
    </row>
    <row r="9" spans="2:18" ht="12.75" customHeight="1" x14ac:dyDescent="0.2">
      <c r="B9" s="47"/>
      <c r="C9" s="218"/>
      <c r="F9" s="61"/>
      <c r="G9" s="55"/>
      <c r="H9" s="189"/>
      <c r="I9" s="189"/>
      <c r="J9" s="55"/>
      <c r="K9" s="413"/>
      <c r="L9" s="189"/>
      <c r="M9" s="55"/>
      <c r="N9" s="189"/>
      <c r="O9" s="189"/>
      <c r="P9" s="413"/>
      <c r="Q9" s="67"/>
    </row>
    <row r="10" spans="2:18" ht="12.75" customHeight="1" x14ac:dyDescent="0.2">
      <c r="B10" s="95"/>
      <c r="C10" s="117"/>
      <c r="D10" s="96"/>
      <c r="E10" s="97"/>
      <c r="F10" s="61"/>
      <c r="G10" s="55"/>
      <c r="H10" s="189"/>
      <c r="I10" s="189"/>
      <c r="J10" s="55"/>
      <c r="K10" s="413"/>
      <c r="L10" s="189"/>
      <c r="M10" s="55"/>
      <c r="N10" s="189"/>
      <c r="O10" s="189"/>
      <c r="P10" s="413"/>
      <c r="Q10" s="67"/>
    </row>
    <row r="11" spans="2:18" ht="12.75" customHeight="1" x14ac:dyDescent="0.2">
      <c r="B11" s="302" t="s">
        <v>7</v>
      </c>
      <c r="C11" s="315" t="s">
        <v>312</v>
      </c>
      <c r="D11" s="316"/>
      <c r="E11" s="308"/>
      <c r="F11" s="310" t="s">
        <v>829</v>
      </c>
      <c r="G11" s="55">
        <v>150</v>
      </c>
      <c r="H11" s="272">
        <v>30</v>
      </c>
      <c r="I11" s="189">
        <f>G11*H11</f>
        <v>4500</v>
      </c>
      <c r="J11" s="55">
        <v>150</v>
      </c>
      <c r="K11" s="413">
        <v>60</v>
      </c>
      <c r="L11" s="189">
        <f t="shared" ref="L11" si="0">J11*K11</f>
        <v>9000</v>
      </c>
      <c r="M11" s="55">
        <v>150</v>
      </c>
      <c r="N11" s="272">
        <v>60</v>
      </c>
      <c r="O11" s="189">
        <f t="shared" ref="O11" si="1">M11*N11</f>
        <v>9000</v>
      </c>
      <c r="P11" s="491">
        <f>K11-N11</f>
        <v>0</v>
      </c>
      <c r="Q11" s="492">
        <f>L11-O11</f>
        <v>0</v>
      </c>
    </row>
    <row r="12" spans="2:18" ht="12.75" customHeight="1" x14ac:dyDescent="0.2">
      <c r="B12" s="49"/>
      <c r="F12" s="61"/>
      <c r="G12" s="189"/>
      <c r="H12" s="55"/>
      <c r="I12" s="272"/>
      <c r="J12" s="189"/>
      <c r="K12" s="413"/>
      <c r="L12" s="272"/>
      <c r="M12" s="189"/>
      <c r="N12" s="55"/>
      <c r="O12" s="272"/>
      <c r="P12" s="413"/>
      <c r="Q12" s="67"/>
    </row>
    <row r="13" spans="2:18" ht="12.75" customHeight="1" x14ac:dyDescent="0.2">
      <c r="B13" s="49"/>
      <c r="G13" s="55"/>
      <c r="H13" s="189"/>
      <c r="I13" s="189"/>
      <c r="J13" s="55"/>
      <c r="K13" s="413"/>
      <c r="L13" s="189"/>
      <c r="M13" s="55"/>
      <c r="N13" s="189"/>
      <c r="O13" s="189"/>
      <c r="P13" s="413"/>
      <c r="Q13" s="67"/>
    </row>
    <row r="14" spans="2:18" ht="12.75" customHeight="1" x14ac:dyDescent="0.2">
      <c r="B14" s="302">
        <v>22.03</v>
      </c>
      <c r="C14" s="315" t="s">
        <v>316</v>
      </c>
      <c r="D14" s="316"/>
      <c r="E14" s="308"/>
      <c r="F14" s="310"/>
      <c r="G14" s="55"/>
      <c r="H14" s="189"/>
      <c r="I14" s="189"/>
      <c r="J14" s="55"/>
      <c r="K14" s="413"/>
      <c r="L14" s="189"/>
      <c r="M14" s="55"/>
      <c r="N14" s="189"/>
      <c r="O14" s="189"/>
      <c r="P14" s="413"/>
      <c r="Q14" s="67"/>
    </row>
    <row r="15" spans="2:18" ht="12.75" customHeight="1" x14ac:dyDescent="0.2">
      <c r="B15" s="302"/>
      <c r="C15" s="315" t="s">
        <v>279</v>
      </c>
      <c r="D15" s="316" t="s">
        <v>193</v>
      </c>
      <c r="E15" s="308"/>
      <c r="F15" s="310"/>
      <c r="G15" s="55"/>
      <c r="H15" s="189"/>
      <c r="I15" s="189" t="str">
        <f t="shared" ref="I15:I29" si="2">IF(G15=0," ",G15*H15)</f>
        <v xml:space="preserve"> </v>
      </c>
      <c r="J15" s="55"/>
      <c r="K15" s="413"/>
      <c r="L15" s="189" t="str">
        <f t="shared" ref="L15:L16" si="3">IF(J15=0," ",J15*K15)</f>
        <v xml:space="preserve"> </v>
      </c>
      <c r="M15" s="55"/>
      <c r="N15" s="189"/>
      <c r="O15" s="189" t="str">
        <f t="shared" ref="O15:O16" si="4">IF(M15=0," ",M15*N15)</f>
        <v xml:space="preserve"> </v>
      </c>
      <c r="P15" s="413"/>
      <c r="Q15" s="67"/>
    </row>
    <row r="16" spans="2:18" ht="12.75" customHeight="1" x14ac:dyDescent="0.2">
      <c r="B16" s="302"/>
      <c r="C16" s="315"/>
      <c r="D16" s="316" t="s">
        <v>277</v>
      </c>
      <c r="E16" s="308" t="s">
        <v>742</v>
      </c>
      <c r="F16" s="310" t="s">
        <v>310</v>
      </c>
      <c r="G16" s="55"/>
      <c r="H16" s="189">
        <v>2000</v>
      </c>
      <c r="I16" s="189" t="str">
        <f t="shared" si="2"/>
        <v xml:space="preserve"> </v>
      </c>
      <c r="J16" s="55"/>
      <c r="K16" s="413">
        <v>950</v>
      </c>
      <c r="L16" s="189" t="str">
        <f t="shared" si="3"/>
        <v xml:space="preserve"> </v>
      </c>
      <c r="M16" s="55"/>
      <c r="N16" s="189">
        <v>950</v>
      </c>
      <c r="O16" s="189" t="str">
        <f t="shared" si="4"/>
        <v xml:space="preserve"> </v>
      </c>
      <c r="P16" s="491">
        <f>K16-N16</f>
        <v>0</v>
      </c>
      <c r="Q16" s="492"/>
    </row>
    <row r="17" spans="2:20" ht="12.75" customHeight="1" x14ac:dyDescent="0.2">
      <c r="B17" s="302"/>
      <c r="C17" s="315"/>
      <c r="D17" s="316"/>
      <c r="E17" s="308"/>
      <c r="F17" s="310"/>
      <c r="G17" s="65"/>
      <c r="H17" s="130"/>
      <c r="I17" s="272"/>
      <c r="J17" s="65"/>
      <c r="K17" s="413"/>
      <c r="L17" s="272"/>
      <c r="M17" s="65"/>
      <c r="N17" s="130"/>
      <c r="O17" s="272"/>
      <c r="P17" s="413"/>
      <c r="Q17" s="67"/>
    </row>
    <row r="18" spans="2:20" ht="12.75" customHeight="1" x14ac:dyDescent="0.2">
      <c r="B18" s="302"/>
      <c r="C18" s="315"/>
      <c r="D18" s="316" t="s">
        <v>124</v>
      </c>
      <c r="E18" s="308" t="s">
        <v>743</v>
      </c>
      <c r="F18" s="310" t="s">
        <v>310</v>
      </c>
      <c r="G18" s="55">
        <f>2.44*5</f>
        <v>12.2</v>
      </c>
      <c r="H18" s="189">
        <v>2800</v>
      </c>
      <c r="I18" s="272">
        <f>G18*H18</f>
        <v>34160</v>
      </c>
      <c r="J18" s="55">
        <v>12</v>
      </c>
      <c r="K18" s="413">
        <v>1350</v>
      </c>
      <c r="L18" s="272">
        <f t="shared" ref="L18" si="5">J18*K18</f>
        <v>16200</v>
      </c>
      <c r="M18" s="55">
        <v>12</v>
      </c>
      <c r="N18" s="189">
        <v>1350</v>
      </c>
      <c r="O18" s="272">
        <f t="shared" ref="O18" si="6">M18*N18</f>
        <v>16200</v>
      </c>
      <c r="P18" s="491">
        <f>K18-N18</f>
        <v>0</v>
      </c>
      <c r="Q18" s="492">
        <f>L18-O18</f>
        <v>0</v>
      </c>
    </row>
    <row r="19" spans="2:20" ht="12.75" customHeight="1" x14ac:dyDescent="0.2">
      <c r="B19" s="47"/>
      <c r="F19" s="61"/>
      <c r="G19" s="65"/>
      <c r="H19" s="130"/>
      <c r="I19" s="272"/>
      <c r="J19" s="65"/>
      <c r="K19" s="413"/>
      <c r="L19" s="272"/>
      <c r="M19" s="65"/>
      <c r="N19" s="130"/>
      <c r="O19" s="272"/>
      <c r="P19" s="413"/>
      <c r="Q19" s="67"/>
    </row>
    <row r="20" spans="2:20" ht="12.75" customHeight="1" x14ac:dyDescent="0.2">
      <c r="B20" s="47"/>
      <c r="F20" s="61"/>
      <c r="G20" s="55"/>
      <c r="H20" s="189"/>
      <c r="I20" s="272"/>
      <c r="J20" s="55"/>
      <c r="K20" s="413"/>
      <c r="L20" s="272"/>
      <c r="M20" s="55"/>
      <c r="N20" s="189"/>
      <c r="O20" s="272"/>
      <c r="P20" s="413"/>
      <c r="Q20" s="67"/>
    </row>
    <row r="21" spans="2:20" ht="12.75" customHeight="1" x14ac:dyDescent="0.2">
      <c r="B21" s="302" t="s">
        <v>90</v>
      </c>
      <c r="C21" s="315" t="s">
        <v>54</v>
      </c>
      <c r="D21" s="354"/>
      <c r="E21" s="304"/>
      <c r="F21" s="310"/>
      <c r="G21" s="65"/>
      <c r="H21" s="130"/>
      <c r="I21" s="272"/>
      <c r="J21" s="65"/>
      <c r="K21" s="413"/>
      <c r="L21" s="272"/>
      <c r="M21" s="65"/>
      <c r="N21" s="130"/>
      <c r="O21" s="272"/>
      <c r="P21" s="413"/>
      <c r="Q21" s="67"/>
    </row>
    <row r="22" spans="2:20" ht="12.75" customHeight="1" x14ac:dyDescent="0.2">
      <c r="B22" s="302"/>
      <c r="C22" s="315" t="s">
        <v>732</v>
      </c>
      <c r="D22" s="354"/>
      <c r="E22" s="304"/>
      <c r="F22" s="310"/>
      <c r="G22" s="55"/>
      <c r="H22" s="189"/>
      <c r="I22" s="272"/>
      <c r="J22" s="55"/>
      <c r="K22" s="413"/>
      <c r="L22" s="272"/>
      <c r="M22" s="55"/>
      <c r="N22" s="189"/>
      <c r="O22" s="272"/>
      <c r="P22" s="413"/>
      <c r="Q22" s="67"/>
    </row>
    <row r="23" spans="2:20" ht="12.6" customHeight="1" x14ac:dyDescent="0.2">
      <c r="B23" s="302"/>
      <c r="C23" s="315" t="s">
        <v>278</v>
      </c>
      <c r="D23" s="316" t="s">
        <v>673</v>
      </c>
      <c r="E23" s="308"/>
      <c r="F23" s="310" t="s">
        <v>310</v>
      </c>
      <c r="G23" s="65"/>
      <c r="H23" s="130"/>
      <c r="I23" s="272" t="str">
        <f t="shared" ref="I23" si="7">IF(G23=0," ",G23*H23)</f>
        <v xml:space="preserve"> </v>
      </c>
      <c r="J23" s="65"/>
      <c r="K23" s="413">
        <v>199</v>
      </c>
      <c r="L23" s="272" t="str">
        <f t="shared" ref="L23" si="8">IF(J23=0," ",J23*K23)</f>
        <v xml:space="preserve"> </v>
      </c>
      <c r="M23" s="65"/>
      <c r="N23" s="130">
        <v>199</v>
      </c>
      <c r="O23" s="272" t="str">
        <f t="shared" ref="O23" si="9">IF(M23=0," ",M23*N23)</f>
        <v xml:space="preserve"> </v>
      </c>
      <c r="P23" s="413"/>
      <c r="Q23" s="67"/>
    </row>
    <row r="24" spans="2:20" ht="12.75" customHeight="1" x14ac:dyDescent="0.2">
      <c r="B24" s="302"/>
      <c r="C24" s="315"/>
      <c r="D24" s="316"/>
      <c r="E24" s="308"/>
      <c r="F24" s="310"/>
      <c r="G24" s="55"/>
      <c r="H24" s="189"/>
      <c r="I24" s="272"/>
      <c r="J24" s="55"/>
      <c r="K24" s="413"/>
      <c r="L24" s="272"/>
      <c r="M24" s="55"/>
      <c r="N24" s="189"/>
      <c r="O24" s="272"/>
      <c r="P24" s="413"/>
      <c r="Q24" s="67"/>
    </row>
    <row r="25" spans="2:20" ht="12.75" customHeight="1" x14ac:dyDescent="0.2">
      <c r="B25" s="302"/>
      <c r="C25" s="315" t="s">
        <v>279</v>
      </c>
      <c r="D25" s="316" t="s">
        <v>863</v>
      </c>
      <c r="E25" s="308"/>
      <c r="F25" s="310" t="s">
        <v>310</v>
      </c>
      <c r="G25" s="55">
        <v>789</v>
      </c>
      <c r="H25" s="189">
        <v>300</v>
      </c>
      <c r="I25" s="272">
        <f>G25*H25</f>
        <v>236700</v>
      </c>
      <c r="J25" s="55">
        <v>789</v>
      </c>
      <c r="K25" s="413">
        <v>315</v>
      </c>
      <c r="L25" s="272">
        <f t="shared" ref="L25" si="10">J25*K25</f>
        <v>248535</v>
      </c>
      <c r="M25" s="55">
        <v>789</v>
      </c>
      <c r="N25" s="189">
        <v>315</v>
      </c>
      <c r="O25" s="272">
        <f t="shared" ref="O25" si="11">M25*N25</f>
        <v>248535</v>
      </c>
      <c r="P25" s="491">
        <f t="shared" ref="P25:P42" si="12">K25-N25</f>
        <v>0</v>
      </c>
      <c r="Q25" s="492">
        <f t="shared" ref="Q25:Q42" si="13">L25-O25</f>
        <v>0</v>
      </c>
    </row>
    <row r="26" spans="2:20" ht="12.75" customHeight="1" x14ac:dyDescent="0.2">
      <c r="B26" s="302"/>
      <c r="C26" s="315"/>
      <c r="D26" s="316"/>
      <c r="E26" s="308"/>
      <c r="F26" s="310"/>
      <c r="G26" s="65"/>
      <c r="H26" s="130"/>
      <c r="I26" s="272"/>
      <c r="J26" s="65"/>
      <c r="K26" s="413"/>
      <c r="L26" s="272"/>
      <c r="M26" s="65"/>
      <c r="N26" s="130"/>
      <c r="O26" s="272"/>
      <c r="P26" s="491"/>
      <c r="Q26" s="492"/>
    </row>
    <row r="27" spans="2:20" ht="12.75" customHeight="1" x14ac:dyDescent="0.2">
      <c r="B27" s="302"/>
      <c r="C27" s="315"/>
      <c r="D27" s="316" t="s">
        <v>864</v>
      </c>
      <c r="E27" s="308"/>
      <c r="F27" s="310" t="s">
        <v>310</v>
      </c>
      <c r="G27" s="55">
        <v>350</v>
      </c>
      <c r="H27" s="189">
        <v>320</v>
      </c>
      <c r="I27" s="272">
        <f>G27*H27</f>
        <v>112000</v>
      </c>
      <c r="J27" s="55">
        <v>350</v>
      </c>
      <c r="K27" s="413">
        <v>315</v>
      </c>
      <c r="L27" s="272">
        <f t="shared" ref="L27" si="14">J27*K27</f>
        <v>110250</v>
      </c>
      <c r="M27" s="55">
        <v>350</v>
      </c>
      <c r="N27" s="189">
        <v>315</v>
      </c>
      <c r="O27" s="272">
        <f t="shared" ref="O27" si="15">M27*N27</f>
        <v>110250</v>
      </c>
      <c r="P27" s="491">
        <f t="shared" si="12"/>
        <v>0</v>
      </c>
      <c r="Q27" s="492">
        <f t="shared" si="13"/>
        <v>0</v>
      </c>
    </row>
    <row r="28" spans="2:20" ht="12.75" customHeight="1" x14ac:dyDescent="0.2">
      <c r="B28" s="47"/>
      <c r="F28" s="61"/>
      <c r="G28" s="55"/>
      <c r="H28" s="189"/>
      <c r="I28" s="272" t="str">
        <f t="shared" si="2"/>
        <v xml:space="preserve"> </v>
      </c>
      <c r="J28" s="55"/>
      <c r="K28" s="413"/>
      <c r="L28" s="272" t="str">
        <f t="shared" ref="L28:L31" si="16">IF(J28=0," ",J28*K28)</f>
        <v xml:space="preserve"> </v>
      </c>
      <c r="M28" s="55"/>
      <c r="N28" s="189"/>
      <c r="O28" s="272" t="str">
        <f t="shared" ref="O28:O31" si="17">IF(M28=0," ",M28*N28)</f>
        <v xml:space="preserve"> </v>
      </c>
      <c r="P28" s="491"/>
      <c r="Q28" s="492"/>
    </row>
    <row r="29" spans="2:20" ht="12.75" customHeight="1" x14ac:dyDescent="0.2">
      <c r="B29" s="302" t="s">
        <v>528</v>
      </c>
      <c r="C29" s="315" t="s">
        <v>529</v>
      </c>
      <c r="D29" s="354"/>
      <c r="E29" s="304"/>
      <c r="F29" s="310"/>
      <c r="G29" s="55"/>
      <c r="H29" s="189"/>
      <c r="I29" s="272" t="str">
        <f t="shared" si="2"/>
        <v xml:space="preserve"> </v>
      </c>
      <c r="J29" s="55"/>
      <c r="K29" s="413"/>
      <c r="L29" s="272" t="str">
        <f t="shared" si="16"/>
        <v xml:space="preserve"> </v>
      </c>
      <c r="M29" s="55"/>
      <c r="N29" s="189"/>
      <c r="O29" s="272" t="str">
        <f t="shared" si="17"/>
        <v xml:space="preserve"> </v>
      </c>
      <c r="P29" s="491"/>
      <c r="Q29" s="492"/>
    </row>
    <row r="30" spans="2:20" ht="12.75" customHeight="1" x14ac:dyDescent="0.2">
      <c r="B30" s="302"/>
      <c r="C30" s="315" t="s">
        <v>278</v>
      </c>
      <c r="D30" s="354" t="s">
        <v>219</v>
      </c>
      <c r="E30" s="304"/>
      <c r="F30" s="310"/>
      <c r="G30" s="55"/>
      <c r="H30" s="130"/>
      <c r="I30" s="272" t="str">
        <f>IF(G30=0," ",G30*H30)</f>
        <v xml:space="preserve"> </v>
      </c>
      <c r="J30" s="55"/>
      <c r="K30" s="413"/>
      <c r="L30" s="272" t="str">
        <f t="shared" si="16"/>
        <v xml:space="preserve"> </v>
      </c>
      <c r="M30" s="55"/>
      <c r="N30" s="130"/>
      <c r="O30" s="272" t="str">
        <f t="shared" si="17"/>
        <v xml:space="preserve"> </v>
      </c>
      <c r="P30" s="491"/>
      <c r="Q30" s="492"/>
    </row>
    <row r="31" spans="2:20" ht="12.75" customHeight="1" x14ac:dyDescent="0.2">
      <c r="B31" s="302"/>
      <c r="C31" s="315"/>
      <c r="D31" s="354" t="s">
        <v>220</v>
      </c>
      <c r="E31" s="304"/>
      <c r="F31" s="310"/>
      <c r="G31" s="55"/>
      <c r="H31" s="189"/>
      <c r="I31" s="272" t="str">
        <f t="shared" ref="I31:I38" si="18">IF(G31=0," ",G31*H31)</f>
        <v xml:space="preserve"> </v>
      </c>
      <c r="J31" s="55"/>
      <c r="K31" s="413"/>
      <c r="L31" s="272" t="str">
        <f t="shared" si="16"/>
        <v xml:space="preserve"> </v>
      </c>
      <c r="M31" s="55"/>
      <c r="N31" s="189"/>
      <c r="O31" s="272" t="str">
        <f t="shared" si="17"/>
        <v xml:space="preserve"> </v>
      </c>
      <c r="P31" s="491"/>
      <c r="Q31" s="492"/>
    </row>
    <row r="32" spans="2:20" ht="12.75" customHeight="1" x14ac:dyDescent="0.2">
      <c r="B32" s="302"/>
      <c r="C32" s="315"/>
      <c r="D32" s="316" t="s">
        <v>277</v>
      </c>
      <c r="E32" s="308" t="s">
        <v>221</v>
      </c>
      <c r="F32" s="310" t="s">
        <v>829</v>
      </c>
      <c r="G32" s="55">
        <f>375*0.8*5</f>
        <v>1500</v>
      </c>
      <c r="H32" s="130">
        <v>30</v>
      </c>
      <c r="I32" s="272">
        <f>G32*H32</f>
        <v>45000</v>
      </c>
      <c r="J32" s="55">
        <v>1500</v>
      </c>
      <c r="K32" s="414">
        <v>45</v>
      </c>
      <c r="L32" s="272">
        <f t="shared" ref="L32" si="19">J32*K32</f>
        <v>67500</v>
      </c>
      <c r="M32" s="55">
        <v>1500</v>
      </c>
      <c r="N32" s="130">
        <v>45</v>
      </c>
      <c r="O32" s="272">
        <f t="shared" ref="O32" si="20">M32*N32</f>
        <v>67500</v>
      </c>
      <c r="P32" s="491">
        <f t="shared" si="12"/>
        <v>0</v>
      </c>
      <c r="Q32" s="492">
        <f t="shared" si="13"/>
        <v>0</v>
      </c>
      <c r="R32" s="236"/>
      <c r="S32" s="236"/>
      <c r="T32" s="236"/>
    </row>
    <row r="33" spans="2:20" ht="12.75" customHeight="1" x14ac:dyDescent="0.2">
      <c r="B33" s="233"/>
      <c r="G33" s="55"/>
      <c r="H33" s="189"/>
      <c r="I33" s="272" t="str">
        <f t="shared" si="18"/>
        <v xml:space="preserve"> </v>
      </c>
      <c r="J33" s="55"/>
      <c r="K33" s="414"/>
      <c r="L33" s="272" t="str">
        <f t="shared" ref="L33:L35" si="21">IF(J33=0," ",J33*K33)</f>
        <v xml:space="preserve"> </v>
      </c>
      <c r="M33" s="55"/>
      <c r="N33" s="189"/>
      <c r="O33" s="272" t="str">
        <f t="shared" ref="O33:O35" si="22">IF(M33=0," ",M33*N33)</f>
        <v xml:space="preserve"> </v>
      </c>
      <c r="P33" s="491"/>
      <c r="Q33" s="492"/>
      <c r="R33" s="236"/>
      <c r="S33" s="236"/>
      <c r="T33" s="236"/>
    </row>
    <row r="34" spans="2:20" ht="12.75" customHeight="1" x14ac:dyDescent="0.2">
      <c r="B34" s="47"/>
      <c r="F34" s="61"/>
      <c r="G34" s="55"/>
      <c r="H34" s="130"/>
      <c r="I34" s="272" t="str">
        <f t="shared" si="18"/>
        <v xml:space="preserve"> </v>
      </c>
      <c r="J34" s="55"/>
      <c r="K34" s="415"/>
      <c r="L34" s="272" t="str">
        <f t="shared" si="21"/>
        <v xml:space="preserve"> </v>
      </c>
      <c r="M34" s="55"/>
      <c r="N34" s="130"/>
      <c r="O34" s="272" t="str">
        <f t="shared" si="22"/>
        <v xml:space="preserve"> </v>
      </c>
      <c r="P34" s="491"/>
      <c r="Q34" s="492"/>
      <c r="R34" s="236"/>
      <c r="S34" s="236"/>
      <c r="T34" s="236"/>
    </row>
    <row r="35" spans="2:20" ht="12.75" customHeight="1" x14ac:dyDescent="0.2">
      <c r="B35" s="369" t="s">
        <v>327</v>
      </c>
      <c r="C35" s="315" t="s">
        <v>328</v>
      </c>
      <c r="D35" s="316"/>
      <c r="E35" s="308"/>
      <c r="F35" s="310"/>
      <c r="G35" s="55"/>
      <c r="H35" s="189"/>
      <c r="I35" s="272" t="str">
        <f t="shared" si="18"/>
        <v xml:space="preserve"> </v>
      </c>
      <c r="J35" s="55"/>
      <c r="K35" s="415"/>
      <c r="L35" s="272" t="str">
        <f t="shared" si="21"/>
        <v xml:space="preserve"> </v>
      </c>
      <c r="M35" s="55"/>
      <c r="N35" s="189"/>
      <c r="O35" s="272" t="str">
        <f t="shared" si="22"/>
        <v xml:space="preserve"> </v>
      </c>
      <c r="P35" s="491"/>
      <c r="Q35" s="492"/>
      <c r="R35" s="236"/>
      <c r="S35" s="236"/>
      <c r="T35" s="236"/>
    </row>
    <row r="36" spans="2:20" ht="12.75" customHeight="1" x14ac:dyDescent="0.2">
      <c r="B36" s="302"/>
      <c r="C36" s="315" t="s">
        <v>278</v>
      </c>
      <c r="D36" s="316" t="s">
        <v>229</v>
      </c>
      <c r="E36" s="308"/>
      <c r="F36" s="310" t="s">
        <v>829</v>
      </c>
      <c r="G36" s="55">
        <f>179*2.6*0.2+90*5.6*0.2+((179*2.6*0.2+90*5.6*0.2)*0.1)</f>
        <v>213.268</v>
      </c>
      <c r="H36" s="189">
        <v>60</v>
      </c>
      <c r="I36" s="272">
        <f>G36*H36</f>
        <v>12796.08</v>
      </c>
      <c r="J36" s="55">
        <v>213</v>
      </c>
      <c r="K36" s="415">
        <v>45</v>
      </c>
      <c r="L36" s="272">
        <f t="shared" ref="L36" si="23">J36*K36</f>
        <v>9585</v>
      </c>
      <c r="M36" s="55">
        <v>213</v>
      </c>
      <c r="N36" s="189">
        <v>45</v>
      </c>
      <c r="O36" s="272">
        <f t="shared" ref="O36" si="24">M36*N36</f>
        <v>9585</v>
      </c>
      <c r="P36" s="491">
        <f t="shared" si="12"/>
        <v>0</v>
      </c>
      <c r="Q36" s="492">
        <f t="shared" si="13"/>
        <v>0</v>
      </c>
      <c r="R36" s="236"/>
      <c r="S36" s="236"/>
      <c r="T36" s="236"/>
    </row>
    <row r="37" spans="2:20" ht="12.75" customHeight="1" x14ac:dyDescent="0.2">
      <c r="B37" s="47"/>
      <c r="G37" s="55"/>
      <c r="H37" s="189"/>
      <c r="I37" s="272" t="str">
        <f t="shared" si="18"/>
        <v xml:space="preserve"> </v>
      </c>
      <c r="J37" s="55"/>
      <c r="K37" s="415"/>
      <c r="L37" s="272" t="str">
        <f t="shared" ref="L37:L38" si="25">IF(J37=0," ",J37*K37)</f>
        <v xml:space="preserve"> </v>
      </c>
      <c r="M37" s="55"/>
      <c r="N37" s="189"/>
      <c r="O37" s="272" t="str">
        <f t="shared" ref="O37:O38" si="26">IF(M37=0," ",M37*N37)</f>
        <v xml:space="preserve"> </v>
      </c>
      <c r="P37" s="491"/>
      <c r="Q37" s="492"/>
      <c r="R37" s="236"/>
      <c r="S37" s="236"/>
      <c r="T37" s="236"/>
    </row>
    <row r="38" spans="2:20" ht="12.75" customHeight="1" x14ac:dyDescent="0.2">
      <c r="B38" s="47"/>
      <c r="F38" s="61"/>
      <c r="G38" s="55"/>
      <c r="H38" s="130"/>
      <c r="I38" s="272" t="str">
        <f t="shared" si="18"/>
        <v xml:space="preserve"> </v>
      </c>
      <c r="J38" s="55"/>
      <c r="K38" s="415"/>
      <c r="L38" s="272" t="str">
        <f t="shared" si="25"/>
        <v xml:space="preserve"> </v>
      </c>
      <c r="M38" s="55"/>
      <c r="N38" s="130"/>
      <c r="O38" s="272" t="str">
        <f t="shared" si="26"/>
        <v xml:space="preserve"> </v>
      </c>
      <c r="P38" s="491"/>
      <c r="Q38" s="492"/>
      <c r="R38" s="236"/>
      <c r="S38" s="236"/>
      <c r="T38" s="236"/>
    </row>
    <row r="39" spans="2:20" ht="12.75" customHeight="1" x14ac:dyDescent="0.2">
      <c r="B39" s="302" t="s">
        <v>10</v>
      </c>
      <c r="C39" s="315" t="s">
        <v>331</v>
      </c>
      <c r="D39" s="316"/>
      <c r="E39" s="308"/>
      <c r="F39" s="310"/>
      <c r="G39" s="55"/>
      <c r="H39" s="189"/>
      <c r="I39" s="272"/>
      <c r="J39" s="55"/>
      <c r="K39" s="415"/>
      <c r="L39" s="272"/>
      <c r="M39" s="55"/>
      <c r="N39" s="189"/>
      <c r="O39" s="272"/>
      <c r="P39" s="491"/>
      <c r="Q39" s="492"/>
      <c r="R39" s="236"/>
      <c r="S39" s="236"/>
      <c r="T39" s="236"/>
    </row>
    <row r="40" spans="2:20" ht="12.75" customHeight="1" x14ac:dyDescent="0.2">
      <c r="B40" s="302"/>
      <c r="C40" s="315" t="s">
        <v>278</v>
      </c>
      <c r="D40" s="316" t="s">
        <v>232</v>
      </c>
      <c r="E40" s="308"/>
      <c r="F40" s="310" t="s">
        <v>275</v>
      </c>
      <c r="G40" s="55"/>
      <c r="H40" s="189"/>
      <c r="I40" s="272"/>
      <c r="J40" s="55"/>
      <c r="K40" s="415">
        <v>25</v>
      </c>
      <c r="L40" s="272"/>
      <c r="M40" s="55"/>
      <c r="N40" s="189">
        <v>25</v>
      </c>
      <c r="O40" s="272"/>
      <c r="P40" s="491">
        <f t="shared" si="12"/>
        <v>0</v>
      </c>
      <c r="Q40" s="492">
        <f t="shared" si="13"/>
        <v>0</v>
      </c>
      <c r="R40" s="236"/>
      <c r="S40" s="236"/>
      <c r="T40" s="236"/>
    </row>
    <row r="41" spans="2:20" ht="12.75" customHeight="1" x14ac:dyDescent="0.2">
      <c r="B41" s="302"/>
      <c r="C41" s="315"/>
      <c r="D41" s="316"/>
      <c r="E41" s="308"/>
      <c r="F41" s="310"/>
      <c r="G41" s="55"/>
      <c r="H41" s="130"/>
      <c r="I41" s="272"/>
      <c r="J41" s="55"/>
      <c r="K41" s="415"/>
      <c r="L41" s="272"/>
      <c r="M41" s="55"/>
      <c r="N41" s="130"/>
      <c r="O41" s="272"/>
      <c r="P41" s="491">
        <f t="shared" si="12"/>
        <v>0</v>
      </c>
      <c r="Q41" s="492">
        <f t="shared" si="13"/>
        <v>0</v>
      </c>
      <c r="R41" s="236"/>
      <c r="S41" s="236"/>
      <c r="T41" s="236"/>
    </row>
    <row r="42" spans="2:20" ht="12.75" customHeight="1" x14ac:dyDescent="0.2">
      <c r="B42" s="302"/>
      <c r="C42" s="315" t="s">
        <v>279</v>
      </c>
      <c r="D42" s="316" t="s">
        <v>233</v>
      </c>
      <c r="E42" s="308"/>
      <c r="F42" s="310" t="s">
        <v>275</v>
      </c>
      <c r="G42" s="55">
        <f>1132.5*10</f>
        <v>11325</v>
      </c>
      <c r="H42" s="189">
        <v>11</v>
      </c>
      <c r="I42" s="272">
        <f>G42*H42</f>
        <v>124575</v>
      </c>
      <c r="J42" s="55">
        <v>11325</v>
      </c>
      <c r="K42" s="415">
        <v>15</v>
      </c>
      <c r="L42" s="272">
        <f t="shared" ref="L42" si="27">J42*K42</f>
        <v>169875</v>
      </c>
      <c r="M42" s="55">
        <v>11325</v>
      </c>
      <c r="N42" s="189">
        <v>15</v>
      </c>
      <c r="O42" s="272">
        <f t="shared" ref="O42" si="28">M42*N42</f>
        <v>169875</v>
      </c>
      <c r="P42" s="491">
        <f t="shared" si="12"/>
        <v>0</v>
      </c>
      <c r="Q42" s="492">
        <f t="shared" si="13"/>
        <v>0</v>
      </c>
      <c r="R42" s="236"/>
      <c r="S42" s="236"/>
      <c r="T42" s="236"/>
    </row>
    <row r="43" spans="2:20" ht="12.75" customHeight="1" x14ac:dyDescent="0.2">
      <c r="B43" s="302"/>
      <c r="C43" s="315"/>
      <c r="D43" s="316"/>
      <c r="E43" s="308"/>
      <c r="F43" s="310"/>
      <c r="G43" s="55"/>
      <c r="H43" s="130"/>
      <c r="I43" s="272"/>
      <c r="J43" s="55"/>
      <c r="K43" s="414"/>
      <c r="L43" s="272"/>
      <c r="M43" s="55"/>
      <c r="N43" s="130"/>
      <c r="O43" s="272"/>
      <c r="P43" s="414"/>
      <c r="Q43" s="489"/>
      <c r="R43" s="235"/>
      <c r="S43" s="235"/>
      <c r="T43" s="236"/>
    </row>
    <row r="44" spans="2:20" ht="12.75" customHeight="1" x14ac:dyDescent="0.2">
      <c r="B44" s="98"/>
      <c r="C44" s="99"/>
      <c r="F44" s="100"/>
      <c r="G44" s="55"/>
      <c r="H44" s="189"/>
      <c r="I44" s="272"/>
      <c r="J44" s="55"/>
      <c r="K44" s="415"/>
      <c r="L44" s="272"/>
      <c r="M44" s="55"/>
      <c r="N44" s="189"/>
      <c r="O44" s="272"/>
      <c r="P44" s="414"/>
      <c r="Q44" s="490"/>
      <c r="R44" s="236"/>
      <c r="S44" s="236"/>
      <c r="T44" s="236"/>
    </row>
    <row r="45" spans="2:20" ht="12.75" customHeight="1" x14ac:dyDescent="0.2">
      <c r="B45" s="370">
        <v>3400</v>
      </c>
      <c r="C45" s="371" t="s">
        <v>453</v>
      </c>
      <c r="D45" s="372"/>
      <c r="E45" s="373"/>
      <c r="F45" s="310"/>
      <c r="G45" s="55"/>
      <c r="H45" s="130"/>
      <c r="I45" s="272"/>
      <c r="J45" s="55"/>
      <c r="K45" s="413"/>
      <c r="L45" s="272"/>
      <c r="M45" s="55"/>
      <c r="N45" s="130"/>
      <c r="O45" s="272"/>
      <c r="P45" s="413"/>
      <c r="Q45" s="67"/>
    </row>
    <row r="46" spans="2:20" ht="12.75" customHeight="1" x14ac:dyDescent="0.2">
      <c r="B46" s="302"/>
      <c r="C46" s="315"/>
      <c r="D46" s="316"/>
      <c r="E46" s="308"/>
      <c r="F46" s="310"/>
      <c r="G46" s="55"/>
      <c r="H46" s="189"/>
      <c r="I46" s="272"/>
      <c r="J46" s="55"/>
      <c r="K46" s="413"/>
      <c r="L46" s="272"/>
      <c r="M46" s="55"/>
      <c r="N46" s="189"/>
      <c r="O46" s="272"/>
      <c r="P46" s="413"/>
      <c r="Q46" s="67"/>
    </row>
    <row r="47" spans="2:20" ht="12.75" customHeight="1" x14ac:dyDescent="0.2">
      <c r="B47" s="302">
        <v>34.01</v>
      </c>
      <c r="C47" s="315" t="s">
        <v>234</v>
      </c>
      <c r="D47" s="354"/>
      <c r="E47" s="304"/>
      <c r="F47" s="310"/>
      <c r="G47" s="55"/>
      <c r="H47" s="189"/>
      <c r="I47" s="272"/>
      <c r="J47" s="55"/>
      <c r="K47" s="413"/>
      <c r="L47" s="272"/>
      <c r="M47" s="55"/>
      <c r="N47" s="189"/>
      <c r="O47" s="272"/>
      <c r="P47" s="413"/>
      <c r="Q47" s="67"/>
    </row>
    <row r="48" spans="2:20" ht="12.75" customHeight="1" x14ac:dyDescent="0.2">
      <c r="B48" s="302"/>
      <c r="C48" s="315" t="s">
        <v>717</v>
      </c>
      <c r="D48" s="354"/>
      <c r="E48" s="304"/>
      <c r="F48" s="310"/>
      <c r="G48" s="55"/>
      <c r="H48" s="130"/>
      <c r="I48" s="272"/>
      <c r="J48" s="55"/>
      <c r="K48" s="413"/>
      <c r="L48" s="272"/>
      <c r="M48" s="55"/>
      <c r="N48" s="130"/>
      <c r="O48" s="272"/>
      <c r="P48" s="413"/>
      <c r="Q48" s="67"/>
    </row>
    <row r="49" spans="2:17" ht="12.75" customHeight="1" x14ac:dyDescent="0.2">
      <c r="B49" s="302"/>
      <c r="C49" s="315" t="s">
        <v>278</v>
      </c>
      <c r="D49" s="354" t="s">
        <v>235</v>
      </c>
      <c r="E49" s="304"/>
      <c r="F49" s="310"/>
      <c r="G49" s="55"/>
      <c r="H49" s="189"/>
      <c r="I49" s="272"/>
      <c r="J49" s="55"/>
      <c r="K49" s="413"/>
      <c r="L49" s="272"/>
      <c r="M49" s="55"/>
      <c r="N49" s="189"/>
      <c r="O49" s="272"/>
      <c r="P49" s="413"/>
      <c r="Q49" s="67"/>
    </row>
    <row r="50" spans="2:17" ht="12.75" customHeight="1" x14ac:dyDescent="0.2">
      <c r="B50" s="302"/>
      <c r="C50" s="315"/>
      <c r="D50" s="316" t="s">
        <v>277</v>
      </c>
      <c r="E50" s="308" t="s">
        <v>236</v>
      </c>
      <c r="F50" s="310" t="s">
        <v>829</v>
      </c>
      <c r="G50" s="55">
        <f>179*2.45*0.3+90*5.5*0.3+48*5.45*0.3+(358.9*0.1)</f>
        <v>394.435</v>
      </c>
      <c r="H50" s="130">
        <v>40</v>
      </c>
      <c r="I50" s="272">
        <f>G50*H50</f>
        <v>15777.4</v>
      </c>
      <c r="J50" s="55">
        <v>394</v>
      </c>
      <c r="K50" s="413">
        <v>65</v>
      </c>
      <c r="L50" s="272">
        <f t="shared" ref="L50" si="29">J50*K50</f>
        <v>25610</v>
      </c>
      <c r="M50" s="55">
        <v>394</v>
      </c>
      <c r="N50" s="130">
        <v>65</v>
      </c>
      <c r="O50" s="272">
        <f t="shared" ref="O50" si="30">M50*N50</f>
        <v>25610</v>
      </c>
      <c r="P50" s="491">
        <f t="shared" ref="P50" si="31">K50-N50</f>
        <v>0</v>
      </c>
      <c r="Q50" s="492">
        <f t="shared" ref="Q50" si="32">L50-O50</f>
        <v>0</v>
      </c>
    </row>
    <row r="51" spans="2:17" ht="12.75" customHeight="1" x14ac:dyDescent="0.2">
      <c r="B51" s="47"/>
      <c r="F51" s="61"/>
      <c r="G51" s="55"/>
      <c r="H51" s="189"/>
      <c r="I51" s="272"/>
      <c r="J51" s="55"/>
      <c r="K51" s="413"/>
      <c r="L51" s="272"/>
      <c r="M51" s="55"/>
      <c r="N51" s="189"/>
      <c r="O51" s="272"/>
      <c r="P51" s="413"/>
      <c r="Q51" s="67"/>
    </row>
    <row r="52" spans="2:17" ht="12.75" customHeight="1" x14ac:dyDescent="0.2">
      <c r="B52" s="47"/>
      <c r="F52" s="61"/>
      <c r="G52" s="55"/>
      <c r="H52" s="130"/>
      <c r="I52" s="272"/>
      <c r="J52" s="55"/>
      <c r="K52" s="413"/>
      <c r="L52" s="272"/>
      <c r="M52" s="55"/>
      <c r="N52" s="130"/>
      <c r="O52" s="272"/>
      <c r="P52" s="413"/>
      <c r="Q52" s="67"/>
    </row>
    <row r="53" spans="2:17" ht="12.75" customHeight="1" x14ac:dyDescent="0.2">
      <c r="B53" s="47"/>
      <c r="C53" s="315" t="s">
        <v>281</v>
      </c>
      <c r="D53" s="316" t="s">
        <v>848</v>
      </c>
      <c r="E53" s="304"/>
      <c r="F53" s="310"/>
      <c r="G53" s="55"/>
      <c r="H53" s="190"/>
      <c r="I53" s="190"/>
      <c r="J53" s="55"/>
      <c r="K53" s="413"/>
      <c r="L53" s="190"/>
      <c r="M53" s="55"/>
      <c r="N53" s="190"/>
      <c r="O53" s="190"/>
      <c r="P53" s="413"/>
      <c r="Q53" s="67"/>
    </row>
    <row r="54" spans="2:17" ht="12.75" customHeight="1" x14ac:dyDescent="0.2">
      <c r="B54" s="47"/>
      <c r="C54" s="315"/>
      <c r="D54" s="316" t="s">
        <v>277</v>
      </c>
      <c r="E54" s="308" t="s">
        <v>685</v>
      </c>
      <c r="F54" s="310" t="s">
        <v>829</v>
      </c>
      <c r="G54" s="55">
        <f>179*2.3*0.2+90*5.3*0.2+48*5.3*0.2</f>
        <v>228.62</v>
      </c>
      <c r="H54" s="189">
        <v>80</v>
      </c>
      <c r="I54" s="189">
        <f>G54*H54</f>
        <v>18289.599999999999</v>
      </c>
      <c r="J54" s="55">
        <v>229</v>
      </c>
      <c r="K54" s="413">
        <v>450</v>
      </c>
      <c r="L54" s="189">
        <f t="shared" ref="L54" si="33">J54*K54</f>
        <v>103050</v>
      </c>
      <c r="M54" s="55">
        <v>229</v>
      </c>
      <c r="N54" s="189">
        <v>450</v>
      </c>
      <c r="O54" s="189">
        <f t="shared" ref="O54" si="34">M54*N54</f>
        <v>103050</v>
      </c>
      <c r="P54" s="491">
        <f t="shared" ref="P54" si="35">K54-N54</f>
        <v>0</v>
      </c>
      <c r="Q54" s="492">
        <f t="shared" ref="Q54" si="36">L54-O54</f>
        <v>0</v>
      </c>
    </row>
    <row r="55" spans="2:17" ht="12.75" customHeight="1" x14ac:dyDescent="0.2">
      <c r="B55" s="47"/>
      <c r="D55" s="68"/>
      <c r="E55" s="48"/>
      <c r="F55" s="61"/>
      <c r="G55" s="55"/>
      <c r="H55" s="189"/>
      <c r="I55" s="189"/>
      <c r="J55" s="55"/>
      <c r="K55" s="413"/>
      <c r="L55" s="189"/>
      <c r="M55" s="55"/>
      <c r="N55" s="189"/>
      <c r="O55" s="189"/>
      <c r="P55" s="413"/>
      <c r="Q55" s="67"/>
    </row>
    <row r="56" spans="2:17" ht="12.75" customHeight="1" x14ac:dyDescent="0.2">
      <c r="B56" s="47"/>
      <c r="D56" s="68"/>
      <c r="E56" s="48"/>
      <c r="F56" s="45"/>
      <c r="G56" s="55"/>
      <c r="H56" s="189"/>
      <c r="I56" s="189"/>
      <c r="J56" s="55"/>
      <c r="K56" s="413"/>
      <c r="L56" s="189"/>
      <c r="M56" s="55"/>
      <c r="N56" s="189"/>
      <c r="O56" s="189"/>
      <c r="P56" s="413"/>
      <c r="Q56" s="67"/>
    </row>
    <row r="57" spans="2:17" ht="12.75" customHeight="1" x14ac:dyDescent="0.2">
      <c r="B57" s="47"/>
      <c r="C57" s="315" t="s">
        <v>123</v>
      </c>
      <c r="D57" s="354" t="s">
        <v>473</v>
      </c>
      <c r="E57" s="304"/>
      <c r="F57" s="310"/>
      <c r="G57" s="55"/>
      <c r="H57" s="189"/>
      <c r="I57" s="189"/>
      <c r="J57" s="55"/>
      <c r="K57" s="413"/>
      <c r="L57" s="189"/>
      <c r="M57" s="55"/>
      <c r="N57" s="189"/>
      <c r="O57" s="189"/>
      <c r="P57" s="413"/>
      <c r="Q57" s="67"/>
    </row>
    <row r="58" spans="2:17" ht="12.75" customHeight="1" x14ac:dyDescent="0.2">
      <c r="B58" s="47"/>
      <c r="C58" s="315"/>
      <c r="D58" s="316" t="s">
        <v>277</v>
      </c>
      <c r="E58" s="308" t="s">
        <v>236</v>
      </c>
      <c r="F58" s="310" t="s">
        <v>829</v>
      </c>
      <c r="G58" s="55">
        <f>(0.9*0.3*7200)*2</f>
        <v>3888.0000000000005</v>
      </c>
      <c r="H58" s="189">
        <v>40</v>
      </c>
      <c r="I58" s="189">
        <f>G58*H58</f>
        <v>155520.00000000003</v>
      </c>
      <c r="J58" s="55">
        <v>3888</v>
      </c>
      <c r="K58" s="413">
        <v>55</v>
      </c>
      <c r="L58" s="189">
        <f t="shared" ref="L58" si="37">J58*K58</f>
        <v>213840</v>
      </c>
      <c r="M58" s="55">
        <v>3888</v>
      </c>
      <c r="N58" s="189">
        <v>55</v>
      </c>
      <c r="O58" s="189">
        <f t="shared" ref="O58" si="38">M58*N58</f>
        <v>213840</v>
      </c>
      <c r="P58" s="491">
        <f t="shared" ref="P58" si="39">K58-N58</f>
        <v>0</v>
      </c>
      <c r="Q58" s="492">
        <f t="shared" ref="Q58" si="40">L58-O58</f>
        <v>0</v>
      </c>
    </row>
    <row r="59" spans="2:17" ht="12.75" customHeight="1" x14ac:dyDescent="0.2">
      <c r="B59" s="47"/>
      <c r="C59" s="52"/>
      <c r="D59" s="46"/>
      <c r="F59" s="61"/>
      <c r="G59" s="55"/>
      <c r="H59" s="189"/>
      <c r="I59" s="189"/>
      <c r="J59" s="55"/>
      <c r="K59" s="413"/>
      <c r="L59" s="189"/>
      <c r="M59" s="55"/>
      <c r="N59" s="189"/>
      <c r="O59" s="189"/>
      <c r="P59" s="413"/>
      <c r="Q59" s="67"/>
    </row>
    <row r="60" spans="2:17" ht="12.75" customHeight="1" x14ac:dyDescent="0.2">
      <c r="B60" s="47"/>
      <c r="C60" s="59"/>
      <c r="F60" s="61"/>
      <c r="G60" s="55"/>
      <c r="H60" s="189"/>
      <c r="I60" s="189"/>
      <c r="J60" s="55"/>
      <c r="K60" s="413"/>
      <c r="L60" s="189"/>
      <c r="M60" s="55"/>
      <c r="N60" s="189"/>
      <c r="O60" s="189"/>
      <c r="P60" s="413"/>
      <c r="Q60" s="67"/>
    </row>
    <row r="61" spans="2:17" ht="12.75" customHeight="1" x14ac:dyDescent="0.2">
      <c r="B61" s="374">
        <v>3500</v>
      </c>
      <c r="C61" s="371" t="s">
        <v>255</v>
      </c>
      <c r="D61" s="372"/>
      <c r="E61" s="373"/>
      <c r="F61" s="310"/>
      <c r="G61" s="55"/>
      <c r="H61" s="189"/>
      <c r="I61" s="189"/>
      <c r="J61" s="55"/>
      <c r="K61" s="413"/>
      <c r="L61" s="189"/>
      <c r="M61" s="55"/>
      <c r="N61" s="189"/>
      <c r="O61" s="189"/>
      <c r="P61" s="413"/>
      <c r="Q61" s="67"/>
    </row>
    <row r="62" spans="2:17" ht="12.75" customHeight="1" x14ac:dyDescent="0.2">
      <c r="B62" s="298"/>
      <c r="C62" s="315"/>
      <c r="D62" s="316"/>
      <c r="E62" s="308"/>
      <c r="F62" s="310"/>
      <c r="G62" s="55"/>
      <c r="H62" s="189"/>
      <c r="I62" s="189"/>
      <c r="J62" s="55"/>
      <c r="K62" s="413"/>
      <c r="L62" s="189"/>
      <c r="M62" s="55"/>
      <c r="N62" s="189"/>
      <c r="O62" s="189"/>
      <c r="P62" s="413"/>
      <c r="Q62" s="67"/>
    </row>
    <row r="63" spans="2:17" ht="12.75" customHeight="1" x14ac:dyDescent="0.2">
      <c r="B63" s="298" t="s">
        <v>723</v>
      </c>
      <c r="C63" s="315" t="s">
        <v>724</v>
      </c>
      <c r="D63" s="316"/>
      <c r="E63" s="308"/>
      <c r="F63" s="310"/>
      <c r="G63" s="55"/>
      <c r="H63" s="189"/>
      <c r="I63" s="189"/>
      <c r="J63" s="55"/>
      <c r="K63" s="413"/>
      <c r="L63" s="189"/>
      <c r="M63" s="55"/>
      <c r="N63" s="189"/>
      <c r="O63" s="189"/>
      <c r="P63" s="413"/>
      <c r="Q63" s="67"/>
    </row>
    <row r="64" spans="2:17" ht="12.75" customHeight="1" x14ac:dyDescent="0.2">
      <c r="B64" s="298"/>
      <c r="C64" s="315" t="s">
        <v>21</v>
      </c>
      <c r="D64" s="316"/>
      <c r="E64" s="308"/>
      <c r="F64" s="310"/>
      <c r="G64" s="55"/>
      <c r="H64" s="189"/>
      <c r="I64" s="189"/>
      <c r="J64" s="55"/>
      <c r="K64" s="413"/>
      <c r="L64" s="189"/>
      <c r="M64" s="55"/>
      <c r="N64" s="189"/>
      <c r="O64" s="189"/>
      <c r="P64" s="413"/>
      <c r="Q64" s="67"/>
    </row>
    <row r="65" spans="2:18" ht="12.75" customHeight="1" x14ac:dyDescent="0.2">
      <c r="B65" s="298"/>
      <c r="C65" s="315" t="s">
        <v>278</v>
      </c>
      <c r="D65" s="316" t="s">
        <v>771</v>
      </c>
      <c r="E65" s="308"/>
      <c r="F65" s="310" t="s">
        <v>829</v>
      </c>
      <c r="G65" s="55"/>
      <c r="H65" s="189"/>
      <c r="I65" s="189"/>
      <c r="J65" s="55"/>
      <c r="K65" s="413">
        <v>350</v>
      </c>
      <c r="L65" s="189"/>
      <c r="M65" s="55"/>
      <c r="N65" s="189">
        <v>350</v>
      </c>
      <c r="O65" s="189"/>
      <c r="P65" s="413"/>
      <c r="Q65" s="67"/>
    </row>
    <row r="66" spans="2:18" ht="12.75" customHeight="1" x14ac:dyDescent="0.2">
      <c r="B66" s="322"/>
      <c r="C66" s="315"/>
      <c r="D66" s="316"/>
      <c r="E66" s="308"/>
      <c r="F66" s="310"/>
      <c r="G66" s="55"/>
      <c r="H66" s="189"/>
      <c r="I66" s="189"/>
      <c r="J66" s="55"/>
      <c r="K66" s="413"/>
      <c r="L66" s="189"/>
      <c r="M66" s="55"/>
      <c r="N66" s="189"/>
      <c r="O66" s="189"/>
      <c r="P66" s="413"/>
      <c r="Q66" s="67"/>
    </row>
    <row r="67" spans="2:18" ht="12.75" customHeight="1" x14ac:dyDescent="0.2">
      <c r="B67" s="322"/>
      <c r="C67" s="315" t="s">
        <v>279</v>
      </c>
      <c r="D67" s="316" t="s">
        <v>694</v>
      </c>
      <c r="E67" s="308"/>
      <c r="F67" s="310" t="s">
        <v>829</v>
      </c>
      <c r="G67" s="55">
        <f>179*2.3*0.2+90*5.3*0.2+48*5.3*0.2</f>
        <v>228.62</v>
      </c>
      <c r="H67" s="189">
        <v>55</v>
      </c>
      <c r="I67" s="189">
        <f>G67*H67</f>
        <v>12574.1</v>
      </c>
      <c r="J67" s="55">
        <v>229</v>
      </c>
      <c r="K67" s="413">
        <v>65</v>
      </c>
      <c r="L67" s="189">
        <f t="shared" ref="L67" si="41">J67*K67</f>
        <v>14885</v>
      </c>
      <c r="M67" s="55">
        <v>229</v>
      </c>
      <c r="N67" s="189">
        <v>65</v>
      </c>
      <c r="O67" s="189">
        <f t="shared" ref="O67" si="42">M67*N67</f>
        <v>14885</v>
      </c>
      <c r="P67" s="491">
        <f t="shared" ref="P67" si="43">K67-N67</f>
        <v>0</v>
      </c>
      <c r="Q67" s="492">
        <f t="shared" ref="Q67" si="44">L67-O67</f>
        <v>0</v>
      </c>
    </row>
    <row r="68" spans="2:18" ht="12.75" customHeight="1" x14ac:dyDescent="0.2">
      <c r="B68" s="47"/>
      <c r="C68" s="52"/>
      <c r="D68" s="46"/>
      <c r="F68" s="61"/>
      <c r="G68" s="55"/>
      <c r="H68" s="189"/>
      <c r="I68" s="189"/>
      <c r="J68" s="55"/>
      <c r="K68" s="413"/>
      <c r="L68" s="189"/>
      <c r="M68" s="55"/>
      <c r="N68" s="189"/>
      <c r="O68" s="189"/>
      <c r="P68" s="413"/>
      <c r="Q68" s="67"/>
    </row>
    <row r="69" spans="2:18" ht="12.75" customHeight="1" x14ac:dyDescent="0.2">
      <c r="B69" s="298">
        <v>35.020000000000003</v>
      </c>
      <c r="C69" s="315" t="s">
        <v>455</v>
      </c>
      <c r="D69" s="316"/>
      <c r="E69" s="308"/>
      <c r="F69" s="310"/>
      <c r="G69" s="55"/>
      <c r="H69" s="189"/>
      <c r="I69" s="189"/>
      <c r="J69" s="55"/>
      <c r="K69" s="413"/>
      <c r="L69" s="189"/>
      <c r="M69" s="55"/>
      <c r="N69" s="189"/>
      <c r="O69" s="189"/>
      <c r="P69" s="413"/>
      <c r="Q69" s="67"/>
    </row>
    <row r="70" spans="2:18" ht="12.75" customHeight="1" x14ac:dyDescent="0.2">
      <c r="B70" s="298"/>
      <c r="C70" s="315" t="s">
        <v>281</v>
      </c>
      <c r="D70" s="316" t="s">
        <v>237</v>
      </c>
      <c r="E70" s="308"/>
      <c r="F70" s="310" t="s">
        <v>317</v>
      </c>
      <c r="G70" s="55"/>
      <c r="H70" s="189"/>
      <c r="I70" s="189"/>
      <c r="J70" s="55"/>
      <c r="K70" s="413">
        <v>3500</v>
      </c>
      <c r="L70" s="189"/>
      <c r="M70" s="55"/>
      <c r="N70" s="189">
        <v>3500</v>
      </c>
      <c r="O70" s="189"/>
      <c r="P70" s="491">
        <f t="shared" ref="P70" si="45">K70-N70</f>
        <v>0</v>
      </c>
      <c r="Q70" s="492">
        <f t="shared" ref="Q70" si="46">L70-O70</f>
        <v>0</v>
      </c>
    </row>
    <row r="71" spans="2:18" ht="12.75" customHeight="1" x14ac:dyDescent="0.2">
      <c r="B71" s="298"/>
      <c r="C71" s="315"/>
      <c r="D71" s="316"/>
      <c r="E71" s="308"/>
      <c r="F71" s="310"/>
      <c r="G71" s="55"/>
      <c r="H71" s="189"/>
      <c r="I71" s="189"/>
      <c r="J71" s="55"/>
      <c r="K71" s="413"/>
      <c r="L71" s="189"/>
      <c r="M71" s="55"/>
      <c r="N71" s="189"/>
      <c r="O71" s="189"/>
      <c r="P71" s="413"/>
      <c r="Q71" s="67"/>
    </row>
    <row r="72" spans="2:18" ht="12.75" customHeight="1" x14ac:dyDescent="0.2">
      <c r="B72" s="298"/>
      <c r="C72" s="315" t="s">
        <v>122</v>
      </c>
      <c r="D72" s="316" t="s">
        <v>238</v>
      </c>
      <c r="E72" s="308"/>
      <c r="F72" s="310" t="s">
        <v>317</v>
      </c>
      <c r="G72" s="55">
        <f>228.6*0.03</f>
        <v>6.8579999999999997</v>
      </c>
      <c r="H72" s="189">
        <v>2500</v>
      </c>
      <c r="I72" s="189">
        <f>G72*H72</f>
        <v>17145</v>
      </c>
      <c r="J72" s="55">
        <v>7</v>
      </c>
      <c r="K72" s="413">
        <v>3500</v>
      </c>
      <c r="L72" s="189">
        <f t="shared" ref="L72" si="47">J72*K72</f>
        <v>24500</v>
      </c>
      <c r="M72" s="55">
        <v>7</v>
      </c>
      <c r="N72" s="189">
        <v>3500</v>
      </c>
      <c r="O72" s="189">
        <f t="shared" ref="O72" si="48">M72*N72</f>
        <v>24500</v>
      </c>
      <c r="P72" s="491">
        <f t="shared" ref="P72" si="49">K72-N72</f>
        <v>0</v>
      </c>
      <c r="Q72" s="492">
        <f t="shared" ref="Q72" si="50">L72-O72</f>
        <v>0</v>
      </c>
    </row>
    <row r="73" spans="2:18" ht="12.75" customHeight="1" x14ac:dyDescent="0.2">
      <c r="B73" s="47"/>
      <c r="F73" s="61"/>
      <c r="G73" s="55"/>
      <c r="H73" s="189"/>
      <c r="I73" s="189"/>
      <c r="J73" s="55"/>
      <c r="K73" s="413"/>
      <c r="L73" s="189"/>
      <c r="M73" s="55"/>
      <c r="N73" s="189"/>
      <c r="O73" s="189"/>
      <c r="P73" s="413"/>
      <c r="Q73" s="67"/>
    </row>
    <row r="74" spans="2:18" ht="12.75" customHeight="1" x14ac:dyDescent="0.2">
      <c r="B74" s="47"/>
      <c r="F74" s="61"/>
      <c r="G74" s="55"/>
      <c r="H74" s="189"/>
      <c r="I74" s="189"/>
      <c r="J74" s="55"/>
      <c r="K74" s="413"/>
      <c r="L74" s="189"/>
      <c r="M74" s="55"/>
      <c r="N74" s="189"/>
      <c r="O74" s="189"/>
      <c r="P74" s="413"/>
      <c r="Q74" s="67"/>
    </row>
    <row r="75" spans="2:18" ht="12.75" customHeight="1" x14ac:dyDescent="0.2">
      <c r="B75" s="47"/>
      <c r="F75" s="61"/>
      <c r="G75" s="55"/>
      <c r="H75" s="189"/>
      <c r="I75" s="189"/>
      <c r="J75" s="55"/>
      <c r="K75" s="413"/>
      <c r="L75" s="189"/>
      <c r="M75" s="55"/>
      <c r="N75" s="189"/>
      <c r="O75" s="189"/>
      <c r="P75" s="413"/>
      <c r="Q75" s="67"/>
    </row>
    <row r="76" spans="2:18" s="73" customFormat="1" ht="12.75" customHeight="1" thickBot="1" x14ac:dyDescent="0.25">
      <c r="B76" s="47"/>
      <c r="C76" s="56"/>
      <c r="D76" s="57"/>
      <c r="E76" s="67"/>
      <c r="G76" s="55"/>
      <c r="H76" s="189"/>
      <c r="I76" s="189"/>
      <c r="J76" s="55"/>
      <c r="K76" s="413"/>
      <c r="L76" s="189"/>
      <c r="M76" s="55"/>
      <c r="N76" s="189"/>
      <c r="O76" s="189"/>
      <c r="P76" s="413"/>
      <c r="Q76" s="67"/>
      <c r="R76" s="77"/>
    </row>
    <row r="77" spans="2:18" s="73" customFormat="1" ht="12.75" customHeight="1" thickBot="1" x14ac:dyDescent="0.25">
      <c r="B77" s="375"/>
      <c r="C77" s="376" t="s">
        <v>872</v>
      </c>
      <c r="D77" s="377"/>
      <c r="E77" s="378"/>
      <c r="F77" s="379"/>
      <c r="G77" s="380"/>
      <c r="H77" s="381"/>
      <c r="I77" s="382">
        <f>SUM(I10:I76)</f>
        <v>789037.18</v>
      </c>
      <c r="J77" s="380"/>
      <c r="K77" s="381"/>
      <c r="L77" s="382">
        <f>SUM(L10:L76)</f>
        <v>1012830</v>
      </c>
      <c r="M77" s="380"/>
      <c r="N77" s="381"/>
      <c r="O77" s="382">
        <f>SUM(O10:O76)</f>
        <v>1012830</v>
      </c>
      <c r="P77" s="382">
        <f t="shared" ref="P77:Q77" si="51">SUM(P12:P76)</f>
        <v>0</v>
      </c>
      <c r="Q77" s="382">
        <f t="shared" si="51"/>
        <v>0</v>
      </c>
      <c r="R77" s="77"/>
    </row>
    <row r="78" spans="2:18" s="73" customFormat="1" ht="12.75" customHeight="1" x14ac:dyDescent="0.2">
      <c r="B78" s="71" t="s">
        <v>873</v>
      </c>
      <c r="C78" s="71"/>
      <c r="D78" s="72"/>
      <c r="E78" s="71"/>
      <c r="G78" s="74"/>
      <c r="H78" s="192"/>
      <c r="I78" s="192"/>
      <c r="J78" s="74"/>
      <c r="K78" s="192"/>
      <c r="L78" s="192"/>
      <c r="M78" s="74"/>
      <c r="N78" s="192"/>
      <c r="O78" s="192"/>
      <c r="P78" s="77"/>
      <c r="Q78" s="77"/>
      <c r="R78" s="77"/>
    </row>
    <row r="79" spans="2:18" s="73" customFormat="1" ht="12.75" customHeight="1" x14ac:dyDescent="0.2">
      <c r="B79" s="71" t="s">
        <v>267</v>
      </c>
      <c r="C79" s="76"/>
      <c r="D79" s="57"/>
      <c r="E79" s="77"/>
      <c r="G79" s="74"/>
      <c r="H79" s="192"/>
      <c r="I79" s="192"/>
      <c r="J79" s="74"/>
      <c r="K79" s="192"/>
      <c r="L79" s="192"/>
      <c r="M79" s="74"/>
      <c r="N79" s="192"/>
      <c r="O79" s="192"/>
      <c r="P79" s="77"/>
      <c r="Q79" s="77"/>
      <c r="R79" s="77"/>
    </row>
    <row r="80" spans="2:18" s="73" customFormat="1" ht="12.75" customHeight="1" thickBot="1" x14ac:dyDescent="0.25">
      <c r="B80" s="76"/>
      <c r="C80" s="76"/>
      <c r="D80" s="57"/>
      <c r="E80" s="77"/>
      <c r="G80" s="74"/>
      <c r="H80" s="195"/>
      <c r="I80" s="195"/>
      <c r="J80" s="74"/>
      <c r="K80" s="195"/>
      <c r="L80" s="195"/>
      <c r="M80" s="74"/>
      <c r="N80" s="195"/>
      <c r="O80" s="195"/>
      <c r="P80" s="77"/>
      <c r="Q80" s="77"/>
      <c r="R80" s="77"/>
    </row>
    <row r="81" spans="2:18" s="73" customFormat="1" ht="12.75" customHeight="1" x14ac:dyDescent="0.2">
      <c r="B81" s="383" t="s">
        <v>263</v>
      </c>
      <c r="C81" s="384" t="s">
        <v>264</v>
      </c>
      <c r="D81" s="385"/>
      <c r="E81" s="386"/>
      <c r="F81" s="386" t="s">
        <v>265</v>
      </c>
      <c r="G81" s="387" t="s">
        <v>68</v>
      </c>
      <c r="H81" s="388" t="s">
        <v>78</v>
      </c>
      <c r="I81" s="389" t="s">
        <v>78</v>
      </c>
      <c r="J81" s="387" t="s">
        <v>68</v>
      </c>
      <c r="K81" s="388" t="s">
        <v>78</v>
      </c>
      <c r="L81" s="389" t="s">
        <v>78</v>
      </c>
      <c r="M81" s="387" t="s">
        <v>68</v>
      </c>
      <c r="N81" s="388" t="s">
        <v>78</v>
      </c>
      <c r="O81" s="389" t="s">
        <v>78</v>
      </c>
      <c r="P81" s="388" t="s">
        <v>78</v>
      </c>
      <c r="Q81" s="389" t="s">
        <v>78</v>
      </c>
      <c r="R81" s="77"/>
    </row>
    <row r="82" spans="2:18" s="73" customFormat="1" ht="12.75" customHeight="1" thickBot="1" x14ac:dyDescent="0.25">
      <c r="B82" s="390" t="s">
        <v>266</v>
      </c>
      <c r="C82" s="391"/>
      <c r="D82" s="392"/>
      <c r="E82" s="393"/>
      <c r="F82" s="393"/>
      <c r="G82" s="394" t="s">
        <v>69</v>
      </c>
      <c r="H82" s="395" t="s">
        <v>262</v>
      </c>
      <c r="I82" s="396" t="s">
        <v>70</v>
      </c>
      <c r="J82" s="394" t="s">
        <v>69</v>
      </c>
      <c r="K82" s="395" t="s">
        <v>262</v>
      </c>
      <c r="L82" s="396" t="s">
        <v>70</v>
      </c>
      <c r="M82" s="394" t="s">
        <v>69</v>
      </c>
      <c r="N82" s="395" t="s">
        <v>262</v>
      </c>
      <c r="O82" s="396" t="s">
        <v>70</v>
      </c>
      <c r="P82" s="395" t="s">
        <v>262</v>
      </c>
      <c r="Q82" s="396" t="s">
        <v>70</v>
      </c>
      <c r="R82" s="77"/>
    </row>
    <row r="83" spans="2:18" s="397" customFormat="1" ht="12.75" customHeight="1" thickBot="1" x14ac:dyDescent="0.25">
      <c r="B83" s="493"/>
      <c r="C83" s="494"/>
      <c r="D83" s="377"/>
      <c r="E83" s="495" t="s">
        <v>874</v>
      </c>
      <c r="F83" s="496"/>
      <c r="G83" s="497"/>
      <c r="H83" s="498"/>
      <c r="I83" s="499">
        <f>I77</f>
        <v>789037.18</v>
      </c>
      <c r="J83" s="497"/>
      <c r="K83" s="500"/>
      <c r="L83" s="499">
        <f t="shared" ref="L83" si="52">L77</f>
        <v>1012830</v>
      </c>
      <c r="M83" s="497"/>
      <c r="N83" s="498"/>
      <c r="O83" s="499">
        <f t="shared" ref="O83:Q83" si="53">O77</f>
        <v>1012830</v>
      </c>
      <c r="P83" s="498">
        <f>P77</f>
        <v>0</v>
      </c>
      <c r="Q83" s="499">
        <f t="shared" si="53"/>
        <v>0</v>
      </c>
      <c r="R83" s="106"/>
    </row>
    <row r="84" spans="2:18" s="73" customFormat="1" ht="12.75" customHeight="1" x14ac:dyDescent="0.2">
      <c r="B84" s="398"/>
      <c r="C84" s="71"/>
      <c r="D84" s="96"/>
      <c r="E84" s="97"/>
      <c r="F84" s="61"/>
      <c r="G84" s="55"/>
      <c r="H84" s="189"/>
      <c r="I84" s="399" t="str">
        <f t="shared" ref="I84:I91" si="54">IF(G84=0," ",G84*H84)</f>
        <v xml:space="preserve"> </v>
      </c>
      <c r="J84" s="55"/>
      <c r="K84" s="413"/>
      <c r="L84" s="399" t="str">
        <f t="shared" ref="L84:L86" si="55">IF(J84=0," ",J84*K84)</f>
        <v xml:space="preserve"> </v>
      </c>
      <c r="M84" s="55"/>
      <c r="N84" s="189"/>
      <c r="O84" s="399" t="str">
        <f t="shared" ref="O84:O86" si="56">IF(M84=0," ",M84*N84)</f>
        <v xml:space="preserve"> </v>
      </c>
      <c r="P84" s="189"/>
      <c r="Q84" s="399"/>
      <c r="R84" s="77"/>
    </row>
    <row r="85" spans="2:18" s="73" customFormat="1" ht="12.75" customHeight="1" x14ac:dyDescent="0.2">
      <c r="B85" s="400">
        <v>3600</v>
      </c>
      <c r="C85" s="371" t="s">
        <v>768</v>
      </c>
      <c r="D85" s="372"/>
      <c r="E85" s="373"/>
      <c r="F85" s="310"/>
      <c r="G85" s="55"/>
      <c r="H85" s="189"/>
      <c r="I85" s="399" t="str">
        <f t="shared" si="54"/>
        <v xml:space="preserve"> </v>
      </c>
      <c r="J85" s="55"/>
      <c r="K85" s="413"/>
      <c r="L85" s="399" t="str">
        <f t="shared" si="55"/>
        <v xml:space="preserve"> </v>
      </c>
      <c r="M85" s="55"/>
      <c r="N85" s="189"/>
      <c r="O85" s="399" t="str">
        <f t="shared" si="56"/>
        <v xml:space="preserve"> </v>
      </c>
      <c r="P85" s="189"/>
      <c r="Q85" s="399"/>
      <c r="R85" s="77"/>
    </row>
    <row r="86" spans="2:18" ht="12.75" customHeight="1" x14ac:dyDescent="0.2">
      <c r="B86" s="401"/>
      <c r="C86" s="315"/>
      <c r="D86" s="316"/>
      <c r="E86" s="308"/>
      <c r="F86" s="310"/>
      <c r="G86" s="110"/>
      <c r="H86" s="189"/>
      <c r="I86" s="399" t="str">
        <f t="shared" si="54"/>
        <v xml:space="preserve"> </v>
      </c>
      <c r="J86" s="110"/>
      <c r="K86" s="413"/>
      <c r="L86" s="399" t="str">
        <f t="shared" si="55"/>
        <v xml:space="preserve"> </v>
      </c>
      <c r="M86" s="110"/>
      <c r="N86" s="189"/>
      <c r="O86" s="399" t="str">
        <f t="shared" si="56"/>
        <v xml:space="preserve"> </v>
      </c>
      <c r="P86" s="189"/>
      <c r="Q86" s="399"/>
    </row>
    <row r="87" spans="2:18" ht="12.75" customHeight="1" x14ac:dyDescent="0.2">
      <c r="B87" s="402">
        <v>36.01</v>
      </c>
      <c r="C87" s="315" t="s">
        <v>692</v>
      </c>
      <c r="D87" s="316"/>
      <c r="E87" s="308"/>
      <c r="F87" s="310"/>
      <c r="G87" s="61"/>
      <c r="H87" s="186"/>
      <c r="I87" s="399"/>
      <c r="J87" s="61"/>
      <c r="K87" s="413"/>
      <c r="L87" s="399"/>
      <c r="M87" s="61"/>
      <c r="N87" s="186"/>
      <c r="O87" s="399"/>
      <c r="P87" s="186"/>
      <c r="Q87" s="399"/>
    </row>
    <row r="88" spans="2:18" ht="12.75" customHeight="1" x14ac:dyDescent="0.2">
      <c r="B88" s="402"/>
      <c r="C88" s="315" t="s">
        <v>276</v>
      </c>
      <c r="D88" s="316" t="s">
        <v>827</v>
      </c>
      <c r="E88" s="308"/>
      <c r="F88" s="310"/>
      <c r="G88" s="182"/>
      <c r="H88" s="130"/>
      <c r="I88" s="403"/>
      <c r="J88" s="182"/>
      <c r="K88" s="413"/>
      <c r="L88" s="403"/>
      <c r="M88" s="182"/>
      <c r="N88" s="130"/>
      <c r="O88" s="403"/>
      <c r="P88" s="130"/>
      <c r="Q88" s="403"/>
    </row>
    <row r="89" spans="2:18" ht="12.75" customHeight="1" x14ac:dyDescent="0.2">
      <c r="B89" s="402"/>
      <c r="C89" s="315"/>
      <c r="D89" s="316" t="s">
        <v>828</v>
      </c>
      <c r="E89" s="308"/>
      <c r="F89" s="310"/>
      <c r="G89" s="61"/>
      <c r="H89" s="189"/>
      <c r="I89" s="403" t="str">
        <f t="shared" si="54"/>
        <v xml:space="preserve"> </v>
      </c>
      <c r="J89" s="61"/>
      <c r="K89" s="413"/>
      <c r="L89" s="403" t="str">
        <f t="shared" ref="L89" si="57">IF(J89=0," ",J89*K89)</f>
        <v xml:space="preserve"> </v>
      </c>
      <c r="M89" s="61"/>
      <c r="N89" s="189"/>
      <c r="O89" s="403" t="str">
        <f t="shared" ref="O89" si="58">IF(M89=0," ",M89*N89)</f>
        <v xml:space="preserve"> </v>
      </c>
      <c r="P89" s="189"/>
      <c r="Q89" s="403"/>
    </row>
    <row r="90" spans="2:18" ht="12.75" customHeight="1" x14ac:dyDescent="0.2">
      <c r="B90" s="402"/>
      <c r="C90" s="315"/>
      <c r="D90" s="316" t="s">
        <v>693</v>
      </c>
      <c r="E90" s="308"/>
      <c r="F90" s="310" t="s">
        <v>829</v>
      </c>
      <c r="G90" s="182">
        <f>179*2.15*0.15+90*5.15*0.15+48*5.15*0.15</f>
        <v>164.33249999999998</v>
      </c>
      <c r="H90" s="130">
        <v>800</v>
      </c>
      <c r="I90" s="403">
        <f>G90*H90</f>
        <v>131466</v>
      </c>
      <c r="J90" s="182">
        <v>164</v>
      </c>
      <c r="K90" s="413">
        <v>450</v>
      </c>
      <c r="L90" s="403">
        <f t="shared" ref="L90" si="59">J90*K90</f>
        <v>73800</v>
      </c>
      <c r="M90" s="182">
        <v>164</v>
      </c>
      <c r="N90" s="413">
        <v>450</v>
      </c>
      <c r="O90" s="403">
        <f t="shared" ref="O90" si="60">M90*N90</f>
        <v>73800</v>
      </c>
      <c r="P90" s="491">
        <f t="shared" ref="P90" si="61">K90-N90</f>
        <v>0</v>
      </c>
      <c r="Q90" s="492">
        <f t="shared" ref="Q90" si="62">L90-O90</f>
        <v>0</v>
      </c>
    </row>
    <row r="91" spans="2:18" ht="12.75" customHeight="1" x14ac:dyDescent="0.2">
      <c r="B91" s="404"/>
      <c r="C91" s="76"/>
      <c r="D91" s="50"/>
      <c r="E91" s="76"/>
      <c r="F91" s="49"/>
      <c r="G91" s="61"/>
      <c r="H91" s="189"/>
      <c r="I91" s="403" t="str">
        <f t="shared" si="54"/>
        <v xml:space="preserve"> </v>
      </c>
      <c r="J91" s="61"/>
      <c r="K91" s="413"/>
      <c r="L91" s="403" t="str">
        <f t="shared" ref="L91" si="63">IF(J91=0," ",J91*K91)</f>
        <v xml:space="preserve"> </v>
      </c>
      <c r="M91" s="61"/>
      <c r="N91" s="413"/>
      <c r="O91" s="403" t="str">
        <f t="shared" ref="O91" si="64">IF(M91=0," ",M91*N91)</f>
        <v xml:space="preserve"> </v>
      </c>
      <c r="P91" s="189"/>
      <c r="Q91" s="403"/>
    </row>
    <row r="92" spans="2:18" ht="12.75" customHeight="1" x14ac:dyDescent="0.2">
      <c r="B92" s="404"/>
      <c r="C92" s="76"/>
      <c r="D92" s="50"/>
      <c r="E92" s="76"/>
      <c r="F92" s="49"/>
      <c r="G92" s="61"/>
      <c r="H92" s="130"/>
      <c r="I92" s="403"/>
      <c r="J92" s="61"/>
      <c r="K92" s="413"/>
      <c r="L92" s="403"/>
      <c r="M92" s="61"/>
      <c r="N92" s="413"/>
      <c r="O92" s="403"/>
      <c r="P92" s="130"/>
      <c r="Q92" s="403"/>
    </row>
    <row r="93" spans="2:18" ht="12.75" customHeight="1" x14ac:dyDescent="0.2">
      <c r="B93" s="405">
        <v>4100</v>
      </c>
      <c r="C93" s="371" t="s">
        <v>457</v>
      </c>
      <c r="D93" s="372"/>
      <c r="E93" s="373"/>
      <c r="F93" s="310"/>
      <c r="G93" s="61"/>
      <c r="H93" s="189"/>
      <c r="I93" s="403"/>
      <c r="J93" s="61"/>
      <c r="K93" s="413"/>
      <c r="L93" s="403"/>
      <c r="M93" s="61"/>
      <c r="N93" s="413"/>
      <c r="O93" s="403"/>
      <c r="P93" s="189"/>
      <c r="Q93" s="403"/>
    </row>
    <row r="94" spans="2:18" ht="12.75" customHeight="1" x14ac:dyDescent="0.2">
      <c r="B94" s="402"/>
      <c r="C94" s="371"/>
      <c r="D94" s="372"/>
      <c r="E94" s="373"/>
      <c r="F94" s="310"/>
      <c r="G94" s="61"/>
      <c r="H94" s="130"/>
      <c r="I94" s="403"/>
      <c r="J94" s="61"/>
      <c r="K94" s="413"/>
      <c r="L94" s="403"/>
      <c r="M94" s="61"/>
      <c r="N94" s="413"/>
      <c r="O94" s="403"/>
      <c r="P94" s="130"/>
      <c r="Q94" s="403"/>
    </row>
    <row r="95" spans="2:18" ht="12.75" customHeight="1" x14ac:dyDescent="0.2">
      <c r="B95" s="402">
        <v>41.01</v>
      </c>
      <c r="C95" s="315" t="s">
        <v>458</v>
      </c>
      <c r="D95" s="316"/>
      <c r="E95" s="308"/>
      <c r="F95" s="310"/>
      <c r="G95" s="61"/>
      <c r="H95" s="189"/>
      <c r="I95" s="403"/>
      <c r="J95" s="61"/>
      <c r="K95" s="413"/>
      <c r="L95" s="403"/>
      <c r="M95" s="61"/>
      <c r="N95" s="413"/>
      <c r="O95" s="403"/>
      <c r="P95" s="189"/>
      <c r="Q95" s="403"/>
    </row>
    <row r="96" spans="2:18" ht="12.75" customHeight="1" x14ac:dyDescent="0.2">
      <c r="B96" s="402"/>
      <c r="C96" s="315" t="s">
        <v>276</v>
      </c>
      <c r="D96" s="316" t="s">
        <v>239</v>
      </c>
      <c r="E96" s="308"/>
      <c r="F96" s="310" t="s">
        <v>456</v>
      </c>
      <c r="G96" s="61">
        <f>(179*2.15+90*5.15+48*5.15)*0.8</f>
        <v>876.44</v>
      </c>
      <c r="H96" s="130">
        <v>11</v>
      </c>
      <c r="I96" s="403">
        <f>G96*H96</f>
        <v>9640.84</v>
      </c>
      <c r="J96" s="61">
        <v>876.44</v>
      </c>
      <c r="K96" s="413">
        <v>21.38</v>
      </c>
      <c r="L96" s="403">
        <f t="shared" ref="L96" si="65">J96*K96</f>
        <v>18738.287199999999</v>
      </c>
      <c r="M96" s="61">
        <v>876.44</v>
      </c>
      <c r="N96" s="413">
        <v>21.38</v>
      </c>
      <c r="O96" s="403">
        <f t="shared" ref="O96" si="66">M96*N96</f>
        <v>18738.287199999999</v>
      </c>
      <c r="P96" s="491">
        <f t="shared" ref="P96" si="67">K96-N96</f>
        <v>0</v>
      </c>
      <c r="Q96" s="492">
        <f t="shared" ref="Q96" si="68">L96-O96</f>
        <v>0</v>
      </c>
    </row>
    <row r="97" spans="2:17" ht="12.75" customHeight="1" x14ac:dyDescent="0.2">
      <c r="B97" s="404"/>
      <c r="C97" s="76"/>
      <c r="D97" s="50"/>
      <c r="E97" s="76"/>
      <c r="F97" s="49"/>
      <c r="G97" s="61"/>
      <c r="H97" s="189"/>
      <c r="I97" s="403"/>
      <c r="J97" s="61"/>
      <c r="K97" s="413"/>
      <c r="L97" s="403"/>
      <c r="M97" s="61"/>
      <c r="N97" s="413"/>
      <c r="O97" s="403"/>
      <c r="P97" s="189"/>
      <c r="Q97" s="403"/>
    </row>
    <row r="98" spans="2:17" ht="12.75" customHeight="1" x14ac:dyDescent="0.2">
      <c r="B98" s="404"/>
      <c r="C98" s="76"/>
      <c r="D98" s="50"/>
      <c r="E98" s="76"/>
      <c r="F98" s="49"/>
      <c r="G98" s="61"/>
      <c r="H98" s="130"/>
      <c r="I98" s="403"/>
      <c r="J98" s="61"/>
      <c r="K98" s="413"/>
      <c r="L98" s="403"/>
      <c r="M98" s="61"/>
      <c r="N98" s="413"/>
      <c r="O98" s="403"/>
      <c r="P98" s="130"/>
      <c r="Q98" s="403"/>
    </row>
    <row r="99" spans="2:17" ht="12.75" customHeight="1" x14ac:dyDescent="0.2">
      <c r="B99" s="404"/>
      <c r="C99" s="76"/>
      <c r="D99" s="50"/>
      <c r="E99" s="76"/>
      <c r="F99" s="49"/>
      <c r="G99" s="61"/>
      <c r="H99" s="189"/>
      <c r="I99" s="403"/>
      <c r="J99" s="61"/>
      <c r="K99" s="413"/>
      <c r="L99" s="403"/>
      <c r="M99" s="61"/>
      <c r="N99" s="413"/>
      <c r="O99" s="403"/>
      <c r="P99" s="189"/>
      <c r="Q99" s="403"/>
    </row>
    <row r="100" spans="2:17" ht="12.75" customHeight="1" x14ac:dyDescent="0.2">
      <c r="B100" s="405">
        <v>4200</v>
      </c>
      <c r="C100" s="371" t="s">
        <v>696</v>
      </c>
      <c r="D100" s="372"/>
      <c r="E100" s="373"/>
      <c r="F100" s="310"/>
      <c r="G100" s="61"/>
      <c r="H100" s="189"/>
      <c r="I100" s="403"/>
      <c r="J100" s="61"/>
      <c r="K100" s="413"/>
      <c r="L100" s="403"/>
      <c r="M100" s="61"/>
      <c r="N100" s="413"/>
      <c r="O100" s="403"/>
      <c r="P100" s="189"/>
      <c r="Q100" s="403"/>
    </row>
    <row r="101" spans="2:17" ht="12.75" customHeight="1" x14ac:dyDescent="0.2">
      <c r="B101" s="402"/>
      <c r="C101" s="371"/>
      <c r="D101" s="372"/>
      <c r="E101" s="373"/>
      <c r="F101" s="310"/>
      <c r="G101" s="111"/>
      <c r="H101" s="130"/>
      <c r="I101" s="403"/>
      <c r="J101" s="111"/>
      <c r="K101" s="413"/>
      <c r="L101" s="403"/>
      <c r="M101" s="111"/>
      <c r="N101" s="413"/>
      <c r="O101" s="403"/>
      <c r="P101" s="130"/>
      <c r="Q101" s="403"/>
    </row>
    <row r="102" spans="2:17" ht="12.75" customHeight="1" x14ac:dyDescent="0.2">
      <c r="B102" s="401">
        <v>42.02</v>
      </c>
      <c r="C102" s="303" t="s">
        <v>697</v>
      </c>
      <c r="D102" s="299"/>
      <c r="E102" s="299"/>
      <c r="F102" s="298"/>
      <c r="G102" s="111"/>
      <c r="H102" s="130"/>
      <c r="I102" s="403"/>
      <c r="J102" s="111"/>
      <c r="K102" s="413"/>
      <c r="L102" s="403"/>
      <c r="M102" s="111"/>
      <c r="N102" s="413"/>
      <c r="O102" s="403"/>
      <c r="P102" s="130"/>
      <c r="Q102" s="403"/>
    </row>
    <row r="103" spans="2:17" ht="12.75" customHeight="1" x14ac:dyDescent="0.2">
      <c r="B103" s="401"/>
      <c r="C103" s="303" t="s">
        <v>278</v>
      </c>
      <c r="D103" s="299" t="s">
        <v>698</v>
      </c>
      <c r="E103" s="299"/>
      <c r="F103" s="298"/>
      <c r="G103" s="183"/>
      <c r="H103" s="130"/>
      <c r="I103" s="403"/>
      <c r="J103" s="183"/>
      <c r="K103" s="413"/>
      <c r="L103" s="403"/>
      <c r="M103" s="183"/>
      <c r="N103" s="413"/>
      <c r="O103" s="403"/>
      <c r="P103" s="130"/>
      <c r="Q103" s="403"/>
    </row>
    <row r="104" spans="2:17" ht="12.75" customHeight="1" x14ac:dyDescent="0.2">
      <c r="B104" s="401"/>
      <c r="C104" s="303"/>
      <c r="D104" s="299" t="s">
        <v>699</v>
      </c>
      <c r="E104" s="406"/>
      <c r="F104" s="302"/>
      <c r="G104" s="55"/>
      <c r="H104" s="130"/>
      <c r="I104" s="403"/>
      <c r="J104" s="55"/>
      <c r="K104" s="413"/>
      <c r="L104" s="403"/>
      <c r="M104" s="55"/>
      <c r="N104" s="413"/>
      <c r="O104" s="403"/>
      <c r="P104" s="130"/>
      <c r="Q104" s="403"/>
    </row>
    <row r="105" spans="2:17" ht="12.75" customHeight="1" x14ac:dyDescent="0.2">
      <c r="B105" s="401"/>
      <c r="C105" s="303"/>
      <c r="D105" s="366" t="s">
        <v>700</v>
      </c>
      <c r="E105" s="407"/>
      <c r="F105" s="302"/>
      <c r="G105" s="55"/>
      <c r="H105" s="130"/>
      <c r="I105" s="403"/>
      <c r="J105" s="55"/>
      <c r="K105" s="413"/>
      <c r="L105" s="403"/>
      <c r="M105" s="55"/>
      <c r="N105" s="413"/>
      <c r="O105" s="403"/>
      <c r="P105" s="130"/>
      <c r="Q105" s="403"/>
    </row>
    <row r="106" spans="2:17" ht="12.75" customHeight="1" x14ac:dyDescent="0.2">
      <c r="B106" s="401"/>
      <c r="C106" s="303"/>
      <c r="D106" s="366" t="s">
        <v>711</v>
      </c>
      <c r="E106" s="299"/>
      <c r="F106" s="298" t="s">
        <v>275</v>
      </c>
      <c r="G106" s="55">
        <f>(179*2+90*5+48*5)</f>
        <v>1048</v>
      </c>
      <c r="H106" s="130">
        <v>330</v>
      </c>
      <c r="I106" s="403">
        <f>G106*H106</f>
        <v>345840</v>
      </c>
      <c r="J106" s="55">
        <v>1048</v>
      </c>
      <c r="K106" s="413">
        <v>145</v>
      </c>
      <c r="L106" s="403">
        <f t="shared" ref="L106" si="69">J106*K106</f>
        <v>151960</v>
      </c>
      <c r="M106" s="55">
        <v>1048</v>
      </c>
      <c r="N106" s="413">
        <v>145</v>
      </c>
      <c r="O106" s="403">
        <f t="shared" ref="O106" si="70">M106*N106</f>
        <v>151960</v>
      </c>
      <c r="P106" s="491">
        <f t="shared" ref="P106" si="71">K106-N106</f>
        <v>0</v>
      </c>
      <c r="Q106" s="492">
        <f t="shared" ref="Q106" si="72">L106-O106</f>
        <v>0</v>
      </c>
    </row>
    <row r="107" spans="2:17" ht="12.75" customHeight="1" x14ac:dyDescent="0.2">
      <c r="B107" s="402"/>
      <c r="C107" s="315"/>
      <c r="D107" s="316"/>
      <c r="E107" s="308"/>
      <c r="F107" s="310"/>
      <c r="G107" s="55"/>
      <c r="H107" s="130"/>
      <c r="I107" s="403"/>
      <c r="J107" s="55"/>
      <c r="K107" s="413"/>
      <c r="L107" s="403"/>
      <c r="M107" s="55"/>
      <c r="N107" s="413"/>
      <c r="O107" s="403"/>
      <c r="P107" s="130"/>
      <c r="Q107" s="403"/>
    </row>
    <row r="108" spans="2:17" ht="12.75" customHeight="1" x14ac:dyDescent="0.2">
      <c r="B108" s="401">
        <v>42.04</v>
      </c>
      <c r="C108" s="303" t="s">
        <v>701</v>
      </c>
      <c r="D108" s="299"/>
      <c r="E108" s="299"/>
      <c r="F108" s="309" t="s">
        <v>456</v>
      </c>
      <c r="G108" s="55">
        <f>(179*2+90*5+48*5)*0.55</f>
        <v>576.40000000000009</v>
      </c>
      <c r="H108" s="130">
        <v>12</v>
      </c>
      <c r="I108" s="403">
        <f>G108*H108</f>
        <v>6916.8000000000011</v>
      </c>
      <c r="J108" s="55">
        <v>576</v>
      </c>
      <c r="K108" s="413">
        <v>14.86</v>
      </c>
      <c r="L108" s="403">
        <f t="shared" ref="L108" si="73">J108*K108</f>
        <v>8559.36</v>
      </c>
      <c r="M108" s="55">
        <v>576</v>
      </c>
      <c r="N108" s="413">
        <v>14.86</v>
      </c>
      <c r="O108" s="403">
        <f t="shared" ref="O108" si="74">M108*N108</f>
        <v>8559.36</v>
      </c>
      <c r="P108" s="491">
        <f t="shared" ref="P108" si="75">K108-N108</f>
        <v>0</v>
      </c>
      <c r="Q108" s="492">
        <f t="shared" ref="Q108" si="76">L108-O108</f>
        <v>0</v>
      </c>
    </row>
    <row r="109" spans="2:17" ht="12.75" customHeight="1" x14ac:dyDescent="0.2">
      <c r="B109" s="404"/>
      <c r="C109" s="46"/>
      <c r="D109" s="50"/>
      <c r="E109" s="76"/>
      <c r="F109" s="49"/>
      <c r="G109" s="55"/>
      <c r="H109" s="130"/>
      <c r="I109" s="403"/>
      <c r="J109" s="55"/>
      <c r="K109" s="413"/>
      <c r="L109" s="403"/>
      <c r="M109" s="55"/>
      <c r="N109" s="413"/>
      <c r="O109" s="403"/>
      <c r="P109" s="130"/>
      <c r="Q109" s="403"/>
    </row>
    <row r="110" spans="2:17" ht="12.75" customHeight="1" x14ac:dyDescent="0.2">
      <c r="B110" s="404"/>
      <c r="C110" s="46"/>
      <c r="D110" s="50"/>
      <c r="E110" s="76"/>
      <c r="F110" s="49"/>
      <c r="G110" s="55"/>
      <c r="H110" s="130"/>
      <c r="I110" s="403"/>
      <c r="J110" s="55"/>
      <c r="K110" s="413"/>
      <c r="L110" s="403"/>
      <c r="M110" s="55"/>
      <c r="N110" s="413"/>
      <c r="O110" s="403"/>
      <c r="P110" s="130"/>
      <c r="Q110" s="403"/>
    </row>
    <row r="111" spans="2:17" ht="12.75" customHeight="1" x14ac:dyDescent="0.2">
      <c r="B111" s="401" t="s">
        <v>708</v>
      </c>
      <c r="C111" s="303" t="s">
        <v>719</v>
      </c>
      <c r="D111" s="299"/>
      <c r="E111" s="299"/>
      <c r="F111" s="298" t="s">
        <v>254</v>
      </c>
      <c r="G111" s="55">
        <v>10</v>
      </c>
      <c r="H111" s="130">
        <v>100</v>
      </c>
      <c r="I111" s="403">
        <f>G111*H111</f>
        <v>1000</v>
      </c>
      <c r="J111" s="55">
        <v>10</v>
      </c>
      <c r="K111" s="413">
        <v>150</v>
      </c>
      <c r="L111" s="403">
        <f t="shared" ref="L111" si="77">J111*K111</f>
        <v>1500</v>
      </c>
      <c r="M111" s="55">
        <v>10</v>
      </c>
      <c r="N111" s="413">
        <v>150</v>
      </c>
      <c r="O111" s="403">
        <f t="shared" ref="O111" si="78">M111*N111</f>
        <v>1500</v>
      </c>
      <c r="P111" s="491">
        <f t="shared" ref="P111" si="79">K111-N111</f>
        <v>0</v>
      </c>
      <c r="Q111" s="492">
        <f t="shared" ref="Q111" si="80">L111-O111</f>
        <v>0</v>
      </c>
    </row>
    <row r="112" spans="2:17" ht="12.75" customHeight="1" x14ac:dyDescent="0.2">
      <c r="B112" s="404"/>
      <c r="C112" s="46"/>
      <c r="D112" s="50"/>
      <c r="E112" s="76"/>
      <c r="F112" s="49"/>
      <c r="G112" s="55"/>
      <c r="H112" s="130"/>
      <c r="I112" s="403"/>
      <c r="J112" s="55"/>
      <c r="K112" s="413"/>
      <c r="L112" s="403"/>
      <c r="M112" s="55"/>
      <c r="N112" s="130"/>
      <c r="O112" s="403"/>
      <c r="P112" s="130"/>
      <c r="Q112" s="403"/>
    </row>
    <row r="113" spans="2:17" ht="12.75" customHeight="1" x14ac:dyDescent="0.2">
      <c r="B113" s="404"/>
      <c r="C113" s="46"/>
      <c r="D113" s="50"/>
      <c r="E113" s="76"/>
      <c r="F113" s="49"/>
      <c r="G113" s="55"/>
      <c r="H113" s="130"/>
      <c r="I113" s="403"/>
      <c r="J113" s="55"/>
      <c r="K113" s="413"/>
      <c r="L113" s="403"/>
      <c r="M113" s="55"/>
      <c r="N113" s="130"/>
      <c r="O113" s="403"/>
      <c r="P113" s="130"/>
      <c r="Q113" s="403"/>
    </row>
    <row r="114" spans="2:17" ht="12.75" customHeight="1" x14ac:dyDescent="0.2">
      <c r="B114" s="404"/>
      <c r="C114" s="46"/>
      <c r="D114" s="50"/>
      <c r="E114" s="76"/>
      <c r="F114" s="49"/>
      <c r="G114" s="55"/>
      <c r="H114" s="189"/>
      <c r="I114" s="403"/>
      <c r="J114" s="55"/>
      <c r="K114" s="413"/>
      <c r="L114" s="403"/>
      <c r="M114" s="55"/>
      <c r="N114" s="189"/>
      <c r="O114" s="403"/>
      <c r="P114" s="189"/>
      <c r="Q114" s="403"/>
    </row>
    <row r="115" spans="2:17" ht="12.75" customHeight="1" x14ac:dyDescent="0.2">
      <c r="B115" s="404"/>
      <c r="C115" s="46"/>
      <c r="D115" s="50"/>
      <c r="E115" s="50"/>
      <c r="F115" s="45"/>
      <c r="G115" s="111"/>
      <c r="H115" s="189"/>
      <c r="I115" s="403"/>
      <c r="J115" s="111"/>
      <c r="K115" s="413"/>
      <c r="L115" s="403"/>
      <c r="M115" s="111"/>
      <c r="N115" s="189"/>
      <c r="O115" s="403"/>
      <c r="P115" s="189"/>
      <c r="Q115" s="403"/>
    </row>
    <row r="116" spans="2:17" ht="12.75" customHeight="1" x14ac:dyDescent="0.2">
      <c r="B116" s="404"/>
      <c r="C116" s="46"/>
      <c r="D116" s="46"/>
      <c r="E116" s="50"/>
      <c r="F116" s="49"/>
      <c r="G116" s="111"/>
      <c r="H116" s="189"/>
      <c r="I116" s="403"/>
      <c r="J116" s="111"/>
      <c r="K116" s="413"/>
      <c r="L116" s="403"/>
      <c r="M116" s="111"/>
      <c r="N116" s="189"/>
      <c r="O116" s="403"/>
      <c r="P116" s="189"/>
      <c r="Q116" s="403"/>
    </row>
    <row r="117" spans="2:17" ht="12.75" customHeight="1" x14ac:dyDescent="0.2">
      <c r="B117" s="404"/>
      <c r="C117" s="46"/>
      <c r="D117" s="50"/>
      <c r="E117" s="46"/>
      <c r="F117" s="49"/>
      <c r="G117" s="111"/>
      <c r="H117" s="130"/>
      <c r="I117" s="403"/>
      <c r="J117" s="111"/>
      <c r="K117" s="413"/>
      <c r="L117" s="403"/>
      <c r="M117" s="111"/>
      <c r="N117" s="130"/>
      <c r="O117" s="403"/>
      <c r="P117" s="130"/>
      <c r="Q117" s="403"/>
    </row>
    <row r="118" spans="2:17" ht="12.75" customHeight="1" x14ac:dyDescent="0.2">
      <c r="B118" s="404"/>
      <c r="C118" s="46"/>
      <c r="D118" s="50"/>
      <c r="E118" s="50"/>
      <c r="F118" s="45"/>
      <c r="G118" s="111"/>
      <c r="H118" s="189"/>
      <c r="I118" s="403"/>
      <c r="J118" s="111"/>
      <c r="K118" s="413"/>
      <c r="L118" s="403"/>
      <c r="M118" s="111"/>
      <c r="N118" s="189"/>
      <c r="O118" s="403"/>
      <c r="P118" s="189"/>
      <c r="Q118" s="403"/>
    </row>
    <row r="119" spans="2:17" ht="12.75" customHeight="1" x14ac:dyDescent="0.2">
      <c r="B119" s="404"/>
      <c r="C119" s="46"/>
      <c r="D119" s="46"/>
      <c r="E119" s="50"/>
      <c r="F119" s="49"/>
      <c r="G119" s="111"/>
      <c r="H119" s="130"/>
      <c r="I119" s="403"/>
      <c r="J119" s="111"/>
      <c r="K119" s="413"/>
      <c r="L119" s="403"/>
      <c r="M119" s="111"/>
      <c r="N119" s="130"/>
      <c r="O119" s="403"/>
      <c r="P119" s="130"/>
      <c r="Q119" s="403"/>
    </row>
    <row r="120" spans="2:17" ht="12.75" customHeight="1" x14ac:dyDescent="0.2">
      <c r="B120" s="404"/>
      <c r="C120" s="46"/>
      <c r="D120" s="46"/>
      <c r="E120" s="50"/>
      <c r="F120" s="49"/>
      <c r="G120" s="111"/>
      <c r="H120" s="189"/>
      <c r="I120" s="403"/>
      <c r="J120" s="111"/>
      <c r="K120" s="413"/>
      <c r="L120" s="403"/>
      <c r="M120" s="111"/>
      <c r="N120" s="189"/>
      <c r="O120" s="403"/>
      <c r="P120" s="189"/>
      <c r="Q120" s="403"/>
    </row>
    <row r="121" spans="2:17" ht="12.75" customHeight="1" x14ac:dyDescent="0.2">
      <c r="B121" s="404"/>
      <c r="C121" s="46"/>
      <c r="D121" s="219"/>
      <c r="E121" s="50"/>
      <c r="F121" s="49"/>
      <c r="G121" s="111"/>
      <c r="H121" s="189"/>
      <c r="I121" s="403"/>
      <c r="J121" s="111"/>
      <c r="K121" s="413"/>
      <c r="L121" s="403"/>
      <c r="M121" s="111"/>
      <c r="N121" s="189"/>
      <c r="O121" s="403"/>
      <c r="P121" s="189"/>
      <c r="Q121" s="403"/>
    </row>
    <row r="122" spans="2:17" ht="12.75" customHeight="1" x14ac:dyDescent="0.2">
      <c r="B122" s="404"/>
      <c r="C122" s="46"/>
      <c r="D122" s="46"/>
      <c r="E122" s="50"/>
      <c r="F122" s="49"/>
      <c r="G122" s="111"/>
      <c r="H122" s="189"/>
      <c r="I122" s="403"/>
      <c r="J122" s="111"/>
      <c r="K122" s="413"/>
      <c r="L122" s="403"/>
      <c r="M122" s="111"/>
      <c r="N122" s="189"/>
      <c r="O122" s="403"/>
      <c r="P122" s="189"/>
      <c r="Q122" s="403"/>
    </row>
    <row r="123" spans="2:17" ht="12.75" customHeight="1" x14ac:dyDescent="0.2">
      <c r="B123" s="404"/>
      <c r="C123" s="46"/>
      <c r="D123" s="50"/>
      <c r="E123" s="50"/>
      <c r="F123" s="49"/>
      <c r="G123" s="111"/>
      <c r="H123" s="130"/>
      <c r="I123" s="403"/>
      <c r="J123" s="111"/>
      <c r="K123" s="413"/>
      <c r="L123" s="403"/>
      <c r="M123" s="111"/>
      <c r="N123" s="130"/>
      <c r="O123" s="403"/>
      <c r="P123" s="130"/>
      <c r="Q123" s="403"/>
    </row>
    <row r="124" spans="2:17" ht="12.75" customHeight="1" x14ac:dyDescent="0.2">
      <c r="B124" s="404"/>
      <c r="C124" s="46"/>
      <c r="D124" s="50"/>
      <c r="E124" s="50"/>
      <c r="F124" s="49"/>
      <c r="G124" s="111"/>
      <c r="H124" s="189"/>
      <c r="I124" s="403"/>
      <c r="J124" s="111"/>
      <c r="K124" s="413"/>
      <c r="L124" s="403"/>
      <c r="M124" s="111"/>
      <c r="N124" s="189"/>
      <c r="O124" s="403"/>
      <c r="P124" s="189"/>
      <c r="Q124" s="403"/>
    </row>
    <row r="125" spans="2:17" ht="12.75" customHeight="1" x14ac:dyDescent="0.2">
      <c r="B125" s="404"/>
      <c r="C125" s="46"/>
      <c r="D125" s="50"/>
      <c r="E125" s="50"/>
      <c r="F125" s="49"/>
      <c r="G125" s="111"/>
      <c r="H125" s="130"/>
      <c r="I125" s="403"/>
      <c r="J125" s="111"/>
      <c r="K125" s="413"/>
      <c r="L125" s="403"/>
      <c r="M125" s="111"/>
      <c r="N125" s="130"/>
      <c r="O125" s="403"/>
      <c r="P125" s="130"/>
      <c r="Q125" s="403"/>
    </row>
    <row r="126" spans="2:17" ht="12.75" customHeight="1" x14ac:dyDescent="0.2">
      <c r="B126" s="404"/>
      <c r="C126" s="46"/>
      <c r="D126" s="50"/>
      <c r="E126" s="50"/>
      <c r="F126" s="49"/>
      <c r="G126" s="111"/>
      <c r="H126" s="189"/>
      <c r="I126" s="403"/>
      <c r="J126" s="111"/>
      <c r="K126" s="413"/>
      <c r="L126" s="403"/>
      <c r="M126" s="111"/>
      <c r="N126" s="189"/>
      <c r="O126" s="403"/>
      <c r="P126" s="189"/>
      <c r="Q126" s="403"/>
    </row>
    <row r="127" spans="2:17" ht="12.75" customHeight="1" x14ac:dyDescent="0.2">
      <c r="B127" s="404"/>
      <c r="C127" s="46"/>
      <c r="D127" s="50"/>
      <c r="E127" s="50"/>
      <c r="F127" s="49"/>
      <c r="G127" s="111"/>
      <c r="H127" s="130"/>
      <c r="I127" s="403"/>
      <c r="J127" s="111"/>
      <c r="K127" s="413"/>
      <c r="L127" s="403"/>
      <c r="M127" s="111"/>
      <c r="N127" s="130"/>
      <c r="O127" s="403"/>
      <c r="P127" s="130"/>
      <c r="Q127" s="403"/>
    </row>
    <row r="128" spans="2:17" ht="12.75" customHeight="1" x14ac:dyDescent="0.2">
      <c r="B128" s="404"/>
      <c r="C128" s="46"/>
      <c r="D128" s="50"/>
      <c r="E128" s="50"/>
      <c r="F128" s="49"/>
      <c r="G128" s="111"/>
      <c r="H128" s="189"/>
      <c r="I128" s="403"/>
      <c r="J128" s="111"/>
      <c r="K128" s="413"/>
      <c r="L128" s="403"/>
      <c r="M128" s="111"/>
      <c r="N128" s="189"/>
      <c r="O128" s="403"/>
      <c r="P128" s="189"/>
      <c r="Q128" s="403"/>
    </row>
    <row r="129" spans="2:17" ht="12.75" customHeight="1" x14ac:dyDescent="0.2">
      <c r="B129" s="404"/>
      <c r="C129" s="46"/>
      <c r="D129" s="46"/>
      <c r="E129" s="50"/>
      <c r="F129" s="49"/>
      <c r="G129" s="111"/>
      <c r="H129" s="189"/>
      <c r="I129" s="403"/>
      <c r="J129" s="111"/>
      <c r="K129" s="413"/>
      <c r="L129" s="403"/>
      <c r="M129" s="111"/>
      <c r="N129" s="189"/>
      <c r="O129" s="403"/>
      <c r="P129" s="189"/>
      <c r="Q129" s="403"/>
    </row>
    <row r="130" spans="2:17" ht="12.75" customHeight="1" x14ac:dyDescent="0.2">
      <c r="B130" s="404"/>
      <c r="C130" s="46"/>
      <c r="D130" s="50"/>
      <c r="E130" s="50"/>
      <c r="F130" s="49"/>
      <c r="G130" s="111"/>
      <c r="H130" s="130"/>
      <c r="I130" s="403"/>
      <c r="J130" s="111"/>
      <c r="K130" s="413"/>
      <c r="L130" s="403"/>
      <c r="M130" s="111"/>
      <c r="N130" s="130"/>
      <c r="O130" s="403"/>
      <c r="P130" s="130"/>
      <c r="Q130" s="403"/>
    </row>
    <row r="131" spans="2:17" ht="12.75" customHeight="1" x14ac:dyDescent="0.2">
      <c r="B131" s="404"/>
      <c r="C131" s="46"/>
      <c r="D131" s="46"/>
      <c r="E131" s="120"/>
      <c r="F131" s="49"/>
      <c r="G131" s="111"/>
      <c r="H131" s="189"/>
      <c r="I131" s="403"/>
      <c r="J131" s="111"/>
      <c r="K131" s="413"/>
      <c r="L131" s="403"/>
      <c r="M131" s="111"/>
      <c r="N131" s="189"/>
      <c r="O131" s="403"/>
      <c r="P131" s="189"/>
      <c r="Q131" s="403"/>
    </row>
    <row r="132" spans="2:17" ht="12.75" customHeight="1" x14ac:dyDescent="0.2">
      <c r="B132" s="404"/>
      <c r="C132" s="46"/>
      <c r="D132" s="46"/>
      <c r="E132" s="46"/>
      <c r="F132" s="49"/>
      <c r="G132" s="111"/>
      <c r="H132" s="130"/>
      <c r="I132" s="403"/>
      <c r="J132" s="111"/>
      <c r="K132" s="413"/>
      <c r="L132" s="403"/>
      <c r="M132" s="111"/>
      <c r="N132" s="130"/>
      <c r="O132" s="403"/>
      <c r="P132" s="130"/>
      <c r="Q132" s="403"/>
    </row>
    <row r="133" spans="2:17" ht="12.75" customHeight="1" x14ac:dyDescent="0.2">
      <c r="B133" s="404"/>
      <c r="C133" s="46"/>
      <c r="D133" s="46"/>
      <c r="E133" s="46"/>
      <c r="F133" s="49"/>
      <c r="G133" s="111"/>
      <c r="H133" s="186"/>
      <c r="I133" s="403"/>
      <c r="J133" s="111"/>
      <c r="K133" s="413"/>
      <c r="L133" s="403"/>
      <c r="M133" s="111"/>
      <c r="N133" s="186"/>
      <c r="O133" s="403"/>
      <c r="P133" s="186"/>
      <c r="Q133" s="403"/>
    </row>
    <row r="134" spans="2:17" ht="12.75" customHeight="1" x14ac:dyDescent="0.2">
      <c r="B134" s="404"/>
      <c r="C134" s="46"/>
      <c r="D134" s="46"/>
      <c r="E134" s="46"/>
      <c r="F134" s="49"/>
      <c r="G134" s="65"/>
      <c r="H134" s="221"/>
      <c r="I134" s="403"/>
      <c r="J134" s="65"/>
      <c r="K134" s="413"/>
      <c r="L134" s="403"/>
      <c r="M134" s="65"/>
      <c r="N134" s="221"/>
      <c r="O134" s="403"/>
      <c r="P134" s="221"/>
      <c r="Q134" s="403"/>
    </row>
    <row r="135" spans="2:17" ht="12.75" customHeight="1" x14ac:dyDescent="0.2">
      <c r="B135" s="404"/>
      <c r="C135" s="46"/>
      <c r="D135" s="50"/>
      <c r="E135" s="46"/>
      <c r="F135" s="49"/>
      <c r="G135" s="111"/>
      <c r="H135" s="186"/>
      <c r="I135" s="403"/>
      <c r="J135" s="111"/>
      <c r="K135" s="413"/>
      <c r="L135" s="403"/>
      <c r="M135" s="111"/>
      <c r="N135" s="186"/>
      <c r="O135" s="403"/>
      <c r="P135" s="186"/>
      <c r="Q135" s="403"/>
    </row>
    <row r="136" spans="2:17" ht="12.75" customHeight="1" x14ac:dyDescent="0.2">
      <c r="B136" s="404"/>
      <c r="C136" s="46"/>
      <c r="D136" s="179"/>
      <c r="E136" s="179"/>
      <c r="F136" s="180"/>
      <c r="G136" s="181"/>
      <c r="H136" s="130"/>
      <c r="I136" s="403"/>
      <c r="J136" s="181"/>
      <c r="K136" s="413"/>
      <c r="L136" s="403"/>
      <c r="M136" s="181"/>
      <c r="N136" s="130"/>
      <c r="O136" s="403"/>
      <c r="P136" s="130"/>
      <c r="Q136" s="403"/>
    </row>
    <row r="137" spans="2:17" ht="12.75" customHeight="1" x14ac:dyDescent="0.2">
      <c r="B137" s="404"/>
      <c r="C137" s="46"/>
      <c r="D137" s="552"/>
      <c r="E137" s="553"/>
      <c r="F137" s="45"/>
      <c r="G137" s="49"/>
      <c r="H137" s="186"/>
      <c r="I137" s="403"/>
      <c r="J137" s="49"/>
      <c r="K137" s="413"/>
      <c r="L137" s="403"/>
      <c r="M137" s="49"/>
      <c r="N137" s="186"/>
      <c r="O137" s="403"/>
      <c r="P137" s="186"/>
      <c r="Q137" s="403"/>
    </row>
    <row r="138" spans="2:17" ht="12.75" customHeight="1" x14ac:dyDescent="0.2">
      <c r="B138" s="404"/>
      <c r="C138" s="46"/>
      <c r="D138" s="46"/>
      <c r="E138" s="46"/>
      <c r="F138" s="45"/>
      <c r="G138" s="111"/>
      <c r="H138" s="186"/>
      <c r="I138" s="399"/>
      <c r="J138" s="111"/>
      <c r="K138" s="413"/>
      <c r="L138" s="399"/>
      <c r="M138" s="111"/>
      <c r="N138" s="186"/>
      <c r="O138" s="399"/>
      <c r="P138" s="186"/>
      <c r="Q138" s="399"/>
    </row>
    <row r="139" spans="2:17" ht="12.75" customHeight="1" x14ac:dyDescent="0.2">
      <c r="B139" s="404"/>
      <c r="C139" s="46"/>
      <c r="D139" s="46"/>
      <c r="E139" s="46"/>
      <c r="F139" s="45"/>
      <c r="G139" s="49"/>
      <c r="H139" s="186"/>
      <c r="I139" s="399"/>
      <c r="J139" s="49"/>
      <c r="K139" s="413"/>
      <c r="L139" s="399"/>
      <c r="M139" s="49"/>
      <c r="N139" s="186"/>
      <c r="O139" s="399"/>
      <c r="P139" s="186"/>
      <c r="Q139" s="399"/>
    </row>
    <row r="140" spans="2:17" ht="12.75" customHeight="1" x14ac:dyDescent="0.2">
      <c r="B140" s="404"/>
      <c r="C140" s="46"/>
      <c r="D140" s="46"/>
      <c r="E140" s="46"/>
      <c r="F140" s="45"/>
      <c r="G140" s="49"/>
      <c r="H140" s="186"/>
      <c r="I140" s="399"/>
      <c r="J140" s="49"/>
      <c r="K140" s="413"/>
      <c r="L140" s="399"/>
      <c r="M140" s="49"/>
      <c r="N140" s="186"/>
      <c r="O140" s="399"/>
      <c r="P140" s="186"/>
      <c r="Q140" s="399"/>
    </row>
    <row r="141" spans="2:17" ht="12.75" customHeight="1" x14ac:dyDescent="0.2">
      <c r="B141" s="404"/>
      <c r="C141" s="46"/>
      <c r="D141" s="46"/>
      <c r="E141" s="46"/>
      <c r="F141" s="45"/>
      <c r="G141" s="49"/>
      <c r="H141" s="186"/>
      <c r="I141" s="399"/>
      <c r="J141" s="49"/>
      <c r="K141" s="413"/>
      <c r="L141" s="399"/>
      <c r="M141" s="49"/>
      <c r="N141" s="186"/>
      <c r="O141" s="399"/>
      <c r="P141" s="186"/>
      <c r="Q141" s="399"/>
    </row>
    <row r="142" spans="2:17" ht="12.75" customHeight="1" x14ac:dyDescent="0.2">
      <c r="B142" s="404"/>
      <c r="C142" s="46"/>
      <c r="D142" s="46"/>
      <c r="E142" s="46"/>
      <c r="F142" s="45"/>
      <c r="G142" s="49"/>
      <c r="H142" s="186"/>
      <c r="I142" s="399"/>
      <c r="J142" s="49"/>
      <c r="K142" s="413"/>
      <c r="L142" s="399"/>
      <c r="M142" s="49"/>
      <c r="N142" s="186"/>
      <c r="O142" s="399"/>
      <c r="P142" s="186"/>
      <c r="Q142" s="399"/>
    </row>
    <row r="143" spans="2:17" ht="12.75" customHeight="1" x14ac:dyDescent="0.2">
      <c r="B143" s="404"/>
      <c r="C143" s="46"/>
      <c r="D143" s="46"/>
      <c r="E143" s="46"/>
      <c r="F143" s="45"/>
      <c r="G143" s="49"/>
      <c r="H143" s="186"/>
      <c r="I143" s="399"/>
      <c r="J143" s="49"/>
      <c r="K143" s="413"/>
      <c r="L143" s="399"/>
      <c r="M143" s="49"/>
      <c r="N143" s="186"/>
      <c r="O143" s="399"/>
      <c r="P143" s="186"/>
      <c r="Q143" s="399"/>
    </row>
    <row r="144" spans="2:17" ht="12.75" customHeight="1" x14ac:dyDescent="0.2">
      <c r="B144" s="404"/>
      <c r="C144" s="46"/>
      <c r="D144" s="46"/>
      <c r="E144" s="46"/>
      <c r="F144" s="45"/>
      <c r="G144" s="49"/>
      <c r="H144" s="186"/>
      <c r="I144" s="399"/>
      <c r="J144" s="49"/>
      <c r="K144" s="413"/>
      <c r="L144" s="399"/>
      <c r="M144" s="49"/>
      <c r="N144" s="186"/>
      <c r="O144" s="399"/>
      <c r="P144" s="186"/>
      <c r="Q144" s="399"/>
    </row>
    <row r="145" spans="2:18" ht="12.75" customHeight="1" x14ac:dyDescent="0.2">
      <c r="B145" s="404"/>
      <c r="C145" s="46"/>
      <c r="D145" s="46"/>
      <c r="E145" s="46"/>
      <c r="F145" s="45"/>
      <c r="G145" s="49"/>
      <c r="H145" s="186"/>
      <c r="I145" s="399"/>
      <c r="J145" s="49"/>
      <c r="K145" s="413"/>
      <c r="L145" s="399"/>
      <c r="M145" s="49"/>
      <c r="N145" s="186"/>
      <c r="O145" s="399"/>
      <c r="P145" s="186"/>
      <c r="Q145" s="399"/>
    </row>
    <row r="146" spans="2:18" ht="12.75" customHeight="1" x14ac:dyDescent="0.2">
      <c r="B146" s="404"/>
      <c r="C146" s="46"/>
      <c r="D146" s="46"/>
      <c r="E146" s="46"/>
      <c r="F146" s="45"/>
      <c r="G146" s="49"/>
      <c r="H146" s="186"/>
      <c r="I146" s="399"/>
      <c r="J146" s="49"/>
      <c r="K146" s="413"/>
      <c r="L146" s="399"/>
      <c r="M146" s="49"/>
      <c r="N146" s="186"/>
      <c r="O146" s="399"/>
      <c r="P146" s="186"/>
      <c r="Q146" s="399"/>
    </row>
    <row r="147" spans="2:18" ht="12.75" customHeight="1" x14ac:dyDescent="0.2">
      <c r="B147" s="404"/>
      <c r="C147" s="46"/>
      <c r="D147" s="46"/>
      <c r="E147" s="46"/>
      <c r="F147" s="45"/>
      <c r="G147" s="49"/>
      <c r="H147" s="186"/>
      <c r="I147" s="399"/>
      <c r="J147" s="49"/>
      <c r="K147" s="413"/>
      <c r="L147" s="399"/>
      <c r="M147" s="49"/>
      <c r="N147" s="186"/>
      <c r="O147" s="399"/>
      <c r="P147" s="186"/>
      <c r="Q147" s="399"/>
    </row>
    <row r="148" spans="2:18" ht="12.75" customHeight="1" x14ac:dyDescent="0.2">
      <c r="B148" s="404"/>
      <c r="C148" s="46"/>
      <c r="D148" s="46"/>
      <c r="E148" s="46"/>
      <c r="F148" s="45"/>
      <c r="G148" s="49"/>
      <c r="H148" s="186"/>
      <c r="I148" s="399"/>
      <c r="J148" s="49"/>
      <c r="K148" s="413"/>
      <c r="L148" s="399"/>
      <c r="M148" s="49"/>
      <c r="N148" s="186"/>
      <c r="O148" s="399"/>
      <c r="P148" s="186"/>
      <c r="Q148" s="399"/>
    </row>
    <row r="149" spans="2:18" ht="12.75" customHeight="1" x14ac:dyDescent="0.2">
      <c r="B149" s="404"/>
      <c r="C149" s="46"/>
      <c r="D149" s="46"/>
      <c r="E149" s="46"/>
      <c r="F149" s="45"/>
      <c r="G149" s="49"/>
      <c r="H149" s="186"/>
      <c r="I149" s="399"/>
      <c r="J149" s="49"/>
      <c r="K149" s="413"/>
      <c r="L149" s="399"/>
      <c r="M149" s="49"/>
      <c r="N149" s="186"/>
      <c r="O149" s="399"/>
      <c r="P149" s="186"/>
      <c r="Q149" s="399"/>
    </row>
    <row r="150" spans="2:18" s="73" customFormat="1" ht="12.75" customHeight="1" x14ac:dyDescent="0.2">
      <c r="B150" s="408"/>
      <c r="C150" s="46"/>
      <c r="D150" s="552"/>
      <c r="E150" s="553"/>
      <c r="F150" s="45"/>
      <c r="G150" s="49"/>
      <c r="H150" s="188"/>
      <c r="I150" s="399" t="str">
        <f>IF(G150=0," ",G150*H150)</f>
        <v xml:space="preserve"> </v>
      </c>
      <c r="J150" s="49"/>
      <c r="K150" s="413"/>
      <c r="L150" s="399" t="str">
        <f t="shared" ref="L150:L152" si="81">IF(J150=0," ",J150*K150)</f>
        <v xml:space="preserve"> </v>
      </c>
      <c r="M150" s="49"/>
      <c r="N150" s="188"/>
      <c r="O150" s="399" t="str">
        <f t="shared" ref="O150:O152" si="82">IF(M150=0," ",M150*N150)</f>
        <v xml:space="preserve"> </v>
      </c>
      <c r="P150" s="188"/>
      <c r="Q150" s="399"/>
      <c r="R150" s="77"/>
    </row>
    <row r="151" spans="2:18" s="73" customFormat="1" ht="12.75" customHeight="1" x14ac:dyDescent="0.2">
      <c r="B151" s="408"/>
      <c r="C151" s="46"/>
      <c r="D151" s="46"/>
      <c r="E151" s="46"/>
      <c r="F151" s="45"/>
      <c r="G151" s="111"/>
      <c r="H151" s="197"/>
      <c r="I151" s="399" t="str">
        <f>IF(G151=0," ",G151*H151)</f>
        <v xml:space="preserve"> </v>
      </c>
      <c r="J151" s="111"/>
      <c r="K151" s="413"/>
      <c r="L151" s="399" t="str">
        <f t="shared" si="81"/>
        <v xml:space="preserve"> </v>
      </c>
      <c r="M151" s="111"/>
      <c r="N151" s="197"/>
      <c r="O151" s="399" t="str">
        <f t="shared" si="82"/>
        <v xml:space="preserve"> </v>
      </c>
      <c r="P151" s="197"/>
      <c r="Q151" s="399"/>
      <c r="R151" s="77"/>
    </row>
    <row r="152" spans="2:18" s="73" customFormat="1" ht="12.75" customHeight="1" x14ac:dyDescent="0.2">
      <c r="B152" s="408"/>
      <c r="C152" s="46"/>
      <c r="D152" s="550"/>
      <c r="E152" s="551"/>
      <c r="F152" s="45"/>
      <c r="G152" s="49"/>
      <c r="H152" s="187"/>
      <c r="I152" s="399" t="str">
        <f>IF(G152=0," ",G152*H152)</f>
        <v xml:space="preserve"> </v>
      </c>
      <c r="J152" s="49"/>
      <c r="K152" s="413"/>
      <c r="L152" s="399" t="str">
        <f t="shared" si="81"/>
        <v xml:space="preserve"> </v>
      </c>
      <c r="M152" s="49"/>
      <c r="N152" s="187"/>
      <c r="O152" s="399" t="str">
        <f t="shared" si="82"/>
        <v xml:space="preserve"> </v>
      </c>
      <c r="P152" s="187"/>
      <c r="Q152" s="399"/>
      <c r="R152" s="77"/>
    </row>
    <row r="153" spans="2:18" s="73" customFormat="1" ht="12.75" customHeight="1" thickBot="1" x14ac:dyDescent="0.25">
      <c r="B153" s="408"/>
      <c r="C153" s="46"/>
      <c r="D153" s="550"/>
      <c r="E153" s="551"/>
      <c r="F153" s="44"/>
      <c r="G153" s="114"/>
      <c r="H153" s="186"/>
      <c r="I153" s="409"/>
      <c r="J153" s="114"/>
      <c r="K153" s="413"/>
      <c r="L153" s="409"/>
      <c r="M153" s="114"/>
      <c r="N153" s="186"/>
      <c r="O153" s="409"/>
      <c r="P153" s="186"/>
      <c r="Q153" s="409"/>
      <c r="R153" s="77"/>
    </row>
    <row r="154" spans="2:18" ht="12.75" customHeight="1" thickBot="1" x14ac:dyDescent="0.25">
      <c r="B154" s="375"/>
      <c r="C154" s="376" t="s">
        <v>875</v>
      </c>
      <c r="D154" s="377"/>
      <c r="E154" s="378"/>
      <c r="F154" s="379"/>
      <c r="G154" s="380"/>
      <c r="H154" s="381"/>
      <c r="I154" s="382">
        <f>SUM(I83:I148)</f>
        <v>1283900.82</v>
      </c>
      <c r="J154" s="380"/>
      <c r="K154" s="381"/>
      <c r="L154" s="382">
        <f>SUM(L83:L148)</f>
        <v>1267387.6472</v>
      </c>
      <c r="M154" s="380"/>
      <c r="N154" s="381"/>
      <c r="O154" s="382">
        <f>SUM(O83:O148)</f>
        <v>1267387.6472</v>
      </c>
      <c r="P154" s="382">
        <f t="shared" ref="P154:Q154" si="83">SUM(P83:P148)</f>
        <v>0</v>
      </c>
      <c r="Q154" s="382">
        <f t="shared" si="83"/>
        <v>0</v>
      </c>
    </row>
    <row r="155" spans="2:18" s="128" customFormat="1" ht="12.75" customHeight="1" x14ac:dyDescent="0.2">
      <c r="B155" s="76"/>
      <c r="C155" s="76"/>
      <c r="D155" s="57"/>
      <c r="E155" s="77"/>
      <c r="F155" s="73"/>
      <c r="G155" s="74"/>
      <c r="H155" s="196"/>
      <c r="I155" s="196"/>
      <c r="J155" s="74"/>
      <c r="K155" s="196"/>
      <c r="L155" s="196"/>
      <c r="M155" s="74"/>
      <c r="N155" s="196"/>
      <c r="O155" s="196"/>
      <c r="P155" s="77"/>
      <c r="Q155" s="77"/>
      <c r="R155" s="77"/>
    </row>
    <row r="156" spans="2:18" s="128" customFormat="1" ht="12.75" customHeight="1" x14ac:dyDescent="0.2">
      <c r="B156" s="76"/>
      <c r="C156" s="76"/>
      <c r="D156" s="57"/>
      <c r="E156" s="77"/>
      <c r="F156" s="73"/>
      <c r="G156" s="74"/>
      <c r="H156" s="196"/>
      <c r="I156" s="196"/>
      <c r="J156" s="74"/>
      <c r="K156" s="196"/>
      <c r="L156" s="196"/>
      <c r="M156" s="74"/>
      <c r="N156" s="196"/>
      <c r="O156" s="196"/>
      <c r="P156" s="77"/>
      <c r="Q156" s="77"/>
      <c r="R156" s="77"/>
    </row>
    <row r="157" spans="2:18" s="128" customFormat="1" ht="12.75" customHeight="1" x14ac:dyDescent="0.2">
      <c r="B157" s="76"/>
      <c r="C157" s="76"/>
      <c r="D157" s="57"/>
      <c r="E157" s="77"/>
      <c r="F157" s="73"/>
      <c r="G157" s="74"/>
      <c r="H157" s="196"/>
      <c r="I157" s="196"/>
      <c r="J157" s="74"/>
      <c r="K157" s="196"/>
      <c r="L157" s="196"/>
      <c r="M157" s="74"/>
      <c r="N157" s="196"/>
      <c r="O157" s="196"/>
      <c r="P157" s="77"/>
      <c r="Q157" s="77"/>
      <c r="R157" s="77"/>
    </row>
    <row r="158" spans="2:18" s="128" customFormat="1" ht="12.75" customHeight="1" x14ac:dyDescent="0.2">
      <c r="B158" s="76"/>
      <c r="C158" s="76"/>
      <c r="D158" s="57"/>
      <c r="E158" s="77"/>
      <c r="F158" s="73"/>
      <c r="G158" s="74"/>
      <c r="H158" s="196"/>
      <c r="I158" s="196"/>
      <c r="J158" s="74"/>
      <c r="K158" s="196"/>
      <c r="L158" s="196"/>
      <c r="M158" s="74"/>
      <c r="N158" s="196"/>
      <c r="O158" s="196"/>
      <c r="P158" s="77"/>
      <c r="Q158" s="77"/>
      <c r="R158" s="77"/>
    </row>
    <row r="159" spans="2:18" s="128" customFormat="1" ht="12.75" customHeight="1" x14ac:dyDescent="0.2">
      <c r="B159" s="76"/>
      <c r="C159" s="76"/>
      <c r="D159" s="57"/>
      <c r="E159" s="77"/>
      <c r="F159" s="73"/>
      <c r="G159" s="74"/>
      <c r="H159" s="196"/>
      <c r="I159" s="196"/>
      <c r="J159" s="74"/>
      <c r="K159" s="196"/>
      <c r="L159" s="196"/>
      <c r="M159" s="74"/>
      <c r="N159" s="196"/>
      <c r="O159" s="196"/>
      <c r="P159" s="77"/>
      <c r="Q159" s="77"/>
      <c r="R159" s="77"/>
    </row>
    <row r="160" spans="2:18" s="128" customFormat="1" ht="12.75" customHeight="1" x14ac:dyDescent="0.2">
      <c r="B160" s="76"/>
      <c r="C160" s="76"/>
      <c r="D160" s="57"/>
      <c r="E160" s="77"/>
      <c r="F160" s="73"/>
      <c r="G160" s="74"/>
      <c r="H160" s="196"/>
      <c r="I160" s="196"/>
      <c r="J160" s="74"/>
      <c r="K160" s="196"/>
      <c r="L160" s="196"/>
      <c r="M160" s="74"/>
      <c r="N160" s="196"/>
      <c r="O160" s="196"/>
      <c r="P160" s="77"/>
      <c r="Q160" s="77"/>
      <c r="R160" s="77"/>
    </row>
    <row r="161" spans="2:18" s="128" customFormat="1" ht="12.75" customHeight="1" x14ac:dyDescent="0.2">
      <c r="B161" s="76"/>
      <c r="C161" s="76"/>
      <c r="D161" s="57"/>
      <c r="E161" s="77"/>
      <c r="F161" s="73"/>
      <c r="G161" s="74"/>
      <c r="H161" s="196"/>
      <c r="I161" s="196"/>
      <c r="J161" s="74"/>
      <c r="K161" s="196"/>
      <c r="L161" s="196"/>
      <c r="M161" s="74"/>
      <c r="N161" s="196"/>
      <c r="O161" s="196"/>
      <c r="P161" s="77"/>
      <c r="Q161" s="77"/>
      <c r="R161" s="77"/>
    </row>
  </sheetData>
  <mergeCells count="7">
    <mergeCell ref="D153:E153"/>
    <mergeCell ref="G2:I2"/>
    <mergeCell ref="J2:L2"/>
    <mergeCell ref="M2:O2"/>
    <mergeCell ref="D137:E137"/>
    <mergeCell ref="D150:E150"/>
    <mergeCell ref="D152:E152"/>
  </mergeCells>
  <pageMargins left="0.86614173228346458" right="0.43307086614173229" top="1.1811023622047245" bottom="0.47244094488188981" header="0.35433070866141736" footer="0.47244094488188981"/>
  <pageSetup paperSize="9" scale="39" fitToHeight="0" orientation="portrait" useFirstPageNumber="1" horizontalDpi="4294967294" r:id="rId1"/>
  <headerFooter alignWithMargins="0">
    <oddHeader>&amp;C&amp;9 B.&amp;P&amp;"Arial,Bold"&amp;11MPUMALANGA DEPARTMENT OF PUBLIC WORKS, ROADS &amp; TRANSPORT&amp;"Arial,Regular"Reconstruction of road D481 between Mooiplaas and Ekulindeni in Gert Sibande region of Mpumalanga Province (7.2 km)</oddHeader>
    <oddFooter>&amp;LPart C2: Pricing Data &amp;RC2.2 Bill of Quantities   C &amp;P+67/(&amp;P/37 of BoQ)</oddFooter>
  </headerFooter>
  <rowBreaks count="1" manualBreakCount="1">
    <brk id="77" max="1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CB2C-26AE-4EFA-B3F3-1EA110AF251E}">
  <sheetPr>
    <pageSetUpPr fitToPage="1"/>
  </sheetPr>
  <dimension ref="B1:CY73"/>
  <sheetViews>
    <sheetView view="pageBreakPreview" zoomScaleNormal="75" zoomScaleSheetLayoutView="100" workbookViewId="0">
      <selection activeCell="G73" sqref="G73"/>
    </sheetView>
  </sheetViews>
  <sheetFormatPr defaultColWidth="10.28515625" defaultRowHeight="12" x14ac:dyDescent="0.2"/>
  <cols>
    <col min="1" max="1" width="3.28515625" style="200" customWidth="1"/>
    <col min="2" max="2" width="13.7109375" style="216" customWidth="1"/>
    <col min="3" max="3" width="77.140625" style="200" customWidth="1"/>
    <col min="4" max="6" width="14.140625" style="200" bestFit="1" customWidth="1"/>
    <col min="7" max="7" width="15.5703125" style="200" customWidth="1"/>
    <col min="8" max="8" width="17.140625" style="200" customWidth="1"/>
    <col min="9" max="9" width="10.28515625" style="200" customWidth="1"/>
    <col min="10" max="10" width="20.140625" style="200" customWidth="1"/>
    <col min="11" max="16384" width="10.28515625" style="200"/>
  </cols>
  <sheetData>
    <row r="1" spans="2:13" x14ac:dyDescent="0.2">
      <c r="B1" s="549" t="s">
        <v>877</v>
      </c>
      <c r="C1" s="549"/>
      <c r="D1" s="199"/>
      <c r="E1" s="199"/>
      <c r="F1" s="199"/>
    </row>
    <row r="2" spans="2:13" x14ac:dyDescent="0.2">
      <c r="B2" s="71" t="s">
        <v>609</v>
      </c>
      <c r="C2" s="199"/>
      <c r="D2" s="199"/>
      <c r="E2" s="199"/>
      <c r="F2" s="199"/>
    </row>
    <row r="3" spans="2:13" x14ac:dyDescent="0.2">
      <c r="B3" s="71"/>
      <c r="C3" s="199"/>
      <c r="D3" s="199"/>
      <c r="E3" s="199"/>
      <c r="F3" s="199"/>
    </row>
    <row r="4" spans="2:13" ht="21.6" customHeight="1" x14ac:dyDescent="0.2">
      <c r="B4" s="129" t="s">
        <v>32</v>
      </c>
      <c r="C4" s="129" t="s">
        <v>335</v>
      </c>
      <c r="D4" s="129" t="s">
        <v>846</v>
      </c>
      <c r="E4" s="129" t="s">
        <v>846</v>
      </c>
      <c r="F4" s="129" t="s">
        <v>846</v>
      </c>
    </row>
    <row r="5" spans="2:13" x14ac:dyDescent="0.2">
      <c r="B5" s="201"/>
      <c r="C5" s="202"/>
      <c r="D5" s="202"/>
      <c r="E5" s="202"/>
      <c r="F5" s="202"/>
    </row>
    <row r="6" spans="2:13" x14ac:dyDescent="0.2">
      <c r="B6" s="203"/>
      <c r="C6" s="205" t="s">
        <v>878</v>
      </c>
      <c r="D6" s="207">
        <f>'Schedule D Remedial Works'!I154</f>
        <v>1283900.82</v>
      </c>
      <c r="E6" s="207">
        <f>'Schedule D Remedial Works'!L154</f>
        <v>1267387.6472</v>
      </c>
      <c r="F6" s="207">
        <f>'Schedule D Remedial Works'!O154</f>
        <v>1267387.6472</v>
      </c>
    </row>
    <row r="7" spans="2:13" x14ac:dyDescent="0.2">
      <c r="B7" s="203"/>
      <c r="C7" s="205"/>
      <c r="D7" s="205"/>
      <c r="E7" s="205"/>
      <c r="F7" s="205"/>
    </row>
    <row r="8" spans="2:13" x14ac:dyDescent="0.2">
      <c r="B8" s="203"/>
      <c r="C8" s="204" t="s">
        <v>33</v>
      </c>
      <c r="D8" s="204"/>
      <c r="E8" s="204"/>
      <c r="F8" s="204"/>
    </row>
    <row r="9" spans="2:13" x14ac:dyDescent="0.2">
      <c r="B9" s="203"/>
      <c r="C9" s="205"/>
      <c r="D9" s="205"/>
      <c r="E9" s="205"/>
      <c r="F9" s="205"/>
    </row>
    <row r="10" spans="2:13" x14ac:dyDescent="0.2">
      <c r="B10" s="206">
        <v>1200</v>
      </c>
      <c r="C10" s="205" t="s">
        <v>773</v>
      </c>
      <c r="D10" s="207">
        <v>0</v>
      </c>
      <c r="E10" s="207">
        <v>0</v>
      </c>
      <c r="F10" s="207">
        <v>0</v>
      </c>
      <c r="G10" s="208"/>
    </row>
    <row r="11" spans="2:13" x14ac:dyDescent="0.2">
      <c r="B11" s="203"/>
      <c r="C11" s="205"/>
      <c r="D11" s="207"/>
      <c r="E11" s="207"/>
      <c r="F11" s="207"/>
      <c r="G11" s="208"/>
    </row>
    <row r="12" spans="2:13" x14ac:dyDescent="0.2">
      <c r="B12" s="203">
        <v>1300</v>
      </c>
      <c r="C12" s="205" t="s">
        <v>695</v>
      </c>
      <c r="D12" s="207">
        <v>0</v>
      </c>
      <c r="E12" s="207">
        <v>0</v>
      </c>
      <c r="F12" s="207">
        <v>0</v>
      </c>
      <c r="G12" s="208"/>
    </row>
    <row r="13" spans="2:13" x14ac:dyDescent="0.2">
      <c r="B13" s="203"/>
      <c r="C13" s="205"/>
      <c r="D13" s="207"/>
      <c r="E13" s="207"/>
      <c r="F13" s="207"/>
      <c r="G13" s="208"/>
    </row>
    <row r="14" spans="2:13" x14ac:dyDescent="0.2">
      <c r="B14" s="203">
        <v>1400</v>
      </c>
      <c r="C14" s="205" t="s">
        <v>34</v>
      </c>
      <c r="D14" s="207">
        <v>0</v>
      </c>
      <c r="E14" s="207">
        <v>0</v>
      </c>
      <c r="F14" s="207">
        <v>0</v>
      </c>
      <c r="G14" s="208"/>
      <c r="I14" s="208"/>
      <c r="K14" s="208"/>
      <c r="L14" s="208"/>
      <c r="M14" s="208"/>
    </row>
    <row r="15" spans="2:13" x14ac:dyDescent="0.2">
      <c r="B15" s="203"/>
      <c r="C15" s="205"/>
      <c r="D15" s="207"/>
      <c r="E15" s="207"/>
      <c r="F15" s="207"/>
      <c r="G15" s="208"/>
    </row>
    <row r="16" spans="2:13" x14ac:dyDescent="0.2">
      <c r="B16" s="203">
        <v>1500</v>
      </c>
      <c r="C16" s="205" t="s">
        <v>35</v>
      </c>
      <c r="D16" s="207">
        <v>0</v>
      </c>
      <c r="E16" s="207">
        <v>0</v>
      </c>
      <c r="F16" s="207">
        <v>0</v>
      </c>
      <c r="G16" s="208"/>
      <c r="I16" s="208"/>
      <c r="K16" s="208"/>
      <c r="L16" s="208"/>
      <c r="M16" s="208"/>
    </row>
    <row r="17" spans="2:103" x14ac:dyDescent="0.2">
      <c r="B17" s="203"/>
      <c r="C17" s="205"/>
      <c r="D17" s="207"/>
      <c r="E17" s="207"/>
      <c r="F17" s="207"/>
      <c r="G17" s="208"/>
    </row>
    <row r="18" spans="2:103" x14ac:dyDescent="0.2">
      <c r="B18" s="203">
        <v>1700</v>
      </c>
      <c r="C18" s="205" t="s">
        <v>260</v>
      </c>
      <c r="D18" s="207">
        <v>0</v>
      </c>
      <c r="E18" s="207">
        <v>0</v>
      </c>
      <c r="F18" s="207">
        <v>0</v>
      </c>
      <c r="G18" s="208"/>
    </row>
    <row r="19" spans="2:103" x14ac:dyDescent="0.2">
      <c r="B19" s="203"/>
      <c r="C19" s="205"/>
      <c r="D19" s="207"/>
      <c r="E19" s="207"/>
      <c r="F19" s="207"/>
      <c r="G19" s="208"/>
    </row>
    <row r="20" spans="2:103" x14ac:dyDescent="0.2">
      <c r="B20" s="203">
        <v>1800</v>
      </c>
      <c r="C20" s="205" t="s">
        <v>36</v>
      </c>
      <c r="D20" s="207">
        <v>0</v>
      </c>
      <c r="E20" s="207">
        <v>0</v>
      </c>
      <c r="F20" s="207">
        <v>0</v>
      </c>
      <c r="G20" s="208"/>
    </row>
    <row r="21" spans="2:103" x14ac:dyDescent="0.2">
      <c r="B21" s="203"/>
      <c r="C21" s="205"/>
      <c r="D21" s="205"/>
      <c r="E21" s="205"/>
      <c r="F21" s="205"/>
      <c r="G21" s="208"/>
    </row>
    <row r="22" spans="2:103" x14ac:dyDescent="0.2">
      <c r="B22" s="203"/>
      <c r="C22" s="204" t="s">
        <v>37</v>
      </c>
      <c r="D22" s="204">
        <v>0</v>
      </c>
      <c r="E22" s="204">
        <v>0</v>
      </c>
      <c r="F22" s="204">
        <v>0</v>
      </c>
      <c r="G22" s="208"/>
    </row>
    <row r="23" spans="2:103" x14ac:dyDescent="0.2">
      <c r="B23" s="203"/>
      <c r="C23" s="205"/>
      <c r="D23" s="205"/>
      <c r="E23" s="205"/>
      <c r="F23" s="205"/>
      <c r="G23" s="208"/>
    </row>
    <row r="24" spans="2:103" x14ac:dyDescent="0.2">
      <c r="B24" s="203">
        <v>2100</v>
      </c>
      <c r="C24" s="205" t="s">
        <v>38</v>
      </c>
      <c r="D24" s="207">
        <v>0</v>
      </c>
      <c r="E24" s="207">
        <v>0</v>
      </c>
      <c r="F24" s="207">
        <v>0</v>
      </c>
      <c r="G24" s="208"/>
    </row>
    <row r="25" spans="2:103" x14ac:dyDescent="0.2">
      <c r="B25" s="203"/>
      <c r="C25" s="205"/>
      <c r="D25" s="207"/>
      <c r="E25" s="207"/>
      <c r="F25" s="207"/>
      <c r="G25" s="208"/>
    </row>
    <row r="26" spans="2:103" x14ac:dyDescent="0.2">
      <c r="B26" s="203">
        <v>2200</v>
      </c>
      <c r="C26" s="205" t="s">
        <v>39</v>
      </c>
      <c r="D26" s="207">
        <v>0</v>
      </c>
      <c r="E26" s="207">
        <v>0</v>
      </c>
      <c r="F26" s="207">
        <v>0</v>
      </c>
      <c r="G26" s="208"/>
    </row>
    <row r="27" spans="2:103" x14ac:dyDescent="0.2">
      <c r="B27" s="203"/>
      <c r="C27" s="205"/>
      <c r="D27" s="207"/>
      <c r="E27" s="207"/>
      <c r="F27" s="207"/>
      <c r="G27" s="208"/>
    </row>
    <row r="28" spans="2:103" ht="24" x14ac:dyDescent="0.2">
      <c r="B28" s="203">
        <v>2300</v>
      </c>
      <c r="C28" s="205" t="s">
        <v>212</v>
      </c>
      <c r="D28" s="207">
        <v>0</v>
      </c>
      <c r="E28" s="207">
        <v>0</v>
      </c>
      <c r="F28" s="207">
        <v>0</v>
      </c>
      <c r="G28" s="208"/>
    </row>
    <row r="29" spans="2:103" x14ac:dyDescent="0.2">
      <c r="B29" s="203"/>
      <c r="C29" s="205"/>
      <c r="D29" s="205"/>
      <c r="E29" s="205"/>
      <c r="F29" s="205"/>
      <c r="G29" s="208"/>
    </row>
    <row r="30" spans="2:103" x14ac:dyDescent="0.2">
      <c r="B30" s="203"/>
      <c r="C30" s="204" t="s">
        <v>40</v>
      </c>
      <c r="D30" s="204"/>
      <c r="E30" s="204"/>
      <c r="F30" s="204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8"/>
      <c r="AX30" s="208"/>
      <c r="AY30" s="208"/>
      <c r="AZ30" s="208"/>
      <c r="BA30" s="208"/>
      <c r="BB30" s="208"/>
      <c r="BC30" s="208"/>
      <c r="BD30" s="208"/>
      <c r="BE30" s="208"/>
      <c r="BF30" s="208"/>
      <c r="BG30" s="208"/>
      <c r="BH30" s="208"/>
      <c r="BI30" s="208"/>
      <c r="BJ30" s="208"/>
      <c r="BK30" s="208"/>
      <c r="BL30" s="208"/>
      <c r="BM30" s="208"/>
      <c r="BN30" s="208"/>
      <c r="BO30" s="208"/>
      <c r="BP30" s="208"/>
      <c r="BQ30" s="208"/>
      <c r="BR30" s="208"/>
      <c r="BS30" s="208"/>
      <c r="BT30" s="208"/>
      <c r="BU30" s="208"/>
      <c r="BV30" s="208"/>
      <c r="BW30" s="208"/>
      <c r="BX30" s="208"/>
      <c r="BY30" s="208"/>
      <c r="BZ30" s="208"/>
      <c r="CA30" s="208"/>
      <c r="CB30" s="208"/>
      <c r="CC30" s="208"/>
      <c r="CD30" s="208"/>
      <c r="CE30" s="208"/>
      <c r="CF30" s="208"/>
      <c r="CG30" s="208"/>
      <c r="CH30" s="208"/>
      <c r="CI30" s="208"/>
      <c r="CJ30" s="208"/>
      <c r="CK30" s="208"/>
      <c r="CL30" s="208"/>
      <c r="CM30" s="208"/>
      <c r="CN30" s="208"/>
      <c r="CO30" s="208"/>
      <c r="CP30" s="208"/>
      <c r="CQ30" s="208"/>
      <c r="CR30" s="208"/>
      <c r="CS30" s="208"/>
      <c r="CT30" s="208"/>
      <c r="CU30" s="208"/>
      <c r="CV30" s="208"/>
      <c r="CW30" s="208"/>
      <c r="CX30" s="208"/>
      <c r="CY30" s="208"/>
    </row>
    <row r="31" spans="2:103" x14ac:dyDescent="0.2">
      <c r="B31" s="203"/>
      <c r="C31" s="205"/>
      <c r="D31" s="205"/>
      <c r="E31" s="205"/>
      <c r="F31" s="205"/>
      <c r="G31" s="208"/>
    </row>
    <row r="32" spans="2:103" x14ac:dyDescent="0.2">
      <c r="B32" s="203">
        <v>3100</v>
      </c>
      <c r="C32" s="205" t="s">
        <v>23</v>
      </c>
      <c r="D32" s="207">
        <v>0</v>
      </c>
      <c r="E32" s="207">
        <v>0</v>
      </c>
      <c r="F32" s="207">
        <v>0</v>
      </c>
      <c r="G32" s="208"/>
    </row>
    <row r="33" spans="2:7" x14ac:dyDescent="0.2">
      <c r="B33" s="203"/>
      <c r="C33" s="205"/>
      <c r="D33" s="207"/>
      <c r="E33" s="207"/>
      <c r="F33" s="207"/>
      <c r="G33" s="208"/>
    </row>
    <row r="34" spans="2:7" x14ac:dyDescent="0.2">
      <c r="B34" s="203">
        <v>3300</v>
      </c>
      <c r="C34" s="205" t="s">
        <v>41</v>
      </c>
      <c r="D34" s="207">
        <v>0</v>
      </c>
      <c r="E34" s="207">
        <v>0</v>
      </c>
      <c r="F34" s="207">
        <v>0</v>
      </c>
      <c r="G34" s="208"/>
    </row>
    <row r="35" spans="2:7" x14ac:dyDescent="0.2">
      <c r="B35" s="203"/>
      <c r="C35" s="205"/>
      <c r="D35" s="205"/>
      <c r="E35" s="205"/>
      <c r="F35" s="205"/>
      <c r="G35" s="208"/>
    </row>
    <row r="36" spans="2:7" x14ac:dyDescent="0.2">
      <c r="B36" s="203">
        <v>3400</v>
      </c>
      <c r="C36" s="205" t="s">
        <v>42</v>
      </c>
      <c r="D36" s="207">
        <v>0</v>
      </c>
      <c r="E36" s="207">
        <v>0</v>
      </c>
      <c r="F36" s="207">
        <v>0</v>
      </c>
      <c r="G36" s="208"/>
    </row>
    <row r="37" spans="2:7" x14ac:dyDescent="0.2">
      <c r="B37" s="203"/>
      <c r="C37" s="205"/>
      <c r="D37" s="205"/>
      <c r="E37" s="205"/>
      <c r="F37" s="205"/>
      <c r="G37" s="208"/>
    </row>
    <row r="38" spans="2:7" x14ac:dyDescent="0.2">
      <c r="B38" s="203">
        <v>3500</v>
      </c>
      <c r="C38" s="205" t="s">
        <v>256</v>
      </c>
      <c r="D38" s="207">
        <v>0</v>
      </c>
      <c r="E38" s="207">
        <v>0</v>
      </c>
      <c r="F38" s="207">
        <v>0</v>
      </c>
      <c r="G38" s="208"/>
    </row>
    <row r="39" spans="2:7" x14ac:dyDescent="0.2">
      <c r="B39" s="203"/>
      <c r="C39" s="205"/>
      <c r="D39" s="205"/>
      <c r="E39" s="205"/>
      <c r="F39" s="205"/>
      <c r="G39" s="208"/>
    </row>
    <row r="40" spans="2:7" x14ac:dyDescent="0.2">
      <c r="B40" s="203">
        <v>3600</v>
      </c>
      <c r="C40" s="205" t="s">
        <v>774</v>
      </c>
      <c r="D40" s="207">
        <v>0</v>
      </c>
      <c r="E40" s="207">
        <v>0</v>
      </c>
      <c r="F40" s="207">
        <v>0</v>
      </c>
      <c r="G40" s="208"/>
    </row>
    <row r="41" spans="2:7" x14ac:dyDescent="0.2">
      <c r="B41" s="203"/>
      <c r="C41" s="205"/>
      <c r="D41" s="205"/>
      <c r="E41" s="205"/>
      <c r="F41" s="205"/>
      <c r="G41" s="208"/>
    </row>
    <row r="42" spans="2:7" x14ac:dyDescent="0.2">
      <c r="B42" s="203"/>
      <c r="C42" s="204" t="s">
        <v>58</v>
      </c>
      <c r="D42" s="204"/>
      <c r="E42" s="204"/>
      <c r="F42" s="204"/>
      <c r="G42" s="208"/>
    </row>
    <row r="43" spans="2:7" x14ac:dyDescent="0.2">
      <c r="B43" s="203"/>
      <c r="C43" s="205"/>
      <c r="D43" s="205"/>
      <c r="E43" s="205"/>
      <c r="F43" s="205"/>
      <c r="G43" s="208"/>
    </row>
    <row r="44" spans="2:7" x14ac:dyDescent="0.2">
      <c r="B44" s="203">
        <v>4100</v>
      </c>
      <c r="C44" s="205" t="s">
        <v>261</v>
      </c>
      <c r="D44" s="207">
        <v>0</v>
      </c>
      <c r="E44" s="207">
        <v>0</v>
      </c>
      <c r="F44" s="207">
        <v>0</v>
      </c>
      <c r="G44" s="208"/>
    </row>
    <row r="45" spans="2:7" x14ac:dyDescent="0.2">
      <c r="B45" s="203"/>
      <c r="C45" s="205"/>
      <c r="D45" s="207"/>
      <c r="E45" s="207"/>
      <c r="F45" s="207"/>
      <c r="G45" s="208"/>
    </row>
    <row r="46" spans="2:7" x14ac:dyDescent="0.2">
      <c r="B46" s="203">
        <v>4200</v>
      </c>
      <c r="C46" s="205" t="s">
        <v>712</v>
      </c>
      <c r="D46" s="207">
        <v>0</v>
      </c>
      <c r="E46" s="207">
        <v>0</v>
      </c>
      <c r="F46" s="207">
        <v>0</v>
      </c>
      <c r="G46" s="208"/>
    </row>
    <row r="47" spans="2:7" x14ac:dyDescent="0.2">
      <c r="B47" s="203"/>
      <c r="C47" s="205"/>
      <c r="D47" s="205"/>
      <c r="E47" s="205"/>
      <c r="F47" s="205"/>
      <c r="G47" s="208"/>
    </row>
    <row r="48" spans="2:7" x14ac:dyDescent="0.2">
      <c r="B48" s="203"/>
      <c r="C48" s="204" t="s">
        <v>59</v>
      </c>
      <c r="D48" s="204"/>
      <c r="E48" s="204"/>
      <c r="F48" s="204"/>
      <c r="G48" s="208"/>
    </row>
    <row r="49" spans="2:7" x14ac:dyDescent="0.2">
      <c r="B49" s="203"/>
      <c r="C49" s="205"/>
      <c r="D49" s="205"/>
      <c r="E49" s="205"/>
      <c r="F49" s="205"/>
      <c r="G49" s="208"/>
    </row>
    <row r="50" spans="2:7" x14ac:dyDescent="0.2">
      <c r="B50" s="203">
        <v>5100</v>
      </c>
      <c r="C50" s="205" t="s">
        <v>60</v>
      </c>
      <c r="D50" s="207">
        <v>0</v>
      </c>
      <c r="E50" s="207">
        <v>0</v>
      </c>
      <c r="F50" s="207">
        <v>0</v>
      </c>
      <c r="G50" s="208"/>
    </row>
    <row r="51" spans="2:7" x14ac:dyDescent="0.2">
      <c r="B51" s="203"/>
      <c r="C51" s="205"/>
      <c r="D51" s="207"/>
      <c r="E51" s="207"/>
      <c r="F51" s="207"/>
      <c r="G51" s="208"/>
    </row>
    <row r="52" spans="2:7" x14ac:dyDescent="0.2">
      <c r="B52" s="203">
        <v>5200</v>
      </c>
      <c r="C52" s="205" t="s">
        <v>61</v>
      </c>
      <c r="D52" s="207">
        <v>0</v>
      </c>
      <c r="E52" s="207">
        <v>0</v>
      </c>
      <c r="F52" s="207">
        <v>0</v>
      </c>
      <c r="G52" s="208"/>
    </row>
    <row r="53" spans="2:7" x14ac:dyDescent="0.2">
      <c r="B53" s="203"/>
      <c r="C53" s="205"/>
      <c r="D53" s="207"/>
      <c r="E53" s="207"/>
      <c r="F53" s="207"/>
      <c r="G53" s="208"/>
    </row>
    <row r="54" spans="2:7" x14ac:dyDescent="0.2">
      <c r="B54" s="203">
        <v>5400</v>
      </c>
      <c r="C54" s="205" t="s">
        <v>62</v>
      </c>
      <c r="D54" s="207">
        <v>0</v>
      </c>
      <c r="E54" s="207">
        <v>0</v>
      </c>
      <c r="F54" s="207">
        <v>0</v>
      </c>
      <c r="G54" s="208"/>
    </row>
    <row r="55" spans="2:7" x14ac:dyDescent="0.2">
      <c r="B55" s="203"/>
      <c r="C55" s="205"/>
      <c r="D55" s="207"/>
      <c r="E55" s="207"/>
      <c r="F55" s="207"/>
      <c r="G55" s="208"/>
    </row>
    <row r="56" spans="2:7" x14ac:dyDescent="0.2">
      <c r="B56" s="203">
        <v>5500</v>
      </c>
      <c r="C56" s="205" t="s">
        <v>63</v>
      </c>
      <c r="D56" s="207">
        <v>0</v>
      </c>
      <c r="E56" s="207">
        <v>0</v>
      </c>
      <c r="F56" s="207">
        <v>0</v>
      </c>
      <c r="G56" s="208"/>
    </row>
    <row r="57" spans="2:7" x14ac:dyDescent="0.2">
      <c r="B57" s="203"/>
      <c r="C57" s="205"/>
      <c r="D57" s="207"/>
      <c r="E57" s="207"/>
      <c r="F57" s="207"/>
      <c r="G57" s="208"/>
    </row>
    <row r="58" spans="2:7" x14ac:dyDescent="0.2">
      <c r="B58" s="203">
        <v>5600</v>
      </c>
      <c r="C58" s="205" t="s">
        <v>64</v>
      </c>
      <c r="D58" s="207">
        <v>0</v>
      </c>
      <c r="E58" s="207">
        <v>0</v>
      </c>
      <c r="F58" s="207">
        <v>0</v>
      </c>
      <c r="G58" s="208"/>
    </row>
    <row r="59" spans="2:7" x14ac:dyDescent="0.2">
      <c r="B59" s="203"/>
      <c r="C59" s="205"/>
      <c r="D59" s="207"/>
      <c r="E59" s="207"/>
      <c r="F59" s="207"/>
      <c r="G59" s="208"/>
    </row>
    <row r="60" spans="2:7" x14ac:dyDescent="0.2">
      <c r="B60" s="203">
        <v>5700</v>
      </c>
      <c r="C60" s="205" t="s">
        <v>65</v>
      </c>
      <c r="D60" s="207">
        <v>0</v>
      </c>
      <c r="E60" s="207">
        <v>0</v>
      </c>
      <c r="F60" s="207">
        <v>0</v>
      </c>
      <c r="G60" s="208"/>
    </row>
    <row r="61" spans="2:7" x14ac:dyDescent="0.2">
      <c r="B61" s="203"/>
      <c r="C61" s="205"/>
      <c r="D61" s="207"/>
      <c r="E61" s="207"/>
      <c r="F61" s="207"/>
      <c r="G61" s="208"/>
    </row>
    <row r="62" spans="2:7" x14ac:dyDescent="0.2">
      <c r="B62" s="203">
        <v>5800</v>
      </c>
      <c r="C62" s="205" t="s">
        <v>408</v>
      </c>
      <c r="D62" s="207">
        <v>0</v>
      </c>
      <c r="E62" s="207">
        <v>0</v>
      </c>
      <c r="F62" s="207">
        <v>0</v>
      </c>
      <c r="G62" s="208"/>
    </row>
    <row r="63" spans="2:7" x14ac:dyDescent="0.2">
      <c r="B63" s="203"/>
      <c r="C63" s="205"/>
      <c r="D63" s="207"/>
      <c r="E63" s="207"/>
      <c r="F63" s="207"/>
      <c r="G63" s="208"/>
    </row>
    <row r="64" spans="2:7" x14ac:dyDescent="0.2">
      <c r="B64" s="203">
        <v>5900</v>
      </c>
      <c r="C64" s="205" t="s">
        <v>66</v>
      </c>
      <c r="D64" s="207">
        <v>0</v>
      </c>
      <c r="E64" s="207">
        <v>0</v>
      </c>
      <c r="F64" s="207">
        <v>0</v>
      </c>
      <c r="G64" s="208"/>
    </row>
    <row r="65" spans="2:7" x14ac:dyDescent="0.2">
      <c r="B65" s="203"/>
      <c r="C65" s="205"/>
      <c r="D65" s="209"/>
      <c r="E65" s="209"/>
      <c r="F65" s="209"/>
      <c r="G65" s="208"/>
    </row>
    <row r="66" spans="2:7" x14ac:dyDescent="0.2">
      <c r="B66" s="203">
        <v>8100</v>
      </c>
      <c r="C66" s="205" t="s">
        <v>527</v>
      </c>
      <c r="D66" s="207">
        <v>0</v>
      </c>
      <c r="E66" s="207">
        <v>0</v>
      </c>
      <c r="F66" s="207">
        <v>0</v>
      </c>
      <c r="G66" s="208"/>
    </row>
    <row r="67" spans="2:7" x14ac:dyDescent="0.2">
      <c r="B67" s="203"/>
      <c r="C67" s="205"/>
      <c r="D67" s="207"/>
      <c r="E67" s="207"/>
      <c r="F67" s="207"/>
      <c r="G67" s="208"/>
    </row>
    <row r="68" spans="2:7" x14ac:dyDescent="0.2">
      <c r="B68" s="203"/>
      <c r="C68" s="205"/>
      <c r="D68" s="207"/>
      <c r="E68" s="207"/>
      <c r="F68" s="207"/>
      <c r="G68" s="208"/>
    </row>
    <row r="69" spans="2:7" x14ac:dyDescent="0.2">
      <c r="B69" s="203"/>
      <c r="C69" s="205"/>
      <c r="D69" s="207"/>
      <c r="E69" s="207"/>
      <c r="F69" s="207"/>
      <c r="G69" s="208"/>
    </row>
    <row r="70" spans="2:7" x14ac:dyDescent="0.2">
      <c r="B70" s="203"/>
      <c r="C70" s="205"/>
      <c r="D70" s="207"/>
      <c r="E70" s="207"/>
      <c r="F70" s="207"/>
      <c r="G70" s="208"/>
    </row>
    <row r="71" spans="2:7" x14ac:dyDescent="0.2">
      <c r="B71" s="210"/>
      <c r="C71" s="211"/>
      <c r="D71" s="211"/>
      <c r="E71" s="211"/>
      <c r="F71" s="211"/>
      <c r="G71" s="208"/>
    </row>
    <row r="72" spans="2:7" x14ac:dyDescent="0.2">
      <c r="B72" s="131" t="s">
        <v>847</v>
      </c>
      <c r="C72" s="212"/>
      <c r="D72" s="132">
        <f>SUM(D6:D71)</f>
        <v>1283900.82</v>
      </c>
      <c r="E72" s="132">
        <f t="shared" ref="E72:F72" si="0">SUM(E6:E71)</f>
        <v>1267387.6472</v>
      </c>
      <c r="F72" s="132">
        <f t="shared" si="0"/>
        <v>1267387.6472</v>
      </c>
      <c r="G72" s="213">
        <f>E72-F72</f>
        <v>0</v>
      </c>
    </row>
    <row r="73" spans="2:7" x14ac:dyDescent="0.2">
      <c r="B73" s="214"/>
      <c r="C73" s="214"/>
      <c r="D73" s="214"/>
      <c r="E73" s="214"/>
      <c r="F73" s="214"/>
      <c r="G73" s="215"/>
    </row>
  </sheetData>
  <mergeCells count="1">
    <mergeCell ref="B1:C1"/>
  </mergeCells>
  <pageMargins left="0.62992125984251968" right="0.47244094488188981" top="1.0236220472440944" bottom="0.78740157480314965" header="0.35433070866141736" footer="0.51181102362204722"/>
  <pageSetup paperSize="9" scale="68" firstPageNumber="0" fitToHeight="0" orientation="portrait" horizontalDpi="4294967294" r:id="rId1"/>
  <headerFooter alignWithMargins="0">
    <oddHeader>&amp;C&amp;"Arial,Bold"MPUMALANGA DEPARTMENT OF PUBLIC WORKS, ROADS &amp; TRANSPORT&amp;"Arial,Regular"Reconstruction of road D481 between Mooiplaas and Ekulindeni in Gert Sibande region of Mpumalanga Province (7.2 km)</oddHeader>
    <oddFooter>&amp;LPart C2: Pricing Data &amp;RC2.2 Bill of Quantities   C &amp;P+66/(&amp;P/37 of BoQ)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R49"/>
  <sheetViews>
    <sheetView tabSelected="1" view="pageBreakPreview" topLeftCell="A15" zoomScale="119" zoomScaleNormal="80" zoomScaleSheetLayoutView="80" workbookViewId="0">
      <selection activeCell="G19" sqref="G19"/>
    </sheetView>
  </sheetViews>
  <sheetFormatPr defaultColWidth="10.28515625" defaultRowHeight="12" x14ac:dyDescent="0.2"/>
  <cols>
    <col min="1" max="1" width="3.7109375" style="141" customWidth="1"/>
    <col min="2" max="2" width="14.28515625" style="139" customWidth="1"/>
    <col min="3" max="3" width="53.140625" style="141" customWidth="1"/>
    <col min="4" max="6" width="26" style="141" customWidth="1"/>
    <col min="7" max="7" width="18.28515625" style="141" customWidth="1"/>
    <col min="8" max="8" width="18.7109375" style="141" customWidth="1"/>
    <col min="9" max="9" width="19.42578125" style="141" customWidth="1"/>
    <col min="10" max="10" width="20.7109375" style="141" customWidth="1"/>
    <col min="11" max="11" width="21.140625" style="141" customWidth="1"/>
    <col min="12" max="12" width="18.140625" style="141" customWidth="1"/>
    <col min="13" max="13" width="17.140625" style="141" customWidth="1"/>
    <col min="14" max="14" width="21.140625" style="141" customWidth="1"/>
    <col min="15" max="16" width="18.28515625" style="141" customWidth="1"/>
    <col min="17" max="17" width="25.5703125" style="141" customWidth="1"/>
    <col min="18" max="55" width="10.28515625" style="141" customWidth="1"/>
    <col min="56" max="16384" width="10.28515625" style="141"/>
  </cols>
  <sheetData>
    <row r="2" spans="2:18" x14ac:dyDescent="0.2">
      <c r="C2" s="140"/>
      <c r="D2" s="140"/>
      <c r="E2" s="140"/>
      <c r="F2" s="140"/>
    </row>
    <row r="3" spans="2:18" s="142" customFormat="1" ht="22.9" customHeight="1" x14ac:dyDescent="0.2">
      <c r="B3" s="129" t="s">
        <v>32</v>
      </c>
      <c r="C3" s="129" t="s">
        <v>335</v>
      </c>
      <c r="D3" s="129" t="s">
        <v>846</v>
      </c>
      <c r="E3" s="129" t="s">
        <v>887</v>
      </c>
      <c r="F3" s="129" t="s">
        <v>888</v>
      </c>
    </row>
    <row r="4" spans="2:18" x14ac:dyDescent="0.2">
      <c r="B4" s="143"/>
      <c r="C4" s="144"/>
      <c r="D4" s="144"/>
      <c r="E4" s="144"/>
      <c r="F4" s="144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</row>
    <row r="5" spans="2:18" x14ac:dyDescent="0.2">
      <c r="B5" s="145" t="s">
        <v>72</v>
      </c>
      <c r="C5" s="146" t="s">
        <v>73</v>
      </c>
      <c r="D5" s="147">
        <f>'Schedule A Summary'!D70</f>
        <v>37261694</v>
      </c>
      <c r="E5" s="147">
        <f>'Schedule A Summary'!E70</f>
        <v>36342486.82</v>
      </c>
      <c r="F5" s="147">
        <f>'Schedule A Summary'!F70</f>
        <v>36373541.819996998</v>
      </c>
      <c r="G5" s="148">
        <f>E5-F5</f>
        <v>-31054.999996997416</v>
      </c>
      <c r="H5" s="140">
        <f>'[1]Total Tender Sum'!$D$4</f>
        <v>36964128.61333333</v>
      </c>
      <c r="I5" s="148">
        <f>H5-F5</f>
        <v>590586.79333633184</v>
      </c>
      <c r="J5" s="148">
        <v>36345984.5</v>
      </c>
      <c r="K5" s="148">
        <f>E5-J5</f>
        <v>-3497.679999999702</v>
      </c>
      <c r="L5" s="148"/>
      <c r="M5" s="148"/>
      <c r="N5" s="148"/>
      <c r="O5" s="148"/>
      <c r="P5" s="148"/>
      <c r="Q5" s="148"/>
      <c r="R5" s="148"/>
    </row>
    <row r="6" spans="2:18" x14ac:dyDescent="0.2">
      <c r="B6" s="145"/>
      <c r="C6" s="146"/>
      <c r="D6" s="146"/>
      <c r="E6" s="146"/>
      <c r="F6" s="146"/>
      <c r="G6" s="148"/>
      <c r="H6" s="148"/>
      <c r="I6" s="148">
        <f t="shared" ref="I6:I10" si="0">H6-F6</f>
        <v>0</v>
      </c>
      <c r="J6" s="148"/>
      <c r="K6" s="148">
        <f t="shared" ref="K6:K30" si="1">E6-J6</f>
        <v>0</v>
      </c>
      <c r="L6" s="148"/>
      <c r="M6" s="148"/>
      <c r="N6" s="148"/>
      <c r="O6" s="148"/>
      <c r="P6" s="148"/>
      <c r="Q6" s="148"/>
      <c r="R6" s="148"/>
    </row>
    <row r="7" spans="2:18" x14ac:dyDescent="0.2">
      <c r="B7" s="145" t="s">
        <v>660</v>
      </c>
      <c r="C7" s="146" t="s">
        <v>842</v>
      </c>
      <c r="D7" s="147">
        <f>'Schedule B Summary'!I80</f>
        <v>1397716.31</v>
      </c>
      <c r="E7" s="147">
        <f>'Schedule B Summary'!J80</f>
        <v>1333940.0375000001</v>
      </c>
      <c r="F7" s="147">
        <f>'Schedule B Summary'!K80</f>
        <v>1302885.0375000001</v>
      </c>
      <c r="G7" s="148">
        <f t="shared" ref="G7:G9" si="2">E7-F7</f>
        <v>31055</v>
      </c>
      <c r="H7" s="148">
        <f>'[1]Total Tender Sum'!$D$6</f>
        <v>1330300.0375000001</v>
      </c>
      <c r="I7" s="148">
        <f t="shared" si="0"/>
        <v>27415</v>
      </c>
      <c r="J7" s="148">
        <v>1330440</v>
      </c>
      <c r="K7" s="148">
        <f t="shared" si="1"/>
        <v>3500.0375000000931</v>
      </c>
      <c r="L7" s="148"/>
      <c r="M7" s="148"/>
      <c r="N7" s="148"/>
      <c r="O7" s="148"/>
      <c r="P7" s="148"/>
      <c r="Q7" s="148"/>
      <c r="R7" s="148"/>
    </row>
    <row r="8" spans="2:18" x14ac:dyDescent="0.2">
      <c r="B8" s="145"/>
      <c r="C8" s="146"/>
      <c r="D8" s="147"/>
      <c r="E8" s="147"/>
      <c r="F8" s="147"/>
      <c r="G8" s="148"/>
      <c r="H8" s="148"/>
      <c r="I8" s="148">
        <f t="shared" si="0"/>
        <v>0</v>
      </c>
      <c r="J8" s="148"/>
      <c r="K8" s="148">
        <f t="shared" si="1"/>
        <v>0</v>
      </c>
      <c r="L8" s="148"/>
      <c r="M8" s="148"/>
      <c r="N8" s="148"/>
      <c r="O8" s="148"/>
      <c r="P8" s="148"/>
      <c r="Q8" s="148"/>
      <c r="R8" s="148"/>
    </row>
    <row r="9" spans="2:18" x14ac:dyDescent="0.2">
      <c r="B9" s="145" t="s">
        <v>333</v>
      </c>
      <c r="C9" s="146" t="s">
        <v>876</v>
      </c>
      <c r="D9" s="147">
        <f>'Schedule D Summary '!D72</f>
        <v>1283900.82</v>
      </c>
      <c r="E9" s="147">
        <f>'Schedule D Summary '!E72</f>
        <v>1267387.6472</v>
      </c>
      <c r="F9" s="147">
        <f>'Schedule D Summary '!F72</f>
        <v>1267387.6472</v>
      </c>
      <c r="G9" s="148">
        <f t="shared" si="2"/>
        <v>0</v>
      </c>
      <c r="H9" s="148">
        <f>'[1]Total Tender Sum'!$D$8</f>
        <v>1258160.8511999999</v>
      </c>
      <c r="I9" s="148">
        <f t="shared" si="0"/>
        <v>-9226.7960000000894</v>
      </c>
      <c r="J9" s="148">
        <v>1267390</v>
      </c>
      <c r="K9" s="148">
        <f t="shared" si="1"/>
        <v>-2.3527999999932945</v>
      </c>
      <c r="L9" s="148"/>
      <c r="M9" s="148"/>
      <c r="N9" s="148"/>
      <c r="O9" s="148"/>
      <c r="P9" s="148"/>
      <c r="Q9" s="148"/>
      <c r="R9" s="148"/>
    </row>
    <row r="10" spans="2:18" x14ac:dyDescent="0.2">
      <c r="B10" s="145"/>
      <c r="C10" s="146"/>
      <c r="D10" s="146"/>
      <c r="E10" s="146"/>
      <c r="F10" s="146"/>
      <c r="G10" s="148"/>
      <c r="H10" s="148"/>
      <c r="I10" s="148">
        <f t="shared" si="0"/>
        <v>0</v>
      </c>
      <c r="J10" s="148"/>
      <c r="K10" s="148"/>
      <c r="L10" s="148"/>
      <c r="M10" s="148"/>
      <c r="N10" s="148"/>
      <c r="O10" s="148"/>
      <c r="P10" s="148"/>
      <c r="Q10" s="148"/>
      <c r="R10" s="148"/>
    </row>
    <row r="11" spans="2:18" x14ac:dyDescent="0.2">
      <c r="B11" s="145"/>
      <c r="C11" s="146"/>
      <c r="D11" s="146"/>
      <c r="E11" s="146"/>
      <c r="F11" s="146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</row>
    <row r="12" spans="2:18" x14ac:dyDescent="0.2">
      <c r="B12" s="145"/>
      <c r="C12" s="146"/>
      <c r="D12" s="146"/>
      <c r="E12" s="146"/>
      <c r="F12" s="146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</row>
    <row r="13" spans="2:18" x14ac:dyDescent="0.2">
      <c r="B13" s="145"/>
      <c r="C13" s="146"/>
      <c r="D13" s="146"/>
      <c r="E13" s="146"/>
      <c r="F13" s="146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</row>
    <row r="14" spans="2:18" x14ac:dyDescent="0.2">
      <c r="B14" s="145"/>
      <c r="C14" s="146"/>
      <c r="D14" s="146"/>
      <c r="E14" s="146"/>
      <c r="F14" s="146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</row>
    <row r="15" spans="2:18" x14ac:dyDescent="0.2">
      <c r="B15" s="145"/>
      <c r="C15" s="146"/>
      <c r="D15" s="146"/>
      <c r="E15" s="146"/>
      <c r="F15" s="146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</row>
    <row r="16" spans="2:18" x14ac:dyDescent="0.2">
      <c r="B16" s="145"/>
      <c r="C16" s="146"/>
      <c r="D16" s="146"/>
      <c r="E16" s="146"/>
      <c r="F16" s="146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</row>
    <row r="17" spans="2:18" x14ac:dyDescent="0.2">
      <c r="B17" s="145"/>
      <c r="C17" s="146"/>
      <c r="D17" s="146"/>
      <c r="E17" s="146"/>
      <c r="F17" s="146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</row>
    <row r="18" spans="2:18" x14ac:dyDescent="0.2">
      <c r="B18" s="145"/>
      <c r="C18" s="146"/>
      <c r="D18" s="146"/>
      <c r="E18" s="146"/>
      <c r="F18" s="146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</row>
    <row r="19" spans="2:18" x14ac:dyDescent="0.2">
      <c r="B19" s="149"/>
      <c r="C19" s="150"/>
      <c r="D19" s="150"/>
      <c r="E19" s="150"/>
      <c r="F19" s="150"/>
      <c r="G19" s="148">
        <f>E20-F20</f>
        <v>3.0025839805603027E-6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</row>
    <row r="20" spans="2:18" ht="25.5" customHeight="1" x14ac:dyDescent="0.2">
      <c r="B20" s="151" t="s">
        <v>74</v>
      </c>
      <c r="C20" s="152"/>
      <c r="D20" s="153">
        <f>SUM(D5:D19)</f>
        <v>39943311.130000003</v>
      </c>
      <c r="E20" s="153">
        <f t="shared" ref="E20:J20" si="3">SUM(E5:E19)</f>
        <v>38943814.504700005</v>
      </c>
      <c r="F20" s="153">
        <f t="shared" si="3"/>
        <v>38943814.504697002</v>
      </c>
      <c r="G20" s="148"/>
      <c r="H20" s="153">
        <f t="shared" ref="H20" si="4">SUM(H5:H19)</f>
        <v>39552589.502033331</v>
      </c>
      <c r="I20" s="154">
        <f>F20-H20</f>
        <v>-608774.99733632803</v>
      </c>
      <c r="J20" s="153">
        <f t="shared" si="3"/>
        <v>38943814.5</v>
      </c>
      <c r="K20" s="148">
        <f t="shared" si="1"/>
        <v>4.700005054473877E-3</v>
      </c>
      <c r="L20" s="154"/>
      <c r="M20" s="154"/>
      <c r="N20" s="154"/>
      <c r="O20" s="154"/>
      <c r="P20" s="154"/>
      <c r="Q20" s="154"/>
      <c r="R20" s="154"/>
    </row>
    <row r="21" spans="2:18" x14ac:dyDescent="0.2">
      <c r="B21" s="155"/>
      <c r="C21" s="156"/>
      <c r="D21" s="157"/>
      <c r="E21" s="157"/>
      <c r="F21" s="157"/>
      <c r="G21" s="148"/>
      <c r="H21" s="157"/>
      <c r="I21" s="154">
        <f t="shared" ref="I21:I30" si="5">F21-H21</f>
        <v>0</v>
      </c>
      <c r="J21" s="153"/>
      <c r="K21" s="148"/>
      <c r="L21" s="154"/>
      <c r="M21" s="154"/>
      <c r="N21" s="154"/>
      <c r="O21" s="154"/>
      <c r="P21" s="154"/>
      <c r="Q21" s="154"/>
      <c r="R21" s="154"/>
    </row>
    <row r="22" spans="2:18" x14ac:dyDescent="0.2">
      <c r="B22" s="158" t="s">
        <v>879</v>
      </c>
      <c r="C22" s="159"/>
      <c r="D22" s="160">
        <f>D20*6%</f>
        <v>2396598.6677999999</v>
      </c>
      <c r="E22" s="160">
        <f t="shared" ref="E22:F22" si="6">E20*6%</f>
        <v>2336628.8702820004</v>
      </c>
      <c r="F22" s="160">
        <f t="shared" si="6"/>
        <v>2336628.8702818202</v>
      </c>
      <c r="G22" s="148"/>
      <c r="H22" s="160">
        <f t="shared" ref="H22" si="7">H20*6%</f>
        <v>2373155.3701219996</v>
      </c>
      <c r="I22" s="154">
        <f t="shared" si="5"/>
        <v>-36526.499840179458</v>
      </c>
      <c r="J22" s="160">
        <f t="shared" ref="J22" si="8">J20*6%</f>
        <v>2336628.87</v>
      </c>
      <c r="K22" s="148">
        <f t="shared" si="1"/>
        <v>2.8200028464198112E-4</v>
      </c>
      <c r="L22" s="154"/>
      <c r="M22" s="154"/>
      <c r="N22" s="154"/>
      <c r="O22" s="154"/>
      <c r="P22" s="154"/>
      <c r="Q22" s="154"/>
      <c r="R22" s="154"/>
    </row>
    <row r="23" spans="2:18" x14ac:dyDescent="0.2">
      <c r="B23" s="161"/>
      <c r="C23" s="162"/>
      <c r="D23" s="147"/>
      <c r="E23" s="147"/>
      <c r="F23" s="147"/>
      <c r="G23" s="148"/>
      <c r="H23" s="147"/>
      <c r="I23" s="154">
        <f t="shared" si="5"/>
        <v>0</v>
      </c>
      <c r="J23" s="147"/>
      <c r="K23" s="148"/>
      <c r="L23" s="148"/>
      <c r="M23" s="148"/>
      <c r="N23" s="148"/>
      <c r="O23" s="148"/>
      <c r="P23" s="148"/>
      <c r="Q23" s="148"/>
      <c r="R23" s="148"/>
    </row>
    <row r="24" spans="2:18" x14ac:dyDescent="0.2">
      <c r="B24" s="158" t="s">
        <v>870</v>
      </c>
      <c r="C24" s="159"/>
      <c r="D24" s="160">
        <f>D20*5%</f>
        <v>1997165.5565000002</v>
      </c>
      <c r="E24" s="160">
        <f t="shared" ref="E24:F24" si="9">E20*5%</f>
        <v>1947190.7252350003</v>
      </c>
      <c r="F24" s="160">
        <f t="shared" si="9"/>
        <v>1947190.7252348503</v>
      </c>
      <c r="G24" s="154"/>
      <c r="H24" s="160">
        <f t="shared" ref="H24" si="10">H20*5%</f>
        <v>1977629.4751016665</v>
      </c>
      <c r="I24" s="154">
        <f t="shared" si="5"/>
        <v>-30438.749866816215</v>
      </c>
      <c r="J24" s="160">
        <f t="shared" ref="J24" si="11">J20*5%</f>
        <v>1947190.7250000001</v>
      </c>
      <c r="K24" s="148">
        <f t="shared" si="1"/>
        <v>2.3500015959143639E-4</v>
      </c>
      <c r="L24" s="163"/>
      <c r="M24" s="163"/>
      <c r="N24" s="163"/>
      <c r="O24" s="163"/>
      <c r="P24" s="163"/>
      <c r="Q24" s="163"/>
      <c r="R24" s="163"/>
    </row>
    <row r="25" spans="2:18" x14ac:dyDescent="0.2">
      <c r="B25" s="164"/>
      <c r="C25" s="165"/>
      <c r="D25" s="166"/>
      <c r="E25" s="166"/>
      <c r="F25" s="166"/>
      <c r="G25" s="148"/>
      <c r="H25" s="166"/>
      <c r="I25" s="154">
        <f t="shared" si="5"/>
        <v>0</v>
      </c>
      <c r="J25" s="166"/>
      <c r="K25" s="148"/>
      <c r="L25" s="163"/>
      <c r="M25" s="163"/>
      <c r="N25" s="163"/>
      <c r="O25" s="163"/>
      <c r="P25" s="163"/>
      <c r="Q25" s="163"/>
      <c r="R25" s="163"/>
    </row>
    <row r="26" spans="2:18" ht="25.5" customHeight="1" x14ac:dyDescent="0.2">
      <c r="B26" s="167" t="s">
        <v>75</v>
      </c>
      <c r="C26" s="168"/>
      <c r="D26" s="153">
        <f>D20+D22+D24</f>
        <v>44337075.354300007</v>
      </c>
      <c r="E26" s="153">
        <f t="shared" ref="E26:F26" si="12">E20+E22+E24</f>
        <v>43227634.100217007</v>
      </c>
      <c r="F26" s="153">
        <f t="shared" si="12"/>
        <v>43227634.100213677</v>
      </c>
      <c r="G26" s="154"/>
      <c r="H26" s="153">
        <f t="shared" ref="H26" si="13">H20+H22+H24</f>
        <v>43903374.347256996</v>
      </c>
      <c r="I26" s="154">
        <f t="shared" si="5"/>
        <v>-675740.24704331905</v>
      </c>
      <c r="J26" s="153">
        <f t="shared" ref="J26" si="14">J20+J22+J24</f>
        <v>43227634.094999999</v>
      </c>
      <c r="K26" s="148">
        <f t="shared" si="1"/>
        <v>5.2170082926750183E-3</v>
      </c>
      <c r="L26" s="154"/>
      <c r="M26" s="154"/>
      <c r="N26" s="154"/>
      <c r="O26" s="154"/>
      <c r="P26" s="154"/>
      <c r="Q26" s="154"/>
      <c r="R26" s="154"/>
    </row>
    <row r="27" spans="2:18" x14ac:dyDescent="0.2">
      <c r="B27" s="155"/>
      <c r="C27" s="169"/>
      <c r="D27" s="157"/>
      <c r="E27" s="157"/>
      <c r="F27" s="157"/>
      <c r="G27" s="148"/>
      <c r="H27" s="157"/>
      <c r="I27" s="154">
        <f t="shared" si="5"/>
        <v>0</v>
      </c>
      <c r="J27" s="157"/>
      <c r="K27" s="148"/>
      <c r="L27" s="163"/>
      <c r="M27" s="163"/>
      <c r="N27" s="163"/>
      <c r="O27" s="163"/>
      <c r="P27" s="163"/>
      <c r="Q27" s="163"/>
      <c r="R27" s="163"/>
    </row>
    <row r="28" spans="2:18" x14ac:dyDescent="0.2">
      <c r="B28" s="569" t="s">
        <v>843</v>
      </c>
      <c r="C28" s="570"/>
      <c r="D28" s="160">
        <f>D26*15%</f>
        <v>6650561.3031450007</v>
      </c>
      <c r="E28" s="160">
        <f>(E26*15%)-(0.01)</f>
        <v>6484145.1050325511</v>
      </c>
      <c r="F28" s="160">
        <f>(F26*15%)-0.01</f>
        <v>6484145.1050320519</v>
      </c>
      <c r="G28" s="148"/>
      <c r="H28" s="160">
        <f t="shared" ref="H28" si="15">H26*15%</f>
        <v>6585506.152088549</v>
      </c>
      <c r="I28" s="154">
        <f t="shared" si="5"/>
        <v>-101361.04705649707</v>
      </c>
      <c r="J28" s="160">
        <f t="shared" ref="J28" si="16">J26*15%</f>
        <v>6484145.1142499996</v>
      </c>
      <c r="K28" s="148">
        <f t="shared" si="1"/>
        <v>-9.2174485325813293E-3</v>
      </c>
      <c r="L28" s="148"/>
      <c r="M28" s="148"/>
      <c r="N28" s="148"/>
      <c r="O28" s="148"/>
      <c r="P28" s="148"/>
      <c r="Q28" s="148"/>
      <c r="R28" s="148"/>
    </row>
    <row r="29" spans="2:18" x14ac:dyDescent="0.2">
      <c r="B29" s="164"/>
      <c r="C29" s="165"/>
      <c r="D29" s="166"/>
      <c r="E29" s="166"/>
      <c r="F29" s="166"/>
      <c r="G29" s="148"/>
      <c r="H29" s="166"/>
      <c r="I29" s="154">
        <f t="shared" si="5"/>
        <v>0</v>
      </c>
      <c r="J29" s="166"/>
      <c r="K29" s="148"/>
      <c r="L29" s="163"/>
      <c r="M29" s="163"/>
      <c r="N29" s="163"/>
      <c r="O29" s="163"/>
      <c r="P29" s="163"/>
      <c r="Q29" s="163"/>
      <c r="R29" s="163"/>
    </row>
    <row r="30" spans="2:18" ht="25.5" customHeight="1" x14ac:dyDescent="0.2">
      <c r="B30" s="167" t="s">
        <v>76</v>
      </c>
      <c r="C30" s="168"/>
      <c r="D30" s="153">
        <f>D26+D28</f>
        <v>50987636.657445006</v>
      </c>
      <c r="E30" s="153">
        <f t="shared" ref="E30:F30" si="17">E26+E28</f>
        <v>49711779.205249555</v>
      </c>
      <c r="F30" s="153">
        <f t="shared" si="17"/>
        <v>49711779.205245726</v>
      </c>
      <c r="G30" s="154">
        <f>E30-F30</f>
        <v>3.8295984268188477E-6</v>
      </c>
      <c r="H30" s="153">
        <f t="shared" ref="H30" si="18">H26+H28</f>
        <v>50488880.499345541</v>
      </c>
      <c r="I30" s="154">
        <f t="shared" si="5"/>
        <v>-777101.29409981519</v>
      </c>
      <c r="J30" s="153">
        <f t="shared" ref="J30" si="19">J26+J28</f>
        <v>49711779.209249996</v>
      </c>
      <c r="K30" s="148">
        <f t="shared" si="1"/>
        <v>-4.000440239906311E-3</v>
      </c>
      <c r="L30" s="154"/>
      <c r="M30" s="154"/>
      <c r="N30" s="154"/>
      <c r="O30" s="154"/>
      <c r="P30" s="154"/>
      <c r="Q30" s="154"/>
      <c r="R30" s="154"/>
    </row>
    <row r="31" spans="2:18" x14ac:dyDescent="0.2">
      <c r="B31" s="170"/>
      <c r="C31" s="171"/>
      <c r="D31" s="171"/>
      <c r="E31" s="171"/>
      <c r="F31" s="171"/>
      <c r="G31" s="148"/>
      <c r="H31" s="148"/>
      <c r="I31" s="148"/>
    </row>
    <row r="32" spans="2:18" x14ac:dyDescent="0.2">
      <c r="B32" s="567"/>
      <c r="C32" s="568"/>
      <c r="D32" s="172"/>
      <c r="E32" s="172"/>
      <c r="F32" s="172"/>
      <c r="G32" s="154"/>
      <c r="H32" s="154"/>
      <c r="I32" s="154"/>
    </row>
    <row r="33" spans="2:9" x14ac:dyDescent="0.2">
      <c r="B33" s="567"/>
      <c r="C33" s="568"/>
      <c r="D33" s="172"/>
      <c r="E33" s="172"/>
      <c r="F33" s="172"/>
      <c r="G33" s="148"/>
      <c r="H33" s="148"/>
      <c r="I33" s="148"/>
    </row>
    <row r="34" spans="2:9" x14ac:dyDescent="0.2">
      <c r="B34" s="173"/>
      <c r="C34" s="173"/>
      <c r="D34" s="173"/>
      <c r="E34" s="512">
        <v>49711779.210000001</v>
      </c>
      <c r="F34" s="173" t="s">
        <v>886</v>
      </c>
      <c r="G34" s="154">
        <f>E34-F30</f>
        <v>4.7542750835418701E-3</v>
      </c>
      <c r="H34" s="154"/>
      <c r="I34" s="154"/>
    </row>
    <row r="35" spans="2:9" x14ac:dyDescent="0.2">
      <c r="B35" s="173"/>
      <c r="C35" s="174"/>
      <c r="D35" s="174"/>
      <c r="E35" s="174"/>
      <c r="F35" s="174"/>
      <c r="G35" s="148"/>
      <c r="H35" s="148"/>
      <c r="I35" s="148"/>
    </row>
    <row r="36" spans="2:9" x14ac:dyDescent="0.2">
      <c r="B36" s="173"/>
      <c r="C36" s="174"/>
      <c r="D36" s="174"/>
      <c r="E36" s="174">
        <v>49121171.200000003</v>
      </c>
      <c r="F36" s="511">
        <f>E36-F30</f>
        <v>-590608.00524572283</v>
      </c>
      <c r="G36" s="154"/>
      <c r="H36" s="154"/>
      <c r="I36" s="154"/>
    </row>
    <row r="37" spans="2:9" ht="24" x14ac:dyDescent="0.2">
      <c r="B37" s="173"/>
      <c r="C37" s="174"/>
      <c r="D37" s="174"/>
      <c r="E37" s="511">
        <f>E34-E30</f>
        <v>4.7504454851150513E-3</v>
      </c>
      <c r="F37" s="511">
        <f>E34-F30</f>
        <v>4.7542750835418701E-3</v>
      </c>
      <c r="G37" s="141" t="s">
        <v>885</v>
      </c>
    </row>
    <row r="38" spans="2:9" ht="18" customHeight="1" x14ac:dyDescent="0.2">
      <c r="B38" s="173"/>
      <c r="C38" s="174"/>
      <c r="D38" s="174"/>
      <c r="E38" s="511">
        <f>E34-F30</f>
        <v>4.7542750835418701E-3</v>
      </c>
      <c r="F38" s="174"/>
    </row>
    <row r="39" spans="2:9" x14ac:dyDescent="0.2">
      <c r="B39" s="173"/>
      <c r="C39" s="174"/>
      <c r="D39" s="174"/>
      <c r="E39" s="174"/>
      <c r="F39" s="174"/>
    </row>
    <row r="40" spans="2:9" ht="14.25" customHeight="1" x14ac:dyDescent="0.2">
      <c r="B40" s="173"/>
      <c r="C40" s="174"/>
      <c r="D40" s="174"/>
      <c r="E40" s="174">
        <f>E34-F30</f>
        <v>4.7542750835418701E-3</v>
      </c>
      <c r="F40" s="174"/>
    </row>
    <row r="41" spans="2:9" ht="14.25" customHeight="1" x14ac:dyDescent="0.2">
      <c r="B41" s="173"/>
      <c r="C41" s="174"/>
      <c r="D41" s="174"/>
      <c r="E41" s="174"/>
      <c r="F41" s="174"/>
    </row>
    <row r="42" spans="2:9" ht="14.25" customHeight="1" x14ac:dyDescent="0.2">
      <c r="B42" s="173"/>
      <c r="C42" s="174"/>
      <c r="D42" s="174"/>
      <c r="E42" s="174"/>
      <c r="F42" s="174"/>
    </row>
    <row r="43" spans="2:9" x14ac:dyDescent="0.2">
      <c r="B43" s="173"/>
      <c r="C43" s="174"/>
      <c r="D43" s="174"/>
      <c r="E43" s="174"/>
      <c r="F43" s="174"/>
    </row>
    <row r="44" spans="2:9" x14ac:dyDescent="0.2">
      <c r="B44" s="173"/>
      <c r="C44" s="174"/>
      <c r="D44" s="174"/>
      <c r="E44" s="174"/>
      <c r="F44" s="174"/>
    </row>
    <row r="45" spans="2:9" x14ac:dyDescent="0.2">
      <c r="B45" s="173"/>
      <c r="C45" s="173"/>
      <c r="D45" s="173"/>
      <c r="E45" s="173"/>
      <c r="F45" s="173"/>
      <c r="G45" s="175"/>
    </row>
    <row r="46" spans="2:9" x14ac:dyDescent="0.2">
      <c r="B46" s="173"/>
      <c r="C46" s="173"/>
      <c r="D46" s="173"/>
      <c r="E46" s="173"/>
      <c r="F46" s="173"/>
    </row>
    <row r="47" spans="2:9" x14ac:dyDescent="0.2">
      <c r="B47" s="173"/>
      <c r="C47" s="173"/>
      <c r="D47" s="173"/>
      <c r="E47" s="173"/>
      <c r="F47" s="173"/>
    </row>
    <row r="48" spans="2:9" x14ac:dyDescent="0.2">
      <c r="B48" s="173"/>
      <c r="C48" s="173"/>
      <c r="D48" s="173"/>
      <c r="E48" s="173"/>
      <c r="F48" s="173"/>
    </row>
    <row r="49" spans="2:6" x14ac:dyDescent="0.2">
      <c r="B49" s="173"/>
      <c r="C49" s="173"/>
      <c r="D49" s="173"/>
      <c r="E49" s="173"/>
      <c r="F49" s="173"/>
    </row>
  </sheetData>
  <mergeCells count="3">
    <mergeCell ref="B33:C33"/>
    <mergeCell ref="B28:C28"/>
    <mergeCell ref="B32:C32"/>
  </mergeCells>
  <phoneticPr fontId="0" type="noConversion"/>
  <pageMargins left="0.82677165354330717" right="0.19685039370078741" top="1.2204724409448819" bottom="0.55118110236220474" header="0.39370078740157483" footer="0.51181102362204722"/>
  <pageSetup paperSize="9" scale="63" fitToHeight="0" orientation="portrait" horizontalDpi="4294967294" r:id="rId1"/>
  <headerFooter alignWithMargins="0">
    <oddHeader>&amp;CContract price estimate&amp;"Arial,Bold"&amp;12MPUMALANGA DEPARTMENT OF PUBLIC WORKS, ROADS &amp; TRANSPORT&amp;10 &amp;"Arial,Regular"&amp;9Reconstruction of road D481 between Mooiplaas and Ekulindeni in Gert Sibande region of Mpumalanga Province (7.2 km)</oddHeader>
    <oddFooter>&amp;LPart C2: Pricing Data &amp;RC2.2 Bill of Quantities   C &amp;P+74/(&amp;P/37 of BoQ)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Schedule A Summary</vt:lpstr>
      <vt:lpstr>Schedule A Roadworks</vt:lpstr>
      <vt:lpstr>Schedule B Structures</vt:lpstr>
      <vt:lpstr>Schedule B Summary</vt:lpstr>
      <vt:lpstr> Schedule C EMP</vt:lpstr>
      <vt:lpstr>Schedule D Remedial Works</vt:lpstr>
      <vt:lpstr>Schedule D Summary </vt:lpstr>
      <vt:lpstr>Total Tender Sum</vt:lpstr>
      <vt:lpstr>' Schedule C EMP'!Print_Area</vt:lpstr>
      <vt:lpstr>'Schedule A Roadworks'!Print_Area</vt:lpstr>
      <vt:lpstr>'Schedule A Summary'!Print_Area</vt:lpstr>
      <vt:lpstr>'Schedule B Structures'!Print_Area</vt:lpstr>
      <vt:lpstr>'Schedule B Summary'!Print_Area</vt:lpstr>
      <vt:lpstr>'Schedule D Remedial Works'!Print_Area</vt:lpstr>
      <vt:lpstr>'Schedule D Summary '!Print_Area</vt:lpstr>
      <vt:lpstr>'Total Tender Sum'!Print_Area</vt:lpstr>
    </vt:vector>
  </TitlesOfParts>
  <Company>Bigen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stordo</dc:creator>
  <cp:lastModifiedBy>Sydney Dikgale</cp:lastModifiedBy>
  <cp:lastPrinted>2025-06-23T12:12:40Z</cp:lastPrinted>
  <dcterms:created xsi:type="dcterms:W3CDTF">1999-11-05T06:52:39Z</dcterms:created>
  <dcterms:modified xsi:type="dcterms:W3CDTF">2025-07-31T07:34:01Z</dcterms:modified>
</cp:coreProperties>
</file>
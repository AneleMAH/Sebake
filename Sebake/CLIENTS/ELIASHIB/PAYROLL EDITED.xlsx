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ELIASHIB\"/>
    </mc:Choice>
  </mc:AlternateContent>
  <xr:revisionPtr revIDLastSave="0" documentId="13_ncr:1_{A7FECC5D-8DB6-4810-83F2-D93C9F87C7C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sterdata" sheetId="3" r:id="rId1"/>
    <sheet name="PAYROLL" sheetId="4" r:id="rId2"/>
    <sheet name="August 2025" sheetId="1" r:id="rId3"/>
    <sheet name="September 202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G15" i="1"/>
  <c r="F15" i="1"/>
  <c r="G14" i="1"/>
  <c r="M14" i="1" s="1"/>
  <c r="F14" i="1"/>
  <c r="H14" i="1" s="1"/>
  <c r="K14" i="1" s="1"/>
  <c r="M13" i="1"/>
  <c r="L13" i="1"/>
  <c r="H13" i="1"/>
  <c r="I13" i="1" s="1"/>
  <c r="J13" i="1" s="1"/>
  <c r="M12" i="1"/>
  <c r="L12" i="1"/>
  <c r="H12" i="1"/>
  <c r="K12" i="1" s="1"/>
  <c r="M11" i="1"/>
  <c r="L11" i="1"/>
  <c r="H11" i="1"/>
  <c r="I11" i="1" s="1"/>
  <c r="J11" i="1" s="1"/>
  <c r="M10" i="1"/>
  <c r="L10" i="1"/>
  <c r="H10" i="1"/>
  <c r="K10" i="1" s="1"/>
  <c r="M9" i="1"/>
  <c r="L9" i="1"/>
  <c r="H9" i="1"/>
  <c r="I9" i="1" s="1"/>
  <c r="K11" i="1" l="1"/>
  <c r="L15" i="1"/>
  <c r="M15" i="1"/>
  <c r="K13" i="1"/>
  <c r="K9" i="1"/>
  <c r="K15" i="1" s="1"/>
  <c r="J9" i="1"/>
  <c r="I10" i="1"/>
  <c r="J10" i="1" s="1"/>
  <c r="I12" i="1"/>
  <c r="J12" i="1" s="1"/>
  <c r="L14" i="1"/>
  <c r="H15" i="1"/>
  <c r="I14" i="1"/>
  <c r="J14" i="1" s="1"/>
  <c r="G14" i="2"/>
  <c r="M14" i="2" s="1"/>
  <c r="F14" i="2"/>
  <c r="L14" i="2" s="1"/>
  <c r="F15" i="2"/>
  <c r="G15" i="2"/>
  <c r="M13" i="2"/>
  <c r="L13" i="2"/>
  <c r="H13" i="2"/>
  <c r="I13" i="2" s="1"/>
  <c r="J13" i="2" s="1"/>
  <c r="M12" i="2"/>
  <c r="L12" i="2"/>
  <c r="H12" i="2"/>
  <c r="I12" i="2" s="1"/>
  <c r="J12" i="2" s="1"/>
  <c r="M11" i="2"/>
  <c r="L11" i="2"/>
  <c r="H11" i="2"/>
  <c r="K11" i="2" s="1"/>
  <c r="M10" i="2"/>
  <c r="L10" i="2"/>
  <c r="H10" i="2"/>
  <c r="I10" i="2" s="1"/>
  <c r="J10" i="2" s="1"/>
  <c r="M9" i="2"/>
  <c r="L9" i="2"/>
  <c r="H9" i="2"/>
  <c r="K9" i="2" s="1"/>
  <c r="K10" i="2" l="1"/>
  <c r="I11" i="2"/>
  <c r="J11" i="2" s="1"/>
  <c r="J15" i="1"/>
  <c r="I15" i="1"/>
  <c r="H14" i="2"/>
  <c r="K14" i="2" s="1"/>
  <c r="L15" i="2"/>
  <c r="I9" i="2"/>
  <c r="J9" i="2" s="1"/>
  <c r="K12" i="2"/>
  <c r="K15" i="2" s="1"/>
  <c r="H15" i="2"/>
  <c r="M15" i="2"/>
  <c r="K13" i="2"/>
  <c r="I14" i="2"/>
  <c r="J14" i="2" l="1"/>
  <c r="J15" i="2" s="1"/>
  <c r="I15" i="2"/>
</calcChain>
</file>

<file path=xl/sharedStrings.xml><?xml version="1.0" encoding="utf-8"?>
<sst xmlns="http://schemas.openxmlformats.org/spreadsheetml/2006/main" count="339" uniqueCount="179">
  <si>
    <t>Payroll Summary</t>
  </si>
  <si>
    <t>Employee Name</t>
  </si>
  <si>
    <t>EE No</t>
  </si>
  <si>
    <t>Position</t>
  </si>
  <si>
    <t>Start Date</t>
  </si>
  <si>
    <t>Gross Salary</t>
  </si>
  <si>
    <t>Deductions</t>
  </si>
  <si>
    <t>Net Pay</t>
  </si>
  <si>
    <t>PAYE</t>
  </si>
  <si>
    <t>UIF</t>
  </si>
  <si>
    <t>Total Deductions</t>
  </si>
  <si>
    <t>ER UIF</t>
  </si>
  <si>
    <t>Earnings</t>
  </si>
  <si>
    <t>Totals</t>
  </si>
  <si>
    <t>Intern</t>
  </si>
  <si>
    <t>Six Month Totals</t>
  </si>
  <si>
    <t>Eliashib</t>
  </si>
  <si>
    <t>**Employee Number</t>
  </si>
  <si>
    <t>Nature of Employee / Person</t>
  </si>
  <si>
    <t>Employee Surname Name / Trading Name</t>
  </si>
  <si>
    <t>First Name</t>
  </si>
  <si>
    <t>Initials</t>
  </si>
  <si>
    <t>Title</t>
  </si>
  <si>
    <t>Preferred Name</t>
  </si>
  <si>
    <t>Gender</t>
  </si>
  <si>
    <t>Affirmative</t>
  </si>
  <si>
    <t xml:space="preserve">Identity Number </t>
  </si>
  <si>
    <t>Country of Citizenship</t>
  </si>
  <si>
    <t>Date of Birth</t>
  </si>
  <si>
    <t>Income Tax Number</t>
  </si>
  <si>
    <t>Revenue Office</t>
  </si>
  <si>
    <t>Marital Status</t>
  </si>
  <si>
    <t xml:space="preserve">Cellphone Number </t>
  </si>
  <si>
    <t>Email Address</t>
  </si>
  <si>
    <t>Email Payslip Advice</t>
  </si>
  <si>
    <t>Foreign National</t>
  </si>
  <si>
    <t>Nationality</t>
  </si>
  <si>
    <t>Home Language</t>
  </si>
  <si>
    <t>Religion</t>
  </si>
  <si>
    <t>Ethnic Persuasion</t>
  </si>
  <si>
    <t>Number of Dependants</t>
  </si>
  <si>
    <t>Disabled</t>
  </si>
  <si>
    <t>Nature of Disability</t>
  </si>
  <si>
    <t>Payment Method</t>
  </si>
  <si>
    <t>Bank Account Number</t>
  </si>
  <si>
    <t>Bank Account Type</t>
  </si>
  <si>
    <t>Bank Branch Code</t>
  </si>
  <si>
    <t>Bank Reference Number</t>
  </si>
  <si>
    <t>Account Holders Relationship</t>
  </si>
  <si>
    <t>Employment Type</t>
  </si>
  <si>
    <t>Employment Date</t>
  </si>
  <si>
    <t>Engagement Date</t>
  </si>
  <si>
    <t>First Pay Interval Start Date</t>
  </si>
  <si>
    <t>IRP5 Start Date</t>
  </si>
  <si>
    <t>Job Grade</t>
  </si>
  <si>
    <t>Job Grade Effective Date</t>
  </si>
  <si>
    <t>Job Title</t>
  </si>
  <si>
    <t>Job Title Effective Date</t>
  </si>
  <si>
    <t>Probation Start Date</t>
  </si>
  <si>
    <t>Probation Period Type</t>
  </si>
  <si>
    <t>Probation Period</t>
  </si>
  <si>
    <t>Probation End Date</t>
  </si>
  <si>
    <t>Internal Phone Number</t>
  </si>
  <si>
    <t>Cost Centre</t>
  </si>
  <si>
    <t>Department</t>
  </si>
  <si>
    <t>Division</t>
  </si>
  <si>
    <t>Pay Point</t>
  </si>
  <si>
    <t>Retirement Date</t>
  </si>
  <si>
    <t>Retirement Reason</t>
  </si>
  <si>
    <t>Alternate Job Grade</t>
  </si>
  <si>
    <t>Alternate Job Grade Effective Date</t>
  </si>
  <si>
    <t>Industry Employment Types</t>
  </si>
  <si>
    <t>Industry Wage Category</t>
  </si>
  <si>
    <t>Working Hours in Month</t>
  </si>
  <si>
    <t>Working Hours in Day</t>
  </si>
  <si>
    <t>Working Days in Week</t>
  </si>
  <si>
    <t>Working Hours in Pay Period</t>
  </si>
  <si>
    <t>Shift Worker</t>
  </si>
  <si>
    <t>Hours per Shift</t>
  </si>
  <si>
    <t>Shifts per Pay Period</t>
  </si>
  <si>
    <t>Shifts per Month</t>
  </si>
  <si>
    <t>Shifts per Annum</t>
  </si>
  <si>
    <t>Payment Rate</t>
  </si>
  <si>
    <t>UIF Overridden</t>
  </si>
  <si>
    <t>UIF Override Reason</t>
  </si>
  <si>
    <t>Skills Levy Exempted</t>
  </si>
  <si>
    <t>Skills Levy Exemption Reason</t>
  </si>
  <si>
    <t>Voluntary Tax Overdeduct</t>
  </si>
  <si>
    <t>Voluntary Tax Overdeduct Effective Date</t>
  </si>
  <si>
    <t>Voluntary Tax Overdeduct Amount</t>
  </si>
  <si>
    <t>Tax Override Method</t>
  </si>
  <si>
    <t>Tax Directive Number</t>
  </si>
  <si>
    <t>Tax Override Effective Date</t>
  </si>
  <si>
    <t>Tax Override Percentage</t>
  </si>
  <si>
    <t>Override Amount</t>
  </si>
  <si>
    <t>Exclude from Bonus Provision for GL Purposes</t>
  </si>
  <si>
    <t>Exclude from Leave Provision for GL Purposes</t>
  </si>
  <si>
    <t>SMS Nett Pay</t>
  </si>
  <si>
    <t>Cell Number Business</t>
  </si>
  <si>
    <t>Agency</t>
  </si>
  <si>
    <t>EGC001</t>
  </si>
  <si>
    <t>A</t>
  </si>
  <si>
    <t>MABENA</t>
  </si>
  <si>
    <t>ANDRONICA NTOMBIKAYISE</t>
  </si>
  <si>
    <t>AN</t>
  </si>
  <si>
    <t>NTOMBI</t>
  </si>
  <si>
    <t>Y</t>
  </si>
  <si>
    <t>22/03/1991</t>
  </si>
  <si>
    <t>0814371961</t>
  </si>
  <si>
    <t>andronicamab@gmail.com</t>
  </si>
  <si>
    <t>SOUTH AFRICAN</t>
  </si>
  <si>
    <t>N</t>
  </si>
  <si>
    <t>ELIASHIB STIPEND</t>
  </si>
  <si>
    <t>METALLURGY OPERATOR</t>
  </si>
  <si>
    <t>WCM</t>
  </si>
  <si>
    <t>METALLURGY</t>
  </si>
  <si>
    <t>EGC002</t>
  </si>
  <si>
    <t>MAVOLWANE</t>
  </si>
  <si>
    <t>MUZIWANDILE TERRENCE</t>
  </si>
  <si>
    <t>MT</t>
  </si>
  <si>
    <t>MUZI</t>
  </si>
  <si>
    <t>0006145407083</t>
  </si>
  <si>
    <t>14/06/2000</t>
  </si>
  <si>
    <t>0230456311</t>
  </si>
  <si>
    <t>0681754057</t>
  </si>
  <si>
    <t>muzit36@gmail.com</t>
  </si>
  <si>
    <t>SAVINGS</t>
  </si>
  <si>
    <t>EGC003</t>
  </si>
  <si>
    <t>MPHAHLELE</t>
  </si>
  <si>
    <t>TSHEPO</t>
  </si>
  <si>
    <t>T</t>
  </si>
  <si>
    <t>0207025819088</t>
  </si>
  <si>
    <t>02/07/2002</t>
  </si>
  <si>
    <t>1761962270</t>
  </si>
  <si>
    <t>0768271409</t>
  </si>
  <si>
    <t>tshepobauba8@gmail.com</t>
  </si>
  <si>
    <t>EGC004</t>
  </si>
  <si>
    <t>MODIMOLA</t>
  </si>
  <si>
    <t>OBAKENG ARON</t>
  </si>
  <si>
    <t>OA</t>
  </si>
  <si>
    <t>OBAKENG</t>
  </si>
  <si>
    <t>9903086080088</t>
  </si>
  <si>
    <t>08/03/1999</t>
  </si>
  <si>
    <t>0651949273</t>
  </si>
  <si>
    <t>0728294217</t>
  </si>
  <si>
    <t>obakengmodimola4271@gmail.com</t>
  </si>
  <si>
    <t>1509565327</t>
  </si>
  <si>
    <t>EGC005</t>
  </si>
  <si>
    <t>NGWANGU</t>
  </si>
  <si>
    <t>SINAKO SOMELEZE</t>
  </si>
  <si>
    <t>SS</t>
  </si>
  <si>
    <t>SINAKO</t>
  </si>
  <si>
    <t>9906105146087</t>
  </si>
  <si>
    <t>10/06/1999</t>
  </si>
  <si>
    <t>3164572178</t>
  </si>
  <si>
    <t>0618922042</t>
  </si>
  <si>
    <t>sinakosomeleze@gmail.com</t>
  </si>
  <si>
    <t>1875779483</t>
  </si>
  <si>
    <t>ANDRONICA NTOMBIKAYISE MABENA</t>
  </si>
  <si>
    <t>MUZIWANDILE TERRENCE MAVOLWANE</t>
  </si>
  <si>
    <t>TSHEPO MPHAHLELE</t>
  </si>
  <si>
    <t>OBAKENG ARON MODIMOLA</t>
  </si>
  <si>
    <t>SINAKO SOMELEZE NGWANGU</t>
  </si>
  <si>
    <t>EGC006</t>
  </si>
  <si>
    <t>01/08/2025</t>
  </si>
  <si>
    <t>NKOSI</t>
  </si>
  <si>
    <t>SINOTHILE</t>
  </si>
  <si>
    <t>SINOTHILE THANDANANI</t>
  </si>
  <si>
    <t>ST</t>
  </si>
  <si>
    <t>0309081047081</t>
  </si>
  <si>
    <t>08/09/2003</t>
  </si>
  <si>
    <t>10166763843</t>
  </si>
  <si>
    <t>051001</t>
  </si>
  <si>
    <t>0823676314</t>
  </si>
  <si>
    <t>SINOTHILE THANDANANI NKOSI</t>
  </si>
  <si>
    <t>Banks</t>
  </si>
  <si>
    <t>African Bank</t>
  </si>
  <si>
    <t>Capitec Bank</t>
  </si>
  <si>
    <t>Standard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</si>
</sst>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yyyymmdd"/>
    <numFmt numFmtId="166" formatCode="&quot;R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sz val="8"/>
      <color theme="1"/>
      <name val="Arial"/>
      <family val="2"/>
    </font>
    <font>
      <b/>
      <sz val="8"/>
      <color rgb="FF201F1E"/>
      <name val="Arial"/>
      <family val="2"/>
    </font>
    <font>
      <sz val="8"/>
      <color rgb="FF201F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rgb="FFFF66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rgb="FFFFCC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5" fillId="2" borderId="1" xfId="0" applyFont="1" applyFill="1" applyBorder="1"/>
    <xf numFmtId="0" fontId="4" fillId="2" borderId="3" xfId="0" applyFont="1" applyFill="1" applyBorder="1"/>
    <xf numFmtId="0" fontId="5" fillId="5" borderId="5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6" borderId="4" xfId="0" applyFont="1" applyFill="1" applyBorder="1"/>
    <xf numFmtId="0" fontId="4" fillId="0" borderId="4" xfId="0" applyFont="1" applyBorder="1"/>
    <xf numFmtId="15" fontId="4" fillId="0" borderId="4" xfId="0" applyNumberFormat="1" applyFont="1" applyBorder="1"/>
    <xf numFmtId="164" fontId="4" fillId="0" borderId="3" xfId="0" applyNumberFormat="1" applyFont="1" applyBorder="1"/>
    <xf numFmtId="164" fontId="4" fillId="0" borderId="1" xfId="0" applyNumberFormat="1" applyFont="1" applyBorder="1"/>
    <xf numFmtId="43" fontId="0" fillId="0" borderId="4" xfId="0" applyNumberFormat="1" applyBorder="1"/>
    <xf numFmtId="164" fontId="4" fillId="0" borderId="2" xfId="0" applyNumberFormat="1" applyFont="1" applyBorder="1"/>
    <xf numFmtId="164" fontId="5" fillId="0" borderId="3" xfId="0" applyNumberFormat="1" applyFont="1" applyBorder="1"/>
    <xf numFmtId="164" fontId="5" fillId="0" borderId="1" xfId="0" applyNumberFormat="1" applyFont="1" applyBorder="1"/>
    <xf numFmtId="43" fontId="3" fillId="0" borderId="4" xfId="1" applyFont="1" applyBorder="1"/>
    <xf numFmtId="0" fontId="4" fillId="0" borderId="0" xfId="0" applyFont="1"/>
    <xf numFmtId="164" fontId="5" fillId="0" borderId="0" xfId="0" applyNumberFormat="1" applyFont="1"/>
    <xf numFmtId="43" fontId="3" fillId="0" borderId="0" xfId="1" applyFont="1" applyBorder="1"/>
    <xf numFmtId="164" fontId="4" fillId="0" borderId="0" xfId="0" applyNumberFormat="1" applyFont="1"/>
    <xf numFmtId="0" fontId="3" fillId="0" borderId="0" xfId="0" applyFont="1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164" fontId="4" fillId="0" borderId="6" xfId="0" applyNumberFormat="1" applyFont="1" applyBorder="1"/>
    <xf numFmtId="0" fontId="12" fillId="0" borderId="0" xfId="0" applyFont="1" applyAlignment="1">
      <alignment horizontal="left"/>
    </xf>
    <xf numFmtId="0" fontId="10" fillId="7" borderId="0" xfId="2" applyFont="1" applyFill="1"/>
    <xf numFmtId="12" fontId="10" fillId="7" borderId="0" xfId="2" applyNumberFormat="1" applyFont="1" applyFill="1" applyAlignment="1">
      <alignment horizontal="left"/>
    </xf>
    <xf numFmtId="0" fontId="11" fillId="7" borderId="0" xfId="2" applyFont="1" applyFill="1"/>
    <xf numFmtId="165" fontId="10" fillId="7" borderId="0" xfId="2" applyNumberFormat="1" applyFont="1" applyFill="1"/>
    <xf numFmtId="49" fontId="10" fillId="7" borderId="0" xfId="2" applyNumberFormat="1" applyFont="1" applyFill="1"/>
    <xf numFmtId="0" fontId="10" fillId="7" borderId="0" xfId="2" applyFont="1" applyFill="1" applyAlignment="1">
      <alignment horizontal="left"/>
    </xf>
    <xf numFmtId="0" fontId="10" fillId="7" borderId="0" xfId="2" applyFont="1" applyFill="1" applyAlignment="1">
      <alignment horizontal="right"/>
    </xf>
    <xf numFmtId="14" fontId="10" fillId="7" borderId="0" xfId="2" applyNumberFormat="1" applyFont="1" applyFill="1"/>
    <xf numFmtId="12" fontId="10" fillId="7" borderId="0" xfId="2" quotePrefix="1" applyNumberFormat="1" applyFont="1" applyFill="1" applyAlignment="1">
      <alignment horizontal="left"/>
    </xf>
    <xf numFmtId="0" fontId="10" fillId="7" borderId="0" xfId="2" quotePrefix="1" applyFont="1" applyFill="1"/>
    <xf numFmtId="49" fontId="10" fillId="7" borderId="0" xfId="2" quotePrefix="1" applyNumberFormat="1" applyFont="1" applyFill="1"/>
    <xf numFmtId="0" fontId="12" fillId="7" borderId="0" xfId="0" applyFont="1" applyFill="1" applyAlignment="1">
      <alignment horizontal="left"/>
    </xf>
    <xf numFmtId="0" fontId="12" fillId="7" borderId="0" xfId="0" applyFont="1" applyFill="1" applyAlignment="1">
      <alignment horizontal="right"/>
    </xf>
    <xf numFmtId="12" fontId="10" fillId="7" borderId="0" xfId="2" applyNumberFormat="1" applyFont="1" applyFill="1"/>
    <xf numFmtId="14" fontId="10" fillId="7" borderId="0" xfId="2" applyNumberFormat="1" applyFont="1" applyFill="1" applyAlignment="1">
      <alignment horizontal="right"/>
    </xf>
    <xf numFmtId="0" fontId="12" fillId="0" borderId="0" xfId="0" applyFont="1"/>
    <xf numFmtId="0" fontId="10" fillId="7" borderId="0" xfId="2" quotePrefix="1" applyFont="1" applyFill="1" applyAlignment="1">
      <alignment horizontal="right"/>
    </xf>
    <xf numFmtId="12" fontId="12" fillId="7" borderId="0" xfId="0" quotePrefix="1" applyNumberFormat="1" applyFont="1" applyFill="1" applyAlignment="1">
      <alignment horizontal="left"/>
    </xf>
    <xf numFmtId="0" fontId="15" fillId="7" borderId="0" xfId="3" applyFont="1" applyFill="1"/>
    <xf numFmtId="0" fontId="14" fillId="7" borderId="0" xfId="3" applyFont="1" applyFill="1" applyAlignment="1"/>
    <xf numFmtId="0" fontId="15" fillId="7" borderId="0" xfId="3" applyFont="1" applyFill="1" applyAlignment="1"/>
    <xf numFmtId="165" fontId="10" fillId="7" borderId="0" xfId="2" quotePrefix="1" applyNumberFormat="1" applyFont="1" applyFill="1"/>
    <xf numFmtId="43" fontId="0" fillId="0" borderId="0" xfId="1" applyFont="1"/>
    <xf numFmtId="164" fontId="5" fillId="6" borderId="1" xfId="0" applyNumberFormat="1" applyFont="1" applyFill="1" applyBorder="1"/>
    <xf numFmtId="0" fontId="9" fillId="8" borderId="0" xfId="2" applyFont="1" applyFill="1" applyAlignment="1">
      <alignment horizontal="left"/>
    </xf>
    <xf numFmtId="0" fontId="9" fillId="8" borderId="0" xfId="2" applyFont="1" applyFill="1"/>
    <xf numFmtId="0" fontId="9" fillId="8" borderId="0" xfId="2" applyFont="1" applyFill="1" applyAlignment="1">
      <alignment horizontal="right"/>
    </xf>
    <xf numFmtId="12" fontId="16" fillId="8" borderId="0" xfId="0" applyNumberFormat="1" applyFont="1" applyFill="1" applyAlignment="1">
      <alignment horizontal="left"/>
    </xf>
    <xf numFmtId="0" fontId="9" fillId="8" borderId="0" xfId="2" quotePrefix="1" applyFont="1" applyFill="1" applyAlignment="1">
      <alignment horizontal="left"/>
    </xf>
    <xf numFmtId="49" fontId="17" fillId="8" borderId="0" xfId="0" applyNumberFormat="1" applyFont="1" applyFill="1" applyAlignment="1">
      <alignment horizontal="right"/>
    </xf>
    <xf numFmtId="0" fontId="9" fillId="0" borderId="4" xfId="2" applyFont="1" applyBorder="1" applyAlignment="1">
      <alignment wrapText="1"/>
    </xf>
    <xf numFmtId="1" fontId="9" fillId="0" borderId="4" xfId="2" applyNumberFormat="1" applyFont="1" applyBorder="1" applyAlignment="1">
      <alignment wrapText="1"/>
    </xf>
    <xf numFmtId="12" fontId="9" fillId="0" borderId="4" xfId="2" applyNumberFormat="1" applyFont="1" applyBorder="1" applyAlignment="1">
      <alignment wrapText="1"/>
    </xf>
    <xf numFmtId="49" fontId="9" fillId="0" borderId="4" xfId="2" applyNumberFormat="1" applyFont="1" applyBorder="1" applyAlignment="1">
      <alignment wrapText="1"/>
    </xf>
    <xf numFmtId="0" fontId="9" fillId="8" borderId="4" xfId="2" applyFont="1" applyFill="1" applyBorder="1" applyAlignment="1">
      <alignment wrapText="1"/>
    </xf>
    <xf numFmtId="0" fontId="9" fillId="8" borderId="4" xfId="2" applyFont="1" applyFill="1" applyBorder="1" applyAlignment="1">
      <alignment horizontal="right" wrapText="1"/>
    </xf>
    <xf numFmtId="0" fontId="9" fillId="8" borderId="7" xfId="2" applyFont="1" applyFill="1" applyBorder="1" applyAlignment="1">
      <alignment wrapText="1"/>
    </xf>
    <xf numFmtId="166" fontId="0" fillId="0" borderId="0" xfId="0" applyNumberFormat="1"/>
    <xf numFmtId="0" fontId="9" fillId="0" borderId="4" xfId="2" applyFont="1" applyBorder="1" applyAlignment="1">
      <alignment horizontal="left" vertical="center"/>
    </xf>
    <xf numFmtId="0" fontId="9" fillId="0" borderId="4" xfId="2" applyFont="1" applyBorder="1"/>
    <xf numFmtId="12" fontId="9" fillId="0" borderId="4" xfId="2" applyNumberFormat="1" applyFont="1" applyBorder="1"/>
    <xf numFmtId="0" fontId="9" fillId="0" borderId="4" xfId="2" applyFont="1" applyBorder="1" applyAlignment="1">
      <alignment horizontal="left"/>
    </xf>
    <xf numFmtId="0" fontId="10" fillId="0" borderId="0" xfId="2" applyFont="1" applyAlignment="1">
      <alignment horizontal="left"/>
    </xf>
    <xf numFmtId="0" fontId="10" fillId="0" borderId="0" xfId="2" applyFont="1"/>
    <xf numFmtId="12" fontId="12" fillId="0" borderId="0" xfId="0" applyNumberFormat="1" applyFont="1" applyAlignment="1">
      <alignment horizontal="left"/>
    </xf>
    <xf numFmtId="0" fontId="10" fillId="0" borderId="0" xfId="2" quotePrefix="1" applyFont="1" applyAlignment="1">
      <alignment horizontal="left"/>
    </xf>
    <xf numFmtId="49" fontId="18" fillId="0" borderId="0" xfId="0" applyNumberFormat="1" applyFont="1" applyAlignment="1">
      <alignment horizontal="left"/>
    </xf>
    <xf numFmtId="0" fontId="5" fillId="2" borderId="2" xfId="0" applyFont="1" applyFill="1" applyBorder="1"/>
    <xf numFmtId="0" fontId="6" fillId="3" borderId="3" xfId="0" applyFont="1" applyFill="1" applyBorder="1"/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0" fontId="0" fillId="0" borderId="4" xfId="0" applyBorder="1"/>
  </cellXfs>
  <cellStyles count="4">
    <cellStyle name="Comma" xfId="1" builtinId="3"/>
    <cellStyle name="Hyperlink" xfId="3" builtinId="8"/>
    <cellStyle name="Normal" xfId="0" builtinId="0"/>
    <cellStyle name="Normal 3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bakengmodimola4271@gmail.com" TargetMode="External"/><Relationship Id="rId2" Type="http://schemas.openxmlformats.org/officeDocument/2006/relationships/hyperlink" Target="mailto:tshepobauba8@gmail.com" TargetMode="External"/><Relationship Id="rId1" Type="http://schemas.openxmlformats.org/officeDocument/2006/relationships/hyperlink" Target="mailto:muzit36@gmail.com" TargetMode="External"/><Relationship Id="rId5" Type="http://schemas.openxmlformats.org/officeDocument/2006/relationships/hyperlink" Target="mailto:andronicamab@gmail.com" TargetMode="External"/><Relationship Id="rId4" Type="http://schemas.openxmlformats.org/officeDocument/2006/relationships/hyperlink" Target="mailto:sinakosomelez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"/>
  <sheetViews>
    <sheetView workbookViewId="0">
      <selection activeCell="C7" sqref="C1:C7"/>
    </sheetView>
  </sheetViews>
  <sheetFormatPr defaultRowHeight="15" x14ac:dyDescent="0.25"/>
  <cols>
    <col min="1" max="1" width="8.85546875" bestFit="1" customWidth="1"/>
    <col min="2" max="2" width="8.7109375" bestFit="1" customWidth="1"/>
    <col min="3" max="3" width="10.85546875" bestFit="1" customWidth="1"/>
    <col min="4" max="4" width="21.42578125" bestFit="1" customWidth="1"/>
    <col min="5" max="5" width="6.140625" bestFit="1" customWidth="1"/>
    <col min="6" max="6" width="4.42578125" bestFit="1" customWidth="1"/>
    <col min="7" max="7" width="8.7109375" bestFit="1" customWidth="1"/>
    <col min="8" max="8" width="6.85546875" bestFit="1" customWidth="1"/>
    <col min="9" max="9" width="8.7109375" bestFit="1" customWidth="1"/>
    <col min="10" max="10" width="13.7109375" bestFit="1" customWidth="1"/>
    <col min="11" max="11" width="8.85546875" bestFit="1" customWidth="1"/>
    <col min="12" max="12" width="6.42578125" bestFit="1" customWidth="1"/>
    <col min="13" max="13" width="7.28515625" bestFit="1" customWidth="1"/>
    <col min="14" max="14" width="7.85546875" bestFit="1" customWidth="1"/>
    <col min="15" max="15" width="6.28515625" bestFit="1" customWidth="1"/>
    <col min="16" max="16" width="9" bestFit="1" customWidth="1"/>
    <col min="17" max="17" width="7.85546875" bestFit="1" customWidth="1"/>
    <col min="18" max="18" width="6.5703125" bestFit="1" customWidth="1"/>
    <col min="19" max="19" width="7.140625" bestFit="1" customWidth="1"/>
    <col min="20" max="20" width="9" bestFit="1" customWidth="1"/>
    <col min="21" max="21" width="8.7109375" bestFit="1" customWidth="1"/>
    <col min="22" max="22" width="7.28515625" bestFit="1" customWidth="1"/>
    <col min="23" max="23" width="9" bestFit="1" customWidth="1"/>
    <col min="24" max="24" width="8.85546875" bestFit="1" customWidth="1"/>
    <col min="25" max="25" width="7.7109375" bestFit="1" customWidth="1"/>
    <col min="26" max="26" width="8.140625" bestFit="1" customWidth="1"/>
    <col min="27" max="27" width="7.85546875" bestFit="1" customWidth="1"/>
    <col min="28" max="28" width="12.140625" bestFit="1" customWidth="1"/>
    <col min="29" max="29" width="7.85546875" bestFit="1" customWidth="1"/>
    <col min="30" max="30" width="6.140625" bestFit="1" customWidth="1"/>
    <col min="31" max="31" width="14.7109375" bestFit="1" customWidth="1"/>
    <col min="32" max="35" width="8.28515625" bestFit="1" customWidth="1"/>
    <col min="36" max="36" width="8.5703125" bestFit="1" customWidth="1"/>
    <col min="37" max="37" width="8.42578125" bestFit="1" customWidth="1"/>
    <col min="38" max="39" width="9" bestFit="1" customWidth="1"/>
    <col min="40" max="41" width="7.7109375" bestFit="1" customWidth="1"/>
    <col min="42" max="45" width="8.5703125" bestFit="1" customWidth="1"/>
    <col min="46" max="46" width="7.28515625" bestFit="1" customWidth="1"/>
    <col min="47" max="47" width="6.42578125" bestFit="1" customWidth="1"/>
    <col min="48" max="48" width="8.7109375" bestFit="1" customWidth="1"/>
    <col min="49" max="49" width="7.140625" bestFit="1" customWidth="1"/>
    <col min="50" max="50" width="8.140625" bestFit="1" customWidth="1"/>
    <col min="51" max="51" width="8.28515625" bestFit="1" customWidth="1"/>
    <col min="52" max="52" width="8.85546875" bestFit="1" customWidth="1"/>
    <col min="53" max="54" width="9" bestFit="1" customWidth="1"/>
    <col min="55" max="55" width="8.85546875" bestFit="1" customWidth="1"/>
    <col min="56" max="56" width="8.140625" bestFit="1" customWidth="1"/>
    <col min="57" max="60" width="7.5703125" bestFit="1" customWidth="1"/>
    <col min="61" max="61" width="6.85546875" bestFit="1" customWidth="1"/>
    <col min="62" max="62" width="8.85546875" bestFit="1" customWidth="1"/>
    <col min="63" max="65" width="8.7109375" bestFit="1" customWidth="1"/>
    <col min="66" max="66" width="7.85546875" bestFit="1" customWidth="1"/>
    <col min="67" max="67" width="8.85546875" bestFit="1" customWidth="1"/>
    <col min="68" max="68" width="7.85546875" bestFit="1" customWidth="1"/>
    <col min="69" max="69" width="8.85546875" bestFit="1" customWidth="1"/>
    <col min="70" max="70" width="8.28515625" bestFit="1" customWidth="1"/>
    <col min="71" max="72" width="8.7109375" bestFit="1" customWidth="1"/>
    <col min="74" max="76" width="7.85546875" bestFit="1" customWidth="1"/>
    <col min="77" max="77" width="9" bestFit="1" customWidth="1"/>
    <col min="78" max="78" width="7.85546875" bestFit="1" customWidth="1"/>
    <col min="79" max="80" width="8.7109375" bestFit="1" customWidth="1"/>
    <col min="81" max="81" width="8" bestFit="1" customWidth="1"/>
    <col min="82" max="82" width="8.42578125" bestFit="1" customWidth="1"/>
    <col min="83" max="83" width="6.85546875" bestFit="1" customWidth="1"/>
  </cols>
  <sheetData>
    <row r="1" spans="1:83" ht="68.25" x14ac:dyDescent="0.25">
      <c r="A1" s="57" t="s">
        <v>17</v>
      </c>
      <c r="B1" s="57" t="s">
        <v>18</v>
      </c>
      <c r="C1" s="57" t="s">
        <v>19</v>
      </c>
      <c r="D1" s="57" t="s">
        <v>20</v>
      </c>
      <c r="E1" s="57" t="s">
        <v>21</v>
      </c>
      <c r="F1" s="57" t="s">
        <v>22</v>
      </c>
      <c r="G1" s="57" t="s">
        <v>23</v>
      </c>
      <c r="H1" s="58" t="s">
        <v>24</v>
      </c>
      <c r="I1" s="58" t="s">
        <v>25</v>
      </c>
      <c r="J1" s="59" t="s">
        <v>26</v>
      </c>
      <c r="K1" s="57" t="s">
        <v>27</v>
      </c>
      <c r="L1" s="57" t="s">
        <v>28</v>
      </c>
      <c r="M1" s="57" t="s">
        <v>29</v>
      </c>
      <c r="N1" s="57" t="s">
        <v>30</v>
      </c>
      <c r="O1" s="57" t="s">
        <v>31</v>
      </c>
      <c r="P1" s="60" t="s">
        <v>32</v>
      </c>
      <c r="Q1" s="57" t="s">
        <v>33</v>
      </c>
      <c r="R1" s="57" t="s">
        <v>34</v>
      </c>
      <c r="S1" s="57" t="s">
        <v>35</v>
      </c>
      <c r="T1" s="57" t="s">
        <v>36</v>
      </c>
      <c r="U1" s="57" t="s">
        <v>37</v>
      </c>
      <c r="V1" s="57" t="s">
        <v>38</v>
      </c>
      <c r="W1" s="57" t="s">
        <v>39</v>
      </c>
      <c r="X1" s="57" t="s">
        <v>40</v>
      </c>
      <c r="Y1" s="57" t="s">
        <v>41</v>
      </c>
      <c r="Z1" s="57" t="s">
        <v>42</v>
      </c>
      <c r="AA1" s="57" t="s">
        <v>43</v>
      </c>
      <c r="AB1" s="61" t="s">
        <v>44</v>
      </c>
      <c r="AC1" s="61" t="s">
        <v>45</v>
      </c>
      <c r="AD1" s="62" t="s">
        <v>46</v>
      </c>
      <c r="AE1" s="61" t="s">
        <v>47</v>
      </c>
      <c r="AF1" s="57" t="s">
        <v>48</v>
      </c>
      <c r="AG1" s="57" t="s">
        <v>49</v>
      </c>
      <c r="AH1" s="57" t="s">
        <v>50</v>
      </c>
      <c r="AI1" s="57" t="s">
        <v>51</v>
      </c>
      <c r="AJ1" s="57" t="s">
        <v>52</v>
      </c>
      <c r="AK1" s="57" t="s">
        <v>53</v>
      </c>
      <c r="AL1" s="57" t="s">
        <v>54</v>
      </c>
      <c r="AM1" s="57" t="s">
        <v>55</v>
      </c>
      <c r="AN1" s="57" t="s">
        <v>56</v>
      </c>
      <c r="AO1" s="57" t="s">
        <v>57</v>
      </c>
      <c r="AP1" s="57" t="s">
        <v>58</v>
      </c>
      <c r="AQ1" s="57" t="s">
        <v>59</v>
      </c>
      <c r="AR1" s="57" t="s">
        <v>60</v>
      </c>
      <c r="AS1" s="57" t="s">
        <v>61</v>
      </c>
      <c r="AT1" s="57" t="s">
        <v>62</v>
      </c>
      <c r="AU1" s="57" t="s">
        <v>63</v>
      </c>
      <c r="AV1" s="57" t="s">
        <v>64</v>
      </c>
      <c r="AW1" s="57" t="s">
        <v>65</v>
      </c>
      <c r="AX1" s="57" t="s">
        <v>66</v>
      </c>
      <c r="AY1" s="57" t="s">
        <v>67</v>
      </c>
      <c r="AZ1" s="57" t="s">
        <v>68</v>
      </c>
      <c r="BA1" s="57" t="s">
        <v>69</v>
      </c>
      <c r="BB1" s="57" t="s">
        <v>70</v>
      </c>
      <c r="BC1" s="57" t="s">
        <v>71</v>
      </c>
      <c r="BD1" s="57" t="s">
        <v>72</v>
      </c>
      <c r="BE1" s="57" t="s">
        <v>73</v>
      </c>
      <c r="BF1" s="57" t="s">
        <v>74</v>
      </c>
      <c r="BG1" s="57" t="s">
        <v>75</v>
      </c>
      <c r="BH1" s="57" t="s">
        <v>76</v>
      </c>
      <c r="BI1" s="57" t="s">
        <v>77</v>
      </c>
      <c r="BJ1" s="57" t="s">
        <v>78</v>
      </c>
      <c r="BK1" s="57" t="s">
        <v>79</v>
      </c>
      <c r="BL1" s="57" t="s">
        <v>80</v>
      </c>
      <c r="BM1" s="57" t="s">
        <v>81</v>
      </c>
      <c r="BN1" s="57" t="s">
        <v>82</v>
      </c>
      <c r="BO1" s="57" t="s">
        <v>83</v>
      </c>
      <c r="BP1" s="57" t="s">
        <v>84</v>
      </c>
      <c r="BQ1" s="57" t="s">
        <v>85</v>
      </c>
      <c r="BR1" s="57" t="s">
        <v>86</v>
      </c>
      <c r="BS1" s="57" t="s">
        <v>87</v>
      </c>
      <c r="BT1" s="57" t="s">
        <v>88</v>
      </c>
      <c r="BU1" s="57" t="s">
        <v>89</v>
      </c>
      <c r="BV1" s="57" t="s">
        <v>90</v>
      </c>
      <c r="BW1" s="57" t="s">
        <v>91</v>
      </c>
      <c r="BX1" s="57" t="s">
        <v>92</v>
      </c>
      <c r="BY1" s="57" t="s">
        <v>93</v>
      </c>
      <c r="BZ1" s="57" t="s">
        <v>94</v>
      </c>
      <c r="CA1" s="57" t="s">
        <v>95</v>
      </c>
      <c r="CB1" s="57" t="s">
        <v>96</v>
      </c>
      <c r="CC1" s="57" t="s">
        <v>97</v>
      </c>
      <c r="CD1" s="57" t="s">
        <v>98</v>
      </c>
      <c r="CE1" s="57" t="s">
        <v>99</v>
      </c>
    </row>
    <row r="2" spans="1:83" x14ac:dyDescent="0.25">
      <c r="A2" s="27" t="s">
        <v>100</v>
      </c>
      <c r="B2" s="27" t="s">
        <v>101</v>
      </c>
      <c r="C2" s="27" t="s">
        <v>102</v>
      </c>
      <c r="D2" s="27" t="s">
        <v>103</v>
      </c>
      <c r="E2" s="27" t="s">
        <v>104</v>
      </c>
      <c r="F2" s="27">
        <v>4</v>
      </c>
      <c r="G2" s="27" t="s">
        <v>105</v>
      </c>
      <c r="H2" s="27">
        <v>2</v>
      </c>
      <c r="I2" s="27" t="s">
        <v>106</v>
      </c>
      <c r="J2" s="28">
        <v>9103220370087</v>
      </c>
      <c r="K2" s="29"/>
      <c r="L2" s="30" t="s">
        <v>107</v>
      </c>
      <c r="M2" s="27"/>
      <c r="N2" s="27"/>
      <c r="O2" s="27">
        <v>1</v>
      </c>
      <c r="P2" s="37" t="s">
        <v>108</v>
      </c>
      <c r="Q2" s="47" t="s">
        <v>109</v>
      </c>
      <c r="R2" s="27" t="s">
        <v>106</v>
      </c>
      <c r="S2" s="27">
        <v>0</v>
      </c>
      <c r="T2" s="27" t="s">
        <v>110</v>
      </c>
      <c r="U2" s="27"/>
      <c r="V2" s="27">
        <v>2</v>
      </c>
      <c r="W2" s="27">
        <v>2</v>
      </c>
      <c r="X2" s="27">
        <v>0</v>
      </c>
      <c r="Y2" s="27" t="s">
        <v>111</v>
      </c>
      <c r="Z2" s="27"/>
      <c r="AA2" s="27">
        <v>3</v>
      </c>
      <c r="AB2" s="51">
        <v>20129658283</v>
      </c>
      <c r="AC2" s="52" t="s">
        <v>126</v>
      </c>
      <c r="AD2" s="53">
        <v>43000</v>
      </c>
      <c r="AE2" s="52" t="s">
        <v>112</v>
      </c>
      <c r="AF2" s="27">
        <v>1</v>
      </c>
      <c r="AG2" s="27">
        <v>13</v>
      </c>
      <c r="AH2" s="34" t="s">
        <v>164</v>
      </c>
      <c r="AI2" s="34" t="s">
        <v>164</v>
      </c>
      <c r="AJ2" s="34"/>
      <c r="AK2" s="34"/>
      <c r="AL2" s="27"/>
      <c r="AM2" s="27"/>
      <c r="AN2" s="27" t="s">
        <v>113</v>
      </c>
      <c r="AO2" s="34"/>
      <c r="AP2" s="27"/>
      <c r="AQ2" s="27"/>
      <c r="AR2" s="27"/>
      <c r="AS2" s="27"/>
      <c r="AT2" s="27"/>
      <c r="AU2" s="27" t="s">
        <v>114</v>
      </c>
      <c r="AV2" s="27" t="s">
        <v>115</v>
      </c>
      <c r="AW2" s="27"/>
      <c r="AX2" s="27"/>
      <c r="AY2" s="27"/>
      <c r="AZ2" s="27"/>
      <c r="BA2" s="27"/>
      <c r="BB2" s="27"/>
      <c r="BC2" s="27"/>
      <c r="BD2" s="27"/>
      <c r="BE2" s="27">
        <v>173.36</v>
      </c>
      <c r="BF2" s="27">
        <v>8</v>
      </c>
      <c r="BG2" s="27">
        <v>5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 t="s">
        <v>106</v>
      </c>
      <c r="CD2" s="27"/>
      <c r="CE2" s="27"/>
    </row>
    <row r="3" spans="1:83" x14ac:dyDescent="0.25">
      <c r="A3" s="27" t="s">
        <v>116</v>
      </c>
      <c r="B3" s="27" t="s">
        <v>101</v>
      </c>
      <c r="C3" s="27" t="s">
        <v>117</v>
      </c>
      <c r="D3" s="27" t="s">
        <v>118</v>
      </c>
      <c r="E3" s="27" t="s">
        <v>119</v>
      </c>
      <c r="F3" s="27">
        <v>1</v>
      </c>
      <c r="G3" s="27" t="s">
        <v>120</v>
      </c>
      <c r="H3" s="27">
        <v>1</v>
      </c>
      <c r="I3" s="27" t="s">
        <v>106</v>
      </c>
      <c r="J3" s="35" t="s">
        <v>121</v>
      </c>
      <c r="K3" s="29"/>
      <c r="L3" s="30" t="s">
        <v>122</v>
      </c>
      <c r="M3" s="36" t="s">
        <v>123</v>
      </c>
      <c r="N3" s="27"/>
      <c r="O3" s="27">
        <v>1</v>
      </c>
      <c r="P3" s="37" t="s">
        <v>124</v>
      </c>
      <c r="Q3" s="45" t="s">
        <v>125</v>
      </c>
      <c r="R3" s="27" t="s">
        <v>106</v>
      </c>
      <c r="S3" s="27">
        <v>0</v>
      </c>
      <c r="T3" s="27" t="s">
        <v>110</v>
      </c>
      <c r="U3" s="27"/>
      <c r="V3" s="27">
        <v>2</v>
      </c>
      <c r="W3" s="27">
        <v>2</v>
      </c>
      <c r="X3" s="27">
        <v>0</v>
      </c>
      <c r="Y3" s="27" t="s">
        <v>111</v>
      </c>
      <c r="Z3" s="27"/>
      <c r="AA3" s="27">
        <v>3</v>
      </c>
      <c r="AB3" s="51">
        <v>1586565921</v>
      </c>
      <c r="AC3" s="52" t="s">
        <v>126</v>
      </c>
      <c r="AD3" s="53">
        <v>470010</v>
      </c>
      <c r="AE3" s="52" t="s">
        <v>112</v>
      </c>
      <c r="AF3" s="27">
        <v>1</v>
      </c>
      <c r="AG3" s="27">
        <v>13</v>
      </c>
      <c r="AH3" s="34" t="s">
        <v>164</v>
      </c>
      <c r="AI3" s="34" t="s">
        <v>164</v>
      </c>
      <c r="AJ3" s="34"/>
      <c r="AK3" s="34"/>
      <c r="AL3" s="27"/>
      <c r="AM3" s="27"/>
      <c r="AN3" s="27" t="s">
        <v>113</v>
      </c>
      <c r="AO3" s="34"/>
      <c r="AP3" s="27"/>
      <c r="AQ3" s="27"/>
      <c r="AR3" s="27"/>
      <c r="AS3" s="27"/>
      <c r="AT3" s="27"/>
      <c r="AU3" s="27" t="s">
        <v>114</v>
      </c>
      <c r="AV3" s="27" t="s">
        <v>115</v>
      </c>
      <c r="AW3" s="27"/>
      <c r="AX3" s="27"/>
      <c r="AY3" s="27"/>
      <c r="AZ3" s="27"/>
      <c r="BA3" s="27"/>
      <c r="BB3" s="27"/>
      <c r="BC3" s="27"/>
      <c r="BD3" s="27"/>
      <c r="BE3" s="27">
        <v>173.36</v>
      </c>
      <c r="BF3" s="27">
        <v>8</v>
      </c>
      <c r="BG3" s="27">
        <v>5</v>
      </c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 t="s">
        <v>106</v>
      </c>
      <c r="CD3" s="31"/>
      <c r="CE3" s="27"/>
    </row>
    <row r="4" spans="1:83" x14ac:dyDescent="0.25">
      <c r="A4" s="27" t="s">
        <v>127</v>
      </c>
      <c r="B4" s="27" t="s">
        <v>101</v>
      </c>
      <c r="C4" s="27" t="s">
        <v>128</v>
      </c>
      <c r="D4" s="27" t="s">
        <v>160</v>
      </c>
      <c r="E4" s="27" t="s">
        <v>130</v>
      </c>
      <c r="F4" s="27">
        <v>1</v>
      </c>
      <c r="G4" s="27" t="s">
        <v>129</v>
      </c>
      <c r="H4" s="27">
        <v>1</v>
      </c>
      <c r="I4" s="27" t="s">
        <v>106</v>
      </c>
      <c r="J4" s="44" t="s">
        <v>131</v>
      </c>
      <c r="K4" s="29"/>
      <c r="L4" s="36" t="s">
        <v>132</v>
      </c>
      <c r="M4" s="36" t="s">
        <v>133</v>
      </c>
      <c r="N4" s="27"/>
      <c r="O4" s="27">
        <v>1</v>
      </c>
      <c r="P4" s="37" t="s">
        <v>134</v>
      </c>
      <c r="Q4" s="47" t="s">
        <v>135</v>
      </c>
      <c r="R4" s="27" t="s">
        <v>106</v>
      </c>
      <c r="S4" s="27">
        <v>0</v>
      </c>
      <c r="T4" s="27" t="s">
        <v>110</v>
      </c>
      <c r="U4" s="27"/>
      <c r="V4" s="27">
        <v>2</v>
      </c>
      <c r="W4" s="27">
        <v>2</v>
      </c>
      <c r="X4" s="27">
        <v>0</v>
      </c>
      <c r="Y4" s="27" t="s">
        <v>111</v>
      </c>
      <c r="Z4" s="27"/>
      <c r="AA4" s="27">
        <v>3</v>
      </c>
      <c r="AB4" s="54">
        <v>1761962270</v>
      </c>
      <c r="AC4" s="52" t="s">
        <v>126</v>
      </c>
      <c r="AD4" s="53">
        <v>470010</v>
      </c>
      <c r="AE4" s="52" t="s">
        <v>112</v>
      </c>
      <c r="AF4" s="27">
        <v>1</v>
      </c>
      <c r="AG4" s="27">
        <v>13</v>
      </c>
      <c r="AH4" s="34" t="s">
        <v>164</v>
      </c>
      <c r="AI4" s="34" t="s">
        <v>164</v>
      </c>
      <c r="AJ4" s="27"/>
      <c r="AK4" s="41"/>
      <c r="AL4" s="27"/>
      <c r="AM4" s="27"/>
      <c r="AN4" s="27" t="s">
        <v>113</v>
      </c>
      <c r="AO4" s="34"/>
      <c r="AP4" s="27"/>
      <c r="AQ4" s="27"/>
      <c r="AR4" s="27"/>
      <c r="AS4" s="27"/>
      <c r="AT4" s="27"/>
      <c r="AU4" s="27" t="s">
        <v>114</v>
      </c>
      <c r="AV4" s="27" t="s">
        <v>115</v>
      </c>
      <c r="AW4" s="27"/>
      <c r="AX4" s="27"/>
      <c r="AY4" s="27"/>
      <c r="AZ4" s="27"/>
      <c r="BA4" s="27"/>
      <c r="BB4" s="27"/>
      <c r="BC4" s="27"/>
      <c r="BD4" s="27"/>
      <c r="BE4" s="27">
        <v>173.36</v>
      </c>
      <c r="BF4" s="27">
        <v>8</v>
      </c>
      <c r="BG4" s="27">
        <v>5</v>
      </c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 t="s">
        <v>106</v>
      </c>
      <c r="CD4" s="31"/>
      <c r="CE4" s="27"/>
    </row>
    <row r="5" spans="1:83" x14ac:dyDescent="0.25">
      <c r="A5" s="27" t="s">
        <v>136</v>
      </c>
      <c r="B5" s="27" t="s">
        <v>101</v>
      </c>
      <c r="C5" s="27" t="s">
        <v>137</v>
      </c>
      <c r="D5" s="27" t="s">
        <v>138</v>
      </c>
      <c r="E5" s="27" t="s">
        <v>139</v>
      </c>
      <c r="F5" s="27">
        <v>1</v>
      </c>
      <c r="G5" s="27" t="s">
        <v>140</v>
      </c>
      <c r="H5" s="27">
        <v>1</v>
      </c>
      <c r="I5" s="27" t="s">
        <v>106</v>
      </c>
      <c r="J5" s="35" t="s">
        <v>141</v>
      </c>
      <c r="K5" s="29"/>
      <c r="L5" s="48" t="s">
        <v>142</v>
      </c>
      <c r="M5" s="37" t="s">
        <v>143</v>
      </c>
      <c r="N5" s="27"/>
      <c r="O5" s="27">
        <v>1</v>
      </c>
      <c r="P5" s="37" t="s">
        <v>144</v>
      </c>
      <c r="Q5" s="45" t="s">
        <v>145</v>
      </c>
      <c r="R5" s="27" t="s">
        <v>106</v>
      </c>
      <c r="S5" s="27">
        <v>0</v>
      </c>
      <c r="T5" s="27" t="s">
        <v>110</v>
      </c>
      <c r="U5" s="27"/>
      <c r="V5" s="27">
        <v>2</v>
      </c>
      <c r="W5" s="27">
        <v>2</v>
      </c>
      <c r="X5" s="27">
        <v>0</v>
      </c>
      <c r="Y5" s="27" t="s">
        <v>111</v>
      </c>
      <c r="Z5" s="27"/>
      <c r="AA5" s="27">
        <v>3</v>
      </c>
      <c r="AB5" s="55" t="s">
        <v>146</v>
      </c>
      <c r="AC5" s="52" t="s">
        <v>126</v>
      </c>
      <c r="AD5" s="53">
        <v>470010</v>
      </c>
      <c r="AE5" s="52" t="s">
        <v>112</v>
      </c>
      <c r="AF5" s="27">
        <v>1</v>
      </c>
      <c r="AG5" s="27">
        <v>13</v>
      </c>
      <c r="AH5" s="34" t="s">
        <v>164</v>
      </c>
      <c r="AI5" s="34" t="s">
        <v>164</v>
      </c>
      <c r="AJ5" s="34"/>
      <c r="AK5" s="41"/>
      <c r="AL5" s="27"/>
      <c r="AM5" s="27"/>
      <c r="AN5" s="27" t="s">
        <v>113</v>
      </c>
      <c r="AO5" s="34"/>
      <c r="AP5" s="27"/>
      <c r="AQ5" s="27"/>
      <c r="AR5" s="27"/>
      <c r="AS5" s="27"/>
      <c r="AT5" s="27"/>
      <c r="AU5" s="27" t="s">
        <v>114</v>
      </c>
      <c r="AV5" s="27" t="s">
        <v>115</v>
      </c>
      <c r="AW5" s="27"/>
      <c r="AX5" s="27"/>
      <c r="AY5" s="27"/>
      <c r="AZ5" s="27"/>
      <c r="BA5" s="27"/>
      <c r="BB5" s="27"/>
      <c r="BC5" s="27"/>
      <c r="BD5" s="27"/>
      <c r="BE5" s="27">
        <v>173.36</v>
      </c>
      <c r="BF5" s="27">
        <v>8</v>
      </c>
      <c r="BG5" s="27">
        <v>5</v>
      </c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 t="s">
        <v>106</v>
      </c>
      <c r="CD5" s="31"/>
      <c r="CE5" s="27"/>
    </row>
    <row r="6" spans="1:83" x14ac:dyDescent="0.25">
      <c r="A6" s="27" t="s">
        <v>147</v>
      </c>
      <c r="B6" s="27" t="s">
        <v>101</v>
      </c>
      <c r="C6" s="27" t="s">
        <v>148</v>
      </c>
      <c r="D6" s="27" t="s">
        <v>149</v>
      </c>
      <c r="E6" s="27" t="s">
        <v>150</v>
      </c>
      <c r="F6" s="27">
        <v>1</v>
      </c>
      <c r="G6" s="27" t="s">
        <v>151</v>
      </c>
      <c r="H6" s="27">
        <v>1</v>
      </c>
      <c r="I6" s="27" t="s">
        <v>106</v>
      </c>
      <c r="J6" s="35" t="s">
        <v>152</v>
      </c>
      <c r="K6" s="29"/>
      <c r="L6" s="48" t="s">
        <v>153</v>
      </c>
      <c r="M6" s="36" t="s">
        <v>154</v>
      </c>
      <c r="N6" s="27"/>
      <c r="O6" s="27">
        <v>1</v>
      </c>
      <c r="P6" s="37" t="s">
        <v>155</v>
      </c>
      <c r="Q6" s="45" t="s">
        <v>156</v>
      </c>
      <c r="R6" s="27" t="s">
        <v>106</v>
      </c>
      <c r="S6" s="27">
        <v>0</v>
      </c>
      <c r="T6" s="27" t="s">
        <v>110</v>
      </c>
      <c r="U6" s="27"/>
      <c r="V6" s="27">
        <v>2</v>
      </c>
      <c r="W6" s="27">
        <v>2</v>
      </c>
      <c r="X6" s="27">
        <v>0</v>
      </c>
      <c r="Y6" s="27" t="s">
        <v>111</v>
      </c>
      <c r="Z6" s="27"/>
      <c r="AA6" s="27">
        <v>3</v>
      </c>
      <c r="AB6" s="55" t="s">
        <v>157</v>
      </c>
      <c r="AC6" s="52" t="s">
        <v>126</v>
      </c>
      <c r="AD6" s="53">
        <v>470010</v>
      </c>
      <c r="AE6" s="52" t="s">
        <v>112</v>
      </c>
      <c r="AF6" s="27">
        <v>1</v>
      </c>
      <c r="AG6" s="27">
        <v>13</v>
      </c>
      <c r="AH6" s="34" t="s">
        <v>164</v>
      </c>
      <c r="AI6" s="34" t="s">
        <v>164</v>
      </c>
      <c r="AJ6" s="34"/>
      <c r="AK6" s="34"/>
      <c r="AL6" s="27"/>
      <c r="AM6" s="27"/>
      <c r="AN6" s="27" t="s">
        <v>113</v>
      </c>
      <c r="AO6" s="34"/>
      <c r="AP6" s="27"/>
      <c r="AQ6" s="27"/>
      <c r="AR6" s="27"/>
      <c r="AS6" s="27"/>
      <c r="AT6" s="27"/>
      <c r="AU6" s="27" t="s">
        <v>114</v>
      </c>
      <c r="AV6" s="27" t="s">
        <v>115</v>
      </c>
      <c r="AW6" s="27"/>
      <c r="AX6" s="27"/>
      <c r="AY6" s="27"/>
      <c r="AZ6" s="27"/>
      <c r="BA6" s="27"/>
      <c r="BB6" s="27"/>
      <c r="BC6" s="27"/>
      <c r="BD6" s="27"/>
      <c r="BE6" s="27">
        <v>173.36</v>
      </c>
      <c r="BF6" s="27">
        <v>8</v>
      </c>
      <c r="BG6" s="27">
        <v>5</v>
      </c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 t="s">
        <v>106</v>
      </c>
      <c r="CD6" s="31"/>
      <c r="CE6" s="27"/>
    </row>
    <row r="7" spans="1:83" x14ac:dyDescent="0.25">
      <c r="A7" s="27" t="s">
        <v>163</v>
      </c>
      <c r="B7" s="27" t="s">
        <v>101</v>
      </c>
      <c r="C7" s="27" t="s">
        <v>165</v>
      </c>
      <c r="D7" s="27" t="s">
        <v>167</v>
      </c>
      <c r="E7" s="27" t="s">
        <v>168</v>
      </c>
      <c r="F7" s="27">
        <v>4</v>
      </c>
      <c r="G7" s="27" t="s">
        <v>166</v>
      </c>
      <c r="H7" s="27">
        <v>2</v>
      </c>
      <c r="I7" s="27" t="s">
        <v>106</v>
      </c>
      <c r="J7" s="35" t="s">
        <v>169</v>
      </c>
      <c r="K7" s="29"/>
      <c r="L7" s="30" t="s">
        <v>170</v>
      </c>
      <c r="M7" s="27"/>
      <c r="N7" s="27"/>
      <c r="O7" s="27">
        <v>1</v>
      </c>
      <c r="P7" s="37" t="s">
        <v>173</v>
      </c>
      <c r="Q7" s="27"/>
      <c r="R7" s="27" t="s">
        <v>106</v>
      </c>
      <c r="S7" s="27">
        <v>0</v>
      </c>
      <c r="T7" s="27" t="s">
        <v>110</v>
      </c>
      <c r="U7" s="27"/>
      <c r="V7" s="27">
        <v>2</v>
      </c>
      <c r="W7" s="27">
        <v>2</v>
      </c>
      <c r="X7" s="27">
        <v>0</v>
      </c>
      <c r="Y7" s="27" t="s">
        <v>111</v>
      </c>
      <c r="Z7" s="27"/>
      <c r="AA7" s="27">
        <v>3</v>
      </c>
      <c r="AB7" s="55" t="s">
        <v>171</v>
      </c>
      <c r="AC7" s="52" t="s">
        <v>126</v>
      </c>
      <c r="AD7" s="56" t="s">
        <v>172</v>
      </c>
      <c r="AE7" s="52" t="s">
        <v>112</v>
      </c>
      <c r="AF7" s="27">
        <v>1</v>
      </c>
      <c r="AG7" s="27">
        <v>13</v>
      </c>
      <c r="AH7" s="34" t="s">
        <v>164</v>
      </c>
      <c r="AI7" s="34" t="s">
        <v>164</v>
      </c>
      <c r="AJ7" s="34"/>
      <c r="AK7" s="34"/>
      <c r="AL7" s="27"/>
      <c r="AM7" s="27"/>
      <c r="AN7" s="27" t="s">
        <v>113</v>
      </c>
      <c r="AO7" s="34"/>
      <c r="AP7" s="27"/>
      <c r="AQ7" s="27"/>
      <c r="AR7" s="27"/>
      <c r="AS7" s="27"/>
      <c r="AT7" s="27"/>
      <c r="AU7" s="27" t="s">
        <v>114</v>
      </c>
      <c r="AV7" s="27" t="s">
        <v>115</v>
      </c>
      <c r="AW7" s="27"/>
      <c r="AX7" s="27"/>
      <c r="AY7" s="27"/>
      <c r="AZ7" s="27"/>
      <c r="BA7" s="27"/>
      <c r="BB7" s="27"/>
      <c r="BC7" s="27"/>
      <c r="BD7" s="27"/>
      <c r="BE7" s="27">
        <v>173.36</v>
      </c>
      <c r="BF7" s="27">
        <v>8</v>
      </c>
      <c r="BG7" s="27">
        <v>5</v>
      </c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 t="s">
        <v>106</v>
      </c>
      <c r="CD7" s="31"/>
      <c r="CE7" s="27"/>
    </row>
    <row r="8" spans="1:83" x14ac:dyDescent="0.25">
      <c r="A8" s="27"/>
      <c r="B8" s="27"/>
      <c r="C8" s="27"/>
      <c r="D8" s="27"/>
      <c r="E8" s="27"/>
      <c r="F8" s="27"/>
      <c r="G8" s="27"/>
      <c r="H8" s="27"/>
      <c r="I8" s="27"/>
      <c r="J8" s="28"/>
      <c r="K8" s="29"/>
      <c r="L8" s="30"/>
      <c r="M8" s="27"/>
      <c r="N8" s="27"/>
      <c r="O8" s="27"/>
      <c r="P8" s="31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32"/>
      <c r="AC8" s="27"/>
      <c r="AD8" s="33"/>
      <c r="AE8" s="27"/>
      <c r="AF8" s="27"/>
      <c r="AG8" s="27"/>
      <c r="AH8" s="34"/>
      <c r="AI8" s="34"/>
      <c r="AJ8" s="34"/>
      <c r="AK8" s="34"/>
      <c r="AL8" s="27"/>
      <c r="AM8" s="27"/>
      <c r="AN8" s="27"/>
      <c r="AO8" s="34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</row>
    <row r="9" spans="1:83" x14ac:dyDescent="0.25">
      <c r="A9" s="27"/>
      <c r="B9" s="27"/>
      <c r="C9" s="27"/>
      <c r="D9" s="27"/>
      <c r="E9" s="27"/>
      <c r="F9" s="27"/>
      <c r="G9" s="27"/>
      <c r="H9" s="27"/>
      <c r="I9" s="27"/>
      <c r="J9" s="28"/>
      <c r="K9" s="29"/>
      <c r="L9" s="27"/>
      <c r="M9" s="36"/>
      <c r="N9" s="27"/>
      <c r="O9" s="27"/>
      <c r="P9" s="31"/>
      <c r="Q9" s="47"/>
      <c r="R9" s="27"/>
      <c r="S9" s="27"/>
      <c r="T9" s="27"/>
      <c r="U9" s="27"/>
      <c r="V9" s="27"/>
      <c r="W9" s="27"/>
      <c r="X9" s="27"/>
      <c r="Y9" s="27"/>
      <c r="Z9" s="27"/>
      <c r="AA9" s="27"/>
      <c r="AB9" s="26"/>
      <c r="AC9" s="27"/>
      <c r="AD9" s="42"/>
      <c r="AE9" s="27"/>
      <c r="AF9" s="27"/>
      <c r="AG9" s="27"/>
      <c r="AH9" s="34"/>
      <c r="AI9" s="34"/>
      <c r="AJ9" s="27"/>
      <c r="AK9" s="34"/>
      <c r="AL9" s="27"/>
      <c r="AM9" s="27"/>
      <c r="AN9" s="27"/>
      <c r="AO9" s="33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31"/>
      <c r="CE9" s="27"/>
    </row>
    <row r="10" spans="1:83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8"/>
      <c r="K10" s="29"/>
      <c r="L10" s="30"/>
      <c r="M10" s="27"/>
      <c r="N10" s="27"/>
      <c r="O10" s="27"/>
      <c r="P10" s="31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32"/>
      <c r="AC10" s="27"/>
      <c r="AD10" s="33"/>
      <c r="AE10" s="27"/>
      <c r="AF10" s="27"/>
      <c r="AG10" s="27"/>
      <c r="AH10" s="34"/>
      <c r="AI10" s="34"/>
      <c r="AJ10" s="34"/>
      <c r="AK10" s="34"/>
      <c r="AL10" s="27"/>
      <c r="AM10" s="27"/>
      <c r="AN10" s="27"/>
      <c r="AO10" s="34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</row>
    <row r="11" spans="1:83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35"/>
      <c r="K11" s="29"/>
      <c r="L11" s="30"/>
      <c r="M11" s="27"/>
      <c r="N11" s="27"/>
      <c r="O11" s="27"/>
      <c r="P11" s="31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32"/>
      <c r="AC11" s="27"/>
      <c r="AD11" s="33"/>
      <c r="AE11" s="27"/>
      <c r="AF11" s="27"/>
      <c r="AG11" s="27"/>
      <c r="AH11" s="34"/>
      <c r="AI11" s="34"/>
      <c r="AJ11" s="34"/>
      <c r="AK11" s="34"/>
      <c r="AL11" s="27"/>
      <c r="AM11" s="27"/>
      <c r="AN11" s="27"/>
      <c r="AO11" s="34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31"/>
      <c r="CE11" s="27"/>
    </row>
    <row r="12" spans="1:83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8"/>
      <c r="K12" s="29"/>
      <c r="L12" s="30"/>
      <c r="M12" s="36"/>
      <c r="N12" s="27"/>
      <c r="O12" s="27"/>
      <c r="P12" s="31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32"/>
      <c r="AC12" s="27"/>
      <c r="AD12" s="33"/>
      <c r="AE12" s="27"/>
      <c r="AF12" s="27"/>
      <c r="AG12" s="27"/>
      <c r="AH12" s="34"/>
      <c r="AI12" s="34"/>
      <c r="AJ12" s="34"/>
      <c r="AK12" s="34"/>
      <c r="AL12" s="27"/>
      <c r="AM12" s="27"/>
      <c r="AN12" s="27"/>
      <c r="AO12" s="34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</row>
    <row r="13" spans="1:83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8"/>
      <c r="K13" s="29"/>
      <c r="L13" s="30"/>
      <c r="M13" s="27"/>
      <c r="N13" s="27"/>
      <c r="O13" s="27"/>
      <c r="P13" s="31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32"/>
      <c r="AC13" s="27"/>
      <c r="AD13" s="33"/>
      <c r="AE13" s="27"/>
      <c r="AF13" s="27"/>
      <c r="AG13" s="27"/>
      <c r="AH13" s="34"/>
      <c r="AI13" s="34"/>
      <c r="AJ13" s="34"/>
      <c r="AK13" s="34"/>
      <c r="AL13" s="27"/>
      <c r="AM13" s="27"/>
      <c r="AN13" s="27"/>
      <c r="AO13" s="34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8"/>
      <c r="K14" s="29"/>
      <c r="L14" s="27"/>
      <c r="M14" s="36"/>
      <c r="N14" s="27"/>
      <c r="O14" s="27"/>
      <c r="P14" s="31"/>
      <c r="Q14" s="46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38"/>
      <c r="AC14" s="27"/>
      <c r="AD14" s="39"/>
      <c r="AE14" s="27"/>
      <c r="AF14" s="27"/>
      <c r="AG14" s="27"/>
      <c r="AH14" s="34"/>
      <c r="AI14" s="34"/>
      <c r="AJ14" s="34"/>
      <c r="AK14" s="34"/>
      <c r="AL14" s="27"/>
      <c r="AM14" s="27"/>
      <c r="AN14" s="27"/>
      <c r="AO14" s="34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31"/>
      <c r="CE14" s="27"/>
    </row>
    <row r="15" spans="1:83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8"/>
      <c r="K15" s="29"/>
      <c r="L15" s="30"/>
      <c r="M15" s="27"/>
      <c r="N15" s="27"/>
      <c r="O15" s="27"/>
      <c r="P15" s="31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32"/>
      <c r="AC15" s="27"/>
      <c r="AD15" s="33"/>
      <c r="AE15" s="27"/>
      <c r="AF15" s="27"/>
      <c r="AG15" s="27"/>
      <c r="AH15" s="34"/>
      <c r="AI15" s="34"/>
      <c r="AJ15" s="34"/>
      <c r="AK15" s="34"/>
      <c r="AL15" s="27"/>
      <c r="AM15" s="27"/>
      <c r="AN15" s="27"/>
      <c r="AO15" s="34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8"/>
      <c r="K16" s="29"/>
      <c r="L16" s="30"/>
      <c r="M16" s="27"/>
      <c r="N16" s="27"/>
      <c r="O16" s="27"/>
      <c r="P16" s="31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32"/>
      <c r="AC16" s="27"/>
      <c r="AD16" s="33"/>
      <c r="AE16" s="27"/>
      <c r="AF16" s="27"/>
      <c r="AG16" s="27"/>
      <c r="AH16" s="34"/>
      <c r="AI16" s="34"/>
      <c r="AJ16" s="34"/>
      <c r="AK16" s="34"/>
      <c r="AL16" s="27"/>
      <c r="AM16" s="27"/>
      <c r="AN16" s="27"/>
      <c r="AO16" s="34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</row>
    <row r="17" spans="1:82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8"/>
      <c r="K17" s="29"/>
      <c r="L17" s="30"/>
      <c r="M17" s="27"/>
      <c r="N17" s="27"/>
      <c r="O17" s="27"/>
      <c r="P17" s="31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32"/>
      <c r="AC17" s="27"/>
      <c r="AD17" s="33"/>
      <c r="AE17" s="27"/>
      <c r="AF17" s="27"/>
      <c r="AG17" s="27"/>
      <c r="AH17" s="34"/>
      <c r="AI17" s="34"/>
      <c r="AJ17" s="34"/>
      <c r="AK17" s="34"/>
      <c r="AL17" s="27"/>
      <c r="AM17" s="27"/>
      <c r="AN17" s="27"/>
      <c r="AO17" s="34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</row>
    <row r="18" spans="1:82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8"/>
      <c r="K18" s="29"/>
      <c r="L18" s="30"/>
      <c r="M18" s="27"/>
      <c r="N18" s="27"/>
      <c r="O18" s="27"/>
      <c r="P18" s="31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32"/>
      <c r="AC18" s="27"/>
      <c r="AD18" s="33"/>
      <c r="AE18" s="27"/>
      <c r="AF18" s="27"/>
      <c r="AG18" s="27"/>
      <c r="AH18" s="27"/>
      <c r="AI18" s="27"/>
      <c r="AJ18" s="27"/>
      <c r="AK18" s="34"/>
      <c r="AL18" s="27"/>
      <c r="AM18" s="27"/>
      <c r="AN18" s="27"/>
      <c r="AO18" s="33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</row>
    <row r="19" spans="1:82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8"/>
      <c r="K19" s="29"/>
      <c r="L19" s="30"/>
      <c r="M19" s="27"/>
      <c r="N19" s="27"/>
      <c r="O19" s="27"/>
      <c r="P19" s="31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32"/>
      <c r="AC19" s="27"/>
      <c r="AD19" s="33"/>
      <c r="AE19" s="27"/>
      <c r="AF19" s="27"/>
      <c r="AG19" s="27"/>
      <c r="AH19" s="27"/>
      <c r="AI19" s="27"/>
      <c r="AJ19" s="27"/>
      <c r="AK19" s="34"/>
      <c r="AL19" s="27"/>
      <c r="AM19" s="27"/>
      <c r="AN19" s="27"/>
      <c r="AO19" s="43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</row>
    <row r="20" spans="1:82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8"/>
      <c r="K20" s="29"/>
      <c r="L20" s="30"/>
      <c r="M20" s="36"/>
      <c r="N20" s="27"/>
      <c r="O20" s="27"/>
      <c r="P20" s="31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32"/>
      <c r="AC20" s="27"/>
      <c r="AD20" s="33"/>
      <c r="AE20" s="27"/>
      <c r="AF20" s="27"/>
      <c r="AG20" s="27"/>
      <c r="AH20" s="34"/>
      <c r="AI20" s="34"/>
      <c r="AJ20" s="34"/>
      <c r="AK20" s="34"/>
      <c r="AL20" s="27"/>
      <c r="AM20" s="27"/>
      <c r="AN20" s="27"/>
      <c r="AO20" s="34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31"/>
    </row>
    <row r="21" spans="1:82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40"/>
      <c r="K21" s="29"/>
      <c r="L21" s="27"/>
      <c r="M21" s="27"/>
      <c r="N21" s="27"/>
      <c r="O21" s="27"/>
      <c r="P21" s="31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33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</row>
    <row r="22" spans="1:82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40"/>
      <c r="K22" s="29"/>
      <c r="L22" s="27"/>
      <c r="M22" s="27"/>
      <c r="N22" s="27"/>
      <c r="O22" s="27"/>
      <c r="P22" s="31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33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</row>
    <row r="23" spans="1:82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40"/>
      <c r="K23" s="29"/>
      <c r="L23" s="27"/>
      <c r="M23" s="27"/>
      <c r="N23" s="27"/>
      <c r="O23" s="27"/>
      <c r="P23" s="3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33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</row>
    <row r="24" spans="1:82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40"/>
      <c r="K24" s="29"/>
      <c r="L24" s="27"/>
      <c r="M24" s="27"/>
      <c r="N24" s="27"/>
      <c r="O24" s="27"/>
      <c r="P24" s="31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33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</row>
    <row r="25" spans="1:82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40"/>
      <c r="K25" s="29"/>
      <c r="L25" s="27"/>
      <c r="M25" s="27"/>
      <c r="N25" s="27"/>
      <c r="O25" s="27"/>
      <c r="P25" s="31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33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</row>
    <row r="26" spans="1:82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40"/>
      <c r="K26" s="29"/>
      <c r="L26" s="27"/>
      <c r="M26" s="27"/>
      <c r="N26" s="27"/>
      <c r="O26" s="27"/>
      <c r="P26" s="31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33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</row>
    <row r="27" spans="1:82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40"/>
      <c r="K27" s="29"/>
      <c r="L27" s="27"/>
      <c r="M27" s="27"/>
      <c r="N27" s="27"/>
      <c r="O27" s="27"/>
      <c r="P27" s="31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33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</row>
    <row r="28" spans="1:8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40"/>
      <c r="K28" s="29"/>
      <c r="L28" s="27"/>
      <c r="M28" s="27"/>
      <c r="N28" s="27"/>
      <c r="O28" s="27"/>
      <c r="P28" s="31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33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</row>
    <row r="29" spans="1:82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40"/>
      <c r="K29" s="29"/>
      <c r="L29" s="27"/>
      <c r="M29" s="27"/>
      <c r="N29" s="27"/>
      <c r="O29" s="27"/>
      <c r="P29" s="31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33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</row>
    <row r="30" spans="1:82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40"/>
      <c r="K30" s="29"/>
      <c r="L30" s="27"/>
      <c r="M30" s="27"/>
      <c r="N30" s="27"/>
      <c r="O30" s="27"/>
      <c r="P30" s="31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33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</row>
    <row r="31" spans="1:82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40"/>
      <c r="K31" s="29"/>
      <c r="L31" s="27"/>
      <c r="M31" s="27"/>
      <c r="N31" s="27"/>
      <c r="O31" s="27"/>
      <c r="P31" s="31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33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</row>
    <row r="32" spans="1:82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40"/>
      <c r="K32" s="29"/>
      <c r="L32" s="27"/>
      <c r="M32" s="27"/>
      <c r="N32" s="27"/>
      <c r="O32" s="27"/>
      <c r="P32" s="31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33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</row>
    <row r="33" spans="10:82" x14ac:dyDescent="0.25">
      <c r="J33" s="40"/>
      <c r="K33" s="29"/>
      <c r="L33" s="27"/>
      <c r="M33" s="27"/>
      <c r="N33" s="27"/>
      <c r="O33" s="27"/>
      <c r="P33" s="31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33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</row>
    <row r="34" spans="10:82" x14ac:dyDescent="0.25">
      <c r="J34" s="40"/>
      <c r="K34" s="29"/>
      <c r="L34" s="27"/>
      <c r="M34" s="27"/>
      <c r="N34" s="27"/>
      <c r="O34" s="27"/>
      <c r="P34" s="31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33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</row>
    <row r="35" spans="10:82" x14ac:dyDescent="0.25">
      <c r="J35" s="40"/>
      <c r="K35" s="29"/>
      <c r="L35" s="27"/>
      <c r="M35" s="27"/>
      <c r="N35" s="27"/>
      <c r="O35" s="27"/>
      <c r="P35" s="31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33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</row>
    <row r="36" spans="10:82" x14ac:dyDescent="0.25">
      <c r="J36" s="40"/>
      <c r="K36" s="29"/>
      <c r="L36" s="27"/>
      <c r="M36" s="27"/>
      <c r="N36" s="27"/>
      <c r="O36" s="27"/>
      <c r="P36" s="31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33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0:82" x14ac:dyDescent="0.25">
      <c r="J37" s="40"/>
      <c r="K37" s="29"/>
      <c r="L37" s="27"/>
      <c r="M37" s="27"/>
      <c r="N37" s="27"/>
      <c r="O37" s="27"/>
      <c r="P37" s="31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33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0:82" x14ac:dyDescent="0.25">
      <c r="J38" s="40"/>
      <c r="K38" s="29"/>
      <c r="L38" s="27"/>
      <c r="M38" s="27"/>
      <c r="N38" s="27"/>
      <c r="O38" s="27"/>
      <c r="P38" s="31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33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0:82" x14ac:dyDescent="0.25">
      <c r="J39" s="40"/>
      <c r="K39" s="29"/>
      <c r="L39" s="27"/>
      <c r="M39" s="27"/>
      <c r="N39" s="27"/>
      <c r="O39" s="27"/>
      <c r="P39" s="31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33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</sheetData>
  <hyperlinks>
    <hyperlink ref="Q20" r:id="rId1" display="mailto:muzit36@gmail.com" xr:uid="{00000000-0004-0000-0000-000000000000}"/>
    <hyperlink ref="Q21" r:id="rId2" display="mailto:tshepobauba8@gmail.com" xr:uid="{00000000-0004-0000-0000-000001000000}"/>
    <hyperlink ref="Q22" r:id="rId3" display="mailto:obakengmodimola4271@gmail.com" xr:uid="{00000000-0004-0000-0000-000002000000}"/>
    <hyperlink ref="Q23" r:id="rId4" display="mailto:sinakosomeleze@gmail.com" xr:uid="{00000000-0004-0000-0000-000003000000}"/>
    <hyperlink ref="Q2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E282-0FA0-4307-A109-5DA31B2E4954}">
  <dimension ref="A1:I9"/>
  <sheetViews>
    <sheetView showGridLines="0" tabSelected="1" workbookViewId="0">
      <selection activeCell="E13" sqref="E13"/>
    </sheetView>
  </sheetViews>
  <sheetFormatPr defaultRowHeight="15" x14ac:dyDescent="0.25"/>
  <cols>
    <col min="1" max="1" width="34.140625" bestFit="1" customWidth="1"/>
    <col min="2" max="2" width="21.42578125" bestFit="1" customWidth="1"/>
    <col min="3" max="3" width="14.85546875" bestFit="1" customWidth="1"/>
    <col min="4" max="4" width="18.7109375" bestFit="1" customWidth="1"/>
    <col min="5" max="5" width="16.140625" bestFit="1" customWidth="1"/>
    <col min="8" max="8" width="20.42578125" bestFit="1" customWidth="1"/>
    <col min="9" max="9" width="11.140625" bestFit="1" customWidth="1"/>
  </cols>
  <sheetData>
    <row r="1" spans="1:9" x14ac:dyDescent="0.25">
      <c r="A1" s="66" t="s">
        <v>19</v>
      </c>
      <c r="B1" s="66" t="s">
        <v>20</v>
      </c>
      <c r="C1" s="67" t="s">
        <v>26</v>
      </c>
      <c r="D1" s="66" t="s">
        <v>44</v>
      </c>
      <c r="E1" s="68" t="s">
        <v>175</v>
      </c>
      <c r="F1" s="68" t="s">
        <v>45</v>
      </c>
      <c r="G1" s="65" t="s">
        <v>46</v>
      </c>
      <c r="H1" s="66" t="s">
        <v>47</v>
      </c>
      <c r="I1" s="63" t="s">
        <v>7</v>
      </c>
    </row>
    <row r="2" spans="1:9" x14ac:dyDescent="0.25">
      <c r="A2" s="27" t="s">
        <v>102</v>
      </c>
      <c r="B2" s="27" t="s">
        <v>103</v>
      </c>
      <c r="C2" s="28">
        <v>9103220370087</v>
      </c>
      <c r="D2" s="69">
        <v>20129658283</v>
      </c>
      <c r="E2" t="s">
        <v>176</v>
      </c>
      <c r="F2" s="70" t="s">
        <v>126</v>
      </c>
      <c r="G2" s="69">
        <v>43000</v>
      </c>
      <c r="H2" s="70" t="s">
        <v>112</v>
      </c>
      <c r="I2" s="64">
        <v>19925.71</v>
      </c>
    </row>
    <row r="3" spans="1:9" x14ac:dyDescent="0.25">
      <c r="A3" s="27" t="s">
        <v>117</v>
      </c>
      <c r="B3" s="27" t="s">
        <v>118</v>
      </c>
      <c r="C3" s="35" t="s">
        <v>121</v>
      </c>
      <c r="D3" s="69">
        <v>1586565921</v>
      </c>
      <c r="E3" t="s">
        <v>177</v>
      </c>
      <c r="F3" s="70" t="s">
        <v>126</v>
      </c>
      <c r="G3" s="69">
        <v>470010</v>
      </c>
      <c r="H3" s="70" t="s">
        <v>112</v>
      </c>
      <c r="I3" s="64">
        <v>19925.71</v>
      </c>
    </row>
    <row r="4" spans="1:9" x14ac:dyDescent="0.25">
      <c r="A4" s="27" t="s">
        <v>128</v>
      </c>
      <c r="B4" s="27" t="s">
        <v>160</v>
      </c>
      <c r="C4" s="44" t="s">
        <v>131</v>
      </c>
      <c r="D4" s="71">
        <v>1761962270</v>
      </c>
      <c r="E4" t="s">
        <v>177</v>
      </c>
      <c r="F4" s="70" t="s">
        <v>126</v>
      </c>
      <c r="G4" s="69">
        <v>470010</v>
      </c>
      <c r="H4" s="70" t="s">
        <v>112</v>
      </c>
      <c r="I4" s="64">
        <v>19925.71</v>
      </c>
    </row>
    <row r="5" spans="1:9" x14ac:dyDescent="0.25">
      <c r="A5" s="27" t="s">
        <v>137</v>
      </c>
      <c r="B5" s="27" t="s">
        <v>138</v>
      </c>
      <c r="C5" s="35" t="s">
        <v>141</v>
      </c>
      <c r="D5" s="72" t="s">
        <v>146</v>
      </c>
      <c r="E5" t="s">
        <v>177</v>
      </c>
      <c r="F5" s="70" t="s">
        <v>126</v>
      </c>
      <c r="G5" s="69">
        <v>470010</v>
      </c>
      <c r="H5" s="70" t="s">
        <v>112</v>
      </c>
      <c r="I5" s="64">
        <v>19357.53</v>
      </c>
    </row>
    <row r="6" spans="1:9" x14ac:dyDescent="0.25">
      <c r="A6" s="27" t="s">
        <v>148</v>
      </c>
      <c r="B6" s="27" t="s">
        <v>149</v>
      </c>
      <c r="C6" s="35" t="s">
        <v>152</v>
      </c>
      <c r="D6" s="72" t="s">
        <v>157</v>
      </c>
      <c r="E6" t="s">
        <v>177</v>
      </c>
      <c r="F6" s="70" t="s">
        <v>126</v>
      </c>
      <c r="G6" s="69">
        <v>470010</v>
      </c>
      <c r="H6" s="70" t="s">
        <v>112</v>
      </c>
      <c r="I6" s="64">
        <v>19925.71</v>
      </c>
    </row>
    <row r="7" spans="1:9" x14ac:dyDescent="0.25">
      <c r="A7" s="27" t="s">
        <v>165</v>
      </c>
      <c r="B7" s="27" t="s">
        <v>167</v>
      </c>
      <c r="C7" s="35" t="s">
        <v>169</v>
      </c>
      <c r="D7" s="72" t="s">
        <v>171</v>
      </c>
      <c r="E7" t="s">
        <v>178</v>
      </c>
      <c r="F7" s="70" t="s">
        <v>126</v>
      </c>
      <c r="G7" s="73" t="s">
        <v>172</v>
      </c>
      <c r="H7" s="70" t="s">
        <v>112</v>
      </c>
      <c r="I7" s="64">
        <v>11564.25</v>
      </c>
    </row>
    <row r="9" spans="1:9" x14ac:dyDescent="0.25">
      <c r="I9" s="64">
        <f>SUM(I2:I7)</f>
        <v>110624.62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20"/>
  <sheetViews>
    <sheetView workbookViewId="0">
      <selection activeCell="B14" sqref="B14"/>
    </sheetView>
  </sheetViews>
  <sheetFormatPr defaultRowHeight="15" x14ac:dyDescent="0.25"/>
  <cols>
    <col min="1" max="1" width="3.5703125" customWidth="1"/>
    <col min="2" max="2" width="34.85546875" bestFit="1" customWidth="1"/>
    <col min="5" max="5" width="9.7109375" bestFit="1" customWidth="1"/>
    <col min="6" max="6" width="11.42578125" bestFit="1" customWidth="1"/>
    <col min="7" max="7" width="10.28515625" customWidth="1"/>
    <col min="8" max="8" width="9.42578125" bestFit="1" customWidth="1"/>
    <col min="9" max="9" width="15.28515625" bestFit="1" customWidth="1"/>
    <col min="10" max="10" width="11.42578125" bestFit="1" customWidth="1"/>
    <col min="11" max="11" width="11" customWidth="1"/>
    <col min="12" max="13" width="12.140625" customWidth="1"/>
  </cols>
  <sheetData>
    <row r="2" spans="2:13" x14ac:dyDescent="0.25">
      <c r="B2" s="1"/>
    </row>
    <row r="3" spans="2:13" x14ac:dyDescent="0.25">
      <c r="B3" s="1" t="s">
        <v>0</v>
      </c>
    </row>
    <row r="4" spans="2:13" x14ac:dyDescent="0.25">
      <c r="B4" t="s">
        <v>16</v>
      </c>
    </row>
    <row r="5" spans="2:13" x14ac:dyDescent="0.25">
      <c r="B5" s="1"/>
    </row>
    <row r="7" spans="2:13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74" t="s">
        <v>6</v>
      </c>
      <c r="H7" s="75"/>
      <c r="I7" s="3"/>
      <c r="J7" s="2" t="s">
        <v>7</v>
      </c>
      <c r="K7" s="3"/>
      <c r="L7" s="76" t="s">
        <v>15</v>
      </c>
      <c r="M7" s="76"/>
    </row>
    <row r="8" spans="2:13" x14ac:dyDescent="0.25">
      <c r="B8" s="4"/>
      <c r="C8" s="4"/>
      <c r="D8" s="4"/>
      <c r="E8" s="4"/>
      <c r="F8" s="5"/>
      <c r="G8" s="5" t="s">
        <v>8</v>
      </c>
      <c r="H8" s="5" t="s">
        <v>9</v>
      </c>
      <c r="I8" s="5" t="s">
        <v>10</v>
      </c>
      <c r="J8" s="5"/>
      <c r="K8" s="5" t="s">
        <v>11</v>
      </c>
      <c r="L8" s="6" t="s">
        <v>12</v>
      </c>
      <c r="M8" s="6" t="s">
        <v>8</v>
      </c>
    </row>
    <row r="9" spans="2:13" x14ac:dyDescent="0.25">
      <c r="B9" s="7" t="s">
        <v>158</v>
      </c>
      <c r="C9" s="7" t="s">
        <v>100</v>
      </c>
      <c r="D9" s="7" t="s">
        <v>14</v>
      </c>
      <c r="E9" s="8">
        <v>45870</v>
      </c>
      <c r="F9" s="9">
        <v>12500</v>
      </c>
      <c r="G9" s="10">
        <v>813.75</v>
      </c>
      <c r="H9" s="10">
        <f>F9*1%</f>
        <v>125</v>
      </c>
      <c r="I9" s="10">
        <f t="shared" ref="I9:I12" si="0">G9+H9</f>
        <v>938.75</v>
      </c>
      <c r="J9" s="10">
        <f t="shared" ref="J9:J13" si="1">F9-I9</f>
        <v>11561.25</v>
      </c>
      <c r="K9" s="10">
        <f t="shared" ref="K9:K13" si="2">H9</f>
        <v>125</v>
      </c>
      <c r="L9" s="11">
        <f t="shared" ref="L9:M13" si="3">F9*6</f>
        <v>75000</v>
      </c>
      <c r="M9" s="11">
        <f t="shared" si="3"/>
        <v>4882.5</v>
      </c>
    </row>
    <row r="10" spans="2:13" x14ac:dyDescent="0.25">
      <c r="B10" s="7" t="s">
        <v>159</v>
      </c>
      <c r="C10" s="7" t="s">
        <v>116</v>
      </c>
      <c r="D10" s="7" t="s">
        <v>14</v>
      </c>
      <c r="E10" s="8">
        <v>45870</v>
      </c>
      <c r="F10" s="9">
        <v>12500</v>
      </c>
      <c r="G10" s="10">
        <v>813.75</v>
      </c>
      <c r="H10" s="10">
        <f t="shared" ref="H10:H12" si="4">F10*1%</f>
        <v>125</v>
      </c>
      <c r="I10" s="10">
        <f t="shared" si="0"/>
        <v>938.75</v>
      </c>
      <c r="J10" s="10">
        <f t="shared" si="1"/>
        <v>11561.25</v>
      </c>
      <c r="K10" s="10">
        <f t="shared" si="2"/>
        <v>125</v>
      </c>
      <c r="L10" s="11">
        <f t="shared" si="3"/>
        <v>75000</v>
      </c>
      <c r="M10" s="11">
        <f t="shared" si="3"/>
        <v>4882.5</v>
      </c>
    </row>
    <row r="11" spans="2:13" x14ac:dyDescent="0.25">
      <c r="B11" s="7" t="s">
        <v>160</v>
      </c>
      <c r="C11" s="7" t="s">
        <v>127</v>
      </c>
      <c r="D11" s="7" t="s">
        <v>14</v>
      </c>
      <c r="E11" s="8">
        <v>45870</v>
      </c>
      <c r="F11" s="9">
        <v>12500</v>
      </c>
      <c r="G11" s="10">
        <v>813.75</v>
      </c>
      <c r="H11" s="10">
        <f t="shared" si="4"/>
        <v>125</v>
      </c>
      <c r="I11" s="10">
        <f t="shared" si="0"/>
        <v>938.75</v>
      </c>
      <c r="J11" s="10">
        <f t="shared" si="1"/>
        <v>11561.25</v>
      </c>
      <c r="K11" s="10">
        <f t="shared" si="2"/>
        <v>125</v>
      </c>
      <c r="L11" s="11">
        <f t="shared" si="3"/>
        <v>75000</v>
      </c>
      <c r="M11" s="11">
        <f t="shared" si="3"/>
        <v>4882.5</v>
      </c>
    </row>
    <row r="12" spans="2:13" x14ac:dyDescent="0.25">
      <c r="B12" s="7" t="s">
        <v>161</v>
      </c>
      <c r="C12" s="7" t="s">
        <v>136</v>
      </c>
      <c r="D12" s="7" t="s">
        <v>14</v>
      </c>
      <c r="E12" s="8">
        <v>45870</v>
      </c>
      <c r="F12" s="9">
        <v>12500</v>
      </c>
      <c r="G12" s="10">
        <v>813.75</v>
      </c>
      <c r="H12" s="10">
        <f t="shared" si="4"/>
        <v>125</v>
      </c>
      <c r="I12" s="10">
        <f t="shared" si="0"/>
        <v>938.75</v>
      </c>
      <c r="J12" s="12">
        <f t="shared" si="1"/>
        <v>11561.25</v>
      </c>
      <c r="K12" s="25">
        <f t="shared" si="2"/>
        <v>125</v>
      </c>
      <c r="L12" s="11">
        <f t="shared" si="3"/>
        <v>75000</v>
      </c>
      <c r="M12" s="11">
        <f t="shared" si="3"/>
        <v>4882.5</v>
      </c>
    </row>
    <row r="13" spans="2:13" x14ac:dyDescent="0.25">
      <c r="B13" s="7" t="s">
        <v>162</v>
      </c>
      <c r="C13" s="7" t="s">
        <v>147</v>
      </c>
      <c r="D13" s="7" t="s">
        <v>14</v>
      </c>
      <c r="E13" s="8">
        <v>45870</v>
      </c>
      <c r="F13" s="9">
        <v>12500</v>
      </c>
      <c r="G13" s="10">
        <v>813.75</v>
      </c>
      <c r="H13" s="10">
        <f>F13*1%</f>
        <v>125</v>
      </c>
      <c r="I13" s="10">
        <f>G13+H13</f>
        <v>938.75</v>
      </c>
      <c r="J13" s="12">
        <f t="shared" si="1"/>
        <v>11561.25</v>
      </c>
      <c r="K13" s="25">
        <f t="shared" si="2"/>
        <v>125</v>
      </c>
      <c r="L13" s="11">
        <f t="shared" si="3"/>
        <v>75000</v>
      </c>
      <c r="M13" s="11">
        <f t="shared" si="3"/>
        <v>4882.5</v>
      </c>
    </row>
    <row r="14" spans="2:13" x14ac:dyDescent="0.25">
      <c r="B14" s="7" t="s">
        <v>174</v>
      </c>
      <c r="C14" s="7" t="s">
        <v>163</v>
      </c>
      <c r="D14" s="7" t="s">
        <v>14</v>
      </c>
      <c r="E14" s="8">
        <v>45870</v>
      </c>
      <c r="F14" s="9">
        <f>12500/22*7</f>
        <v>3977.272727272727</v>
      </c>
      <c r="G14" s="10">
        <f>813.75/22*7</f>
        <v>258.92045454545456</v>
      </c>
      <c r="H14" s="10">
        <f>F14*1%</f>
        <v>39.772727272727273</v>
      </c>
      <c r="I14" s="10">
        <f>G14+H14</f>
        <v>298.69318181818181</v>
      </c>
      <c r="J14" s="10">
        <f>F14-I14</f>
        <v>3678.579545454545</v>
      </c>
      <c r="K14" s="10">
        <f>H14</f>
        <v>39.772727272727273</v>
      </c>
      <c r="L14" s="11">
        <f>F14*6</f>
        <v>23863.63636363636</v>
      </c>
      <c r="M14" s="11">
        <f>G14*6</f>
        <v>1553.5227272727275</v>
      </c>
    </row>
    <row r="15" spans="2:13" x14ac:dyDescent="0.25">
      <c r="B15" s="77" t="s">
        <v>13</v>
      </c>
      <c r="C15" s="78"/>
      <c r="D15" s="78"/>
      <c r="E15" s="78"/>
      <c r="F15" s="13">
        <f t="shared" ref="F15:K15" si="5">SUM(F9:F13)</f>
        <v>62500</v>
      </c>
      <c r="G15" s="14">
        <f t="shared" si="5"/>
        <v>4068.75</v>
      </c>
      <c r="H15" s="14">
        <f t="shared" si="5"/>
        <v>625</v>
      </c>
      <c r="I15" s="14">
        <f t="shared" si="5"/>
        <v>4693.75</v>
      </c>
      <c r="J15" s="50">
        <f t="shared" si="5"/>
        <v>57806.25</v>
      </c>
      <c r="K15" s="14">
        <f t="shared" si="5"/>
        <v>625</v>
      </c>
      <c r="L15" s="15">
        <f>SUM(L9:L12)</f>
        <v>300000</v>
      </c>
      <c r="M15" s="15">
        <f>SUM(M9:M13)</f>
        <v>24412.5</v>
      </c>
    </row>
    <row r="16" spans="2:13" x14ac:dyDescent="0.25">
      <c r="I16" s="19"/>
    </row>
    <row r="17" spans="2:12" x14ac:dyDescent="0.25">
      <c r="G17" s="20"/>
      <c r="L17" s="21"/>
    </row>
    <row r="18" spans="2:12" x14ac:dyDescent="0.25">
      <c r="G18" s="22"/>
      <c r="H18" s="1"/>
      <c r="I18" s="21"/>
      <c r="J18" s="21"/>
    </row>
    <row r="19" spans="2:12" x14ac:dyDescent="0.25">
      <c r="B19" s="23"/>
      <c r="G19" s="19"/>
      <c r="H19" s="1"/>
    </row>
    <row r="20" spans="2:12" x14ac:dyDescent="0.25">
      <c r="G20" s="24"/>
    </row>
  </sheetData>
  <mergeCells count="3">
    <mergeCell ref="G7:H7"/>
    <mergeCell ref="L7:M7"/>
    <mergeCell ref="B15:E15"/>
  </mergeCells>
  <phoneticPr fontId="7" type="noConversion"/>
  <pageMargins left="0.7" right="0.7" top="0.75" bottom="0.75" header="0.3" footer="0.3"/>
  <pageSetup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2"/>
  <sheetViews>
    <sheetView workbookViewId="0">
      <selection activeCell="J19" sqref="J19"/>
    </sheetView>
  </sheetViews>
  <sheetFormatPr defaultRowHeight="15" x14ac:dyDescent="0.25"/>
  <cols>
    <col min="1" max="1" width="3.5703125" customWidth="1"/>
    <col min="2" max="2" width="34.85546875" bestFit="1" customWidth="1"/>
    <col min="3" max="3" width="11.7109375" customWidth="1"/>
    <col min="5" max="5" width="11.5703125" bestFit="1" customWidth="1"/>
    <col min="6" max="6" width="11.42578125" bestFit="1" customWidth="1"/>
    <col min="7" max="7" width="10.28515625" customWidth="1"/>
    <col min="8" max="8" width="9.42578125" bestFit="1" customWidth="1"/>
    <col min="9" max="9" width="15.28515625" bestFit="1" customWidth="1"/>
    <col min="10" max="10" width="11.42578125" bestFit="1" customWidth="1"/>
    <col min="11" max="11" width="11" customWidth="1"/>
    <col min="12" max="13" width="12.140625" customWidth="1"/>
  </cols>
  <sheetData>
    <row r="2" spans="2:13" x14ac:dyDescent="0.25">
      <c r="B2" s="1"/>
    </row>
    <row r="3" spans="2:13" x14ac:dyDescent="0.25">
      <c r="B3" s="1" t="s">
        <v>0</v>
      </c>
    </row>
    <row r="4" spans="2:13" x14ac:dyDescent="0.25">
      <c r="B4" t="s">
        <v>16</v>
      </c>
    </row>
    <row r="5" spans="2:13" x14ac:dyDescent="0.25">
      <c r="B5" s="1"/>
    </row>
    <row r="7" spans="2:13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74" t="s">
        <v>6</v>
      </c>
      <c r="H7" s="75"/>
      <c r="I7" s="3"/>
      <c r="J7" s="2" t="s">
        <v>7</v>
      </c>
      <c r="K7" s="3"/>
      <c r="L7" s="76" t="s">
        <v>15</v>
      </c>
      <c r="M7" s="76"/>
    </row>
    <row r="8" spans="2:13" x14ac:dyDescent="0.25">
      <c r="B8" s="4"/>
      <c r="C8" s="4"/>
      <c r="D8" s="4"/>
      <c r="E8" s="4"/>
      <c r="F8" s="5"/>
      <c r="G8" s="5" t="s">
        <v>8</v>
      </c>
      <c r="H8" s="5" t="s">
        <v>9</v>
      </c>
      <c r="I8" s="5" t="s">
        <v>10</v>
      </c>
      <c r="J8" s="5"/>
      <c r="K8" s="5" t="s">
        <v>11</v>
      </c>
      <c r="L8" s="6" t="s">
        <v>12</v>
      </c>
      <c r="M8" s="6" t="s">
        <v>8</v>
      </c>
    </row>
    <row r="9" spans="2:13" x14ac:dyDescent="0.25">
      <c r="B9" s="7" t="s">
        <v>158</v>
      </c>
      <c r="C9" s="7" t="s">
        <v>100</v>
      </c>
      <c r="D9" s="7" t="s">
        <v>14</v>
      </c>
      <c r="E9" s="8">
        <v>45870</v>
      </c>
      <c r="F9" s="9">
        <v>12500</v>
      </c>
      <c r="G9" s="10">
        <v>813.75</v>
      </c>
      <c r="H9" s="10">
        <f>F9*1%</f>
        <v>125</v>
      </c>
      <c r="I9" s="10">
        <f t="shared" ref="I9:I12" si="0">G9+H9</f>
        <v>938.75</v>
      </c>
      <c r="J9" s="10">
        <f t="shared" ref="J9:J13" si="1">F9-I9</f>
        <v>11561.25</v>
      </c>
      <c r="K9" s="10">
        <f t="shared" ref="K9:K13" si="2">H9</f>
        <v>125</v>
      </c>
      <c r="L9" s="11">
        <f t="shared" ref="L9:M13" si="3">F9*6</f>
        <v>75000</v>
      </c>
      <c r="M9" s="11">
        <f t="shared" si="3"/>
        <v>4882.5</v>
      </c>
    </row>
    <row r="10" spans="2:13" x14ac:dyDescent="0.25">
      <c r="B10" s="7" t="s">
        <v>159</v>
      </c>
      <c r="C10" s="7" t="s">
        <v>116</v>
      </c>
      <c r="D10" s="7" t="s">
        <v>14</v>
      </c>
      <c r="E10" s="8">
        <v>45870</v>
      </c>
      <c r="F10" s="9">
        <v>12500</v>
      </c>
      <c r="G10" s="10">
        <v>813.75</v>
      </c>
      <c r="H10" s="10">
        <f t="shared" ref="H10:H12" si="4">F10*1%</f>
        <v>125</v>
      </c>
      <c r="I10" s="10">
        <f t="shared" si="0"/>
        <v>938.75</v>
      </c>
      <c r="J10" s="10">
        <f t="shared" si="1"/>
        <v>11561.25</v>
      </c>
      <c r="K10" s="10">
        <f t="shared" si="2"/>
        <v>125</v>
      </c>
      <c r="L10" s="11">
        <f t="shared" si="3"/>
        <v>75000</v>
      </c>
      <c r="M10" s="11">
        <f t="shared" si="3"/>
        <v>4882.5</v>
      </c>
    </row>
    <row r="11" spans="2:13" x14ac:dyDescent="0.25">
      <c r="B11" s="7" t="s">
        <v>160</v>
      </c>
      <c r="C11" s="7" t="s">
        <v>127</v>
      </c>
      <c r="D11" s="7" t="s">
        <v>14</v>
      </c>
      <c r="E11" s="8">
        <v>45870</v>
      </c>
      <c r="F11" s="9">
        <v>12500</v>
      </c>
      <c r="G11" s="10">
        <v>813.75</v>
      </c>
      <c r="H11" s="10">
        <f t="shared" si="4"/>
        <v>125</v>
      </c>
      <c r="I11" s="10">
        <f t="shared" si="0"/>
        <v>938.75</v>
      </c>
      <c r="J11" s="10">
        <f t="shared" si="1"/>
        <v>11561.25</v>
      </c>
      <c r="K11" s="10">
        <f t="shared" si="2"/>
        <v>125</v>
      </c>
      <c r="L11" s="11">
        <f t="shared" si="3"/>
        <v>75000</v>
      </c>
      <c r="M11" s="11">
        <f t="shared" si="3"/>
        <v>4882.5</v>
      </c>
    </row>
    <row r="12" spans="2:13" x14ac:dyDescent="0.25">
      <c r="B12" s="7" t="s">
        <v>161</v>
      </c>
      <c r="C12" s="7" t="s">
        <v>136</v>
      </c>
      <c r="D12" s="7" t="s">
        <v>14</v>
      </c>
      <c r="E12" s="8">
        <v>45870</v>
      </c>
      <c r="F12" s="9">
        <v>12500</v>
      </c>
      <c r="G12" s="10">
        <v>813.75</v>
      </c>
      <c r="H12" s="10">
        <f t="shared" si="4"/>
        <v>125</v>
      </c>
      <c r="I12" s="10">
        <f t="shared" si="0"/>
        <v>938.75</v>
      </c>
      <c r="J12" s="12">
        <f t="shared" si="1"/>
        <v>11561.25</v>
      </c>
      <c r="K12" s="25">
        <f t="shared" si="2"/>
        <v>125</v>
      </c>
      <c r="L12" s="11">
        <f t="shared" si="3"/>
        <v>75000</v>
      </c>
      <c r="M12" s="11">
        <f t="shared" si="3"/>
        <v>4882.5</v>
      </c>
    </row>
    <row r="13" spans="2:13" x14ac:dyDescent="0.25">
      <c r="B13" s="7" t="s">
        <v>162</v>
      </c>
      <c r="C13" s="7" t="s">
        <v>147</v>
      </c>
      <c r="D13" s="7" t="s">
        <v>14</v>
      </c>
      <c r="E13" s="8">
        <v>45870</v>
      </c>
      <c r="F13" s="9">
        <v>12500</v>
      </c>
      <c r="G13" s="10">
        <v>813.75</v>
      </c>
      <c r="H13" s="10">
        <f>F13*1%</f>
        <v>125</v>
      </c>
      <c r="I13" s="10">
        <f>G13+H13</f>
        <v>938.75</v>
      </c>
      <c r="J13" s="12">
        <f t="shared" si="1"/>
        <v>11561.25</v>
      </c>
      <c r="K13" s="25">
        <f t="shared" si="2"/>
        <v>125</v>
      </c>
      <c r="L13" s="11">
        <f t="shared" si="3"/>
        <v>75000</v>
      </c>
      <c r="M13" s="11">
        <f t="shared" si="3"/>
        <v>4882.5</v>
      </c>
    </row>
    <row r="14" spans="2:13" x14ac:dyDescent="0.25">
      <c r="B14" s="7" t="s">
        <v>174</v>
      </c>
      <c r="C14" s="7" t="s">
        <v>163</v>
      </c>
      <c r="D14" s="7" t="s">
        <v>14</v>
      </c>
      <c r="E14" s="8">
        <v>45870</v>
      </c>
      <c r="F14" s="9">
        <f>12500/22*7</f>
        <v>3977.272727272727</v>
      </c>
      <c r="G14" s="10">
        <f>813.75/22*7</f>
        <v>258.92045454545456</v>
      </c>
      <c r="H14" s="10">
        <f>F14*1%</f>
        <v>39.772727272727273</v>
      </c>
      <c r="I14" s="10">
        <f>G14+H14</f>
        <v>298.69318181818181</v>
      </c>
      <c r="J14" s="10">
        <f>F14-I14</f>
        <v>3678.579545454545</v>
      </c>
      <c r="K14" s="10">
        <f>H14</f>
        <v>39.772727272727273</v>
      </c>
      <c r="L14" s="11">
        <f>F14*6</f>
        <v>23863.63636363636</v>
      </c>
      <c r="M14" s="11">
        <f>G14*6</f>
        <v>1553.5227272727275</v>
      </c>
    </row>
    <row r="15" spans="2:13" x14ac:dyDescent="0.25">
      <c r="B15" s="77" t="s">
        <v>13</v>
      </c>
      <c r="C15" s="78"/>
      <c r="D15" s="78"/>
      <c r="E15" s="78"/>
      <c r="F15" s="13">
        <f t="shared" ref="F15:K15" si="5">SUM(F9:F13)</f>
        <v>62500</v>
      </c>
      <c r="G15" s="14">
        <f t="shared" si="5"/>
        <v>4068.75</v>
      </c>
      <c r="H15" s="14">
        <f t="shared" si="5"/>
        <v>625</v>
      </c>
      <c r="I15" s="14">
        <f t="shared" si="5"/>
        <v>4693.75</v>
      </c>
      <c r="J15" s="50">
        <f t="shared" si="5"/>
        <v>57806.25</v>
      </c>
      <c r="K15" s="14">
        <f t="shared" si="5"/>
        <v>625</v>
      </c>
      <c r="L15" s="15">
        <f>SUM(L9:L12)</f>
        <v>300000</v>
      </c>
      <c r="M15" s="15">
        <f>SUM(M9:M13)</f>
        <v>24412.5</v>
      </c>
    </row>
    <row r="16" spans="2:13" x14ac:dyDescent="0.25">
      <c r="B16" s="16"/>
      <c r="F16" s="17"/>
      <c r="G16" s="17"/>
      <c r="H16" s="17"/>
      <c r="I16" s="17"/>
      <c r="J16" s="17"/>
      <c r="K16" s="17"/>
      <c r="L16" s="18"/>
      <c r="M16" s="18"/>
    </row>
    <row r="17" spans="2:12" x14ac:dyDescent="0.25">
      <c r="C17" s="49"/>
      <c r="I17" s="19"/>
    </row>
    <row r="18" spans="2:12" x14ac:dyDescent="0.25">
      <c r="C18" s="22"/>
      <c r="G18" s="20"/>
      <c r="L18" s="21"/>
    </row>
    <row r="19" spans="2:12" x14ac:dyDescent="0.25">
      <c r="G19" s="22"/>
      <c r="H19" s="1"/>
      <c r="I19" s="21"/>
      <c r="J19" s="21"/>
    </row>
    <row r="20" spans="2:12" x14ac:dyDescent="0.25">
      <c r="B20" s="23"/>
      <c r="C20" s="22"/>
      <c r="G20" s="19"/>
      <c r="H20" s="1"/>
    </row>
    <row r="21" spans="2:12" x14ac:dyDescent="0.25">
      <c r="C21" s="22"/>
      <c r="G21" s="24"/>
    </row>
    <row r="22" spans="2:12" x14ac:dyDescent="0.25">
      <c r="C22" s="22"/>
    </row>
  </sheetData>
  <mergeCells count="3">
    <mergeCell ref="G7:H7"/>
    <mergeCell ref="L7:M7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Masterdata</vt:lpstr>
      <vt:lpstr>PAYROLL</vt:lpstr>
      <vt:lpstr>August 2025</vt:lpstr>
      <vt:lpstr>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Nkgopoleng Sebake</cp:lastModifiedBy>
  <cp:lastPrinted>2025-04-25T07:00:38Z</cp:lastPrinted>
  <dcterms:created xsi:type="dcterms:W3CDTF">2025-04-24T20:22:09Z</dcterms:created>
  <dcterms:modified xsi:type="dcterms:W3CDTF">2025-11-11T12:45:38Z</dcterms:modified>
</cp:coreProperties>
</file>
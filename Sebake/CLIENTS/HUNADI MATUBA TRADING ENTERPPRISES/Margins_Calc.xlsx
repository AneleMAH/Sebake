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tsi\Desktop\gitMila\Clients\Sebake\CLIENTS\HUNADI MATUBA TRADING ENTERPPRISES\"/>
    </mc:Choice>
  </mc:AlternateContent>
  <xr:revisionPtr revIDLastSave="0" documentId="13_ncr:1_{1C4F6F3E-CFB1-4938-BA1E-69543D615FE5}" xr6:coauthVersionLast="47" xr6:coauthVersionMax="47" xr10:uidLastSave="{00000000-0000-0000-0000-000000000000}"/>
  <bookViews>
    <workbookView xWindow="-105" yWindow="0" windowWidth="10455" windowHeight="1090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F11" i="1"/>
  <c r="F10" i="1"/>
  <c r="F9" i="1"/>
  <c r="E4" i="1"/>
  <c r="H2" i="1"/>
  <c r="I2" i="1" s="1"/>
</calcChain>
</file>

<file path=xl/sharedStrings.xml><?xml version="1.0" encoding="utf-8"?>
<sst xmlns="http://schemas.openxmlformats.org/spreadsheetml/2006/main" count="11" uniqueCount="11">
  <si>
    <t>Margin Range Start</t>
  </si>
  <si>
    <t>Margin Range End</t>
  </si>
  <si>
    <t>Percentage to be charged</t>
  </si>
  <si>
    <t>Amount Requested</t>
  </si>
  <si>
    <t>P.O Value</t>
  </si>
  <si>
    <t>Margin percentage</t>
  </si>
  <si>
    <t>Recommended % charge</t>
  </si>
  <si>
    <t>Approved Capital Injection</t>
  </si>
  <si>
    <t>Project Management Fees</t>
  </si>
  <si>
    <t>Admin fee</t>
  </si>
  <si>
    <t>Total due to MAH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</si>
</sst>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&quot;* #,##0.00_-;\-&quot;R&quot;* #,##0.00_-;_-&quot;R&quot;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 vertical="center" wrapText="1"/>
    </xf>
    <xf numFmtId="10" fontId="0" fillId="0" borderId="0" xfId="0" applyNumberForma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/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showGridLines="0" tabSelected="1" topLeftCell="C3" workbookViewId="0">
      <selection activeCell="H11" sqref="H11"/>
    </sheetView>
  </sheetViews>
  <sheetFormatPr defaultRowHeight="15" x14ac:dyDescent="0.25"/>
  <cols>
    <col min="1" max="1" width="17.85546875" bestFit="1" customWidth="1"/>
    <col min="2" max="2" width="16.85546875" bestFit="1" customWidth="1"/>
    <col min="3" max="3" width="23.85546875" bestFit="1" customWidth="1"/>
    <col min="5" max="5" width="25" bestFit="1" customWidth="1"/>
    <col min="6" max="6" width="14.140625" bestFit="1" customWidth="1"/>
    <col min="8" max="8" width="18" bestFit="1" customWidth="1"/>
    <col min="9" max="9" width="23.140625" bestFit="1" customWidth="1"/>
  </cols>
  <sheetData>
    <row r="1" spans="1:9" x14ac:dyDescent="0.25">
      <c r="A1" s="3" t="s">
        <v>0</v>
      </c>
      <c r="B1" s="4" t="s">
        <v>1</v>
      </c>
      <c r="C1" s="5" t="s">
        <v>2</v>
      </c>
      <c r="D1" s="1"/>
      <c r="E1" s="6" t="s">
        <v>3</v>
      </c>
      <c r="F1" s="6" t="s">
        <v>4</v>
      </c>
      <c r="H1" s="6" t="s">
        <v>5</v>
      </c>
      <c r="I1" s="6" t="s">
        <v>6</v>
      </c>
    </row>
    <row r="2" spans="1:9" x14ac:dyDescent="0.25">
      <c r="A2" s="2">
        <v>0</v>
      </c>
      <c r="B2" s="2">
        <v>0.19</v>
      </c>
      <c r="C2" s="2">
        <v>0.14000000000000001</v>
      </c>
      <c r="E2" s="7">
        <v>149737.13</v>
      </c>
      <c r="F2" s="7">
        <v>250000</v>
      </c>
      <c r="H2">
        <f>IF(AND(ISNUMBER(E2),ISNUMBER(F2),F2&lt;&gt;0),(E2/F2)*100,"")</f>
        <v>59.894852</v>
      </c>
      <c r="I2" s="2">
        <f>IF(ISNUMBER(H2),LOOKUP(H2,A2:A11,B2:B11),"")</f>
        <v>1</v>
      </c>
    </row>
    <row r="3" spans="1:9" x14ac:dyDescent="0.25">
      <c r="A3" s="2">
        <v>0.2</v>
      </c>
      <c r="B3" s="2">
        <v>0.28999999999999998</v>
      </c>
      <c r="C3" s="2">
        <v>0.155</v>
      </c>
    </row>
    <row r="4" spans="1:9" x14ac:dyDescent="0.25">
      <c r="A4" s="2">
        <v>0.3</v>
      </c>
      <c r="B4" s="2">
        <v>0.39</v>
      </c>
      <c r="C4" s="2">
        <v>0.17499999999999999</v>
      </c>
      <c r="E4">
        <f>(F2-E2)/E2</f>
        <v>0.66959257199600386</v>
      </c>
    </row>
    <row r="5" spans="1:9" x14ac:dyDescent="0.25">
      <c r="A5" s="2">
        <v>0.4</v>
      </c>
      <c r="B5" s="2">
        <v>0.49</v>
      </c>
      <c r="C5" s="2">
        <v>0.19500000000000001</v>
      </c>
    </row>
    <row r="6" spans="1:9" x14ac:dyDescent="0.25">
      <c r="A6" s="2">
        <v>0.5</v>
      </c>
      <c r="B6" s="2">
        <v>0.59</v>
      </c>
      <c r="C6" s="2">
        <v>0.215</v>
      </c>
    </row>
    <row r="7" spans="1:9" x14ac:dyDescent="0.25">
      <c r="A7" s="2">
        <v>0.6</v>
      </c>
      <c r="B7" s="2">
        <v>0.69</v>
      </c>
      <c r="C7" s="2">
        <v>0.23499999999999999</v>
      </c>
    </row>
    <row r="8" spans="1:9" x14ac:dyDescent="0.25">
      <c r="A8" s="2">
        <v>0.7</v>
      </c>
      <c r="B8" s="2">
        <v>0.79</v>
      </c>
      <c r="C8" s="2">
        <v>0.245</v>
      </c>
    </row>
    <row r="9" spans="1:9" x14ac:dyDescent="0.25">
      <c r="A9" s="2">
        <v>0.8</v>
      </c>
      <c r="B9" s="2">
        <v>0.89</v>
      </c>
      <c r="C9" s="2">
        <v>0.26500000000000001</v>
      </c>
      <c r="E9" t="s">
        <v>7</v>
      </c>
      <c r="F9" s="7">
        <f>E2</f>
        <v>149737.13</v>
      </c>
    </row>
    <row r="10" spans="1:9" x14ac:dyDescent="0.25">
      <c r="A10" s="2">
        <v>0.9</v>
      </c>
      <c r="B10" s="2">
        <v>0.99</v>
      </c>
      <c r="C10" s="2">
        <v>0.28499999999999998</v>
      </c>
      <c r="E10" t="s">
        <v>8</v>
      </c>
      <c r="F10" s="7">
        <f>F9*C7</f>
        <v>35188.225549999996</v>
      </c>
    </row>
    <row r="11" spans="1:9" x14ac:dyDescent="0.25">
      <c r="A11" s="2">
        <v>1</v>
      </c>
      <c r="B11" s="2">
        <v>1</v>
      </c>
      <c r="C11" s="2">
        <v>0.3</v>
      </c>
      <c r="E11" t="s">
        <v>9</v>
      </c>
      <c r="F11">
        <f>2750</f>
        <v>2750</v>
      </c>
    </row>
    <row r="12" spans="1:9" x14ac:dyDescent="0.25">
      <c r="E12" t="s">
        <v>10</v>
      </c>
      <c r="F12" s="7">
        <f>SUM(F9:F11)</f>
        <v>187675.35555000001</v>
      </c>
    </row>
    <row r="15" spans="1:9" x14ac:dyDescent="0.25">
      <c r="C15" s="1"/>
      <c r="D15" s="1"/>
      <c r="E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Nkgopoleng Sebake</dc:creator>
  <cp:lastModifiedBy>Nkgopoleng Sebake</cp:lastModifiedBy>
  <dcterms:created xsi:type="dcterms:W3CDTF">2015-06-05T18:17:20Z</dcterms:created>
  <dcterms:modified xsi:type="dcterms:W3CDTF">2025-10-27T18:33:39Z</dcterms:modified>
</cp:coreProperties>
</file>
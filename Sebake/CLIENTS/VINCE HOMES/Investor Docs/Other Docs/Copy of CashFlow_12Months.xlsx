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/>
  <mc:AlternateContent xmlns:mc="http://schemas.openxmlformats.org/markup-compatibility/2006">
    <mc:Choice Requires="x15">
      <x15ac:absPath xmlns:x15ac="http://schemas.microsoft.com/office/spreadsheetml/2010/11/ac" url="/Users/ayandamaphumulo/Documents/Human Settlements/"/>
    </mc:Choice>
  </mc:AlternateContent>
  <xr:revisionPtr revIDLastSave="0" documentId="13_ncr:1_{3AE33B40-4115-4C4E-9539-1E28EF100B71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12M Forecast" sheetId="1" r:id="rId1"/>
    <sheet name="Note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F35" i="1"/>
  <c r="F34" i="1"/>
  <c r="F33" i="1"/>
  <c r="F32" i="1"/>
  <c r="F31" i="1"/>
  <c r="F30" i="1"/>
  <c r="F29" i="1"/>
  <c r="F28" i="1"/>
  <c r="F27" i="1"/>
  <c r="F26" i="1"/>
  <c r="F25" i="1"/>
  <c r="F24" i="1"/>
  <c r="C15" i="1"/>
  <c r="C16" i="1" s="1"/>
  <c r="D15" i="1"/>
  <c r="D16" i="1" s="1"/>
  <c r="D17" i="1" s="1"/>
  <c r="E15" i="1"/>
  <c r="E16" i="1" s="1"/>
  <c r="E17" i="1" s="1"/>
  <c r="F15" i="1"/>
  <c r="F16" i="1" s="1"/>
  <c r="F17" i="1" s="1"/>
  <c r="G15" i="1"/>
  <c r="G16" i="1" s="1"/>
  <c r="G17" i="1" s="1"/>
  <c r="H15" i="1"/>
  <c r="H16" i="1" s="1"/>
  <c r="H17" i="1" s="1"/>
  <c r="I15" i="1"/>
  <c r="I16" i="1" s="1"/>
  <c r="I17" i="1" s="1"/>
  <c r="J15" i="1"/>
  <c r="J16" i="1" s="1"/>
  <c r="J17" i="1" s="1"/>
  <c r="K15" i="1"/>
  <c r="K16" i="1" s="1"/>
  <c r="L15" i="1"/>
  <c r="L16" i="1" s="1"/>
  <c r="L17" i="1" s="1"/>
  <c r="M15" i="1"/>
  <c r="M16" i="1" s="1"/>
  <c r="M17" i="1" s="1"/>
  <c r="B15" i="1"/>
  <c r="B16" i="1" s="1"/>
  <c r="B17" i="1" s="1"/>
  <c r="H19" i="3"/>
  <c r="H9" i="3"/>
  <c r="H10" i="3"/>
  <c r="H11" i="3"/>
  <c r="H12" i="3"/>
  <c r="H13" i="3"/>
  <c r="H14" i="3"/>
  <c r="H15" i="3"/>
  <c r="H16" i="3"/>
  <c r="H17" i="3"/>
  <c r="H18" i="3"/>
  <c r="H8" i="3"/>
  <c r="J18" i="1" l="1"/>
  <c r="F18" i="1"/>
  <c r="I18" i="1"/>
  <c r="G18" i="1"/>
  <c r="M18" i="1"/>
  <c r="L18" i="1"/>
  <c r="D18" i="1"/>
  <c r="K17" i="1"/>
  <c r="K18" i="1" s="1"/>
  <c r="C17" i="1"/>
  <c r="C18" i="1" s="1"/>
  <c r="E18" i="1"/>
  <c r="H18" i="1"/>
  <c r="B18" i="1"/>
</calcChain>
</file>

<file path=xl/sharedStrings.xml><?xml version="1.0" encoding="utf-8"?>
<sst xmlns="http://schemas.openxmlformats.org/spreadsheetml/2006/main" count="60" uniqueCount="44">
  <si>
    <t>index</t>
  </si>
  <si>
    <t>Income</t>
  </si>
  <si>
    <t>Accounting &amp; Audit fees</t>
  </si>
  <si>
    <t>Admin and software</t>
  </si>
  <si>
    <t>Bank Charges</t>
  </si>
  <si>
    <t>Director remuneration</t>
  </si>
  <si>
    <t>Entertainment</t>
  </si>
  <si>
    <t>Legal fees</t>
  </si>
  <si>
    <t>Motor vehicle expenses</t>
  </si>
  <si>
    <t>Travel and accomodation</t>
  </si>
  <si>
    <t>Employee costs</t>
  </si>
  <si>
    <t>Insurance fees</t>
  </si>
  <si>
    <t>Total Expenses</t>
  </si>
  <si>
    <t>EBT</t>
  </si>
  <si>
    <t>Tax</t>
  </si>
  <si>
    <t>Net Profit</t>
  </si>
  <si>
    <t>Projection Notes</t>
  </si>
  <si>
    <t>Revenue: R60.5m contract spread evenly over 3 years + R1m annual revenue.</t>
  </si>
  <si>
    <t>Performance guarantee fees: 2.5% of R6.05m = R151k annually, expensed monthly.</t>
  </si>
  <si>
    <t>Employee costs: 13% of income.</t>
  </si>
  <si>
    <t>Subcontractors (COS): 22% of income.</t>
  </si>
  <si>
    <t>Fixed expenses escalate by 5% annually.</t>
  </si>
  <si>
    <t>Corporate income tax applied at 27% of positive EBT.</t>
  </si>
  <si>
    <t>Projection period: Sept 2025 – Aug 2026 (12 months).</t>
  </si>
  <si>
    <t xml:space="preserve">Contract amount includes vat at R60 564,16, what informs the 3m inclease </t>
  </si>
  <si>
    <t>Seems incorrect as the revenue will be realised in mile stones</t>
  </si>
  <si>
    <t>EPWP</t>
  </si>
  <si>
    <t>OHS Officer</t>
  </si>
  <si>
    <t>Senior Site Agent</t>
  </si>
  <si>
    <t>General worker</t>
  </si>
  <si>
    <t>Driver to monitor the routes</t>
  </si>
  <si>
    <t>Contracts Manager, Engineer</t>
  </si>
  <si>
    <t>Clerk of Works/Admin</t>
  </si>
  <si>
    <t xml:space="preserve">Environmental Control Officer </t>
  </si>
  <si>
    <t xml:space="preserve">Plant Operator </t>
  </si>
  <si>
    <t>P/M</t>
  </si>
  <si>
    <t xml:space="preserve">Staff Complement </t>
  </si>
  <si>
    <t xml:space="preserve">Role </t>
  </si>
  <si>
    <t xml:space="preserve">Community Liason Officer </t>
  </si>
  <si>
    <t>Site Foreman</t>
  </si>
  <si>
    <t>Payments for bridging finance</t>
  </si>
  <si>
    <t>COS - Goods and Services</t>
  </si>
  <si>
    <t>Department has set aside R7,5000,000.00 on the BoQ</t>
  </si>
  <si>
    <t>Strategic and overall responsibility for the schedule of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</si>
</sst>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R&quot;* #,##0.00_);_(&quot;R&quot;* \(#,##0.00\);_(&quot;R&quot;* &quot;-&quot;??_);_(@_)"/>
    <numFmt numFmtId="164" formatCode="_-* #,##0.00_-;\-* #,##0.00_-;_-* &quot;-&quot;??_-;_-@_-"/>
    <numFmt numFmtId="165" formatCode="&quot;R&quot;#,##0.00"/>
    <numFmt numFmtId="166" formatCode="_-* #,##0_-;\-* #,##0_-;_-* &quot;-&quot;??_-;_-@_-"/>
    <numFmt numFmtId="167" formatCode="_-[$R-1C09]* #,##0.00_-;\-[$R-1C09]* #,##0.00_-;_-[$R-1C09]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" fontId="1" fillId="2" borderId="0" xfId="0" applyNumberFormat="1" applyFont="1" applyFill="1"/>
    <xf numFmtId="165" fontId="0" fillId="0" borderId="0" xfId="0" applyNumberFormat="1"/>
    <xf numFmtId="165" fontId="2" fillId="0" borderId="0" xfId="0" applyNumberFormat="1" applyFont="1"/>
    <xf numFmtId="165" fontId="2" fillId="0" borderId="1" xfId="0" applyNumberFormat="1" applyFont="1" applyBorder="1"/>
    <xf numFmtId="165" fontId="2" fillId="0" borderId="2" xfId="0" applyNumberFormat="1" applyFont="1" applyBorder="1"/>
    <xf numFmtId="0" fontId="0" fillId="0" borderId="0" xfId="0" applyAlignment="1">
      <alignment horizontal="right"/>
    </xf>
    <xf numFmtId="165" fontId="4" fillId="0" borderId="0" xfId="0" applyNumberFormat="1" applyFont="1"/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165" fontId="5" fillId="0" borderId="0" xfId="0" applyNumberFormat="1" applyFont="1"/>
    <xf numFmtId="166" fontId="4" fillId="0" borderId="0" xfId="1" applyNumberFormat="1" applyFont="1"/>
    <xf numFmtId="165" fontId="4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44" fontId="0" fillId="0" borderId="0" xfId="2" applyFont="1"/>
    <xf numFmtId="167" fontId="0" fillId="0" borderId="0" xfId="2" applyNumberFormat="1" applyFont="1"/>
    <xf numFmtId="167" fontId="0" fillId="0" borderId="0" xfId="0" applyNumberFormat="1"/>
    <xf numFmtId="44" fontId="0" fillId="0" borderId="0" xfId="0" applyNumberFormat="1"/>
    <xf numFmtId="0" fontId="6" fillId="0" borderId="0" xfId="0" applyFont="1" applyAlignment="1">
      <alignment wrapText="1"/>
    </xf>
    <xf numFmtId="165" fontId="6" fillId="0" borderId="0" xfId="0" applyNumberFormat="1" applyFont="1" applyAlignment="1">
      <alignment horizontal="left" vertical="top" wrapText="1"/>
    </xf>
    <xf numFmtId="165" fontId="4" fillId="0" borderId="0" xfId="0" applyNumberFormat="1" applyFont="1" applyAlignment="1">
      <alignment wrapText="1"/>
    </xf>
    <xf numFmtId="0" fontId="4" fillId="0" borderId="0" xfId="0" applyFont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"/>
  <sheetViews>
    <sheetView tabSelected="1" workbookViewId="0">
      <selection activeCell="H3" sqref="H3"/>
    </sheetView>
  </sheetViews>
  <sheetFormatPr baseColWidth="10" defaultColWidth="8.83203125" defaultRowHeight="15" x14ac:dyDescent="0.2"/>
  <cols>
    <col min="1" max="1" width="23.1640625" customWidth="1"/>
    <col min="2" max="2" width="13.33203125" customWidth="1"/>
    <col min="3" max="13" width="12.6640625" bestFit="1" customWidth="1"/>
    <col min="14" max="14" width="27.83203125" style="10" customWidth="1"/>
    <col min="15" max="15" width="32" customWidth="1"/>
    <col min="16" max="16" width="17.83203125" customWidth="1"/>
    <col min="17" max="17" width="17.6640625" customWidth="1"/>
  </cols>
  <sheetData>
    <row r="1" spans="1:17" x14ac:dyDescent="0.2">
      <c r="A1" s="1" t="s">
        <v>0</v>
      </c>
      <c r="B1" s="3">
        <v>45976</v>
      </c>
      <c r="C1" s="3">
        <v>45992</v>
      </c>
      <c r="D1" s="3">
        <v>46023</v>
      </c>
      <c r="E1" s="3">
        <v>46054</v>
      </c>
      <c r="F1" s="3">
        <v>46082</v>
      </c>
      <c r="G1" s="3">
        <v>46113</v>
      </c>
      <c r="H1" s="3">
        <v>46143</v>
      </c>
      <c r="I1" s="3">
        <v>46174</v>
      </c>
      <c r="J1" s="3">
        <v>46204</v>
      </c>
      <c r="K1" s="3">
        <v>46235</v>
      </c>
      <c r="L1" s="3">
        <v>46266</v>
      </c>
      <c r="M1" s="3">
        <v>46296</v>
      </c>
      <c r="N1" s="12"/>
      <c r="O1" s="22"/>
      <c r="P1" s="11"/>
    </row>
    <row r="2" spans="1:17" ht="60.5" customHeight="1" x14ac:dyDescent="0.2">
      <c r="A2" t="s">
        <v>1</v>
      </c>
      <c r="B2" s="4">
        <v>1682349.1711111111</v>
      </c>
      <c r="C2" s="4">
        <v>1682349.1711111111</v>
      </c>
      <c r="D2" s="4">
        <v>1682349.1711111111</v>
      </c>
      <c r="E2" s="4">
        <v>1682349.1711111111</v>
      </c>
      <c r="F2" s="4">
        <v>1682349.1711111111</v>
      </c>
      <c r="G2" s="4">
        <v>1682349.1711111111</v>
      </c>
      <c r="H2" s="4">
        <v>1682349.1711111111</v>
      </c>
      <c r="I2" s="4">
        <v>1682349.1711111111</v>
      </c>
      <c r="J2" s="4">
        <v>1682349.1711111111</v>
      </c>
      <c r="K2" s="4">
        <v>1682349.1711111111</v>
      </c>
      <c r="L2" s="4">
        <v>1682349.1711111111</v>
      </c>
      <c r="M2" s="4">
        <v>1682349.1711111111</v>
      </c>
      <c r="N2" s="15"/>
      <c r="O2" s="23"/>
      <c r="P2" s="16" t="s">
        <v>24</v>
      </c>
      <c r="Q2" s="17" t="s">
        <v>25</v>
      </c>
    </row>
    <row r="3" spans="1:17" x14ac:dyDescent="0.2">
      <c r="A3" s="8" t="s">
        <v>2</v>
      </c>
      <c r="B3" s="4">
        <v>479.17</v>
      </c>
      <c r="C3" s="4">
        <v>479.17</v>
      </c>
      <c r="D3" s="4">
        <v>479.17</v>
      </c>
      <c r="E3" s="4">
        <v>479.17</v>
      </c>
      <c r="F3" s="4">
        <v>479.17</v>
      </c>
      <c r="G3" s="4">
        <v>479.17</v>
      </c>
      <c r="H3" s="4">
        <v>479.17</v>
      </c>
      <c r="I3" s="4">
        <v>479.17</v>
      </c>
      <c r="J3" s="4">
        <v>479.17</v>
      </c>
      <c r="K3" s="4">
        <v>479.17</v>
      </c>
      <c r="L3" s="4">
        <v>479.17</v>
      </c>
      <c r="M3" s="4">
        <v>479.17</v>
      </c>
      <c r="N3" s="12"/>
      <c r="O3" s="22"/>
      <c r="P3" s="11"/>
    </row>
    <row r="4" spans="1:17" x14ac:dyDescent="0.2">
      <c r="A4" s="8" t="s">
        <v>3</v>
      </c>
      <c r="B4" s="4">
        <v>163.25</v>
      </c>
      <c r="C4" s="4">
        <v>163.25</v>
      </c>
      <c r="D4" s="4">
        <v>163.25</v>
      </c>
      <c r="E4" s="4">
        <v>163.25</v>
      </c>
      <c r="F4" s="4">
        <v>163.25</v>
      </c>
      <c r="G4" s="4">
        <v>163.25</v>
      </c>
      <c r="H4" s="4">
        <v>163.25</v>
      </c>
      <c r="I4" s="4">
        <v>163.25</v>
      </c>
      <c r="J4" s="4">
        <v>163.25</v>
      </c>
      <c r="K4" s="4">
        <v>163.25</v>
      </c>
      <c r="L4" s="4">
        <v>163.25</v>
      </c>
      <c r="M4" s="4">
        <v>163.25</v>
      </c>
      <c r="N4" s="12"/>
      <c r="O4" s="22"/>
      <c r="P4" s="11"/>
    </row>
    <row r="5" spans="1:17" x14ac:dyDescent="0.2">
      <c r="A5" s="8" t="s">
        <v>4</v>
      </c>
      <c r="B5" s="4">
        <v>500</v>
      </c>
      <c r="C5" s="4">
        <v>500</v>
      </c>
      <c r="D5" s="4">
        <v>500</v>
      </c>
      <c r="E5" s="4">
        <v>500</v>
      </c>
      <c r="F5" s="4">
        <v>500</v>
      </c>
      <c r="G5" s="4">
        <v>500</v>
      </c>
      <c r="H5" s="4">
        <v>500</v>
      </c>
      <c r="I5" s="4">
        <v>500</v>
      </c>
      <c r="J5" s="4">
        <v>500</v>
      </c>
      <c r="K5" s="4">
        <v>500</v>
      </c>
      <c r="L5" s="4">
        <v>500</v>
      </c>
      <c r="M5" s="4">
        <v>500</v>
      </c>
      <c r="N5" s="12"/>
      <c r="O5" s="22"/>
      <c r="P5" s="11"/>
    </row>
    <row r="6" spans="1:17" ht="78" customHeight="1" x14ac:dyDescent="0.2">
      <c r="A6" s="8" t="s">
        <v>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100000</v>
      </c>
      <c r="H6" s="4">
        <v>100000</v>
      </c>
      <c r="I6" s="4">
        <v>100000</v>
      </c>
      <c r="J6" s="4">
        <v>100000</v>
      </c>
      <c r="K6" s="4">
        <v>100000</v>
      </c>
      <c r="L6" s="4">
        <v>100000</v>
      </c>
      <c r="M6" s="4">
        <v>100000</v>
      </c>
      <c r="N6" s="12"/>
      <c r="O6" s="22"/>
      <c r="P6" s="11"/>
    </row>
    <row r="7" spans="1:17" x14ac:dyDescent="0.2">
      <c r="A7" s="8" t="s">
        <v>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12"/>
      <c r="O7" s="22"/>
      <c r="P7" s="11"/>
    </row>
    <row r="8" spans="1:17" x14ac:dyDescent="0.2">
      <c r="A8" s="8" t="s">
        <v>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12"/>
      <c r="O8" s="22"/>
      <c r="P8" s="11"/>
    </row>
    <row r="9" spans="1:17" x14ac:dyDescent="0.2">
      <c r="A9" s="8" t="s">
        <v>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12"/>
      <c r="O9" s="22"/>
      <c r="P9" s="11"/>
    </row>
    <row r="10" spans="1:17" x14ac:dyDescent="0.2">
      <c r="A10" s="8" t="s">
        <v>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12"/>
      <c r="O10" s="22"/>
      <c r="P10" s="11"/>
    </row>
    <row r="11" spans="1:17" x14ac:dyDescent="0.2">
      <c r="A11" s="8" t="s">
        <v>10</v>
      </c>
      <c r="B11" s="4"/>
      <c r="C11" s="4">
        <v>471000</v>
      </c>
      <c r="D11" s="4">
        <v>471000</v>
      </c>
      <c r="E11" s="4">
        <v>471000</v>
      </c>
      <c r="F11" s="4">
        <v>471000</v>
      </c>
      <c r="G11" s="4">
        <v>471000</v>
      </c>
      <c r="H11" s="4">
        <v>471000</v>
      </c>
      <c r="I11" s="4">
        <v>471000</v>
      </c>
      <c r="J11" s="4">
        <v>471000</v>
      </c>
      <c r="K11" s="4">
        <v>471000</v>
      </c>
      <c r="L11" s="4">
        <v>471000</v>
      </c>
      <c r="M11" s="4">
        <v>471000</v>
      </c>
      <c r="N11" s="12"/>
      <c r="O11" s="22"/>
      <c r="P11" s="11"/>
    </row>
    <row r="12" spans="1:17" x14ac:dyDescent="0.2">
      <c r="A12" s="8" t="s">
        <v>41</v>
      </c>
      <c r="B12" s="4"/>
      <c r="C12" s="4">
        <v>370117</v>
      </c>
      <c r="D12" s="4">
        <v>370117</v>
      </c>
      <c r="E12" s="4">
        <v>370117</v>
      </c>
      <c r="F12" s="4">
        <v>370117</v>
      </c>
      <c r="G12" s="4">
        <v>370117</v>
      </c>
      <c r="H12" s="4">
        <v>370117</v>
      </c>
      <c r="I12" s="4">
        <v>370117</v>
      </c>
      <c r="J12" s="4">
        <v>370117</v>
      </c>
      <c r="K12" s="4">
        <v>370117</v>
      </c>
      <c r="L12" s="4">
        <v>370117</v>
      </c>
      <c r="M12" s="4">
        <v>370117</v>
      </c>
      <c r="N12" s="12"/>
      <c r="O12" s="22"/>
      <c r="P12" s="11"/>
    </row>
    <row r="13" spans="1:17" x14ac:dyDescent="0.2">
      <c r="A13" s="25" t="s">
        <v>40</v>
      </c>
      <c r="B13" s="13">
        <v>1650000</v>
      </c>
      <c r="C13" s="13">
        <v>800000</v>
      </c>
      <c r="D13" s="13">
        <v>800000</v>
      </c>
      <c r="E13" s="13">
        <v>800000</v>
      </c>
      <c r="F13" s="13">
        <v>850000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24">
        <f>SUM(B13:F13)</f>
        <v>4900000</v>
      </c>
      <c r="O13" s="22"/>
      <c r="P13" s="11"/>
    </row>
    <row r="14" spans="1:17" x14ac:dyDescent="0.2">
      <c r="A14" s="8" t="s">
        <v>11</v>
      </c>
      <c r="B14" s="4">
        <v>0</v>
      </c>
      <c r="C14" s="4">
        <v>10000</v>
      </c>
      <c r="D14" s="4">
        <v>10000</v>
      </c>
      <c r="E14" s="4">
        <v>10000</v>
      </c>
      <c r="F14" s="4">
        <v>10000</v>
      </c>
      <c r="G14" s="4">
        <v>10000</v>
      </c>
      <c r="H14" s="4">
        <v>10000</v>
      </c>
      <c r="I14" s="4">
        <v>10000</v>
      </c>
      <c r="J14" s="4">
        <v>10000</v>
      </c>
      <c r="K14" s="4">
        <v>10000</v>
      </c>
      <c r="L14" s="4">
        <v>10000</v>
      </c>
      <c r="M14" s="4">
        <v>10000</v>
      </c>
      <c r="N14" s="12"/>
      <c r="O14" s="22"/>
      <c r="P14" s="11"/>
    </row>
    <row r="15" spans="1:17" x14ac:dyDescent="0.2">
      <c r="A15" t="s">
        <v>12</v>
      </c>
      <c r="B15" s="6">
        <f>SUM(B3:B14)</f>
        <v>1651142.42</v>
      </c>
      <c r="C15" s="6">
        <f t="shared" ref="C15:M15" si="0">SUM(C3:C14)</f>
        <v>1652259.42</v>
      </c>
      <c r="D15" s="6">
        <f t="shared" si="0"/>
        <v>1652259.42</v>
      </c>
      <c r="E15" s="6">
        <f t="shared" si="0"/>
        <v>1652259.42</v>
      </c>
      <c r="F15" s="6">
        <f t="shared" si="0"/>
        <v>1702259.42</v>
      </c>
      <c r="G15" s="6">
        <f t="shared" si="0"/>
        <v>952259.42</v>
      </c>
      <c r="H15" s="6">
        <f t="shared" si="0"/>
        <v>952259.42</v>
      </c>
      <c r="I15" s="6">
        <f t="shared" si="0"/>
        <v>952259.42</v>
      </c>
      <c r="J15" s="6">
        <f t="shared" si="0"/>
        <v>952259.42</v>
      </c>
      <c r="K15" s="6">
        <f t="shared" si="0"/>
        <v>952259.42</v>
      </c>
      <c r="L15" s="6">
        <f t="shared" si="0"/>
        <v>952259.42</v>
      </c>
      <c r="M15" s="6">
        <f t="shared" si="0"/>
        <v>952259.42</v>
      </c>
      <c r="O15" s="22"/>
      <c r="P15" s="11"/>
    </row>
    <row r="16" spans="1:17" x14ac:dyDescent="0.2">
      <c r="A16" t="s">
        <v>13</v>
      </c>
      <c r="B16" s="5">
        <f>B2-B15</f>
        <v>31206.751111111138</v>
      </c>
      <c r="C16" s="5">
        <f t="shared" ref="C16:M16" si="1">C2-C15</f>
        <v>30089.751111111138</v>
      </c>
      <c r="D16" s="5">
        <f t="shared" si="1"/>
        <v>30089.751111111138</v>
      </c>
      <c r="E16" s="5">
        <f t="shared" si="1"/>
        <v>30089.751111111138</v>
      </c>
      <c r="F16" s="5">
        <f t="shared" si="1"/>
        <v>-19910.248888888862</v>
      </c>
      <c r="G16" s="5">
        <f t="shared" si="1"/>
        <v>730089.75111111102</v>
      </c>
      <c r="H16" s="5">
        <f t="shared" si="1"/>
        <v>730089.75111111102</v>
      </c>
      <c r="I16" s="5">
        <f t="shared" si="1"/>
        <v>730089.75111111102</v>
      </c>
      <c r="J16" s="5">
        <f t="shared" si="1"/>
        <v>730089.75111111102</v>
      </c>
      <c r="K16" s="5">
        <f t="shared" si="1"/>
        <v>730089.75111111102</v>
      </c>
      <c r="L16" s="5">
        <f t="shared" si="1"/>
        <v>730089.75111111102</v>
      </c>
      <c r="M16" s="5">
        <f t="shared" si="1"/>
        <v>730089.75111111102</v>
      </c>
      <c r="N16" s="12"/>
      <c r="O16" s="22"/>
      <c r="P16" s="11"/>
    </row>
    <row r="17" spans="1:16" x14ac:dyDescent="0.2">
      <c r="A17" t="s">
        <v>14</v>
      </c>
      <c r="B17" s="4">
        <f>B16*0.27</f>
        <v>8425.8228000000072</v>
      </c>
      <c r="C17" s="4">
        <f t="shared" ref="C17:M17" si="2">C16*0.27</f>
        <v>8124.232800000008</v>
      </c>
      <c r="D17" s="4">
        <f t="shared" si="2"/>
        <v>8124.232800000008</v>
      </c>
      <c r="E17" s="4">
        <f t="shared" si="2"/>
        <v>8124.232800000008</v>
      </c>
      <c r="F17" s="4">
        <f t="shared" si="2"/>
        <v>-5375.767199999993</v>
      </c>
      <c r="G17" s="4">
        <f t="shared" si="2"/>
        <v>197124.2328</v>
      </c>
      <c r="H17" s="4">
        <f t="shared" si="2"/>
        <v>197124.2328</v>
      </c>
      <c r="I17" s="4">
        <f t="shared" si="2"/>
        <v>197124.2328</v>
      </c>
      <c r="J17" s="4">
        <f t="shared" si="2"/>
        <v>197124.2328</v>
      </c>
      <c r="K17" s="4">
        <f t="shared" si="2"/>
        <v>197124.2328</v>
      </c>
      <c r="L17" s="4">
        <f t="shared" si="2"/>
        <v>197124.2328</v>
      </c>
      <c r="M17" s="4">
        <f t="shared" si="2"/>
        <v>197124.2328</v>
      </c>
      <c r="N17" s="12"/>
      <c r="O17" s="22"/>
      <c r="P17" s="11"/>
    </row>
    <row r="18" spans="1:16" ht="16" thickBot="1" x14ac:dyDescent="0.25">
      <c r="A18" t="s">
        <v>15</v>
      </c>
      <c r="B18" s="7">
        <f>B16-B17</f>
        <v>22780.928311111129</v>
      </c>
      <c r="C18" s="7">
        <f t="shared" ref="C18:M18" si="3">C16-C17</f>
        <v>21965.518311111129</v>
      </c>
      <c r="D18" s="7">
        <f t="shared" si="3"/>
        <v>21965.518311111129</v>
      </c>
      <c r="E18" s="7">
        <f t="shared" si="3"/>
        <v>21965.518311111129</v>
      </c>
      <c r="F18" s="7">
        <f t="shared" si="3"/>
        <v>-14534.481688888869</v>
      </c>
      <c r="G18" s="7">
        <f t="shared" si="3"/>
        <v>532965.51831111102</v>
      </c>
      <c r="H18" s="7">
        <f t="shared" si="3"/>
        <v>532965.51831111102</v>
      </c>
      <c r="I18" s="7">
        <f t="shared" si="3"/>
        <v>532965.51831111102</v>
      </c>
      <c r="J18" s="7">
        <f t="shared" si="3"/>
        <v>532965.51831111102</v>
      </c>
      <c r="K18" s="7">
        <f t="shared" si="3"/>
        <v>532965.51831111102</v>
      </c>
      <c r="L18" s="7">
        <f t="shared" si="3"/>
        <v>532965.51831111102</v>
      </c>
      <c r="M18" s="7">
        <f t="shared" si="3"/>
        <v>532965.51831111102</v>
      </c>
      <c r="N18" s="12"/>
      <c r="O18" s="22"/>
      <c r="P18" s="11"/>
    </row>
    <row r="19" spans="1:16" x14ac:dyDescent="0.2">
      <c r="A19" s="11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2"/>
      <c r="O19" s="22"/>
    </row>
    <row r="20" spans="1:16" x14ac:dyDescent="0.2">
      <c r="A20" s="11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6" x14ac:dyDescent="0.2">
      <c r="A21" s="11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6" x14ac:dyDescent="0.2">
      <c r="A22" s="11"/>
      <c r="L22" s="9"/>
      <c r="M22" s="9"/>
      <c r="N22"/>
    </row>
    <row r="23" spans="1:16" x14ac:dyDescent="0.2">
      <c r="C23" t="s">
        <v>37</v>
      </c>
      <c r="D23" t="s">
        <v>36</v>
      </c>
      <c r="E23" t="s">
        <v>35</v>
      </c>
      <c r="N23"/>
    </row>
    <row r="24" spans="1:16" x14ac:dyDescent="0.2">
      <c r="C24" t="s">
        <v>26</v>
      </c>
      <c r="D24">
        <v>25</v>
      </c>
      <c r="E24" s="18">
        <v>8000</v>
      </c>
      <c r="F24" s="18">
        <f>E24*D24</f>
        <v>200000</v>
      </c>
      <c r="G24" t="s">
        <v>42</v>
      </c>
      <c r="N24"/>
    </row>
    <row r="25" spans="1:16" x14ac:dyDescent="0.2">
      <c r="C25" t="s">
        <v>31</v>
      </c>
      <c r="D25">
        <v>1</v>
      </c>
      <c r="E25" s="18">
        <v>75000</v>
      </c>
      <c r="F25" s="18">
        <f t="shared" ref="F25:F34" si="4">E25*D25</f>
        <v>75000</v>
      </c>
      <c r="G25" t="s">
        <v>43</v>
      </c>
      <c r="N25"/>
    </row>
    <row r="26" spans="1:16" x14ac:dyDescent="0.2">
      <c r="C26" t="s">
        <v>28</v>
      </c>
      <c r="D26">
        <v>1</v>
      </c>
      <c r="E26" s="18">
        <v>40000</v>
      </c>
      <c r="F26" s="18">
        <f t="shared" si="4"/>
        <v>40000</v>
      </c>
      <c r="N26"/>
    </row>
    <row r="27" spans="1:16" x14ac:dyDescent="0.2">
      <c r="C27" t="s">
        <v>39</v>
      </c>
      <c r="D27">
        <v>1</v>
      </c>
      <c r="E27" s="18">
        <v>25000</v>
      </c>
      <c r="F27" s="18">
        <f t="shared" si="4"/>
        <v>25000</v>
      </c>
      <c r="N27"/>
    </row>
    <row r="28" spans="1:16" x14ac:dyDescent="0.2">
      <c r="C28" t="s">
        <v>27</v>
      </c>
      <c r="D28">
        <v>1</v>
      </c>
      <c r="E28" s="18">
        <v>20000</v>
      </c>
      <c r="F28" s="18">
        <f t="shared" si="4"/>
        <v>20000</v>
      </c>
      <c r="N28"/>
    </row>
    <row r="29" spans="1:16" x14ac:dyDescent="0.2">
      <c r="C29" t="s">
        <v>30</v>
      </c>
      <c r="D29">
        <v>2</v>
      </c>
      <c r="E29" s="18">
        <v>10000</v>
      </c>
      <c r="F29" s="18">
        <f t="shared" si="4"/>
        <v>20000</v>
      </c>
      <c r="N29"/>
    </row>
    <row r="30" spans="1:16" x14ac:dyDescent="0.2">
      <c r="C30" t="s">
        <v>34</v>
      </c>
      <c r="D30">
        <v>1</v>
      </c>
      <c r="E30" s="19">
        <v>12000</v>
      </c>
      <c r="F30" s="18">
        <f t="shared" si="4"/>
        <v>12000</v>
      </c>
      <c r="N30"/>
    </row>
    <row r="31" spans="1:16" x14ac:dyDescent="0.2">
      <c r="C31" t="s">
        <v>29</v>
      </c>
      <c r="D31">
        <v>5</v>
      </c>
      <c r="E31" s="19">
        <v>8000</v>
      </c>
      <c r="F31" s="18">
        <f t="shared" si="4"/>
        <v>40000</v>
      </c>
      <c r="N31"/>
    </row>
    <row r="32" spans="1:16" x14ac:dyDescent="0.2">
      <c r="C32" t="s">
        <v>32</v>
      </c>
      <c r="D32">
        <v>1</v>
      </c>
      <c r="E32" s="20">
        <v>12000</v>
      </c>
      <c r="F32" s="18">
        <f t="shared" si="4"/>
        <v>12000</v>
      </c>
      <c r="N32"/>
    </row>
    <row r="33" spans="3:14" x14ac:dyDescent="0.2">
      <c r="C33" t="s">
        <v>33</v>
      </c>
      <c r="D33">
        <v>1</v>
      </c>
      <c r="E33" s="20">
        <v>15000</v>
      </c>
      <c r="F33" s="18">
        <f t="shared" si="4"/>
        <v>15000</v>
      </c>
      <c r="N33"/>
    </row>
    <row r="34" spans="3:14" x14ac:dyDescent="0.2">
      <c r="C34" t="s">
        <v>38</v>
      </c>
      <c r="D34">
        <v>1</v>
      </c>
      <c r="E34" s="18">
        <v>12000</v>
      </c>
      <c r="F34" s="18">
        <f t="shared" si="4"/>
        <v>12000</v>
      </c>
      <c r="N34"/>
    </row>
    <row r="35" spans="3:14" x14ac:dyDescent="0.2">
      <c r="E35" s="21"/>
      <c r="F35" s="21">
        <f>SUM(F24:F34)</f>
        <v>471000</v>
      </c>
      <c r="N35"/>
    </row>
    <row r="36" spans="3:14" x14ac:dyDescent="0.2">
      <c r="N36"/>
    </row>
    <row r="37" spans="3:14" x14ac:dyDescent="0.2">
      <c r="N37"/>
    </row>
    <row r="38" spans="3:14" x14ac:dyDescent="0.2">
      <c r="N38"/>
    </row>
    <row r="39" spans="3:14" x14ac:dyDescent="0.2">
      <c r="N39"/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77.33203125" customWidth="1"/>
  </cols>
  <sheetData>
    <row r="1" spans="1:1" x14ac:dyDescent="0.2">
      <c r="A1" s="2" t="s">
        <v>16</v>
      </c>
    </row>
    <row r="2" spans="1:1" x14ac:dyDescent="0.2">
      <c r="A2" t="s">
        <v>17</v>
      </c>
    </row>
    <row r="3" spans="1:1" x14ac:dyDescent="0.2">
      <c r="A3" t="s">
        <v>18</v>
      </c>
    </row>
    <row r="4" spans="1:1" x14ac:dyDescent="0.2">
      <c r="A4" t="s">
        <v>19</v>
      </c>
    </row>
    <row r="5" spans="1:1" x14ac:dyDescent="0.2">
      <c r="A5" t="s">
        <v>20</v>
      </c>
    </row>
    <row r="6" spans="1:1" x14ac:dyDescent="0.2">
      <c r="A6" t="s">
        <v>21</v>
      </c>
    </row>
    <row r="7" spans="1:1" x14ac:dyDescent="0.2">
      <c r="A7" t="s">
        <v>22</v>
      </c>
    </row>
    <row r="8" spans="1:1" x14ac:dyDescent="0.2">
      <c r="A8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3473-338B-6A47-BFD3-18DAD85D17D1}">
  <dimension ref="E7:I19"/>
  <sheetViews>
    <sheetView workbookViewId="0">
      <selection activeCell="M20" sqref="D6:M20"/>
    </sheetView>
  </sheetViews>
  <sheetFormatPr baseColWidth="10" defaultRowHeight="15" x14ac:dyDescent="0.2"/>
  <cols>
    <col min="3" max="3" width="19.5" customWidth="1"/>
    <col min="5" max="5" width="25.5" customWidth="1"/>
    <col min="6" max="6" width="23" customWidth="1"/>
    <col min="7" max="7" width="16.5" customWidth="1"/>
    <col min="8" max="8" width="12" bestFit="1" customWidth="1"/>
  </cols>
  <sheetData>
    <row r="7" spans="5:9" x14ac:dyDescent="0.2">
      <c r="E7" t="s">
        <v>37</v>
      </c>
      <c r="F7" t="s">
        <v>36</v>
      </c>
      <c r="G7" t="s">
        <v>35</v>
      </c>
    </row>
    <row r="8" spans="5:9" x14ac:dyDescent="0.2">
      <c r="E8" t="s">
        <v>26</v>
      </c>
      <c r="F8">
        <v>25</v>
      </c>
      <c r="G8" s="18">
        <v>8000</v>
      </c>
      <c r="H8" s="18">
        <f>G8*F8</f>
        <v>200000</v>
      </c>
      <c r="I8" t="s">
        <v>42</v>
      </c>
    </row>
    <row r="9" spans="5:9" x14ac:dyDescent="0.2">
      <c r="E9" t="s">
        <v>31</v>
      </c>
      <c r="F9">
        <v>1</v>
      </c>
      <c r="G9" s="18">
        <v>75000</v>
      </c>
      <c r="H9" s="18">
        <f t="shared" ref="H9:H18" si="0">G9*F9</f>
        <v>75000</v>
      </c>
      <c r="I9" t="s">
        <v>43</v>
      </c>
    </row>
    <row r="10" spans="5:9" x14ac:dyDescent="0.2">
      <c r="E10" t="s">
        <v>28</v>
      </c>
      <c r="F10">
        <v>1</v>
      </c>
      <c r="G10" s="18">
        <v>40000</v>
      </c>
      <c r="H10" s="18">
        <f t="shared" si="0"/>
        <v>40000</v>
      </c>
    </row>
    <row r="11" spans="5:9" x14ac:dyDescent="0.2">
      <c r="E11" t="s">
        <v>39</v>
      </c>
      <c r="F11">
        <v>1</v>
      </c>
      <c r="G11" s="18">
        <v>25000</v>
      </c>
      <c r="H11" s="18">
        <f t="shared" si="0"/>
        <v>25000</v>
      </c>
    </row>
    <row r="12" spans="5:9" x14ac:dyDescent="0.2">
      <c r="E12" t="s">
        <v>27</v>
      </c>
      <c r="F12">
        <v>1</v>
      </c>
      <c r="G12" s="18">
        <v>20000</v>
      </c>
      <c r="H12" s="18">
        <f t="shared" si="0"/>
        <v>20000</v>
      </c>
    </row>
    <row r="13" spans="5:9" x14ac:dyDescent="0.2">
      <c r="E13" t="s">
        <v>30</v>
      </c>
      <c r="F13">
        <v>2</v>
      </c>
      <c r="G13" s="18">
        <v>10000</v>
      </c>
      <c r="H13" s="18">
        <f t="shared" si="0"/>
        <v>20000</v>
      </c>
    </row>
    <row r="14" spans="5:9" x14ac:dyDescent="0.2">
      <c r="E14" t="s">
        <v>34</v>
      </c>
      <c r="F14">
        <v>1</v>
      </c>
      <c r="G14" s="19">
        <v>12000</v>
      </c>
      <c r="H14" s="18">
        <f t="shared" si="0"/>
        <v>12000</v>
      </c>
    </row>
    <row r="15" spans="5:9" x14ac:dyDescent="0.2">
      <c r="E15" t="s">
        <v>29</v>
      </c>
      <c r="F15">
        <v>5</v>
      </c>
      <c r="G15" s="19">
        <v>8000</v>
      </c>
      <c r="H15" s="18">
        <f t="shared" si="0"/>
        <v>40000</v>
      </c>
    </row>
    <row r="16" spans="5:9" x14ac:dyDescent="0.2">
      <c r="E16" t="s">
        <v>32</v>
      </c>
      <c r="F16">
        <v>1</v>
      </c>
      <c r="G16" s="20">
        <v>12000</v>
      </c>
      <c r="H16" s="18">
        <f t="shared" si="0"/>
        <v>12000</v>
      </c>
    </row>
    <row r="17" spans="5:8" x14ac:dyDescent="0.2">
      <c r="E17" t="s">
        <v>33</v>
      </c>
      <c r="F17">
        <v>1</v>
      </c>
      <c r="G17" s="20">
        <v>15000</v>
      </c>
      <c r="H17" s="18">
        <f t="shared" si="0"/>
        <v>15000</v>
      </c>
    </row>
    <row r="18" spans="5:8" x14ac:dyDescent="0.2">
      <c r="E18" t="s">
        <v>38</v>
      </c>
      <c r="F18">
        <v>1</v>
      </c>
      <c r="G18" s="18">
        <v>12000</v>
      </c>
      <c r="H18" s="18">
        <f t="shared" si="0"/>
        <v>12000</v>
      </c>
    </row>
    <row r="19" spans="5:8" x14ac:dyDescent="0.2">
      <c r="G19" s="21"/>
      <c r="H19" s="21">
        <f>SUM(H8:H18)</f>
        <v>471000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12M Forecast</vt:lpstr>
      <vt:lpstr>Notes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Pulse for Hope Projects</cp:lastModifiedBy>
  <dcterms:created xsi:type="dcterms:W3CDTF">2025-09-03T09:03:26Z</dcterms:created>
  <dcterms:modified xsi:type="dcterms:W3CDTF">2025-10-22T09:23:51Z</dcterms:modified>
</cp:coreProperties>
</file>
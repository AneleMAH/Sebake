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andamaphumulo/Documents/Human Settlements/"/>
    </mc:Choice>
  </mc:AlternateContent>
  <xr:revisionPtr revIDLastSave="0" documentId="8_{FFAA909D-DDF6-F848-95CD-D49108C3D122}" xr6:coauthVersionLast="47" xr6:coauthVersionMax="47" xr10:uidLastSave="{00000000-0000-0000-0000-000000000000}"/>
  <bookViews>
    <workbookView xWindow="0" yWindow="500" windowWidth="26520" windowHeight="16280" tabRatio="911" xr2:uid="{00000000-000D-0000-FFFF-FFFF00000000}"/>
  </bookViews>
  <sheets>
    <sheet name="Site Establishment, monthlycost" sheetId="60" r:id="rId1"/>
    <sheet name="A-MO300" sheetId="8" r:id="rId2"/>
    <sheet name="B-M0200" sheetId="9" r:id="rId3"/>
    <sheet name="B-M0300" sheetId="10" r:id="rId4"/>
    <sheet name="B-M0400" sheetId="11" r:id="rId5"/>
    <sheet name="B-M0500" sheetId="12" r:id="rId6"/>
    <sheet name="M1100" sheetId="13" r:id="rId7"/>
    <sheet name="M1100- C" sheetId="14" r:id="rId8"/>
    <sheet name="M1200" sheetId="15" r:id="rId9"/>
    <sheet name="M1300" sheetId="16" r:id="rId10"/>
    <sheet name="M1500" sheetId="17" r:id="rId11"/>
    <sheet name="M1600" sheetId="18" r:id="rId12"/>
    <sheet name="M1700" sheetId="19" r:id="rId13"/>
    <sheet name="M2100" sheetId="20" r:id="rId14"/>
    <sheet name="M2300" sheetId="21" r:id="rId15"/>
    <sheet name="M2400" sheetId="22" r:id="rId16"/>
    <sheet name="M2500" sheetId="23" r:id="rId17"/>
    <sheet name="M2600" sheetId="24" r:id="rId18"/>
    <sheet name="M2700" sheetId="25" r:id="rId19"/>
    <sheet name="M2800" sheetId="26" r:id="rId20"/>
    <sheet name="M3100" sheetId="27" r:id="rId21"/>
    <sheet name="M3100-C" sheetId="28" r:id="rId22"/>
    <sheet name="M3200" sheetId="29" r:id="rId23"/>
    <sheet name="M3300" sheetId="30" r:id="rId24"/>
    <sheet name="M4100" sheetId="32" r:id="rId25"/>
    <sheet name="M4100-C" sheetId="31" r:id="rId26"/>
    <sheet name="M4100-C1" sheetId="33" r:id="rId27"/>
    <sheet name="M4200" sheetId="34" r:id="rId28"/>
    <sheet name="M4300" sheetId="35" r:id="rId29"/>
    <sheet name="M4400" sheetId="36" r:id="rId30"/>
    <sheet name="M4400-C" sheetId="37" r:id="rId31"/>
    <sheet name="M4400-C1" sheetId="38" r:id="rId32"/>
    <sheet name="M4400-C2" sheetId="39" r:id="rId33"/>
    <sheet name="M4500" sheetId="40" r:id="rId34"/>
    <sheet name="M4600" sheetId="41" r:id="rId35"/>
    <sheet name="M4700" sheetId="42" r:id="rId36"/>
    <sheet name="M5100" sheetId="43" r:id="rId37"/>
    <sheet name="M5100-C" sheetId="44" r:id="rId38"/>
    <sheet name="M5200" sheetId="45" r:id="rId39"/>
    <sheet name="M6100" sheetId="46" r:id="rId40"/>
    <sheet name="M6200" sheetId="47" r:id="rId41"/>
    <sheet name="M6200-C" sheetId="48" r:id="rId42"/>
    <sheet name="M6300" sheetId="49" r:id="rId43"/>
    <sheet name="M6400" sheetId="50" r:id="rId44"/>
    <sheet name="M7100" sheetId="51" r:id="rId45"/>
    <sheet name="M7200" sheetId="52" r:id="rId46"/>
    <sheet name="M8100" sheetId="53" r:id="rId47"/>
    <sheet name="M9100" sheetId="54" r:id="rId48"/>
    <sheet name="M9100-C" sheetId="55" r:id="rId49"/>
    <sheet name="M9100-C1" sheetId="56" r:id="rId50"/>
    <sheet name="Summary" sheetId="58" r:id="rId51"/>
    <sheet name="Calculation of Tender" sheetId="57" r:id="rId52"/>
    <sheet name="Sheet1" sheetId="59" r:id="rId53"/>
  </sheets>
  <definedNames>
    <definedName name="_SEC1200">#REF!</definedName>
    <definedName name="_xlnm.Print_Area" localSheetId="1">'A-MO300'!$A$5:$F$27</definedName>
    <definedName name="_xlnm.Print_Area" localSheetId="2">'B-M0200'!$A$5:$F$31</definedName>
    <definedName name="_xlnm.Print_Area" localSheetId="3">'B-M0300'!$A$5:$F$27</definedName>
    <definedName name="_xlnm.Print_Area" localSheetId="4">'B-M0400'!$A$5:$F$27</definedName>
    <definedName name="_xlnm.Print_Area" localSheetId="5">'B-M0500'!$A$1:$F$26</definedName>
    <definedName name="_xlnm.Print_Area" localSheetId="6">'M1100'!$A$1:$F$34</definedName>
    <definedName name="_xlnm.Print_Area" localSheetId="8">'M1200'!$A$6:$F$24</definedName>
    <definedName name="_xlnm.Print_Area" localSheetId="9">'M1300'!$A$5:$F$32</definedName>
    <definedName name="_xlnm.Print_Area" localSheetId="10">'M1500'!$A$5:$F$29</definedName>
    <definedName name="_xlnm.Print_Area" localSheetId="11">'M1600'!$A$5:$F$34</definedName>
    <definedName name="_xlnm.Print_Area" localSheetId="12">'M1700'!$A$5:$F$18</definedName>
    <definedName name="_xlnm.Print_Area" localSheetId="13">'M2100'!$A$5:$F$35</definedName>
    <definedName name="_xlnm.Print_Area" localSheetId="14">'M2300'!$A$5:$F$27</definedName>
    <definedName name="_xlnm.Print_Area" localSheetId="15">'M2400'!$A$5:$F$25</definedName>
    <definedName name="_xlnm.Print_Area" localSheetId="16">'M2500'!$A$5:$F$27</definedName>
    <definedName name="_xlnm.Print_Area" localSheetId="17">'M2600'!$A$5:$F$24</definedName>
    <definedName name="_xlnm.Print_Area" localSheetId="18">'M2700'!$A$5:$F$23</definedName>
    <definedName name="_xlnm.Print_Area" localSheetId="19">'M2800'!$A$1:$F$57</definedName>
    <definedName name="_xlnm.Print_Area" localSheetId="20">'M3100'!$A$6:$F$31</definedName>
    <definedName name="_xlnm.Print_Area" localSheetId="22">'M3200'!$A$5:$F$25</definedName>
    <definedName name="_xlnm.Print_Area" localSheetId="23">'M3300'!$A$1:$F$24</definedName>
    <definedName name="_xlnm.Print_Area" localSheetId="24">'M4100'!$A$5:$F$32</definedName>
    <definedName name="_xlnm.Print_Area" localSheetId="25">'M4100-C'!$A$5:$F$30</definedName>
    <definedName name="_xlnm.Print_Area" localSheetId="26">'M4100-C1'!$A$1:$F$24</definedName>
    <definedName name="_xlnm.Print_Area" localSheetId="27">'M4200'!$A$5:$F$30</definedName>
    <definedName name="_xlnm.Print_Area" localSheetId="28">'M4300'!$A$5:$F$23</definedName>
    <definedName name="_xlnm.Print_Area" localSheetId="29">'M4400'!$A$5:$F$33</definedName>
    <definedName name="_xlnm.Print_Area" localSheetId="33">'M4500'!$A$4:$F$17</definedName>
    <definedName name="_xlnm.Print_Area" localSheetId="34">'M4600'!$A$5:$F$15</definedName>
    <definedName name="_xlnm.Print_Area" localSheetId="35">'M4700'!$A$1:$F$23</definedName>
    <definedName name="_xlnm.Print_Area" localSheetId="36">'M5100'!$A$5:$F$31</definedName>
    <definedName name="_xlnm.Print_Area" localSheetId="38">'M5200'!$A$1:$F$23</definedName>
    <definedName name="_xlnm.Print_Area" localSheetId="39">'M6100'!$A$5:$F$27</definedName>
    <definedName name="_xlnm.Print_Area" localSheetId="40">'M6200'!$A$5:$F$29</definedName>
    <definedName name="_xlnm.Print_Area" localSheetId="42">'M6300'!$A$5:$F$26</definedName>
    <definedName name="_xlnm.Print_Area" localSheetId="43">'M6400'!$A$5:$F$28</definedName>
    <definedName name="_xlnm.Print_Area" localSheetId="44">'M7100'!$A$5:$F$14</definedName>
    <definedName name="_xlnm.Print_Area" localSheetId="45">'M7200'!$A$5:$F$19</definedName>
    <definedName name="_xlnm.Print_Area" localSheetId="46">'M8100'!$A$5:$F$14</definedName>
    <definedName name="_xlnm.Print_Area" localSheetId="47">'M9100'!$A$5:$F$37</definedName>
    <definedName name="_xlnm.Print_Area" localSheetId="49">'M9100-C1'!$A$1:$F$26</definedName>
    <definedName name="_xlnm.Print_Area" localSheetId="50">Summary!$A$1:$J$55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60" l="1"/>
  <c r="I3" i="60" s="1"/>
  <c r="I2" i="60"/>
  <c r="F21" i="46"/>
  <c r="F13" i="8"/>
  <c r="J25" i="58"/>
  <c r="J24" i="58"/>
  <c r="J23" i="58"/>
  <c r="J22" i="58"/>
  <c r="J17" i="58"/>
  <c r="J16" i="58"/>
  <c r="J33" i="58"/>
  <c r="J31" i="58"/>
  <c r="J26" i="58"/>
  <c r="J45" i="58"/>
  <c r="J44" i="58"/>
  <c r="J43" i="58"/>
  <c r="J42" i="58"/>
  <c r="J41" i="58"/>
  <c r="J39" i="58"/>
  <c r="J38" i="58"/>
  <c r="J52" i="58"/>
  <c r="F7" i="56"/>
  <c r="F32" i="55"/>
  <c r="F6" i="55"/>
  <c r="F35" i="54"/>
  <c r="F11" i="53"/>
  <c r="F20" i="45"/>
  <c r="F14" i="44"/>
  <c r="F6" i="44"/>
  <c r="F30" i="43"/>
  <c r="F20" i="42"/>
  <c r="F14" i="40"/>
  <c r="F20" i="35"/>
  <c r="F29" i="34"/>
  <c r="F54" i="26"/>
  <c r="F21" i="24"/>
  <c r="F22" i="22"/>
  <c r="J29" i="58" s="1"/>
  <c r="F25" i="21"/>
  <c r="J28" i="58" s="1"/>
  <c r="F32" i="20"/>
  <c r="F15" i="19"/>
  <c r="F30" i="18"/>
  <c r="F26" i="17"/>
  <c r="F29" i="16"/>
  <c r="F26" i="9"/>
  <c r="F24" i="9"/>
  <c r="F11" i="9"/>
  <c r="F10" i="9"/>
  <c r="F9" i="9"/>
  <c r="F15" i="9"/>
  <c r="F23" i="10"/>
  <c r="F11" i="10"/>
  <c r="F10" i="11"/>
  <c r="F24" i="11" s="1"/>
  <c r="J18" i="58" s="1"/>
  <c r="E11" i="11"/>
  <c r="F11" i="11" s="1"/>
  <c r="F9" i="12"/>
  <c r="F10" i="12"/>
  <c r="F11" i="12"/>
  <c r="F12" i="12"/>
  <c r="F13" i="12"/>
  <c r="F14" i="12"/>
  <c r="F15" i="12"/>
  <c r="F16" i="12"/>
  <c r="F17" i="12"/>
  <c r="F18" i="12"/>
  <c r="F8" i="12"/>
  <c r="F20" i="12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8" i="13"/>
  <c r="F29" i="13"/>
  <c r="F9" i="13"/>
  <c r="E30" i="13"/>
  <c r="E31" i="13" s="1"/>
  <c r="F31" i="13" s="1"/>
  <c r="E26" i="13"/>
  <c r="F26" i="13" s="1"/>
  <c r="F29" i="14"/>
  <c r="F28" i="14"/>
  <c r="F27" i="14"/>
  <c r="F26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E16" i="14"/>
  <c r="E15" i="14"/>
  <c r="E14" i="14"/>
  <c r="F18" i="15"/>
  <c r="F17" i="15"/>
  <c r="F19" i="15" s="1"/>
  <c r="J21" i="58" s="1"/>
  <c r="F16" i="15"/>
  <c r="F15" i="15"/>
  <c r="F14" i="15"/>
  <c r="F13" i="15"/>
  <c r="F12" i="15"/>
  <c r="F11" i="15"/>
  <c r="F10" i="15"/>
  <c r="F9" i="15"/>
  <c r="F8" i="15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11" i="16"/>
  <c r="F18" i="17"/>
  <c r="F17" i="17"/>
  <c r="F16" i="17"/>
  <c r="F15" i="17"/>
  <c r="F14" i="17"/>
  <c r="F13" i="17"/>
  <c r="F12" i="17"/>
  <c r="F11" i="17"/>
  <c r="F20" i="17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9" i="19"/>
  <c r="F31" i="20"/>
  <c r="F30" i="20"/>
  <c r="F29" i="20"/>
  <c r="F28" i="20"/>
  <c r="F27" i="20"/>
  <c r="F26" i="20"/>
  <c r="F25" i="20"/>
  <c r="F24" i="20"/>
  <c r="F23" i="20"/>
  <c r="F22" i="20"/>
  <c r="F19" i="20"/>
  <c r="F18" i="20"/>
  <c r="F17" i="20"/>
  <c r="F16" i="20"/>
  <c r="F15" i="20"/>
  <c r="F14" i="20"/>
  <c r="F13" i="20"/>
  <c r="F12" i="20"/>
  <c r="F11" i="20"/>
  <c r="F10" i="20"/>
  <c r="F21" i="20"/>
  <c r="F13" i="21"/>
  <c r="F11" i="22"/>
  <c r="F16" i="23"/>
  <c r="F12" i="23"/>
  <c r="F14" i="23"/>
  <c r="F11" i="23"/>
  <c r="F24" i="23" s="1"/>
  <c r="J30" i="58" s="1"/>
  <c r="F9" i="24"/>
  <c r="F10" i="24"/>
  <c r="F11" i="24"/>
  <c r="F8" i="24"/>
  <c r="F9" i="25"/>
  <c r="F20" i="25" s="1"/>
  <c r="J32" i="58" s="1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30" i="28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11" i="26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8" i="27"/>
  <c r="F10" i="29"/>
  <c r="F11" i="29"/>
  <c r="F12" i="29"/>
  <c r="F13" i="29"/>
  <c r="F9" i="29"/>
  <c r="F22" i="29" s="1"/>
  <c r="J35" i="58" s="1"/>
  <c r="F9" i="30"/>
  <c r="F10" i="30"/>
  <c r="F11" i="30"/>
  <c r="F21" i="30" s="1"/>
  <c r="J36" i="58" s="1"/>
  <c r="F12" i="30"/>
  <c r="F13" i="30"/>
  <c r="F8" i="30"/>
  <c r="F18" i="33"/>
  <c r="F16" i="33"/>
  <c r="F11" i="33"/>
  <c r="F8" i="33"/>
  <c r="F7" i="33"/>
  <c r="F25" i="32"/>
  <c r="F24" i="32"/>
  <c r="F23" i="32"/>
  <c r="F22" i="32"/>
  <c r="F21" i="32"/>
  <c r="F20" i="32"/>
  <c r="F19" i="32"/>
  <c r="F18" i="32"/>
  <c r="F17" i="32"/>
  <c r="F16" i="32"/>
  <c r="F15" i="32"/>
  <c r="F14" i="32"/>
  <c r="F13" i="32"/>
  <c r="F12" i="32"/>
  <c r="F11" i="32"/>
  <c r="F10" i="32"/>
  <c r="F9" i="32"/>
  <c r="F27" i="31"/>
  <c r="F26" i="31"/>
  <c r="F25" i="31"/>
  <c r="F24" i="31"/>
  <c r="F23" i="31"/>
  <c r="F22" i="31"/>
  <c r="F21" i="31"/>
  <c r="F20" i="31"/>
  <c r="F19" i="31"/>
  <c r="F18" i="31"/>
  <c r="F17" i="31"/>
  <c r="F16" i="31"/>
  <c r="F15" i="31"/>
  <c r="F14" i="31"/>
  <c r="F13" i="31"/>
  <c r="F12" i="31"/>
  <c r="F11" i="31"/>
  <c r="F10" i="31"/>
  <c r="F9" i="31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8" i="34"/>
  <c r="F28" i="34"/>
  <c r="F12" i="35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9" i="38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3" i="37"/>
  <c r="F9" i="37"/>
  <c r="F8" i="37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9" i="36"/>
  <c r="F11" i="39"/>
  <c r="F10" i="39"/>
  <c r="F9" i="39"/>
  <c r="F8" i="39"/>
  <c r="F13" i="40"/>
  <c r="F12" i="40"/>
  <c r="F11" i="40"/>
  <c r="F10" i="40"/>
  <c r="F9" i="40"/>
  <c r="F8" i="40"/>
  <c r="F12" i="41"/>
  <c r="F11" i="41"/>
  <c r="F8" i="41"/>
  <c r="F18" i="42"/>
  <c r="F12" i="42"/>
  <c r="F29" i="43"/>
  <c r="F28" i="43"/>
  <c r="F27" i="43"/>
  <c r="F26" i="43"/>
  <c r="F25" i="43"/>
  <c r="F24" i="43"/>
  <c r="F23" i="43"/>
  <c r="F22" i="43"/>
  <c r="F21" i="43"/>
  <c r="F20" i="43"/>
  <c r="F19" i="43"/>
  <c r="F18" i="43"/>
  <c r="F17" i="43"/>
  <c r="F16" i="43"/>
  <c r="F15" i="43"/>
  <c r="F14" i="43"/>
  <c r="F13" i="43"/>
  <c r="F12" i="43"/>
  <c r="F11" i="43"/>
  <c r="F10" i="43"/>
  <c r="F9" i="44"/>
  <c r="F10" i="44"/>
  <c r="F11" i="44"/>
  <c r="F12" i="44"/>
  <c r="F13" i="44"/>
  <c r="F8" i="44"/>
  <c r="F7" i="44"/>
  <c r="F10" i="45"/>
  <c r="F11" i="45"/>
  <c r="F12" i="45"/>
  <c r="F13" i="45"/>
  <c r="F14" i="45"/>
  <c r="F15" i="45"/>
  <c r="F16" i="45"/>
  <c r="F17" i="45"/>
  <c r="F18" i="45"/>
  <c r="F19" i="45"/>
  <c r="F9" i="45"/>
  <c r="F10" i="46"/>
  <c r="F11" i="46"/>
  <c r="F12" i="46"/>
  <c r="F14" i="46"/>
  <c r="F15" i="46"/>
  <c r="F17" i="46"/>
  <c r="F19" i="46"/>
  <c r="F20" i="46"/>
  <c r="F22" i="46"/>
  <c r="F23" i="46"/>
  <c r="F24" i="46"/>
  <c r="F25" i="46"/>
  <c r="F9" i="46"/>
  <c r="E13" i="46"/>
  <c r="F13" i="46" s="1"/>
  <c r="F12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11" i="47"/>
  <c r="F13" i="47"/>
  <c r="F13" i="48"/>
  <c r="F14" i="48"/>
  <c r="F15" i="48"/>
  <c r="F16" i="48"/>
  <c r="F17" i="48"/>
  <c r="F12" i="48"/>
  <c r="F10" i="49"/>
  <c r="F11" i="49"/>
  <c r="F12" i="49"/>
  <c r="F13" i="49"/>
  <c r="F24" i="49" s="1"/>
  <c r="J48" i="58" s="1"/>
  <c r="F14" i="49"/>
  <c r="F15" i="49"/>
  <c r="F16" i="49"/>
  <c r="F17" i="49"/>
  <c r="F18" i="49"/>
  <c r="F19" i="49"/>
  <c r="F20" i="49"/>
  <c r="F21" i="49"/>
  <c r="F22" i="49"/>
  <c r="F23" i="49"/>
  <c r="F9" i="49"/>
  <c r="F10" i="50"/>
  <c r="F11" i="50"/>
  <c r="F12" i="50"/>
  <c r="F13" i="50"/>
  <c r="F14" i="50"/>
  <c r="F15" i="50"/>
  <c r="F16" i="50"/>
  <c r="F17" i="50"/>
  <c r="F18" i="50"/>
  <c r="F19" i="50"/>
  <c r="F20" i="50"/>
  <c r="F21" i="50"/>
  <c r="F22" i="50"/>
  <c r="F23" i="50"/>
  <c r="F24" i="50"/>
  <c r="F9" i="50"/>
  <c r="F29" i="32" l="1"/>
  <c r="F6" i="31" s="1"/>
  <c r="F28" i="31" s="1"/>
  <c r="F6" i="33" s="1"/>
  <c r="F22" i="33" s="1"/>
  <c r="J37" i="58" s="1"/>
  <c r="F32" i="36"/>
  <c r="F7" i="37" s="1"/>
  <c r="F25" i="50"/>
  <c r="J49" i="58" s="1"/>
  <c r="E27" i="13"/>
  <c r="F27" i="13" s="1"/>
  <c r="F27" i="47"/>
  <c r="F6" i="48" s="1"/>
  <c r="F19" i="48" s="1"/>
  <c r="J47" i="58" s="1"/>
  <c r="F34" i="37"/>
  <c r="F7" i="38" s="1"/>
  <c r="F25" i="38" s="1"/>
  <c r="F6" i="39" s="1"/>
  <c r="F20" i="39" s="1"/>
  <c r="J40" i="58" s="1"/>
  <c r="E16" i="46"/>
  <c r="F28" i="27"/>
  <c r="F7" i="28" s="1"/>
  <c r="F31" i="28" s="1"/>
  <c r="J34" i="58" s="1"/>
  <c r="F30" i="13"/>
  <c r="F32" i="13" s="1"/>
  <c r="F23" i="12"/>
  <c r="J19" i="58" s="1"/>
  <c r="F9" i="51"/>
  <c r="F10" i="51"/>
  <c r="F8" i="51"/>
  <c r="F12" i="56"/>
  <c r="F13" i="56"/>
  <c r="F15" i="56"/>
  <c r="F16" i="56"/>
  <c r="F17" i="56"/>
  <c r="F18" i="56"/>
  <c r="F10" i="56"/>
  <c r="E12" i="52"/>
  <c r="F10" i="52"/>
  <c r="F13" i="52"/>
  <c r="F9" i="52"/>
  <c r="F15" i="52"/>
  <c r="F10" i="53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8" i="54"/>
  <c r="E24" i="54"/>
  <c r="E25" i="54"/>
  <c r="E26" i="54"/>
  <c r="E27" i="54"/>
  <c r="E23" i="54"/>
  <c r="E18" i="54"/>
  <c r="E19" i="54"/>
  <c r="E20" i="54"/>
  <c r="E21" i="54"/>
  <c r="E17" i="54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F8" i="55"/>
  <c r="F7" i="55"/>
  <c r="E14" i="56"/>
  <c r="E15" i="56" s="1"/>
  <c r="F23" i="56"/>
  <c r="F20" i="56"/>
  <c r="D20" i="12"/>
  <c r="F19" i="12"/>
  <c r="F19" i="9"/>
  <c r="F20" i="9"/>
  <c r="F21" i="9"/>
  <c r="F22" i="9"/>
  <c r="F18" i="9"/>
  <c r="F7" i="45"/>
  <c r="F8" i="43"/>
  <c r="F16" i="39"/>
  <c r="F8" i="38"/>
  <c r="F8" i="31"/>
  <c r="F7" i="31"/>
  <c r="F9" i="28"/>
  <c r="D9" i="19"/>
  <c r="F7" i="19"/>
  <c r="F14" i="56" l="1"/>
  <c r="F24" i="56" s="1"/>
  <c r="J53" i="58" s="1"/>
  <c r="F11" i="51"/>
  <c r="J50" i="58" s="1"/>
  <c r="F16" i="46"/>
  <c r="E18" i="46"/>
  <c r="F18" i="46" s="1"/>
  <c r="F11" i="52"/>
  <c r="F16" i="52" s="1"/>
  <c r="J51" i="58" s="1"/>
  <c r="F12" i="52"/>
  <c r="F7" i="14"/>
  <c r="F30" i="14" s="1"/>
  <c r="J20" i="58" s="1"/>
  <c r="F26" i="46" l="1"/>
  <c r="J46" i="58" s="1"/>
  <c r="K52" i="58" s="1"/>
  <c r="E12" i="8" l="1"/>
  <c r="F12" i="8" s="1"/>
  <c r="E9" i="8"/>
  <c r="F9" i="8" s="1"/>
  <c r="J54" i="58"/>
  <c r="G18" i="57" s="1"/>
  <c r="F23" i="8" l="1"/>
  <c r="J12" i="58" s="1"/>
  <c r="J13" i="58" s="1"/>
  <c r="G16" i="57" s="1"/>
  <c r="G20" i="57" s="1"/>
  <c r="J55" i="58" l="1"/>
  <c r="G26" i="57"/>
  <c r="G28" i="57" s="1"/>
  <c r="G30" i="57" s="1"/>
</calcChain>
</file>

<file path=xl/sharedStrings.xml><?xml version="1.0" encoding="utf-8"?>
<sst xmlns="http://schemas.openxmlformats.org/spreadsheetml/2006/main" count="2087" uniqueCount="1764">
  <si>
    <t>EXECUTION OF ROUTINE ROAD MAINTENANCE CONTRACTS ON SELECTED RISFSA CLASS 3 PROVINCIAL ROADS IN IDENTIFIED AREAS OF GAUTENG PROVINCE</t>
  </si>
  <si>
    <t>ITEM NO</t>
  </si>
  <si>
    <t>DESCRIPTION</t>
  </si>
  <si>
    <t>UNIT</t>
  </si>
  <si>
    <t>QUANTITY</t>
  </si>
  <si>
    <t>RATE</t>
  </si>
  <si>
    <t>AMOUNT</t>
  </si>
  <si>
    <t>M0300</t>
  </si>
  <si>
    <t>CONTRACTOR'S ESTABLISHMENT ON SITE AND GENERAL OBLIGATIONS</t>
  </si>
  <si>
    <t>BM030.01</t>
  </si>
  <si>
    <t>Fixed obligations</t>
  </si>
  <si>
    <t>LS</t>
  </si>
  <si>
    <t>BM030.03</t>
  </si>
  <si>
    <t>Time-related obligations</t>
  </si>
  <si>
    <t>(a)  General obligations</t>
  </si>
  <si>
    <t>month</t>
  </si>
  <si>
    <t>month</t>
  </si>
  <si>
    <t>M0300</t>
  </si>
  <si>
    <t>TOTAL CARRIED FORWARD TO SUMMARY</t>
  </si>
  <si>
    <t>C2.4</t>
  </si>
  <si>
    <t>PART B : OPERATIONAL</t>
  </si>
  <si>
    <t>ITEM NO</t>
  </si>
  <si>
    <t>DESCRIPTION</t>
  </si>
  <si>
    <t>UNIT</t>
  </si>
  <si>
    <t>QUANTITY</t>
  </si>
  <si>
    <t>RATE</t>
  </si>
  <si>
    <t>AMOUNT</t>
  </si>
  <si>
    <t>M0200</t>
  </si>
  <si>
    <t>GENERAL REQUIREMENTS AND PROVISIONS</t>
  </si>
  <si>
    <t>M020.01</t>
  </si>
  <si>
    <t>Information signboards</t>
  </si>
  <si>
    <t>(a)Type 1 (large)</t>
  </si>
  <si>
    <t>No</t>
  </si>
  <si>
    <t>(b)Type 2 (small)</t>
  </si>
  <si>
    <t>No</t>
  </si>
  <si>
    <t>Prov Sum</t>
  </si>
  <si>
    <t>%</t>
  </si>
  <si>
    <t>Project Liaison Committee</t>
  </si>
  <si>
    <t>(a)Cost of Project Liaison Committee</t>
  </si>
  <si>
    <t>Prov Sum</t>
  </si>
  <si>
    <t>(b)The Contractor's overhead charges and profit in respect of sub-item DM020.05 (a)</t>
  </si>
  <si>
    <t>%</t>
  </si>
  <si>
    <t>M0200</t>
  </si>
  <si>
    <t>TOTAL CARRIED FORWARD TO SUMMARY</t>
  </si>
  <si>
    <t>C2.5</t>
  </si>
  <si>
    <t>ITEM NO</t>
  </si>
  <si>
    <t>DESCRIPTION</t>
  </si>
  <si>
    <t>UNIT</t>
  </si>
  <si>
    <t>QUANTITY</t>
  </si>
  <si>
    <t>RATE</t>
  </si>
  <si>
    <t>AMOUNT</t>
  </si>
  <si>
    <t>M0300</t>
  </si>
  <si>
    <t>CONTRACTOR'S ESTABLISHMENT ON SITE AND GENERAL OBLIGATIONS</t>
  </si>
  <si>
    <t>DM030.12</t>
  </si>
  <si>
    <t>Employment of personnel by Contractor</t>
  </si>
  <si>
    <t>(ii)Handeling cost &amp; ptofit in respect sub-item DM030.12(a)(i)</t>
  </si>
  <si>
    <t>M0300</t>
  </si>
  <si>
    <t>TOTAL CARRIED FORWARD TO SUMMARY</t>
  </si>
  <si>
    <t>C2.6</t>
  </si>
  <si>
    <t>ITEM NO</t>
  </si>
  <si>
    <t>DESCRIPTION</t>
  </si>
  <si>
    <t>UNIT</t>
  </si>
  <si>
    <t>QUANTITY</t>
  </si>
  <si>
    <t>RATE</t>
  </si>
  <si>
    <t>AMOUNT</t>
  </si>
  <si>
    <t>M0400</t>
  </si>
  <si>
    <t>ROUTE PATROL SERVICES</t>
  </si>
  <si>
    <t>Route patrol service per team (including LDV, trailer and</t>
  </si>
  <si>
    <t>BM040.01</t>
  </si>
  <si>
    <t>equipment)</t>
  </si>
  <si>
    <t>(a)Team A</t>
  </si>
  <si>
    <t>month</t>
  </si>
  <si>
    <t>(b)Team B</t>
  </si>
  <si>
    <t>M0400</t>
  </si>
  <si>
    <t>TOTAL CARRIED TO SUMMARY</t>
  </si>
  <si>
    <t>C2.7</t>
  </si>
  <si>
    <t>ITEM NO</t>
  </si>
  <si>
    <t>DESCRIPTION</t>
  </si>
  <si>
    <t>UNIT</t>
  </si>
  <si>
    <t>QUANTITY</t>
  </si>
  <si>
    <t>RATE</t>
  </si>
  <si>
    <t>AMOUNT</t>
  </si>
  <si>
    <t>M0500</t>
  </si>
  <si>
    <t>ACCOMMODATION OF TRAFFIC</t>
  </si>
  <si>
    <t>M050.01</t>
  </si>
  <si>
    <t>Provision of temporary traffic control facilities</t>
  </si>
  <si>
    <t>L S</t>
  </si>
  <si>
    <t>M050.02</t>
  </si>
  <si>
    <t>Provision of temporary traffic control facilities if contract is extended as specified</t>
  </si>
  <si>
    <t>L S</t>
  </si>
  <si>
    <t>BM050.03</t>
  </si>
  <si>
    <t>Accommodation of traffic and maintaining temporary</t>
  </si>
  <si>
    <t>deviations</t>
  </si>
  <si>
    <t>(a) Work undertaken by contractor</t>
  </si>
  <si>
    <t>Various road sections as descibed under C3.1.2.1 : Description of site</t>
  </si>
  <si>
    <t>month</t>
  </si>
  <si>
    <t>36</t>
  </si>
  <si>
    <t>BM050.04</t>
  </si>
  <si>
    <t>Supply and use of truck mounted attenuator</t>
  </si>
  <si>
    <t>Various road sections as descibed under C3.1.2.1 : Description of site</t>
  </si>
  <si>
    <t>month</t>
  </si>
  <si>
    <t>36</t>
  </si>
  <si>
    <t>BM050.05</t>
  </si>
  <si>
    <t>Additional lane closures</t>
  </si>
  <si>
    <t>No</t>
  </si>
  <si>
    <t>4</t>
  </si>
  <si>
    <t>M0500</t>
  </si>
  <si>
    <t>TOTAL CARRIED TO SUMMARY</t>
  </si>
  <si>
    <t>C2.8</t>
  </si>
  <si>
    <t>ITEM NO</t>
  </si>
  <si>
    <t>DESCRIPTION</t>
  </si>
  <si>
    <t>UNIT</t>
  </si>
  <si>
    <t>QUANTITY</t>
  </si>
  <si>
    <t>RATE</t>
  </si>
  <si>
    <t>AMOUNT</t>
  </si>
  <si>
    <t>M1100</t>
  </si>
  <si>
    <t>PAVEMENT LAYERS REPAIR</t>
  </si>
  <si>
    <t>Removal and excavating material from existing pavements</t>
  </si>
  <si>
    <t>M110.01</t>
  </si>
  <si>
    <t>(except milled material)</t>
  </si>
  <si>
    <t>(a)Areas up to 50 m2</t>
  </si>
  <si>
    <t>m3</t>
  </si>
  <si>
    <t>(b)Areas 50.1 m2 to 100m2</t>
  </si>
  <si>
    <t>m3</t>
  </si>
  <si>
    <t>(c)Areas greater than 100 m2</t>
  </si>
  <si>
    <t>m3</t>
  </si>
  <si>
    <t>M110.02</t>
  </si>
  <si>
    <t>Milling out material from existing pavements</t>
  </si>
  <si>
    <t>m3</t>
  </si>
  <si>
    <t>Backfilling of base layer for surface failures with (98% of</t>
  </si>
  <si>
    <t>BM110.03</t>
  </si>
  <si>
    <t>modified AASHTO density):</t>
  </si>
  <si>
    <t>(a) Chemically stabilised gravel excavated from the existing pavement</t>
  </si>
  <si>
    <t>(i)Areas up to 50 m2</t>
  </si>
  <si>
    <t>m3</t>
  </si>
  <si>
    <t>(ii)Areas 50.1 m2 to 100m2</t>
  </si>
  <si>
    <t>m3</t>
  </si>
  <si>
    <t>(iii)Areas greater than 100 m2</t>
  </si>
  <si>
    <t>m3</t>
  </si>
  <si>
    <t>(b) Emulsion-treated crushed stone pavement</t>
  </si>
  <si>
    <t>(i)Areas up to 50 m2</t>
  </si>
  <si>
    <t>m3</t>
  </si>
  <si>
    <t>(ii)Areas 50.1 m2 to 100m2</t>
  </si>
  <si>
    <t>m3</t>
  </si>
  <si>
    <t>(iii)Areas greater than 100 m2</t>
  </si>
  <si>
    <t>m3</t>
  </si>
  <si>
    <t>(iv)Extra over sub-items (b) (i), (ii) and (iii) for importing crushed stone</t>
  </si>
  <si>
    <t>m3</t>
  </si>
  <si>
    <t>(c) Asphalt base (hot mixed)</t>
  </si>
  <si>
    <t>(i)Areas up to 50 m2</t>
  </si>
  <si>
    <t>t</t>
  </si>
  <si>
    <t>(ii)Areas 50.1 m2 to 100m2 (paver)</t>
  </si>
  <si>
    <t>t</t>
  </si>
  <si>
    <t>(iii)Areas greater than 100 m2 (paver)</t>
  </si>
  <si>
    <t>t</t>
  </si>
  <si>
    <t>(d) Asphalt surfacing (continuously graded medium)</t>
  </si>
  <si>
    <t>(i)Areas up to 50 m2</t>
  </si>
  <si>
    <t>t</t>
  </si>
  <si>
    <t>(ii)Areas 50.1 m2 to 100m2 (paver)</t>
  </si>
  <si>
    <t>t</t>
  </si>
  <si>
    <t>(iii)Areas greater than 100 m2 (paver)</t>
  </si>
  <si>
    <t>t</t>
  </si>
  <si>
    <t>M1100</t>
  </si>
  <si>
    <t>TOTAL CARRIED FORWARD</t>
  </si>
  <si>
    <t>C2.9</t>
  </si>
  <si>
    <t>ITEM NO</t>
  </si>
  <si>
    <t>DESCRIPTION</t>
  </si>
  <si>
    <t>UNIT</t>
  </si>
  <si>
    <t>QUANTITY</t>
  </si>
  <si>
    <t>RATE</t>
  </si>
  <si>
    <t>AMOUNT</t>
  </si>
  <si>
    <t>BROUGHT FORWARD</t>
  </si>
  <si>
    <t>M110.04</t>
  </si>
  <si>
    <t>Backfilling of pavement layers to compaction as specified</t>
  </si>
  <si>
    <t>(a) Subbase layer (95% of modified AASHTO density)</t>
  </si>
  <si>
    <t>(i)Areas up to 50 m2</t>
  </si>
  <si>
    <t>m3</t>
  </si>
  <si>
    <t>(ii)Areas 50.1 m2 to 100m 2</t>
  </si>
  <si>
    <t>m3</t>
  </si>
  <si>
    <t>(iii)Areas greater than 100 m2</t>
  </si>
  <si>
    <t>m3</t>
  </si>
  <si>
    <t>(b) Selected layer (93% of modified AASHTO density)</t>
  </si>
  <si>
    <t>(i)Areas up to 50 m2</t>
  </si>
  <si>
    <t>m3</t>
  </si>
  <si>
    <t>(ii)Areas 50.1 m2 to 100m2</t>
  </si>
  <si>
    <t>m3</t>
  </si>
  <si>
    <t>(iii)Areas greater than 100 m2</t>
  </si>
  <si>
    <t>m3</t>
  </si>
  <si>
    <t>(c ) Fill layer (90% of modified AASHTO density)</t>
  </si>
  <si>
    <t>(i)Areas up to 50 m2</t>
  </si>
  <si>
    <t>m3</t>
  </si>
  <si>
    <t>(ii)Areas 50.1 m2 to 100m2</t>
  </si>
  <si>
    <t>m3</t>
  </si>
  <si>
    <t>(iii)Areas greater than 100 m2</t>
  </si>
  <si>
    <t>m3</t>
  </si>
  <si>
    <t>M110.05</t>
  </si>
  <si>
    <t>Binder variations</t>
  </si>
  <si>
    <t>(a) Penetration-grade bitumen</t>
  </si>
  <si>
    <t>t</t>
  </si>
  <si>
    <t>M110.06</t>
  </si>
  <si>
    <t>Variation in active filler content</t>
  </si>
  <si>
    <t>(a)Cement</t>
  </si>
  <si>
    <t>t</t>
  </si>
  <si>
    <t>(b)Lime</t>
  </si>
  <si>
    <t>t</t>
  </si>
  <si>
    <t>M110.07</t>
  </si>
  <si>
    <t>Overhaul on material hauled in excess of 1,0 km</t>
  </si>
  <si>
    <t>(a) Spoil material</t>
  </si>
  <si>
    <t>m3-km</t>
  </si>
  <si>
    <t>BM110.08</t>
  </si>
  <si>
    <t>Establishment of Milling Machine on Site</t>
  </si>
  <si>
    <t>No</t>
  </si>
  <si>
    <t>BM110.09</t>
  </si>
  <si>
    <t>Establishment of Paver on Site</t>
  </si>
  <si>
    <t>No</t>
  </si>
  <si>
    <t>1</t>
  </si>
  <si>
    <t>M1100</t>
  </si>
  <si>
    <t>TOTAL CARRIED FORWARD TO SUMMARY</t>
  </si>
  <si>
    <t>C2.10</t>
  </si>
  <si>
    <t>ITEM NO</t>
  </si>
  <si>
    <t>DESCRIPTION</t>
  </si>
  <si>
    <t>UNIT</t>
  </si>
  <si>
    <t>QUANTITY</t>
  </si>
  <si>
    <t>RATE</t>
  </si>
  <si>
    <t>AMOUNT</t>
  </si>
  <si>
    <t>M1200</t>
  </si>
  <si>
    <t>REPAIR OF POTHOLES</t>
  </si>
  <si>
    <t>BM120.01</t>
  </si>
  <si>
    <t>Repair of potholes (all sections)</t>
  </si>
  <si>
    <t>month</t>
  </si>
  <si>
    <t>M1210</t>
  </si>
  <si>
    <t>REPAIR OF EDGE BREAKS</t>
  </si>
  <si>
    <t>BM121.01</t>
  </si>
  <si>
    <t>Repair of edge breaks (all sections)</t>
  </si>
  <si>
    <t>month</t>
  </si>
  <si>
    <t>M1220</t>
  </si>
  <si>
    <t>REPAIR OF SURFACE FAILURES</t>
  </si>
  <si>
    <t>BM122.01</t>
  </si>
  <si>
    <t>Repair of surface failures (all sections)</t>
  </si>
  <si>
    <t>month</t>
  </si>
  <si>
    <t>M1230</t>
  </si>
  <si>
    <t>TEMPORARY REPAIR</t>
  </si>
  <si>
    <t>Temporary partial-depth pothole repair of concrete with</t>
  </si>
  <si>
    <t>M123.02</t>
  </si>
  <si>
    <t>asphalt surfacing</t>
  </si>
  <si>
    <t>(a) Removal of damaged concrete and replacement of</t>
  </si>
  <si>
    <t>damaged concrete with asphalt surfacing (cold mix asphalt)</t>
  </si>
  <si>
    <t>No</t>
  </si>
  <si>
    <t>M1200</t>
  </si>
  <si>
    <t>TOTAL CARRIED TO SUMMARY</t>
  </si>
  <si>
    <t>C2.11</t>
  </si>
  <si>
    <t>ITEM NO</t>
  </si>
  <si>
    <t>DESCRIPTION</t>
  </si>
  <si>
    <t>UNIT</t>
  </si>
  <si>
    <t>QUANTITY</t>
  </si>
  <si>
    <t>RATE</t>
  </si>
  <si>
    <t>AMOUNT</t>
  </si>
  <si>
    <t>M1300</t>
  </si>
  <si>
    <t>SEALING OF ACTIVE CRACKS</t>
  </si>
  <si>
    <t>Cleaning of active cracks with hot compressed air and</t>
  </si>
  <si>
    <t>M130.01</t>
  </si>
  <si>
    <t>sealing cracks as specified</t>
  </si>
  <si>
    <t>(a) Stabilisation cracks</t>
  </si>
  <si>
    <t>(i)Without bandage</t>
  </si>
  <si>
    <t>m</t>
  </si>
  <si>
    <t>(ii)With bandage ("Sealmac 150" or similar) 200mm id</t>
  </si>
  <si>
    <t>m</t>
  </si>
  <si>
    <t>(d) Longitudinal cracks</t>
  </si>
  <si>
    <t>m</t>
  </si>
  <si>
    <t>M1310</t>
  </si>
  <si>
    <t>SEALING OF PASSIVE CRACKS</t>
  </si>
  <si>
    <t>Cleaning of passive cracks with hot compressed air and</t>
  </si>
  <si>
    <t>M131.01</t>
  </si>
  <si>
    <t>seaing the cracks as specified for:</t>
  </si>
  <si>
    <t>(a)Surfacing cracks</t>
  </si>
  <si>
    <t>m2</t>
  </si>
  <si>
    <t>(b)Crocodile cracks</t>
  </si>
  <si>
    <t>m2</t>
  </si>
  <si>
    <t>(c)Longitudinal cracks</t>
  </si>
  <si>
    <t>m</t>
  </si>
  <si>
    <t>M1320</t>
  </si>
  <si>
    <t>CRACKSEALING PER INDIVIDUAL ITEM</t>
  </si>
  <si>
    <t>BM132.01</t>
  </si>
  <si>
    <t>Cracksealing per individual item</t>
  </si>
  <si>
    <t>(b) Priming of cracks (MSP1 or similar)</t>
  </si>
  <si>
    <t>litre</t>
  </si>
  <si>
    <t>(c) Sealant (hot applied sealant)</t>
  </si>
  <si>
    <t>litre</t>
  </si>
  <si>
    <t>M1300</t>
  </si>
  <si>
    <t>TOTAL CARRIED TO SUMMARY</t>
  </si>
  <si>
    <t>C2.12</t>
  </si>
  <si>
    <t>ITEM NO</t>
  </si>
  <si>
    <t>DESCRIPTION</t>
  </si>
  <si>
    <t>UNIT</t>
  </si>
  <si>
    <t>QUANTITY</t>
  </si>
  <si>
    <t>RATE</t>
  </si>
  <si>
    <t>AMOUNT</t>
  </si>
  <si>
    <t>CRACK AND JOINT SEALING OF CONCRETE</t>
  </si>
  <si>
    <t>M1500</t>
  </si>
  <si>
    <t>PAVEMENTS</t>
  </si>
  <si>
    <t>Preparation and sealing or resealing of old joints and cracks</t>
  </si>
  <si>
    <t>M150.01</t>
  </si>
  <si>
    <t>in existing concrete pavements</t>
  </si>
  <si>
    <t>(a)Expansion joints</t>
  </si>
  <si>
    <t>m</t>
  </si>
  <si>
    <t>(b)Construction joints and weakened plane joints</t>
  </si>
  <si>
    <t>(i)Smaller or equal to 10mm</t>
  </si>
  <si>
    <t>m</t>
  </si>
  <si>
    <t>(ii)Wider than 10mm</t>
  </si>
  <si>
    <t>m</t>
  </si>
  <si>
    <t>(c ) Cracks</t>
  </si>
  <si>
    <t>(i)Smaller or equal to 3mm</t>
  </si>
  <si>
    <t>m</t>
  </si>
  <si>
    <t>(ii)Wider than 3mm</t>
  </si>
  <si>
    <t>m</t>
  </si>
  <si>
    <t>BM150.02</t>
  </si>
  <si>
    <t>Small repairs to existing concrete pavements</t>
  </si>
  <si>
    <t>(a)Provisional sum for small repairs to existing concrete pavements</t>
  </si>
  <si>
    <t>Prov Sum</t>
  </si>
  <si>
    <t>(b)The Contractor's overhead charges and profit in respect of sub-item BM150.02 (a)</t>
  </si>
  <si>
    <t>%</t>
  </si>
  <si>
    <t>M1500</t>
  </si>
  <si>
    <t>TOTAL CARRIED TO SUMMARY</t>
  </si>
  <si>
    <t>C2.13</t>
  </si>
  <si>
    <t>ITEM NO</t>
  </si>
  <si>
    <t>DESCRIPTION</t>
  </si>
  <si>
    <t>UNIT</t>
  </si>
  <si>
    <t>QUANTITY</t>
  </si>
  <si>
    <t>RATE</t>
  </si>
  <si>
    <t>AMOUNT</t>
  </si>
  <si>
    <t>M1600</t>
  </si>
  <si>
    <t>SURFACE TREATMENT - TEXTURE CORRECTION</t>
  </si>
  <si>
    <t>M160.01</t>
  </si>
  <si>
    <t>Application of slurry mixed on site</t>
  </si>
  <si>
    <t>(a)Tack coat using 30% bitumen emulsion</t>
  </si>
  <si>
    <t>l</t>
  </si>
  <si>
    <t>(b)Slurry applied for texture treatment</t>
  </si>
  <si>
    <t>(Coarse grading and 80/100 pen. bitumen)</t>
  </si>
  <si>
    <t>(i)Applied by hand</t>
  </si>
  <si>
    <t>m3</t>
  </si>
  <si>
    <t>(ii)Applied by spreader box</t>
  </si>
  <si>
    <t>m3</t>
  </si>
  <si>
    <t>M160.02</t>
  </si>
  <si>
    <t>Application of slurry from commercial sources</t>
  </si>
  <si>
    <t>(a) Tack coat using 30% bitumen emulsion</t>
  </si>
  <si>
    <t>l</t>
  </si>
  <si>
    <t>(b) Slurry applied for texture treatment</t>
  </si>
  <si>
    <t>(Coarse grading and 80/100 pen. bitumen)</t>
  </si>
  <si>
    <t>(i)Applied by hand</t>
  </si>
  <si>
    <t>m3</t>
  </si>
  <si>
    <t>(ii)Applied by spreader box</t>
  </si>
  <si>
    <t>m3</t>
  </si>
  <si>
    <t>M1610</t>
  </si>
  <si>
    <t>SURFACE TREATMENT - RUT FILLING</t>
  </si>
  <si>
    <t>M161.01</t>
  </si>
  <si>
    <t>Application of slurry for rut filling mixed on site</t>
  </si>
  <si>
    <t>(a) Slurry applied by spreader box with rigid squeegees in</t>
  </si>
  <si>
    <t>one application for rut filling (Coarse grading and</t>
  </si>
  <si>
    <t>m3</t>
  </si>
  <si>
    <t>80/100 pen.bitumen)</t>
  </si>
  <si>
    <t>M161.02</t>
  </si>
  <si>
    <t>Application of slurry for rut filling from commercial sources</t>
  </si>
  <si>
    <t>(a) Slurry applied by spreader box with rigid squeegees in</t>
  </si>
  <si>
    <t>one application for rut filling (Coarse grading and</t>
  </si>
  <si>
    <t>m3</t>
  </si>
  <si>
    <t>80/100 pen.bitumen)</t>
  </si>
  <si>
    <t>(c) Tack coat using 30% bitumen emulsion</t>
  </si>
  <si>
    <t>l</t>
  </si>
  <si>
    <t>M1600</t>
  </si>
  <si>
    <t>TOTAL CARRIED FORWARD TO SUMMARY</t>
  </si>
  <si>
    <t>C2.14</t>
  </si>
  <si>
    <t>ITEM NO</t>
  </si>
  <si>
    <t>DESCRIPTION</t>
  </si>
  <si>
    <t>UNIT</t>
  </si>
  <si>
    <t>QUANTITY</t>
  </si>
  <si>
    <t>RATE</t>
  </si>
  <si>
    <t>AMOUNT</t>
  </si>
  <si>
    <t>M1700</t>
  </si>
  <si>
    <t>REPAIR OF SLOPE FAILURES AND WASHAWAYS</t>
  </si>
  <si>
    <t>BM170.05</t>
  </si>
  <si>
    <t>Repair of slope failures and washaways</t>
  </si>
  <si>
    <t>(a)Provisional sum for repair of slope failures and washaways</t>
  </si>
  <si>
    <t>Prov Sum</t>
  </si>
  <si>
    <t>(b)The Contractor's overhead charges and profit in respect of sub-item BM170.05 (a)</t>
  </si>
  <si>
    <t>%</t>
  </si>
  <si>
    <t>M1700</t>
  </si>
  <si>
    <t>TOTAL CARRIED FORWARD TO SUMMARY</t>
  </si>
  <si>
    <t>C2.15</t>
  </si>
  <si>
    <t>PART B : OPERATIONAL</t>
  </si>
  <si>
    <t>ITEM NO</t>
  </si>
  <si>
    <t>DESCRIPTION</t>
  </si>
  <si>
    <t>UNIT</t>
  </si>
  <si>
    <t>QUANTITY</t>
  </si>
  <si>
    <t>RATE</t>
  </si>
  <si>
    <t>AMOUNT</t>
  </si>
  <si>
    <t>M2100</t>
  </si>
  <si>
    <t>REPAIR AND MAINTENANCE OF INLET AND OUTLET STRUCTURES</t>
  </si>
  <si>
    <t>M210.01</t>
  </si>
  <si>
    <t>Excavation</t>
  </si>
  <si>
    <t>m3</t>
  </si>
  <si>
    <t>M210.02</t>
  </si>
  <si>
    <t>Backfilling</t>
  </si>
  <si>
    <t>(a)Using the excavated material</t>
  </si>
  <si>
    <t>m3</t>
  </si>
  <si>
    <t>(b)Using stabilised excavated material</t>
  </si>
  <si>
    <t>m3</t>
  </si>
  <si>
    <t>BM210.03</t>
  </si>
  <si>
    <t>Reconstruction of inlet and outlet structures</t>
  </si>
  <si>
    <t>(a)Concrete (class 20/19)</t>
  </si>
  <si>
    <t>m3</t>
  </si>
  <si>
    <t>(b)Brickwork</t>
  </si>
  <si>
    <t>m3</t>
  </si>
  <si>
    <t>(c ) Plastering</t>
  </si>
  <si>
    <t>m2</t>
  </si>
  <si>
    <t>(d) Pre-cast Concrete inlets (as per drwg no's N-08-v1 &amp; N-09-v1)</t>
  </si>
  <si>
    <t>No</t>
  </si>
  <si>
    <t>BM210.04</t>
  </si>
  <si>
    <t>Accessories</t>
  </si>
  <si>
    <t>(a)Provisional sum for the cost of accessories</t>
  </si>
  <si>
    <t>Prov Sum</t>
  </si>
  <si>
    <t>(b)The Contractor's overhead charges and profit in respect of sub-item BM210.04 (a)</t>
  </si>
  <si>
    <t>%</t>
  </si>
  <si>
    <t>M210.05</t>
  </si>
  <si>
    <t>Demolition of existing structures</t>
  </si>
  <si>
    <t>(a) Plain concrete</t>
  </si>
  <si>
    <t>m3</t>
  </si>
  <si>
    <t>(c) Brickwork</t>
  </si>
  <si>
    <t>m3</t>
  </si>
  <si>
    <t>M210.07</t>
  </si>
  <si>
    <t>Steel reinforcement</t>
  </si>
  <si>
    <t>(a)Mild steel bars</t>
  </si>
  <si>
    <t>t</t>
  </si>
  <si>
    <t>(b)High tensile steel bars</t>
  </si>
  <si>
    <t>t</t>
  </si>
  <si>
    <t>(c ) Welded steel mesh (Ref 311)</t>
  </si>
  <si>
    <t>kg</t>
  </si>
  <si>
    <t>M210.08</t>
  </si>
  <si>
    <t>Overhaul on material hauled in excess of 1,0 km</t>
  </si>
  <si>
    <t>(a)Excavated material to spoil</t>
  </si>
  <si>
    <t>m3-km</t>
  </si>
  <si>
    <t>(b)Existing structures demolished</t>
  </si>
  <si>
    <t>m3-km</t>
  </si>
  <si>
    <t>100</t>
  </si>
  <si>
    <t>M2100</t>
  </si>
  <si>
    <t>TOTAL CARRIED FORWARD TO SUMMARY</t>
  </si>
  <si>
    <t>C2.16</t>
  </si>
  <si>
    <t>ITEM NO</t>
  </si>
  <si>
    <t>DESCRIPTION</t>
  </si>
  <si>
    <t>UNIT</t>
  </si>
  <si>
    <t>QUANTITY</t>
  </si>
  <si>
    <t>RATE</t>
  </si>
  <si>
    <t>AMOUNT</t>
  </si>
  <si>
    <t>M2300</t>
  </si>
  <si>
    <t>CLEANING OF WATERWAY STRUCTURES</t>
  </si>
  <si>
    <t>BM230.01</t>
  </si>
  <si>
    <t>Cleaning of waterway structures, inlet and outlet areas</t>
  </si>
  <si>
    <t>(a) Cleaning of waterway structures, inlet and outlet areas:</t>
  </si>
  <si>
    <t>Various road sections as descibed under C3.1.2.1 :                             Description of site</t>
  </si>
  <si>
    <t>month</t>
  </si>
  <si>
    <t/>
  </si>
  <si>
    <t>M2300</t>
  </si>
  <si>
    <t>TOTAL CARRIED FORWARD TO SUMMARY</t>
  </si>
  <si>
    <t>C2.17</t>
  </si>
  <si>
    <t>ITEM NO</t>
  </si>
  <si>
    <t>DESCRIPTION</t>
  </si>
  <si>
    <t>UNIT</t>
  </si>
  <si>
    <t>QUANTITY</t>
  </si>
  <si>
    <t>RATE</t>
  </si>
  <si>
    <t>AMOUNT</t>
  </si>
  <si>
    <t>M2400</t>
  </si>
  <si>
    <t>CLEANING OF PREFABRICATED CULVERTS</t>
  </si>
  <si>
    <t>M240.01</t>
  </si>
  <si>
    <t>Cleaning of prefabricated culverts, inlet and outlet areas</t>
  </si>
  <si>
    <t>Various road sections as descibed under C3.1.2.1 : Description of site</t>
  </si>
  <si>
    <t>month</t>
  </si>
  <si>
    <t>M2400</t>
  </si>
  <si>
    <t>TOTAL CARRIED FORWARD TO SUMMARY</t>
  </si>
  <si>
    <t>C2.18</t>
  </si>
  <si>
    <t>ITEM NO</t>
  </si>
  <si>
    <t>DESCRIPTION</t>
  </si>
  <si>
    <t>UNIT</t>
  </si>
  <si>
    <t>QUANTITY</t>
  </si>
  <si>
    <t>RATE</t>
  </si>
  <si>
    <t>AMOUNT</t>
  </si>
  <si>
    <t>M2500</t>
  </si>
  <si>
    <t>CLEANING OF CONCRETE DRAINS AND CHANNELS</t>
  </si>
  <si>
    <t>BM250.01</t>
  </si>
  <si>
    <t>Cleaning of concrete drainage channels:</t>
  </si>
  <si>
    <t>Various road sections as descibed under C3.1.2.1 :</t>
  </si>
  <si>
    <t>Description of site</t>
  </si>
  <si>
    <t>(a)(i) Hand cleaning</t>
  </si>
  <si>
    <t>month</t>
  </si>
  <si>
    <t>(ii) Machine cleaning</t>
  </si>
  <si>
    <t>km</t>
  </si>
  <si>
    <t>(b)Extra over item for all work related to Section M2500</t>
  </si>
  <si>
    <t>and carried out during night time on the instruction of the Engineer.</t>
  </si>
  <si>
    <t>%</t>
  </si>
  <si>
    <t>BM250.02</t>
  </si>
  <si>
    <t>Additional cleaning of concrete drainage channels:</t>
  </si>
  <si>
    <t>(c)Machine cleaning</t>
  </si>
  <si>
    <t>h</t>
  </si>
  <si>
    <t>M2500</t>
  </si>
  <si>
    <t>TOTAL CARRIED FORWARD TO SUMMARY</t>
  </si>
  <si>
    <t>C2.19</t>
  </si>
  <si>
    <t>ITEM NO</t>
  </si>
  <si>
    <t>DESCRIPTION</t>
  </si>
  <si>
    <t>UNIT</t>
  </si>
  <si>
    <t>QUANTITY</t>
  </si>
  <si>
    <t>RATE</t>
  </si>
  <si>
    <t>AMOUNT</t>
  </si>
  <si>
    <t>M2600</t>
  </si>
  <si>
    <t>CLEANING AND MAINTENANCE OF EXISTING EARTH CHANNELS</t>
  </si>
  <si>
    <t>M260.01</t>
  </si>
  <si>
    <t>Cleaning earth drains and channels</t>
  </si>
  <si>
    <t>m3</t>
  </si>
  <si>
    <t>M260.02</t>
  </si>
  <si>
    <t>Repairing of earth drains and channels</t>
  </si>
  <si>
    <t>m3</t>
  </si>
  <si>
    <t>M260.03</t>
  </si>
  <si>
    <t>Banks and dykes</t>
  </si>
  <si>
    <t>m3</t>
  </si>
  <si>
    <t>M260.04</t>
  </si>
  <si>
    <t>Overhaul on material hauled in excess of 1,0 km</t>
  </si>
  <si>
    <t>m3-km</t>
  </si>
  <si>
    <t>M2600</t>
  </si>
  <si>
    <t>TOTAL CARRIED FORWARD TO SUMMARY</t>
  </si>
  <si>
    <t>C2.20</t>
  </si>
  <si>
    <t>ITEM NO</t>
  </si>
  <si>
    <t>DESCRIPTION</t>
  </si>
  <si>
    <t>UNIT</t>
  </si>
  <si>
    <t>QUANTITY</t>
  </si>
  <si>
    <t>RATE</t>
  </si>
  <si>
    <t>AMOUNT</t>
  </si>
  <si>
    <t>M2700</t>
  </si>
  <si>
    <t>EDGE BUILD-UP REMOVAL</t>
  </si>
  <si>
    <t>M270.01</t>
  </si>
  <si>
    <t>Removal of edge build-ups:</t>
  </si>
  <si>
    <t>Various road sections as descibed under C3.1.2.1 : Description of site</t>
  </si>
  <si>
    <t>month</t>
  </si>
  <si>
    <t>M2700</t>
  </si>
  <si>
    <t>TOTAL CARRIED FORWARD TO SUMMARY</t>
  </si>
  <si>
    <t>C2.21</t>
  </si>
  <si>
    <t>ITEM NO</t>
  </si>
  <si>
    <t>DESCRIPTION</t>
  </si>
  <si>
    <t>UNIT</t>
  </si>
  <si>
    <t>QUANTITY</t>
  </si>
  <si>
    <t>RATE</t>
  </si>
  <si>
    <t>AMOUNT</t>
  </si>
  <si>
    <t>CONCRETE CHANNEL CONSTRUCTION AND</t>
  </si>
  <si>
    <t>M2800</t>
  </si>
  <si>
    <t>MAINTENANCE OF EXISTING CHANNELS</t>
  </si>
  <si>
    <t>M280.01</t>
  </si>
  <si>
    <t>Excavation</t>
  </si>
  <si>
    <t>(a) Open drains</t>
  </si>
  <si>
    <t>(i)Soft material</t>
  </si>
  <si>
    <t>m3</t>
  </si>
  <si>
    <t>(ii)Hard material</t>
  </si>
  <si>
    <t>m3</t>
  </si>
  <si>
    <t>(b) Chutes and kerb-channel combination</t>
  </si>
  <si>
    <t>(i) Soft material</t>
  </si>
  <si>
    <t>m3</t>
  </si>
  <si>
    <t>M280.02</t>
  </si>
  <si>
    <t>Cast in situ concrete</t>
  </si>
  <si>
    <t>(a)Linings (Class 20/19)</t>
  </si>
  <si>
    <t>m3</t>
  </si>
  <si>
    <t>(b)Chutes (Class 20/19)</t>
  </si>
  <si>
    <t>m3</t>
  </si>
  <si>
    <t>(c)Channels for kerb and channel (Class 20/19)</t>
  </si>
  <si>
    <t>m3</t>
  </si>
  <si>
    <t>M280.03</t>
  </si>
  <si>
    <t>Concrete screed or backfill below chutes (Class 20/19)</t>
  </si>
  <si>
    <t>m3</t>
  </si>
  <si>
    <t>M280.04</t>
  </si>
  <si>
    <t>Precast concrete kerbing and chutes</t>
  </si>
  <si>
    <t>(a)Kerbing (SABS figure 3)</t>
  </si>
  <si>
    <t>m</t>
  </si>
  <si>
    <t>(b)Chutes (SABS figure 7)</t>
  </si>
  <si>
    <t>m</t>
  </si>
  <si>
    <t>M280.05</t>
  </si>
  <si>
    <t>Steel reinforcement</t>
  </si>
  <si>
    <t>(c)Welded steel mesh</t>
  </si>
  <si>
    <t>kg</t>
  </si>
  <si>
    <t>Sealed joints in concrete lining of open drains ("Flexicell" or</t>
  </si>
  <si>
    <t>M280.06</t>
  </si>
  <si>
    <t>similar)</t>
  </si>
  <si>
    <t>m</t>
  </si>
  <si>
    <t>M280.07</t>
  </si>
  <si>
    <t>Demolition and removal of damaged existing structures</t>
  </si>
  <si>
    <t>(a)Plain concrete</t>
  </si>
  <si>
    <t>m3</t>
  </si>
  <si>
    <t>(b)Kerbing and channelling</t>
  </si>
  <si>
    <t>m3</t>
  </si>
  <si>
    <t>M280.09</t>
  </si>
  <si>
    <t>Overhaul on material hauled in excess of 1,0 km</t>
  </si>
  <si>
    <t>(a)Excavated material to spoil</t>
  </si>
  <si>
    <t>m3-km</t>
  </si>
  <si>
    <t>(b)Existing structures demolished</t>
  </si>
  <si>
    <t>m3-km</t>
  </si>
  <si>
    <t>M2800</t>
  </si>
  <si>
    <t>TOTAL CARRIED FORWARD TO SUMMARY</t>
  </si>
  <si>
    <t>C2.22</t>
  </si>
  <si>
    <t>ITEM NO</t>
  </si>
  <si>
    <t>DESCRIPTION</t>
  </si>
  <si>
    <t>UNIT</t>
  </si>
  <si>
    <t>QUANTITY</t>
  </si>
  <si>
    <t>RATE</t>
  </si>
  <si>
    <t>AMOUNT</t>
  </si>
  <si>
    <t>M3100</t>
  </si>
  <si>
    <t>FENCING</t>
  </si>
  <si>
    <t>M310.01</t>
  </si>
  <si>
    <t>Clearing fence line 2 m wide strip</t>
  </si>
  <si>
    <t>km</t>
  </si>
  <si>
    <t>M310.02</t>
  </si>
  <si>
    <t>Erection of new fences</t>
  </si>
  <si>
    <t>(a)Stock-proof fences</t>
  </si>
  <si>
    <t>m</t>
  </si>
  <si>
    <t>(b)Vermin-proof fences</t>
  </si>
  <si>
    <t>m</t>
  </si>
  <si>
    <t>(c)Pedestrian fences</t>
  </si>
  <si>
    <t>m</t>
  </si>
  <si>
    <t>(d)Security fences</t>
  </si>
  <si>
    <t>m</t>
  </si>
  <si>
    <t>(e)Steel palisade fences</t>
  </si>
  <si>
    <t>m</t>
  </si>
  <si>
    <t>(f)Concrete palisade fences</t>
  </si>
  <si>
    <t>m</t>
  </si>
  <si>
    <t>M310.03</t>
  </si>
  <si>
    <t>Repair of existing fences of less than 100 m lengths</t>
  </si>
  <si>
    <t>(a)Stock-proof fences</t>
  </si>
  <si>
    <t>m</t>
  </si>
  <si>
    <t>(b)Vermin-proof fences</t>
  </si>
  <si>
    <t>m</t>
  </si>
  <si>
    <t>(c)Pedestrian fences</t>
  </si>
  <si>
    <t>m</t>
  </si>
  <si>
    <t>(d)Security fences</t>
  </si>
  <si>
    <t>m</t>
  </si>
  <si>
    <t>(e)Steel palisade fences</t>
  </si>
  <si>
    <t>m</t>
  </si>
  <si>
    <t>(f)Concrete palisade fences</t>
  </si>
  <si>
    <t>m</t>
  </si>
  <si>
    <t>M310.04</t>
  </si>
  <si>
    <t>Repair of existing fence of more than 100 m lengths</t>
  </si>
  <si>
    <t>(a)Stock-proof fences</t>
  </si>
  <si>
    <t>m</t>
  </si>
  <si>
    <t>(b)Vermin-proof fences</t>
  </si>
  <si>
    <t>m</t>
  </si>
  <si>
    <t>(c)Pedestrian fences</t>
  </si>
  <si>
    <t>m</t>
  </si>
  <si>
    <t>(d)Security fences</t>
  </si>
  <si>
    <t>m</t>
  </si>
  <si>
    <t>M3100</t>
  </si>
  <si>
    <t>TOTAL CARRIED FORWARD</t>
  </si>
  <si>
    <t>C2.23</t>
  </si>
  <si>
    <t>ITEM NO</t>
  </si>
  <si>
    <t>DESCRIPTION</t>
  </si>
  <si>
    <t>UNIT</t>
  </si>
  <si>
    <t>QUANTITY</t>
  </si>
  <si>
    <t>RATE</t>
  </si>
  <si>
    <t>AMOUNT</t>
  </si>
  <si>
    <t>TOTAL BROUGHT FORWARD</t>
  </si>
  <si>
    <t>M310.05</t>
  </si>
  <si>
    <t>Supply of fencing material for new and repaired fences</t>
  </si>
  <si>
    <t>(a) Barbed wire (high tensile grade single strand 3.15mm x</t>
  </si>
  <si>
    <t>2.50mm, oval shaped, 2.81mm equivalent diameter fully galvanised)</t>
  </si>
  <si>
    <t>km</t>
  </si>
  <si>
    <t>(b) Smooth wire (high tensile grade, 2.24mm diameter fully galvanised)</t>
  </si>
  <si>
    <t>km</t>
  </si>
  <si>
    <t>(c) Diamond mesh</t>
  </si>
  <si>
    <t>m2</t>
  </si>
  <si>
    <t>(d) Wire netting square</t>
  </si>
  <si>
    <t>m2</t>
  </si>
  <si>
    <t>(e) Razor tape wire (with core thickness of 2,5 mm)</t>
  </si>
  <si>
    <t>km</t>
  </si>
  <si>
    <t>(f) Corner, end and straining posts</t>
  </si>
  <si>
    <t>No</t>
  </si>
  <si>
    <t>(g) Standards (2.5kg/m "V" sections, complete with holes at</t>
  </si>
  <si>
    <t>50mm c/c)</t>
  </si>
  <si>
    <t>(i)1800mm</t>
  </si>
  <si>
    <t>No</t>
  </si>
  <si>
    <t>(ii)2100mm</t>
  </si>
  <si>
    <t>No</t>
  </si>
  <si>
    <t>(iii)2400mm</t>
  </si>
  <si>
    <t>No</t>
  </si>
  <si>
    <t>(h) Droppers (0.56kg/m ridgeback pattern)</t>
  </si>
  <si>
    <t>(i) 1500mm</t>
  </si>
  <si>
    <t>No</t>
  </si>
  <si>
    <t>(ii)1800mm</t>
  </si>
  <si>
    <t>No</t>
  </si>
  <si>
    <t>(iii)2100mm</t>
  </si>
  <si>
    <t>No</t>
  </si>
  <si>
    <t>(j) Steel palisade fence height 2,4 m</t>
  </si>
  <si>
    <t>m</t>
  </si>
  <si>
    <t>(k) Concrete palisade fence height 2,4 m</t>
  </si>
  <si>
    <t>m</t>
  </si>
  <si>
    <t>M310.08</t>
  </si>
  <si>
    <t>Dismantling of existing and damaged fences</t>
  </si>
  <si>
    <t>m</t>
  </si>
  <si>
    <t>BM310.11</t>
  </si>
  <si>
    <t>Procurement of specialised fencing:</t>
  </si>
  <si>
    <t>(a)Procurement and erection of specialised fencing</t>
  </si>
  <si>
    <t>Prov Sum</t>
  </si>
  <si>
    <t>(b)The Contractor's overhead charges and profit in respect of sub-item BM310.12 (a)</t>
  </si>
  <si>
    <t>%</t>
  </si>
  <si>
    <t>M3100</t>
  </si>
  <si>
    <t>TOTAL CARRIED FORWARD TO SUMMARY</t>
  </si>
  <si>
    <t>C2.24</t>
  </si>
  <si>
    <t>ITEM NO</t>
  </si>
  <si>
    <t>DESCRIPTION</t>
  </si>
  <si>
    <t>UNIT</t>
  </si>
  <si>
    <t>QUANTITY</t>
  </si>
  <si>
    <t>RATE</t>
  </si>
  <si>
    <t>AMOUNT</t>
  </si>
  <si>
    <t>M3200</t>
  </si>
  <si>
    <t>COLLECTION AND REMOVAL OF DEBRIS AND LITTER</t>
  </si>
  <si>
    <t>M320.01</t>
  </si>
  <si>
    <t>Clearing of the road reserve</t>
  </si>
  <si>
    <t>(a) Urban roads:</t>
  </si>
  <si>
    <t>Various road sections as descibed under C3.1.2.1 : Description of site</t>
  </si>
  <si>
    <t>month</t>
  </si>
  <si>
    <t>M320.02</t>
  </si>
  <si>
    <t>Additional clearing of:</t>
  </si>
  <si>
    <t>(a) Lay-byes</t>
  </si>
  <si>
    <t>No</t>
  </si>
  <si>
    <t>(c) Interchanges:</t>
  </si>
  <si>
    <t>No</t>
  </si>
  <si>
    <t>M3200</t>
  </si>
  <si>
    <t>TOTAL CARRIED FORWARD</t>
  </si>
  <si>
    <t>C2.25</t>
  </si>
  <si>
    <t>ITEM NO</t>
  </si>
  <si>
    <t>DESCRIPTION</t>
  </si>
  <si>
    <t>UNIT</t>
  </si>
  <si>
    <t>QUANTITY</t>
  </si>
  <si>
    <t>RATE</t>
  </si>
  <si>
    <t>AMOUNT</t>
  </si>
  <si>
    <t>M3300</t>
  </si>
  <si>
    <t>SHOULDER REPAIRS</t>
  </si>
  <si>
    <t>M330.01</t>
  </si>
  <si>
    <t>Reinstating gravel shoulders</t>
  </si>
  <si>
    <t>(a)Ripping, watering, mixing, placing and compacting existing shoulders to 93% of modified AASHTO density</t>
  </si>
  <si>
    <t>m3</t>
  </si>
  <si>
    <t>(b)Extra over sub-item M330.01 (a) for adding extra material from borrowpits outside the road reserve</t>
  </si>
  <si>
    <t>m3</t>
  </si>
  <si>
    <t>(c ) Extra over sub-item M330.01 (a) for stabilising material</t>
  </si>
  <si>
    <t>m3</t>
  </si>
  <si>
    <t>(d) Blading</t>
  </si>
  <si>
    <t>km</t>
  </si>
  <si>
    <t>(e ) Cutting of mitre drains</t>
  </si>
  <si>
    <t>m</t>
  </si>
  <si>
    <t>Overhaul on material hauled in excess of 1,0 km</t>
  </si>
  <si>
    <t>m3-km</t>
  </si>
  <si>
    <t>M3300</t>
  </si>
  <si>
    <t>TOTAL CARRIED FORWARD TO SUMMARY</t>
  </si>
  <si>
    <t>C2.26</t>
  </si>
  <si>
    <t>ITEM NO</t>
  </si>
  <si>
    <t>DESCRIPTION</t>
  </si>
  <si>
    <t>UNIT</t>
  </si>
  <si>
    <t>QUANTITY</t>
  </si>
  <si>
    <t>RATE</t>
  </si>
  <si>
    <t>AMOUNT</t>
  </si>
  <si>
    <t>BROUGHT FORWARD</t>
  </si>
  <si>
    <t>M410.07</t>
  </si>
  <si>
    <t>Dismantling, storing and re-erecting road signs with a</t>
  </si>
  <si>
    <t>surface area of:</t>
  </si>
  <si>
    <t>(a)Up to 2 m2</t>
  </si>
  <si>
    <t>No</t>
  </si>
  <si>
    <t>(b)Exceeding 2 m2 but not 10 m2</t>
  </si>
  <si>
    <t>No</t>
  </si>
  <si>
    <t>(c)Exceeding 10 m2</t>
  </si>
  <si>
    <t>No</t>
  </si>
  <si>
    <t>M410.08</t>
  </si>
  <si>
    <t>Dismantling and storing road signs with a surface area of:</t>
  </si>
  <si>
    <t>(a)Up to 2 m2</t>
  </si>
  <si>
    <t>No</t>
  </si>
  <si>
    <t>(b)Exceeding 2 m2 but not 10 m2</t>
  </si>
  <si>
    <t>No</t>
  </si>
  <si>
    <t>(c)Exceeding 10 m2</t>
  </si>
  <si>
    <t>No</t>
  </si>
  <si>
    <t>BM410.10</t>
  </si>
  <si>
    <t>Hazard plates (refer drawing C-07-v1)</t>
  </si>
  <si>
    <t>(a ) W401 sign (150 x 600mm)</t>
  </si>
  <si>
    <t>(i)Sign only</t>
  </si>
  <si>
    <t>No</t>
  </si>
  <si>
    <t>(ii)Post only</t>
  </si>
  <si>
    <t>No</t>
  </si>
  <si>
    <t>(b) W401 sign (200 x 800mm)</t>
  </si>
  <si>
    <t>(i)Sign only</t>
  </si>
  <si>
    <t>No</t>
  </si>
  <si>
    <t>(ii)Post only</t>
  </si>
  <si>
    <t>No</t>
  </si>
  <si>
    <t>(c ) W401 sign (300 x 1200mm)</t>
  </si>
  <si>
    <t>(i)Sign only</t>
  </si>
  <si>
    <t>No</t>
  </si>
  <si>
    <t>(ii)Post only</t>
  </si>
  <si>
    <t>No</t>
  </si>
  <si>
    <t>M410.11</t>
  </si>
  <si>
    <t>Repair of road sign faces</t>
  </si>
  <si>
    <t>m2</t>
  </si>
  <si>
    <t>M410.12</t>
  </si>
  <si>
    <t>Concrete in road sign footings (class 20/19)</t>
  </si>
  <si>
    <t>m3</t>
  </si>
  <si>
    <t>M4100</t>
  </si>
  <si>
    <t>TOTAL CARRIED FORWARD</t>
  </si>
  <si>
    <t>C2.27</t>
  </si>
  <si>
    <t>ITEM NO</t>
  </si>
  <si>
    <t>DESCRIPTION</t>
  </si>
  <si>
    <t>UNIT</t>
  </si>
  <si>
    <t>QUANTITY</t>
  </si>
  <si>
    <t>RATE</t>
  </si>
  <si>
    <t>AMOUNT</t>
  </si>
  <si>
    <t>M4100</t>
  </si>
  <si>
    <t>ERECTION AND REPAIR OF PERMANENT ROAD TRAFFIC SIGNS</t>
  </si>
  <si>
    <t>M410.01</t>
  </si>
  <si>
    <t>Erection or re-erection of road signs with a surface area of:</t>
  </si>
  <si>
    <t>(a)Up to 2 m2</t>
  </si>
  <si>
    <t>m2</t>
  </si>
  <si>
    <t>(b)Exceeding 2 m2 but not 10 m2</t>
  </si>
  <si>
    <t>m2</t>
  </si>
  <si>
    <t>(c ) Exceeding 10 m2</t>
  </si>
  <si>
    <t>m2</t>
  </si>
  <si>
    <t>(d)Overhead road signs</t>
  </si>
  <si>
    <t>m2</t>
  </si>
  <si>
    <t>BM410.02</t>
  </si>
  <si>
    <t>Road sign supports (overhead road sign strutures excluded)</t>
  </si>
  <si>
    <t>(b) Timber:</t>
  </si>
  <si>
    <t>(i)100mm diameter</t>
  </si>
  <si>
    <t>m</t>
  </si>
  <si>
    <t>(ii)125mm diameter</t>
  </si>
  <si>
    <t>m</t>
  </si>
  <si>
    <t>(iii)150mm diameter</t>
  </si>
  <si>
    <t>m</t>
  </si>
  <si>
    <t>(iv)175mm diameter</t>
  </si>
  <si>
    <t>m</t>
  </si>
  <si>
    <t>BM410.03</t>
  </si>
  <si>
    <t>Reference marker boards</t>
  </si>
  <si>
    <t>(a)Reference marker board and post Refer drawing C-10-v1 &amp; C-11-v1</t>
  </si>
  <si>
    <t>No</t>
  </si>
  <si>
    <t>(b)Reference marker board Refer drawing C-10-v1 &amp; C-11-v1</t>
  </si>
  <si>
    <t>No</t>
  </si>
  <si>
    <t>Excavation and backfilling for road sign supports (not</t>
  </si>
  <si>
    <t>M410.04</t>
  </si>
  <si>
    <t>applicable to reference marker board posts)</t>
  </si>
  <si>
    <t>m3</t>
  </si>
  <si>
    <t>M410.05</t>
  </si>
  <si>
    <t>Extra over item M410.04 for cement-treated soil backfill</t>
  </si>
  <si>
    <t>m3</t>
  </si>
  <si>
    <t>Dismantling, storing and re-erecting road signs with a</t>
  </si>
  <si>
    <t>M4100</t>
  </si>
  <si>
    <t>TOTAL CARRIED FORWARD</t>
  </si>
  <si>
    <t>C2.27</t>
  </si>
  <si>
    <t>ITEM NO</t>
  </si>
  <si>
    <t>DESCRIPTION</t>
  </si>
  <si>
    <t>UNIT</t>
  </si>
  <si>
    <t>QUANTITY</t>
  </si>
  <si>
    <t>RATE</t>
  </si>
  <si>
    <t>AMOUNT</t>
  </si>
  <si>
    <t>BROUGHT FORWARD</t>
  </si>
  <si>
    <t>M410.13</t>
  </si>
  <si>
    <t>Attachment of overlays to existing road signs (diamond grade, retro reflective)</t>
  </si>
  <si>
    <t>m2</t>
  </si>
  <si>
    <t>M410.14</t>
  </si>
  <si>
    <t>Removal of road sign supports</t>
  </si>
  <si>
    <t>No</t>
  </si>
  <si>
    <t>M410.15</t>
  </si>
  <si>
    <t>Procurement of road signs</t>
  </si>
  <si>
    <t>(a)Purchase of manufactured road signs</t>
  </si>
  <si>
    <t>Prov Sum</t>
  </si>
  <si>
    <t>(b)The Contractor's overhead charges and profit in respect of sub-item M410.15 (a)</t>
  </si>
  <si>
    <t>%</t>
  </si>
  <si>
    <t>M410.16</t>
  </si>
  <si>
    <t>Erection and repairs of gantry structures</t>
  </si>
  <si>
    <t>(a) Erection and repairs of gantry structures</t>
  </si>
  <si>
    <t>Prov Sum</t>
  </si>
  <si>
    <t>(b) The Contractor's overhead charges and profit in respect of sub-item M410.16 (a)</t>
  </si>
  <si>
    <t>%</t>
  </si>
  <si>
    <t>BM410.17</t>
  </si>
  <si>
    <t>Extra over item for all work related to Section M4100 and carried out during night time on the instruction of the Engineer.</t>
  </si>
  <si>
    <t>%</t>
  </si>
  <si>
    <t>M4100</t>
  </si>
  <si>
    <t>TOTAL CARRIED FORWARD TO SUMMARY</t>
  </si>
  <si>
    <t>C2.29</t>
  </si>
  <si>
    <t>ITEM NO</t>
  </si>
  <si>
    <t>DESCRIPTION</t>
  </si>
  <si>
    <t>UNIT</t>
  </si>
  <si>
    <t>QUANTITY</t>
  </si>
  <si>
    <t>RATE</t>
  </si>
  <si>
    <t>AMOUNT</t>
  </si>
  <si>
    <t>M4200</t>
  </si>
  <si>
    <t>ROAD SIGN CLEANING</t>
  </si>
  <si>
    <t>M420.01</t>
  </si>
  <si>
    <t>Road sign cleaning</t>
  </si>
  <si>
    <t>(a)Cleaning of guardrail reflectors (all types)</t>
  </si>
  <si>
    <t>No</t>
  </si>
  <si>
    <t>(b)Cleaning of road signs</t>
  </si>
  <si>
    <t>(i)Up to 2 m2</t>
  </si>
  <si>
    <t>No</t>
  </si>
  <si>
    <t>(ii)Exceeding 2 m2 but not 10 m2</t>
  </si>
  <si>
    <t>No</t>
  </si>
  <si>
    <t>(iii)Exceeding 10 m2</t>
  </si>
  <si>
    <t>No</t>
  </si>
  <si>
    <t>(c ) Cleaning of overhead road signs (all sizes)</t>
  </si>
  <si>
    <t>No</t>
  </si>
  <si>
    <t>M420.02</t>
  </si>
  <si>
    <t>Removal of graffiti</t>
  </si>
  <si>
    <t>(a)From road signs</t>
  </si>
  <si>
    <t>m2</t>
  </si>
  <si>
    <t>(b)From structures</t>
  </si>
  <si>
    <t>m2</t>
  </si>
  <si>
    <t>M420.03</t>
  </si>
  <si>
    <t>Painting of metal road sign elements</t>
  </si>
  <si>
    <t>(a)Sign supports</t>
  </si>
  <si>
    <t>l</t>
  </si>
  <si>
    <t>(b)Sign frames</t>
  </si>
  <si>
    <t>l</t>
  </si>
  <si>
    <t>M4210</t>
  </si>
  <si>
    <t>REMOVAL OF ILLEGAL SIGNS</t>
  </si>
  <si>
    <t>BM421.01</t>
  </si>
  <si>
    <t>Removal of illegal signs</t>
  </si>
  <si>
    <t>(a) Signs within the road reserve</t>
  </si>
  <si>
    <t>(i)From 0,5 m2 to 2 m2</t>
  </si>
  <si>
    <t>No</t>
  </si>
  <si>
    <t>(ii)Exceeding 2 m2 but not 6 m2</t>
  </si>
  <si>
    <t>No</t>
  </si>
  <si>
    <t>(iii)Exceeding 6 m2</t>
  </si>
  <si>
    <t>No</t>
  </si>
  <si>
    <t>(b) Signs outside the road reserve</t>
  </si>
  <si>
    <t>(i)Any size</t>
  </si>
  <si>
    <t>Prov Sum</t>
  </si>
  <si>
    <t>(ii)The Contractor's overhead charges and profit in respect of sub-item M421.01 (b) (i)</t>
  </si>
  <si>
    <t>%</t>
  </si>
  <si>
    <t>M4200</t>
  </si>
  <si>
    <t>TOTAL CARRIED FORWARD TO SUMMARY</t>
  </si>
  <si>
    <t>ITEM NO</t>
  </si>
  <si>
    <t>DESCRIPTION</t>
  </si>
  <si>
    <t>UNIT</t>
  </si>
  <si>
    <t>QUANTITY</t>
  </si>
  <si>
    <t>RATE</t>
  </si>
  <si>
    <t>AMOUNT</t>
  </si>
  <si>
    <t>M4300</t>
  </si>
  <si>
    <t>ROADSTUDS</t>
  </si>
  <si>
    <t/>
  </si>
  <si>
    <t/>
  </si>
  <si>
    <t>M430.01</t>
  </si>
  <si>
    <t>Installation of roadstuds</t>
  </si>
  <si>
    <t>(a) Installation of roadstuds</t>
  </si>
  <si>
    <t>Prov Sum</t>
  </si>
  <si>
    <t>1.00</t>
  </si>
  <si>
    <t>(b) The Contractor's overhead charges and profit in respect of sub-item M430.01 (a)</t>
  </si>
  <si>
    <t>%</t>
  </si>
  <si>
    <t>M4300</t>
  </si>
  <si>
    <t>TOTAL CARRIED FORWARD TO SUMMARY</t>
  </si>
  <si>
    <t>C2.31</t>
  </si>
  <si>
    <t>ITEM NO</t>
  </si>
  <si>
    <t>DESCRIPTION</t>
  </si>
  <si>
    <t>UNIT</t>
  </si>
  <si>
    <t>QUANTITY</t>
  </si>
  <si>
    <t>RATE</t>
  </si>
  <si>
    <t>AMOUNT</t>
  </si>
  <si>
    <t>M4400</t>
  </si>
  <si>
    <t>GUARDRAIL ERECTION AND MAINTENANCE</t>
  </si>
  <si>
    <t>M440.01</t>
  </si>
  <si>
    <t>Supply and erection of new galvanised guardrails</t>
  </si>
  <si>
    <t>(i)Conventional guardrail (3.8m eff. length)</t>
  </si>
  <si>
    <t>m</t>
  </si>
  <si>
    <t>(ii)EU standard guardrail (4.0m eff Length)</t>
  </si>
  <si>
    <t>m</t>
  </si>
  <si>
    <t>Supply and erection of new galvanised curved guardrails</t>
  </si>
  <si>
    <t>M440.02</t>
  </si>
  <si>
    <t>factory bent to a radius of less than 45 m</t>
  </si>
  <si>
    <t>m</t>
  </si>
  <si>
    <t>M440.03</t>
  </si>
  <si>
    <t>Extra over for erection of guardrail posts</t>
  </si>
  <si>
    <t>(a)Additional timber posts for items M440.01 and M440.02</t>
  </si>
  <si>
    <t>No</t>
  </si>
  <si>
    <t>(b)Backfilling guardrail post with soilcrete</t>
  </si>
  <si>
    <t>No</t>
  </si>
  <si>
    <t>(c ) Backfilling guardrail post with concrete</t>
  </si>
  <si>
    <t>No</t>
  </si>
  <si>
    <t>M440.04</t>
  </si>
  <si>
    <t>End units</t>
  </si>
  <si>
    <t>(a)End wings</t>
  </si>
  <si>
    <t>No</t>
  </si>
  <si>
    <t>(b)Terminal sections in accordance with the drawings where single guardrail sections are used</t>
  </si>
  <si>
    <t>No</t>
  </si>
  <si>
    <t>(c)Terminal sections in accordance with the drawings where double guardrail sections are used</t>
  </si>
  <si>
    <t>No</t>
  </si>
  <si>
    <t>M440.05</t>
  </si>
  <si>
    <t>Guardrail reflectors</t>
  </si>
  <si>
    <t>No</t>
  </si>
  <si>
    <t>BM440.06</t>
  </si>
  <si>
    <t>Removal of damaged guardrails and re-erection of guardrails with new, recovered or renovated material</t>
  </si>
  <si>
    <t>(a) Guardrails</t>
  </si>
  <si>
    <t>(i)Conventional guardrail (3.8m eff. length)</t>
  </si>
  <si>
    <t>m</t>
  </si>
  <si>
    <t>(ii)EU standard guardrail (4.0m eff Length)</t>
  </si>
  <si>
    <t>m</t>
  </si>
  <si>
    <t>(b) End wings</t>
  </si>
  <si>
    <t>(i)Conventional guardrail (3.8m eff. length)</t>
  </si>
  <si>
    <t>No</t>
  </si>
  <si>
    <t>(ii)EU standard guardrail (4.0m eff Length)</t>
  </si>
  <si>
    <t>No</t>
  </si>
  <si>
    <t>(c ) Terminal sections with single guardrails</t>
  </si>
  <si>
    <t>(i) Conventional guardrail (3.8m eff. length)</t>
  </si>
  <si>
    <t>No</t>
  </si>
  <si>
    <t>(ii) EU standard guardrail (4.0m eff Length)</t>
  </si>
  <si>
    <t>No</t>
  </si>
  <si>
    <t>M4400</t>
  </si>
  <si>
    <t>TOTAL CARRIED FORWARD</t>
  </si>
  <si>
    <t>ITEM NO</t>
  </si>
  <si>
    <t>DESCRIPTION</t>
  </si>
  <si>
    <t>UNIT</t>
  </si>
  <si>
    <t>QUANTITY</t>
  </si>
  <si>
    <t>RATE</t>
  </si>
  <si>
    <t>AMOUNT</t>
  </si>
  <si>
    <t>BROUGHT FORWARD</t>
  </si>
  <si>
    <t>(d) Terminal sections with double guardrails</t>
  </si>
  <si>
    <t>(i)Conventional guardrail (3.8m eff. length)</t>
  </si>
  <si>
    <t>No</t>
  </si>
  <si>
    <t>(ii)EU standard guardrail (4.0m eff Length)</t>
  </si>
  <si>
    <t>No</t>
  </si>
  <si>
    <t>(e) Guardrail posts</t>
  </si>
  <si>
    <t>(i)Conventional guardrail (3.8m eff. length)</t>
  </si>
  <si>
    <t>No</t>
  </si>
  <si>
    <t>(ii)EU standard guardrail (4.0m eff Length)</t>
  </si>
  <si>
    <t>No</t>
  </si>
  <si>
    <t>BM440.07</t>
  </si>
  <si>
    <t>Supply of renovated guardrail material</t>
  </si>
  <si>
    <t>(a) Guardrails</t>
  </si>
  <si>
    <t>m</t>
  </si>
  <si>
    <t>Supply of new material required for the re-erection of</t>
  </si>
  <si>
    <t>BM440.08</t>
  </si>
  <si>
    <t>guardrails</t>
  </si>
  <si>
    <t>(a) Guardrails (galvanised)</t>
  </si>
  <si>
    <t>(i)Conventional guardrail (3.8m eff. length)</t>
  </si>
  <si>
    <t>m</t>
  </si>
  <si>
    <t>(ii)EU standard guardrail (4.0m eff Length)</t>
  </si>
  <si>
    <t>m</t>
  </si>
  <si>
    <t>(b) Curved guardrails</t>
  </si>
  <si>
    <t>(i)Conventional guardrail (3.8m eff. length)</t>
  </si>
  <si>
    <t>m</t>
  </si>
  <si>
    <t>(ii)EU standard guardrail (4.0m eff Length)</t>
  </si>
  <si>
    <t>m</t>
  </si>
  <si>
    <t>(c ) Timber posts</t>
  </si>
  <si>
    <t>No</t>
  </si>
  <si>
    <t>(d) Steel posts</t>
  </si>
  <si>
    <t>(i) Conventional guardrail (3.8m eff. length)</t>
  </si>
  <si>
    <t>No</t>
  </si>
  <si>
    <t>(ii) EU standard guardrail (4.0m eff Length)</t>
  </si>
  <si>
    <t>No</t>
  </si>
  <si>
    <t>(e) Spacer blocks</t>
  </si>
  <si>
    <t>(i)Conventional guardrail (3.8m eff. length)</t>
  </si>
  <si>
    <t>No</t>
  </si>
  <si>
    <t>(ii)EU standard guardrail (4.0m eff Length)</t>
  </si>
  <si>
    <t>No</t>
  </si>
  <si>
    <t>(f)</t>
  </si>
  <si>
    <t>(f) Guardrail reflectors</t>
  </si>
  <si>
    <t>(i)Type D1 (A)</t>
  </si>
  <si>
    <t>No</t>
  </si>
  <si>
    <t>(ii)Type D1 (B)</t>
  </si>
  <si>
    <t>No</t>
  </si>
  <si>
    <t>M4400</t>
  </si>
  <si>
    <t>TOTAL CARRIED FORWARD</t>
  </si>
  <si>
    <t>ITEM NO</t>
  </si>
  <si>
    <t>DESCRIPTION</t>
  </si>
  <si>
    <t>UNIT</t>
  </si>
  <si>
    <t>QUANTITY</t>
  </si>
  <si>
    <t>RATE</t>
  </si>
  <si>
    <t>AMOUNT</t>
  </si>
  <si>
    <t>BROUGHT FORWARD</t>
  </si>
  <si>
    <t>(g) End wings</t>
  </si>
  <si>
    <t>(i)Conventional guardrail (3.8m eff. length)</t>
  </si>
  <si>
    <t>No</t>
  </si>
  <si>
    <t>(ii)EU standard guardrail (4.0m eff Length)</t>
  </si>
  <si>
    <t>No</t>
  </si>
  <si>
    <t>(h) Terminal sections with single guardrails</t>
  </si>
  <si>
    <t>(i) Conventional guardrail (3.8m eff. length)</t>
  </si>
  <si>
    <t>No</t>
  </si>
  <si>
    <t>(ii) EU standard guardrail (4.0m eff Length)</t>
  </si>
  <si>
    <t>No</t>
  </si>
  <si>
    <t>(i) Terminal sections with double guardrails</t>
  </si>
  <si>
    <t>(i) Conventional guardrail (3.8m eff. length)</t>
  </si>
  <si>
    <t>No</t>
  </si>
  <si>
    <t>(ii) EU standard guardrail (4.0m eff Length)</t>
  </si>
  <si>
    <t>No</t>
  </si>
  <si>
    <t>M440.09</t>
  </si>
  <si>
    <t>Drilling and blasting holes for guardrail posts</t>
  </si>
  <si>
    <t>No</t>
  </si>
  <si>
    <t>M440.10</t>
  </si>
  <si>
    <t>Reinstatement of concrete to guardrail posts (class 20/19)</t>
  </si>
  <si>
    <t>m3</t>
  </si>
  <si>
    <t>M440.11</t>
  </si>
  <si>
    <t>Re-alignment of guardrails</t>
  </si>
  <si>
    <t>m</t>
  </si>
  <si>
    <t>M440.12</t>
  </si>
  <si>
    <t>Installation and repair of wire rope safety fence</t>
  </si>
  <si>
    <t>(a)Installation and repair of wire rope safety fence</t>
  </si>
  <si>
    <t>Prov Sum</t>
  </si>
  <si>
    <t>(b)The Contractor's overhead charges and profit in respect of sub-item M440.12 (a)</t>
  </si>
  <si>
    <t>%</t>
  </si>
  <si>
    <t>M4400</t>
  </si>
  <si>
    <t>TOTAL CARRIED FORWARD</t>
  </si>
  <si>
    <t>DESCRIPTION</t>
  </si>
  <si>
    <t>UNIT</t>
  </si>
  <si>
    <t>QUANTITY</t>
  </si>
  <si>
    <t>RATE</t>
  </si>
  <si>
    <t>AMOUNT</t>
  </si>
  <si>
    <t>ITEM NO</t>
  </si>
  <si>
    <t>BROUGHT FORWARD</t>
  </si>
  <si>
    <t>BM440.15</t>
  </si>
  <si>
    <t>Painting of guardrails</t>
  </si>
  <si>
    <t>m</t>
  </si>
  <si>
    <t>BM440.16</t>
  </si>
  <si>
    <t>Re-galvanizing of guardrails</t>
  </si>
  <si>
    <t>m</t>
  </si>
  <si>
    <t>BM440.17</t>
  </si>
  <si>
    <t>Re-shaping of guardrails</t>
  </si>
  <si>
    <t>m</t>
  </si>
  <si>
    <t/>
  </si>
  <si>
    <t/>
  </si>
  <si>
    <t>M4400</t>
  </si>
  <si>
    <t>TOTAL CARRIED FORWARD TO SUMMARY</t>
  </si>
  <si>
    <t>C2.35</t>
  </si>
  <si>
    <t>PART B : OPERATIONAL</t>
  </si>
  <si>
    <t>DESCRIPTION</t>
  </si>
  <si>
    <t>UNIT</t>
  </si>
  <si>
    <t>QUANTITY</t>
  </si>
  <si>
    <t>RATE</t>
  </si>
  <si>
    <t>AMOUNT</t>
  </si>
  <si>
    <t>ITEM NO</t>
  </si>
  <si>
    <t>DAZZLE SCREEN ERECTION AND REPLACEMENT</t>
  </si>
  <si>
    <t>M4500</t>
  </si>
  <si>
    <t>Supply and erection of dazzle screens</t>
  </si>
  <si>
    <t>M450.01</t>
  </si>
  <si>
    <t>(a)Metal</t>
  </si>
  <si>
    <t>m</t>
  </si>
  <si>
    <t>(b)Timber</t>
  </si>
  <si>
    <t>m</t>
  </si>
  <si>
    <t>Supply and erection of dazzle screens and supporting posts</t>
  </si>
  <si>
    <t>M450.02</t>
  </si>
  <si>
    <t>(a)Metal</t>
  </si>
  <si>
    <t>No</t>
  </si>
  <si>
    <t>(b)Timber</t>
  </si>
  <si>
    <t>No</t>
  </si>
  <si>
    <t>M450.03</t>
  </si>
  <si>
    <t>Removal of damaged dazzle screens and supporting posts</t>
  </si>
  <si>
    <t>m</t>
  </si>
  <si>
    <t>M4500</t>
  </si>
  <si>
    <t>TOTAL CARRIED FORWARD TO SUMMARY</t>
  </si>
  <si>
    <t>C2.36</t>
  </si>
  <si>
    <t>DESCRIPTION</t>
  </si>
  <si>
    <t>UNIT</t>
  </si>
  <si>
    <t>QUANTITY</t>
  </si>
  <si>
    <t>RATE</t>
  </si>
  <si>
    <t>AMOUNT</t>
  </si>
  <si>
    <t>ITEM NO</t>
  </si>
  <si>
    <t>ROAD MARKING</t>
  </si>
  <si>
    <t>M4600</t>
  </si>
  <si>
    <t>Removal of existing, temporary or permanent road markings by:</t>
  </si>
  <si>
    <t>BM460.05</t>
  </si>
  <si>
    <t>(a) Sandblasting</t>
  </si>
  <si>
    <t>m2</t>
  </si>
  <si>
    <t>Road markings on a section of road</t>
  </si>
  <si>
    <t>BM460.06</t>
  </si>
  <si>
    <t>(a)Road markings on a section of road</t>
  </si>
  <si>
    <t>Prov Sum</t>
  </si>
  <si>
    <t>(b)The Contractor's overhead charges and profit in respect of sub-item BM460.06 (a)</t>
  </si>
  <si>
    <t>I</t>
  </si>
  <si>
    <t>M4600</t>
  </si>
  <si>
    <t>TOTAL CARRIED FORWARD TO SUMMARY</t>
  </si>
  <si>
    <t>C2.37</t>
  </si>
  <si>
    <t>ITEM NO</t>
  </si>
  <si>
    <t>DESCRIPTION</t>
  </si>
  <si>
    <t>UNIT</t>
  </si>
  <si>
    <t>QUANTITY</t>
  </si>
  <si>
    <t>RATE</t>
  </si>
  <si>
    <t>AMOUNT</t>
  </si>
  <si>
    <t>M4700</t>
  </si>
  <si>
    <t>MAINTENANCE OF LAY-BYES AND REST AREAS</t>
  </si>
  <si>
    <t/>
  </si>
  <si>
    <t/>
  </si>
  <si>
    <t/>
  </si>
  <si>
    <t/>
  </si>
  <si>
    <t>M470.01</t>
  </si>
  <si>
    <t>Maintenance of lay-byes and rest areas</t>
  </si>
  <si>
    <t>(a) Maintenance of lay-byes and rest areas</t>
  </si>
  <si>
    <t>Prov Sum</t>
  </si>
  <si>
    <t>(b) The Contractor's overhead charges and profit in respect of sub-item M470.01 (a)</t>
  </si>
  <si>
    <t>%</t>
  </si>
  <si>
    <t>Provision of refuse bins, gazebos, tables and chairs</t>
  </si>
  <si>
    <t>(a) Provision of refuse bins</t>
  </si>
  <si>
    <t>Prov Sum</t>
  </si>
  <si>
    <t>BM470.02</t>
  </si>
  <si>
    <t>(b) The Contractor's overhead charges and profit in respect of sub-item BM470.02 (a)</t>
  </si>
  <si>
    <t>%</t>
  </si>
  <si>
    <t/>
  </si>
  <si>
    <t>M4700</t>
  </si>
  <si>
    <t>TOTAL CARRIED FORWARD TO SUMMARY</t>
  </si>
  <si>
    <t>C2.38</t>
  </si>
  <si>
    <t>ITEM NO</t>
  </si>
  <si>
    <t>DESCRIPTION</t>
  </si>
  <si>
    <t>UNIT</t>
  </si>
  <si>
    <t>QUANTITY</t>
  </si>
  <si>
    <t>RATE</t>
  </si>
  <si>
    <t>AMOUNT</t>
  </si>
  <si>
    <t>M5100</t>
  </si>
  <si>
    <t>GENERAL EROSION PROTECTION</t>
  </si>
  <si>
    <t>M510.01</t>
  </si>
  <si>
    <t>Stone pitching</t>
  </si>
  <si>
    <t>(a) Plain pitching</t>
  </si>
  <si>
    <t>(i) Method 1</t>
  </si>
  <si>
    <t>m2</t>
  </si>
  <si>
    <t>(ii) Method 2</t>
  </si>
  <si>
    <t>m2</t>
  </si>
  <si>
    <t>(b) Grouted pitching</t>
  </si>
  <si>
    <t>m2</t>
  </si>
  <si>
    <t>(c) Wired-and-grouted pitching</t>
  </si>
  <si>
    <t>m2</t>
  </si>
  <si>
    <t>(d) Grouted pitching on a concrete bed (75mm thick, 20/19 MPa concrete)</t>
  </si>
  <si>
    <t>m2</t>
  </si>
  <si>
    <t>M510.02</t>
  </si>
  <si>
    <t>Riprap</t>
  </si>
  <si>
    <t>(a) Packed riprap</t>
  </si>
  <si>
    <t>m3</t>
  </si>
  <si>
    <t>(b) Dumped riprap</t>
  </si>
  <si>
    <t>m3</t>
  </si>
  <si>
    <t>(c ) Filter backing</t>
  </si>
  <si>
    <t>(i) Crushed stone</t>
  </si>
  <si>
    <t>m3</t>
  </si>
  <si>
    <t>(ii) Filter sand</t>
  </si>
  <si>
    <t>m3</t>
  </si>
  <si>
    <t>(d) Synthetic-fibre filter fabric (Grade 2)</t>
  </si>
  <si>
    <t>m2</t>
  </si>
  <si>
    <t>M510.03</t>
  </si>
  <si>
    <t>Stone masonry walls</t>
  </si>
  <si>
    <t>(a) Plain packed stone</t>
  </si>
  <si>
    <t>m3</t>
  </si>
  <si>
    <t>(b) Cement-mortared stone walls</t>
  </si>
  <si>
    <t>m3</t>
  </si>
  <si>
    <t>M510.04</t>
  </si>
  <si>
    <t>Concrete pitching and block paving</t>
  </si>
  <si>
    <t>(a)Cast in situ concrete pitching (75mm, 20/19 Mpa concrete)</t>
  </si>
  <si>
    <t>m2</t>
  </si>
  <si>
    <t>(b)Segmented block paving (60mm thick blocks)</t>
  </si>
  <si>
    <t>m2</t>
  </si>
  <si>
    <t>(c)Prefabricated concrete grass blocks</t>
  </si>
  <si>
    <t>m2</t>
  </si>
  <si>
    <t>(d)Prefabricated concrete paving blocks for a sidewalk pavement (60mm thick paving blocks)</t>
  </si>
  <si>
    <t>m2</t>
  </si>
  <si>
    <t>M5100</t>
  </si>
  <si>
    <t>TOTAL CARRIED FORWARD</t>
  </si>
  <si>
    <t>ITEM NO</t>
  </si>
  <si>
    <t>DESCRIPTION</t>
  </si>
  <si>
    <t>UNIT</t>
  </si>
  <si>
    <t>QUANTITY</t>
  </si>
  <si>
    <t>RATE</t>
  </si>
  <si>
    <t>AMOUNT</t>
  </si>
  <si>
    <t>BROUGHT FORWARD</t>
  </si>
  <si>
    <t>M510.05</t>
  </si>
  <si>
    <t>Concrete edge beams (20 Mpa concrete)</t>
  </si>
  <si>
    <t>m3</t>
  </si>
  <si>
    <t>M510.06</t>
  </si>
  <si>
    <t>Foundation trenches</t>
  </si>
  <si>
    <t>m3</t>
  </si>
  <si>
    <t>M510.07</t>
  </si>
  <si>
    <t>Spraying of vegetation destroyer and ant poison</t>
  </si>
  <si>
    <t>(a) Herbicide</t>
  </si>
  <si>
    <t>(i)Selective</t>
  </si>
  <si>
    <t>l</t>
  </si>
  <si>
    <t>(ii)Non-selective</t>
  </si>
  <si>
    <t>l</t>
  </si>
  <si>
    <t>(b) Ant poison</t>
  </si>
  <si>
    <t>l</t>
  </si>
  <si>
    <t>M5100</t>
  </si>
  <si>
    <t>TOTAL CARRIED FORWARD TO SUMMARY</t>
  </si>
  <si>
    <t>C2.40</t>
  </si>
  <si>
    <t>ITEM NO</t>
  </si>
  <si>
    <t>DESCRIPTION</t>
  </si>
  <si>
    <t>UNIT</t>
  </si>
  <si>
    <t>QUANTITY</t>
  </si>
  <si>
    <t>RATE</t>
  </si>
  <si>
    <t>AMOUNT</t>
  </si>
  <si>
    <t>M5200</t>
  </si>
  <si>
    <t>GABION PROTECTION</t>
  </si>
  <si>
    <t>M520.01</t>
  </si>
  <si>
    <t>Foundation trench excavation and backfilling</t>
  </si>
  <si>
    <t>(a)In solid rock (material which requires blasting)</t>
  </si>
  <si>
    <t>m3</t>
  </si>
  <si>
    <t>(b)In all other classes of material</t>
  </si>
  <si>
    <t>m3</t>
  </si>
  <si>
    <t>M520.02</t>
  </si>
  <si>
    <t>Surface preparation for bedding the gabions</t>
  </si>
  <si>
    <t>m2</t>
  </si>
  <si>
    <t>M520.03</t>
  </si>
  <si>
    <t>Gabions</t>
  </si>
  <si>
    <t>(a) Gabion baskets (2m x 1m x1m)</t>
  </si>
  <si>
    <t>m3</t>
  </si>
  <si>
    <t>80 - 100mm mesh</t>
  </si>
  <si>
    <t>(b) Gabion mattresses (4m x 2m x 0.3m)</t>
  </si>
  <si>
    <t>m3</t>
  </si>
  <si>
    <t>80 - 100mm mesh</t>
  </si>
  <si>
    <t>Extra over item M520.03 for supplying gabions with PVC-</t>
  </si>
  <si>
    <t>M520.04</t>
  </si>
  <si>
    <t>coated wire</t>
  </si>
  <si>
    <t>m3</t>
  </si>
  <si>
    <t>M520.05</t>
  </si>
  <si>
    <t>Filter fabric (Grade 2)</t>
  </si>
  <si>
    <t>m2</t>
  </si>
  <si>
    <t>M5200</t>
  </si>
  <si>
    <t>TOTAL CARRIED FORWARD TO SUMMARY</t>
  </si>
  <si>
    <t>C2.41</t>
  </si>
  <si>
    <t>ITEM NO</t>
  </si>
  <si>
    <t>DESCRIPTION</t>
  </si>
  <si>
    <t>UNIT</t>
  </si>
  <si>
    <t>QUANTITY</t>
  </si>
  <si>
    <t>RATE</t>
  </si>
  <si>
    <t>AMOUNT</t>
  </si>
  <si>
    <t>M6100</t>
  </si>
  <si>
    <t>GRASS CUTTING: SHOULDER AND GENERAL MOWING</t>
  </si>
  <si>
    <t>Shoulder mowing including designated areas and removal of</t>
  </si>
  <si>
    <t>BM610.01</t>
  </si>
  <si>
    <t>grass cuttings grass cuttings</t>
  </si>
  <si>
    <t>(a)Reserve with dual carriageway</t>
  </si>
  <si>
    <t>Various road sections as descibed under C3.1.2.1 : Description of site</t>
  </si>
  <si>
    <t>No</t>
  </si>
  <si>
    <t>(b)Reserve with single carriageway</t>
  </si>
  <si>
    <t>Various road sections as descibed under C3.1.2.1 : Description of site</t>
  </si>
  <si>
    <t>No</t>
  </si>
  <si>
    <t>BM610.02</t>
  </si>
  <si>
    <t>General mowing and removal of grass cuttings</t>
  </si>
  <si>
    <t>(a)Reserve with dual carriageway</t>
  </si>
  <si>
    <t>Various road sections as descibed under C3.1.2.1 : Description of site</t>
  </si>
  <si>
    <t>No</t>
  </si>
  <si>
    <t>(b)Reserve with single carriageway</t>
  </si>
  <si>
    <t>Various road sections as descibed under C3.1.2.1 : Description of site</t>
  </si>
  <si>
    <t>No</t>
  </si>
  <si>
    <t>BM611.01</t>
  </si>
  <si>
    <t>Cutting of designated areas</t>
  </si>
  <si>
    <t>(a) Sight triangle at intersections, road signs and marker boards at the following section and interchanges</t>
  </si>
  <si>
    <t>Various road sections as descibed under C3.1.2.1 : Description of site</t>
  </si>
  <si>
    <t>No</t>
  </si>
  <si>
    <t>M 611.02</t>
  </si>
  <si>
    <t>Additional cutting</t>
  </si>
  <si>
    <t>(a)Any area on instruction of the Engineer</t>
  </si>
  <si>
    <t>m2</t>
  </si>
  <si>
    <t>(b)Cut next to fence line (1,5m)</t>
  </si>
  <si>
    <t>km</t>
  </si>
  <si>
    <t>(c)
1m cut either side of concrete drains</t>
  </si>
  <si>
    <t>km</t>
  </si>
  <si>
    <t>M6100</t>
  </si>
  <si>
    <t>TOTAL CARRIED FORWARD TO SUMMARY</t>
  </si>
  <si>
    <t>ITEM NO</t>
  </si>
  <si>
    <t>DESCRIPTION</t>
  </si>
  <si>
    <t>UNIT</t>
  </si>
  <si>
    <t>QUANTITY</t>
  </si>
  <si>
    <t>RATE</t>
  </si>
  <si>
    <t>AMOUNT</t>
  </si>
  <si>
    <t>CHEMICAL CONTROL OF VEGETATION AND</t>
  </si>
  <si>
    <t>M6200</t>
  </si>
  <si>
    <t>ERADICATION OF UNDESIRABLE VEGETATION</t>
  </si>
  <si>
    <t>BM620.01</t>
  </si>
  <si>
    <t>Annual chemical eradication of undesirable vegetation</t>
  </si>
  <si>
    <t>(a)Reserve with dual carriageway</t>
  </si>
  <si>
    <t>Various road sections as descibed under C3.1.2.1 : Description of site</t>
  </si>
  <si>
    <t>No</t>
  </si>
  <si>
    <t>(b)Reserve with single carriageway</t>
  </si>
  <si>
    <t>No</t>
  </si>
  <si>
    <t>Various road sections as descibed under C3.1.2.1 :</t>
  </si>
  <si>
    <t>Description of site</t>
  </si>
  <si>
    <t>BM620.02</t>
  </si>
  <si>
    <t>Additional chemical control of vegetation and eradication of undesirable vegetation on instruction of the Engineer</t>
  </si>
  <si>
    <t>(a)Isolated areas</t>
  </si>
  <si>
    <t>m2</t>
  </si>
  <si>
    <t>(b)Dense areas (areas more than 20% infested)</t>
  </si>
  <si>
    <t>ha</t>
  </si>
  <si>
    <t>(c)Shoulder weedspray</t>
  </si>
  <si>
    <t>km</t>
  </si>
  <si>
    <t>(d)Extra over sub-item BM620.02 (c) under guardrails</t>
  </si>
  <si>
    <t>km</t>
  </si>
  <si>
    <t>(e)Between road reserve fence and neighbouring solid wall</t>
  </si>
  <si>
    <t>m2</t>
  </si>
  <si>
    <t>(f)Around road signs, marker boards and traffic count stations</t>
  </si>
  <si>
    <t>No</t>
  </si>
  <si>
    <t>(i)Reserve with dual carriageway</t>
  </si>
  <si>
    <t>Various road sections as descibed under C3.1.2.1 : Description of site</t>
  </si>
  <si>
    <t>No</t>
  </si>
  <si>
    <t>(ii)Reserve with single carriageway</t>
  </si>
  <si>
    <t>Various road sections as descibed under C3.1.2.1 : Description of site</t>
  </si>
  <si>
    <t>No</t>
  </si>
  <si>
    <t>TOTAL CARRIED FORWARD</t>
  </si>
  <si>
    <t>ITEM NO</t>
  </si>
  <si>
    <t>DESCRIPTION</t>
  </si>
  <si>
    <t>UNIT</t>
  </si>
  <si>
    <t>QUANTITY</t>
  </si>
  <si>
    <t>RATE</t>
  </si>
  <si>
    <t>AMOUNT</t>
  </si>
  <si>
    <t>BROUGHT FORWARD</t>
  </si>
  <si>
    <t>(g) Openings, cracks and joints on concrete channels, lay-byes and block paved areas, and joints between the road pavement and concrete channels</t>
  </si>
  <si>
    <t>(i) Reserve with dual carriageway</t>
  </si>
  <si>
    <t>Various road sections as descibed under C3.1.2.1 : Description of site</t>
  </si>
  <si>
    <t>No</t>
  </si>
  <si>
    <t>(ii) Reserve with single carriageway</t>
  </si>
  <si>
    <t>Various road sections as descibed under C3.1.2.1 : Description of site</t>
  </si>
  <si>
    <t>No</t>
  </si>
  <si>
    <t>M6200</t>
  </si>
  <si>
    <t>TOTAL CARRIED FORWARD TO SUMMARY</t>
  </si>
  <si>
    <t>C2.44</t>
  </si>
  <si>
    <t>ITEM NO</t>
  </si>
  <si>
    <t>DESCRIPTION</t>
  </si>
  <si>
    <t>UNIT</t>
  </si>
  <si>
    <t>QUANTITY</t>
  </si>
  <si>
    <t>RATE</t>
  </si>
  <si>
    <t>AMOUNT</t>
  </si>
  <si>
    <t>M6300</t>
  </si>
  <si>
    <t>REMOVAL OF UNDESIRABLE VEGETATION: PHYSICAL ERADICATION</t>
  </si>
  <si>
    <t>BM630.01</t>
  </si>
  <si>
    <t>Eradication of undesirable vegetation</t>
  </si>
  <si>
    <t>(b) Annual eradication</t>
  </si>
  <si>
    <t>Various road sections as descibed under C3.1.2.1 : Description of site</t>
  </si>
  <si>
    <t>No</t>
  </si>
  <si>
    <t>M630.02</t>
  </si>
  <si>
    <t>Tree felling on instruction of the Engineer</t>
  </si>
  <si>
    <t>(a)Girth 151 mm to 500 mm</t>
  </si>
  <si>
    <t>No</t>
  </si>
  <si>
    <t>(b)Girth 501 mm to 1 000 mm</t>
  </si>
  <si>
    <t>No</t>
  </si>
  <si>
    <t>(c ) Girth 1 001 mm to 2 000 mm</t>
  </si>
  <si>
    <t>No</t>
  </si>
  <si>
    <t>(d) Girth 2 001 mm to 4 000 mm</t>
  </si>
  <si>
    <t>No</t>
  </si>
  <si>
    <t>(e ) Girth larger than 4 000 mm</t>
  </si>
  <si>
    <t>No</t>
  </si>
  <si>
    <t>M630.03</t>
  </si>
  <si>
    <t>Burning of fire breaks per operation</t>
  </si>
  <si>
    <t>(a) 5 m wide fire breaks in median</t>
  </si>
  <si>
    <t>Various road sections as descibed under C3.1.2.1 : Description of site</t>
  </si>
  <si>
    <t>No</t>
  </si>
  <si>
    <t>M630.04</t>
  </si>
  <si>
    <t>Additional eradication of undesirable vegetation on instruction of the Engineer</t>
  </si>
  <si>
    <t>ha</t>
  </si>
  <si>
    <t>TOTAL CARRIED FORWARD</t>
  </si>
  <si>
    <t>C2.45</t>
  </si>
  <si>
    <t>ITEM NO</t>
  </si>
  <si>
    <t>DESCRIPTION</t>
  </si>
  <si>
    <t>UNIT</t>
  </si>
  <si>
    <t>QUANTITY</t>
  </si>
  <si>
    <t>RATE</t>
  </si>
  <si>
    <t>AMOUNT</t>
  </si>
  <si>
    <t>M6400</t>
  </si>
  <si>
    <t>MAINTENANCE AND ESTABLISHMENT OF PLANTS,</t>
  </si>
  <si>
    <t>TREES AND SHRUBS</t>
  </si>
  <si>
    <t>M640.01</t>
  </si>
  <si>
    <t>Hoeing around trees and shrubs</t>
  </si>
  <si>
    <t>(a)Trees/shrubs up to 20 m apart</t>
  </si>
  <si>
    <t>No</t>
  </si>
  <si>
    <t>(b)Trees/shrubs between 20 m and 100 m apart</t>
  </si>
  <si>
    <t>No</t>
  </si>
  <si>
    <t>(c)Trees/shrubs more than 100 m apart</t>
  </si>
  <si>
    <t>No</t>
  </si>
  <si>
    <t>M640.02</t>
  </si>
  <si>
    <t>Trimming of shrubs and hedges</t>
  </si>
  <si>
    <t>(a) Annual trimming of shrubs and hedges</t>
  </si>
  <si>
    <t>Various road sections as descibed under C3.1.2.1 : Description of site</t>
  </si>
  <si>
    <t>No</t>
  </si>
  <si>
    <t>M640.03</t>
  </si>
  <si>
    <t>Fertilising of established plants</t>
  </si>
  <si>
    <t>No</t>
  </si>
  <si>
    <t>M640.04</t>
  </si>
  <si>
    <t>Preparing plant holes</t>
  </si>
  <si>
    <t>(a)Trees</t>
  </si>
  <si>
    <t>No</t>
  </si>
  <si>
    <t>(b)Shrubs and hedge plants</t>
  </si>
  <si>
    <t>No</t>
  </si>
  <si>
    <t>BM640.05</t>
  </si>
  <si>
    <t>Supply of trees, shrubs and hedge plants</t>
  </si>
  <si>
    <t>(a)Supply of trees, shrubs and hedge plants</t>
  </si>
  <si>
    <t>Prov Sum</t>
  </si>
  <si>
    <t>(b)The Contractor's overhead charges and profit in respect of sub-item BM640.05 (a)</t>
  </si>
  <si>
    <t>%</t>
  </si>
  <si>
    <t>M640.06</t>
  </si>
  <si>
    <t>Watering trees, shrubs and grass</t>
  </si>
  <si>
    <t>kl</t>
  </si>
  <si>
    <t>BM640.07</t>
  </si>
  <si>
    <t>Trimming of trees on instruction of the Engineer</t>
  </si>
  <si>
    <t>No</t>
  </si>
  <si>
    <t>M6400</t>
  </si>
  <si>
    <t>TOTAL CARRIED FORWARD TO SUMMARY</t>
  </si>
  <si>
    <t>C2.47</t>
  </si>
  <si>
    <t>ITEM NO</t>
  </si>
  <si>
    <t>DESCRIPTION</t>
  </si>
  <si>
    <t>UNIT</t>
  </si>
  <si>
    <t>QUANTITY</t>
  </si>
  <si>
    <t>RATE</t>
  </si>
  <si>
    <t>AMOUNT</t>
  </si>
  <si>
    <t>M7100</t>
  </si>
  <si>
    <t>EMERGENCY STANDBY TEAM</t>
  </si>
  <si>
    <t>M710.01</t>
  </si>
  <si>
    <t>Emergency standby</t>
  </si>
  <si>
    <t>(a)Emergency team on standby</t>
  </si>
  <si>
    <t>month</t>
  </si>
  <si>
    <t>(b)Emergency equipment on standby</t>
  </si>
  <si>
    <t>month</t>
  </si>
  <si>
    <t>(c)Call-out cost</t>
  </si>
  <si>
    <t>km</t>
  </si>
  <si>
    <t>M7100</t>
  </si>
  <si>
    <t>TOTAL CARRIED FORWARD TO SUMMARY</t>
  </si>
  <si>
    <t>C2.48</t>
  </si>
  <si>
    <t>ITEM NO</t>
  </si>
  <si>
    <t>DESCRIPTION</t>
  </si>
  <si>
    <t>UNIT</t>
  </si>
  <si>
    <t>QUANTITY</t>
  </si>
  <si>
    <t>RATE</t>
  </si>
  <si>
    <t>AMOUNT</t>
  </si>
  <si>
    <t>M7200                    BM720.01</t>
  </si>
  <si>
    <t>ALL-EMERGENCY NORMALISATION</t>
  </si>
  <si>
    <t>All-emergency normalisation</t>
  </si>
  <si>
    <t>(a)Accident restoration and clearing of spillages</t>
  </si>
  <si>
    <t>hour</t>
  </si>
  <si>
    <t>(b)Sheltering of animals</t>
  </si>
  <si>
    <t>hour</t>
  </si>
  <si>
    <t>(c)Fire fighting</t>
  </si>
  <si>
    <t>hour</t>
  </si>
  <si>
    <t>(d)Safeguarding of dangerous area</t>
  </si>
  <si>
    <t>hour</t>
  </si>
  <si>
    <t>BM720.02</t>
  </si>
  <si>
    <t>Procurement of materials</t>
  </si>
  <si>
    <t>(a)Procurement of materials</t>
  </si>
  <si>
    <t>Prov Sum</t>
  </si>
  <si>
    <t>(b)The Contractor's overhead charges and profit in respect of sub-item BM720.02 (a)</t>
  </si>
  <si>
    <t>%</t>
  </si>
  <si>
    <t>M7200</t>
  </si>
  <si>
    <t>TOTAL CARRIED FORWARD TO SUMMARY</t>
  </si>
  <si>
    <t>C2.49</t>
  </si>
  <si>
    <t>ITEM NO</t>
  </si>
  <si>
    <t>DESCRIPTION</t>
  </si>
  <si>
    <t>UNIT</t>
  </si>
  <si>
    <t>QUANTITY</t>
  </si>
  <si>
    <t>RATE</t>
  </si>
  <si>
    <t>AMOUNT</t>
  </si>
  <si>
    <t>M8100</t>
  </si>
  <si>
    <t>MINOR REPAIRS TO STRUCTURES</t>
  </si>
  <si>
    <t>M810.01</t>
  </si>
  <si>
    <t>Minor repairs to structures</t>
  </si>
  <si>
    <t>(a)Minor repairs to structures</t>
  </si>
  <si>
    <t>Prov Sum</t>
  </si>
  <si>
    <t>(b)The Contractor's overhead charges and profit in respect of sub-item M810.01 (a)</t>
  </si>
  <si>
    <t>%</t>
  </si>
  <si>
    <t>M8100</t>
  </si>
  <si>
    <t>TOTAL CARRIED FORWARD TO SUMMARY</t>
  </si>
  <si>
    <t>C2.50</t>
  </si>
  <si>
    <t>ITEM NO</t>
  </si>
  <si>
    <t>DESCRIPTION</t>
  </si>
  <si>
    <t>UNIT</t>
  </si>
  <si>
    <t>QUANTITY</t>
  </si>
  <si>
    <t>RATE</t>
  </si>
  <si>
    <t>AMOUNT</t>
  </si>
  <si>
    <t>M9100</t>
  </si>
  <si>
    <t>DAYWORKS SCHEDULE</t>
  </si>
  <si>
    <t>BM910.01</t>
  </si>
  <si>
    <t>Labour during normal working hours</t>
  </si>
  <si>
    <t>(a)Unskilled</t>
  </si>
  <si>
    <t>h</t>
  </si>
  <si>
    <t>(b)Semi-skilled</t>
  </si>
  <si>
    <t>h</t>
  </si>
  <si>
    <t>(c)Skilled</t>
  </si>
  <si>
    <t>h</t>
  </si>
  <si>
    <t>(d)Ganger</t>
  </si>
  <si>
    <t>h</t>
  </si>
  <si>
    <t>(e)Flagmen</t>
  </si>
  <si>
    <t>h</t>
  </si>
  <si>
    <t>(f)Surveyor</t>
  </si>
  <si>
    <t>h</t>
  </si>
  <si>
    <t>(g)Travel of surveyor</t>
  </si>
  <si>
    <t>h</t>
  </si>
  <si>
    <t>M910.02</t>
  </si>
  <si>
    <t>Labour outside normal working hours</t>
  </si>
  <si>
    <t>(a) Outside normal working hours and Saturdays</t>
  </si>
  <si>
    <t>(i)Unskilled</t>
  </si>
  <si>
    <t>h</t>
  </si>
  <si>
    <t>(ii)Semi-skilled</t>
  </si>
  <si>
    <t>h</t>
  </si>
  <si>
    <t>(iii)Skilled</t>
  </si>
  <si>
    <t>h</t>
  </si>
  <si>
    <t>(iv)Ganger</t>
  </si>
  <si>
    <t>h</t>
  </si>
  <si>
    <t>(v)Flagmen</t>
  </si>
  <si>
    <t>h</t>
  </si>
  <si>
    <t>(b) Sundays and public holidays</t>
  </si>
  <si>
    <t>(i)Unskilled</t>
  </si>
  <si>
    <t>h</t>
  </si>
  <si>
    <t>(ii)Semi-skilled</t>
  </si>
  <si>
    <t>h</t>
  </si>
  <si>
    <t>(iii)Skilled</t>
  </si>
  <si>
    <t>h</t>
  </si>
  <si>
    <t>(iv)Ganger</t>
  </si>
  <si>
    <t>h</t>
  </si>
  <si>
    <t>(v)]Flagmen</t>
  </si>
  <si>
    <t>h</t>
  </si>
  <si>
    <t>BM910.03</t>
  </si>
  <si>
    <t>Transport and equipment</t>
  </si>
  <si>
    <t>(a) Tipper Trucks</t>
  </si>
  <si>
    <t>(i)3 to 5 ton capacity</t>
  </si>
  <si>
    <t>h</t>
  </si>
  <si>
    <t>(ii)More than 5 ton capacity</t>
  </si>
  <si>
    <t>h</t>
  </si>
  <si>
    <t>(b) TLB - Tractor, loader, backhoe (0.5m3 bucket)</t>
  </si>
  <si>
    <t>h</t>
  </si>
  <si>
    <t>(c ) Grader (CAT 140 G or similar)</t>
  </si>
  <si>
    <t>h</t>
  </si>
  <si>
    <t>(d) Compactor (Bomag BW 90)</t>
  </si>
  <si>
    <t>h</t>
  </si>
  <si>
    <t>TOTAL CARRIED FORWARD</t>
  </si>
  <si>
    <t>ITEM NO</t>
  </si>
  <si>
    <t>DESCRIPTION</t>
  </si>
  <si>
    <t>UNIT</t>
  </si>
  <si>
    <t>QUANTITY</t>
  </si>
  <si>
    <t>RATE</t>
  </si>
  <si>
    <t>AMOUNT</t>
  </si>
  <si>
    <t>BROUGHT FORWARD</t>
  </si>
  <si>
    <t>(e)Water truck (5 000 litre)</t>
  </si>
  <si>
    <t>h</t>
  </si>
  <si>
    <t>(f)Mechanical broom</t>
  </si>
  <si>
    <t>h</t>
  </si>
  <si>
    <t>(g)Tractor-trailer combination (43 kW, 3 ton min.)</t>
  </si>
  <si>
    <t>h</t>
  </si>
  <si>
    <t>(h)Suitable truck/bus for transporting labourers</t>
  </si>
  <si>
    <t>h</t>
  </si>
  <si>
    <t>(40 seater)</t>
  </si>
  <si>
    <t>(i)Safety vehicle for pre-marking purposes</t>
  </si>
  <si>
    <t>h</t>
  </si>
  <si>
    <t>(j)Compressor (air) including hoses and tools(up to</t>
  </si>
  <si>
    <t>h</t>
  </si>
  <si>
    <t>10m3/min)</t>
  </si>
  <si>
    <t>(k)Dewatering pump including generators and accessories (500l/min)</t>
  </si>
  <si>
    <t>h</t>
  </si>
  <si>
    <t>(l)Mobile electric welding sets and accessories (up to</t>
  </si>
  <si>
    <t>h</t>
  </si>
  <si>
    <t>10kw, 50-90 amps)</t>
  </si>
  <si>
    <t>(m)Cutting torch with mobile electric &amp; oxy acetylene installation</t>
  </si>
  <si>
    <t>h</t>
  </si>
  <si>
    <t>(n)Mobile concrete mixers (150l)</t>
  </si>
  <si>
    <t>h</t>
  </si>
  <si>
    <t>(o)Flat bed truck (6 ton)</t>
  </si>
  <si>
    <t>h</t>
  </si>
  <si>
    <t>(p)Light delivery vehicle (LDV)</t>
  </si>
  <si>
    <t>h</t>
  </si>
  <si>
    <t>(q)Centremount cranes (20ton)</t>
  </si>
  <si>
    <t>h</t>
  </si>
  <si>
    <t>(r)Portable generator set</t>
  </si>
  <si>
    <t>h</t>
  </si>
  <si>
    <t>(s)Establishment of a TLB - Tractor, loader, backhoe</t>
  </si>
  <si>
    <t>No</t>
  </si>
  <si>
    <t>(0.5m3 bucket)</t>
  </si>
  <si>
    <t>(t)Establishment of grader (CAT 140 G or similar)</t>
  </si>
  <si>
    <t>No</t>
  </si>
  <si>
    <t>(u)Sky-jack 5m</t>
  </si>
  <si>
    <t>h</t>
  </si>
  <si>
    <t>(v)Wood chipper (capacity 100mm branches)</t>
  </si>
  <si>
    <t>h</t>
  </si>
  <si>
    <t>(w)Stump grinder</t>
  </si>
  <si>
    <t>h</t>
  </si>
  <si>
    <t>(x)Electrical drill (chuck &gt; 10mm, min 1000W)</t>
  </si>
  <si>
    <t>h</t>
  </si>
  <si>
    <t>(y) Bobcat</t>
  </si>
  <si>
    <t>h</t>
  </si>
  <si>
    <t>20</t>
  </si>
  <si>
    <t>M9100</t>
  </si>
  <si>
    <t>TOTAL CARRIED FORWARD</t>
  </si>
  <si>
    <t>ITEM NO</t>
  </si>
  <si>
    <t>DESCRIPTION</t>
  </si>
  <si>
    <t>UNIT</t>
  </si>
  <si>
    <t>QUANTITY</t>
  </si>
  <si>
    <t>RATE</t>
  </si>
  <si>
    <t>AMOUNT</t>
  </si>
  <si>
    <t>BROUGHT FORWARD</t>
  </si>
  <si>
    <t>M910.04</t>
  </si>
  <si>
    <t>Procurement of materials</t>
  </si>
  <si>
    <t>(a)Procurement of materials</t>
  </si>
  <si>
    <t>Prov Sum</t>
  </si>
  <si>
    <t>(b)The Contractor's overhead charges and profit in respect of sub-item BM910.04 (a)</t>
  </si>
  <si>
    <t>%</t>
  </si>
  <si>
    <t>BM910.05</t>
  </si>
  <si>
    <t>Extra over item M910.03 for establishment within 24 hours</t>
  </si>
  <si>
    <t>(a) Tipper trucks</t>
  </si>
  <si>
    <t>(i)3 to 5 ton capacity</t>
  </si>
  <si>
    <t>No</t>
  </si>
  <si>
    <t>(ii)More than 5 ton capacity</t>
  </si>
  <si>
    <t>No</t>
  </si>
  <si>
    <t>(b) TLB - Tractor, loader, backhoe (0.5m3 bucket)</t>
  </si>
  <si>
    <t>No</t>
  </si>
  <si>
    <t>(c) Dewatering pump including generators and accessories (500l/min)</t>
  </si>
  <si>
    <t>No</t>
  </si>
  <si>
    <t>(d) Water truck (5000 litre)</t>
  </si>
  <si>
    <t>No</t>
  </si>
  <si>
    <t>BM910.06</t>
  </si>
  <si>
    <t>Repairs to road network</t>
  </si>
  <si>
    <t>(a)Repairs to road network</t>
  </si>
  <si>
    <t>Prov Sum</t>
  </si>
  <si>
    <t>(b)The Contractor's overhead charges and profit in respect of sub-item BM910.06 (a)</t>
  </si>
  <si>
    <t>%</t>
  </si>
  <si>
    <t>BM910.07</t>
  </si>
  <si>
    <t>Providing of security guards on site</t>
  </si>
  <si>
    <t>(a)Providing of security guards on site</t>
  </si>
  <si>
    <t>Prov Sum</t>
  </si>
  <si>
    <t>(b)The Contractor’s overhead charges and profit in respect of sub-item BM910.07 (a)</t>
  </si>
  <si>
    <t>%</t>
  </si>
  <si>
    <t>M9100</t>
  </si>
  <si>
    <t>TOTAL CARRIED FORWARD TO SUMMARY</t>
  </si>
  <si>
    <t>C2.53</t>
  </si>
  <si>
    <t>Rate Only</t>
  </si>
  <si>
    <t>CALCULATION OF TENDER SUM</t>
  </si>
  <si>
    <t xml:space="preserve"> </t>
  </si>
  <si>
    <t>EXECUTION OF ROUTINE ROAD MAINTENANCE CONTRACTS ON</t>
  </si>
  <si>
    <t>SELECTED RISFSA CLASS 3 PROVINCIAL ROADS IN IDENTIFIED AREAS OF</t>
  </si>
  <si>
    <t xml:space="preserve">GAUTENG PROVINCE </t>
  </si>
  <si>
    <t>TOTAL PART A : MANAGEMENT SECTION</t>
  </si>
  <si>
    <t>TOTAL PART B : OPERATIONAL SECTION</t>
  </si>
  <si>
    <t>SUB-TOTAL A</t>
  </si>
  <si>
    <t>SUB-TOTAL B</t>
  </si>
  <si>
    <t>TENDER SUM CARRIED FORWARD TO FORM C1.1.1</t>
  </si>
  <si>
    <t>PACKAGE D - CONTRACT D2</t>
  </si>
  <si>
    <t>DM020.06</t>
  </si>
  <si>
    <t xml:space="preserve">Training </t>
  </si>
  <si>
    <t>(a) Engineering skills</t>
  </si>
  <si>
    <t>(b) Genric skills</t>
  </si>
  <si>
    <t>(c) Enterpreneurial skills</t>
  </si>
  <si>
    <t>(d)  Training Venue</t>
  </si>
  <si>
    <t>(e)  Renumeration of worker undergoing training</t>
  </si>
  <si>
    <t xml:space="preserve">(f)  Contractors handling cost and other charges in </t>
  </si>
  <si>
    <t>respect of (a) to (e)</t>
  </si>
  <si>
    <t xml:space="preserve">(a) 25 EPWP Participants </t>
  </si>
  <si>
    <t>(i) Remuneration of EPWP Partcipants</t>
  </si>
  <si>
    <t xml:space="preserve"> AMOUNT</t>
  </si>
  <si>
    <t xml:space="preserve"> EXECUTION OF THE ROUTINE ROAD MAINTENANCE CONTRACTS </t>
  </si>
  <si>
    <t>ON SELECTED RISFSA CLASSES 3 PROVINCIAL ROADS IN IDENTIFIED AREAS OF</t>
  </si>
  <si>
    <t xml:space="preserve">OF GAUTENG PROVINCE </t>
  </si>
  <si>
    <t>SECTION</t>
  </si>
  <si>
    <t>PART A : MANAGEMENT SECTION</t>
  </si>
  <si>
    <t>SUB-TOTAL PART A : MANAGEMENT SECTION</t>
  </si>
  <si>
    <t>PART B : OPERATIONAL SECTION</t>
  </si>
  <si>
    <t>REPAIR OF POTHOLES, EDGE BREAKS AND SURFACE FAILURES</t>
  </si>
  <si>
    <t>CRACK SEALING</t>
  </si>
  <si>
    <t>CRACK AND JOINT SEALING OF CONCRETE PAVEMENTS</t>
  </si>
  <si>
    <t>SURFACE TREATMENT OF SURFACED ROADS</t>
  </si>
  <si>
    <t>M2200</t>
  </si>
  <si>
    <t>SUBSOIL DRAIN INSTALLATION AND MAINTENANCE</t>
  </si>
  <si>
    <t>CONCRETE CHANNEL CONSTRUCTION AND MAINT. OF EXISTING CHANNELS</t>
  </si>
  <si>
    <t>ROAD SIGN CLEANING AND REMOVAL OF ILLEGAL SIGNS</t>
  </si>
  <si>
    <t>ROAD MARKINGS</t>
  </si>
  <si>
    <t>CONTROLLING VEGETATION GROWTH: MOWING AND CUTTING</t>
  </si>
  <si>
    <t>CHEMICAL CONTROL OF VEG. AND ERADICATION OF UNDESIRABLE VEGETATION</t>
  </si>
  <si>
    <t>MAINTENANCE AND ESTABLISHMENT OF PLANTS, TREES AND SHRUBS</t>
  </si>
  <si>
    <t>SUB-TOTAL PART B : OPERATIONAL SECTION</t>
  </si>
  <si>
    <t>TOTAL SCHEDULE A: ROUTINE ROAD MAINTENANCE</t>
  </si>
  <si>
    <t>TENDER NUMBER: DRT 31 D2/09/2019</t>
  </si>
  <si>
    <t>VAT AT 15%</t>
  </si>
  <si>
    <t xml:space="preserve">PLUS 20%  FOR CPA  &amp; SPECIAL MATERIALS </t>
  </si>
  <si>
    <t>(b)  Occupational health and safety obligations including adherence to all COVID 19 protocols wrt PPE,transportation of workers,hygiene protocols,access to site , compliance  checking&amp;monitoring etc</t>
  </si>
  <si>
    <t>PACKAGE D - Contract D2</t>
  </si>
  <si>
    <t>PACKAGE C - CONTRACT D2</t>
  </si>
  <si>
    <t>Maintenace of Traffic SIGNAL</t>
  </si>
  <si>
    <t>(ii)Handeling cost &amp; profit in respect sub-item DM030.12(a)(i)</t>
  </si>
  <si>
    <t>TENDER NUMBER: DRT D2_P08/02/2025</t>
  </si>
  <si>
    <t>TENDER NUMBER:DRT D2_P08/02/2025</t>
  </si>
  <si>
    <t xml:space="preserve">Site establishment </t>
  </si>
  <si>
    <t>Monthly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</si>
</sst>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0000.00"/>
    <numFmt numFmtId="166" formatCode="&quot;DM&quot;#,##0.00;&quot;DM&quot;\-#,##0.00"/>
    <numFmt numFmtId="167" formatCode="00000.00"/>
    <numFmt numFmtId="168" formatCode="#,##0.00;[Red]#,##0.00"/>
    <numFmt numFmtId="169" formatCode="###\ ###\ ##0.00"/>
  </numFmts>
  <fonts count="27" x14ac:knownFonts="1">
    <font>
      <sz val="10"/>
      <color rgb="FF000000"/>
      <name val="Times New Roman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9"/>
      <color rgb="FF000000"/>
      <name val="Arial"/>
      <family val="2"/>
    </font>
    <font>
      <b/>
      <sz val="9"/>
      <color rgb="FF000000"/>
      <name val="Calibri"/>
      <family val="2"/>
    </font>
    <font>
      <sz val="10"/>
      <color rgb="FF00000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u/>
      <sz val="9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Arabic Typesetting"/>
      <family val="4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b/>
      <sz val="12"/>
      <color rgb="FF000000"/>
      <name val="Calibri"/>
      <family val="2"/>
    </font>
    <font>
      <sz val="10"/>
      <name val="Calibri"/>
      <family val="2"/>
    </font>
    <font>
      <b/>
      <sz val="10"/>
      <name val="Arial"/>
      <family val="2"/>
    </font>
    <font>
      <b/>
      <u/>
      <sz val="9"/>
      <color rgb="FF000000"/>
      <name val="Arial"/>
      <family val="2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Calibri"/>
      <family val="2"/>
    </font>
    <font>
      <sz val="14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3" fontId="8" fillId="0" borderId="47" applyProtection="0"/>
    <xf numFmtId="0" fontId="1" fillId="0" borderId="0" applyAlignment="0"/>
    <xf numFmtId="9" fontId="10" fillId="0" borderId="0" applyFont="0" applyFill="0" applyBorder="0" applyAlignment="0" applyProtection="0"/>
  </cellStyleXfs>
  <cellXfs count="682">
    <xf numFmtId="0" fontId="0" fillId="0" borderId="0" xfId="0"/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right" vertical="center"/>
    </xf>
    <xf numFmtId="169" fontId="6" fillId="0" borderId="0" xfId="2" applyNumberFormat="1" applyFont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7" fillId="0" borderId="48" xfId="0" applyFont="1" applyBorder="1" applyAlignment="1">
      <alignment horizontal="left" vertical="center"/>
    </xf>
    <xf numFmtId="0" fontId="7" fillId="0" borderId="49" xfId="0" applyFont="1" applyBorder="1" applyAlignment="1">
      <alignment horizontal="right" vertical="top"/>
    </xf>
    <xf numFmtId="0" fontId="7" fillId="0" borderId="49" xfId="0" applyFont="1" applyBorder="1" applyAlignment="1">
      <alignment horizontal="center" vertical="top"/>
    </xf>
    <xf numFmtId="0" fontId="6" fillId="0" borderId="49" xfId="0" applyFont="1" applyBorder="1" applyAlignment="1">
      <alignment vertical="top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centerContinuous" vertical="top"/>
    </xf>
    <xf numFmtId="0" fontId="7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" vertical="center"/>
    </xf>
    <xf numFmtId="0" fontId="7" fillId="0" borderId="51" xfId="0" applyFont="1" applyBorder="1" applyAlignment="1">
      <alignment horizontal="left" vertical="center"/>
    </xf>
    <xf numFmtId="0" fontId="7" fillId="0" borderId="52" xfId="0" applyFont="1" applyBorder="1" applyAlignment="1">
      <alignment horizontal="right" vertical="top"/>
    </xf>
    <xf numFmtId="0" fontId="7" fillId="0" borderId="52" xfId="0" applyFont="1" applyBorder="1" applyAlignment="1">
      <alignment horizontal="center" vertical="top"/>
    </xf>
    <xf numFmtId="0" fontId="6" fillId="0" borderId="52" xfId="0" applyFont="1" applyBorder="1" applyAlignment="1">
      <alignment vertical="top"/>
    </xf>
    <xf numFmtId="0" fontId="7" fillId="0" borderId="52" xfId="0" applyFont="1" applyBorder="1" applyAlignment="1">
      <alignment horizontal="center" vertical="center"/>
    </xf>
    <xf numFmtId="0" fontId="7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50" xfId="0" applyFont="1" applyBorder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6" fillId="0" borderId="0" xfId="2" applyNumberFormat="1" applyFont="1" applyBorder="1" applyAlignment="1" applyProtection="1">
      <alignment horizontal="center" vertical="center"/>
    </xf>
    <xf numFmtId="0" fontId="7" fillId="0" borderId="50" xfId="1" applyNumberFormat="1" applyFont="1" applyBorder="1" applyAlignment="1" applyProtection="1">
      <alignment horizontal="left" vertical="top"/>
    </xf>
    <xf numFmtId="0" fontId="7" fillId="0" borderId="0" xfId="1" applyNumberFormat="1" applyFont="1" applyBorder="1" applyAlignment="1" applyProtection="1">
      <alignment horizontal="left" vertical="top"/>
    </xf>
    <xf numFmtId="169" fontId="6" fillId="0" borderId="53" xfId="2" applyNumberFormat="1" applyFont="1" applyBorder="1" applyAlignment="1" applyProtection="1">
      <alignment horizontal="right" vertical="center"/>
    </xf>
    <xf numFmtId="0" fontId="7" fillId="0" borderId="50" xfId="0" applyFont="1" applyBorder="1" applyAlignment="1">
      <alignment vertical="top"/>
    </xf>
    <xf numFmtId="0" fontId="7" fillId="0" borderId="0" xfId="0" applyFont="1" applyAlignment="1">
      <alignment vertical="top"/>
    </xf>
    <xf numFmtId="0" fontId="6" fillId="0" borderId="51" xfId="0" applyFont="1" applyBorder="1" applyAlignment="1">
      <alignment horizontal="left" vertical="center"/>
    </xf>
    <xf numFmtId="0" fontId="7" fillId="0" borderId="52" xfId="1" applyNumberFormat="1" applyFont="1" applyBorder="1" applyAlignment="1" applyProtection="1">
      <alignment horizontal="right" vertical="top"/>
    </xf>
    <xf numFmtId="0" fontId="7" fillId="0" borderId="52" xfId="1" applyNumberFormat="1" applyFont="1" applyBorder="1" applyAlignment="1" applyProtection="1">
      <alignment horizontal="center" vertical="top"/>
    </xf>
    <xf numFmtId="0" fontId="6" fillId="0" borderId="52" xfId="0" applyFont="1" applyBorder="1" applyAlignment="1">
      <alignment horizontal="center" vertical="center"/>
    </xf>
    <xf numFmtId="0" fontId="6" fillId="0" borderId="52" xfId="2" applyNumberFormat="1" applyFont="1" applyBorder="1" applyAlignment="1" applyProtection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9" fontId="6" fillId="0" borderId="55" xfId="2" applyNumberFormat="1" applyFont="1" applyBorder="1" applyAlignment="1" applyProtection="1">
      <alignment horizontal="right" vertical="center"/>
    </xf>
    <xf numFmtId="169" fontId="6" fillId="0" borderId="57" xfId="2" applyNumberFormat="1" applyFont="1" applyBorder="1" applyAlignment="1" applyProtection="1">
      <alignment horizontal="right" vertical="center"/>
    </xf>
    <xf numFmtId="169" fontId="6" fillId="0" borderId="56" xfId="2" applyNumberFormat="1" applyFont="1" applyBorder="1" applyAlignment="1" applyProtection="1">
      <alignment horizontal="right" vertical="center"/>
    </xf>
    <xf numFmtId="0" fontId="7" fillId="0" borderId="0" xfId="3" applyFont="1" applyAlignment="1">
      <alignment vertical="center"/>
    </xf>
    <xf numFmtId="0" fontId="6" fillId="0" borderId="67" xfId="0" applyFont="1" applyBorder="1" applyAlignment="1">
      <alignment horizontal="left" vertical="center"/>
    </xf>
    <xf numFmtId="0" fontId="6" fillId="0" borderId="46" xfId="0" applyFont="1" applyBorder="1" applyAlignment="1">
      <alignment horizontal="right" vertical="top"/>
    </xf>
    <xf numFmtId="0" fontId="7" fillId="0" borderId="68" xfId="0" applyFont="1" applyBorder="1" applyAlignment="1">
      <alignment vertical="top"/>
    </xf>
    <xf numFmtId="0" fontId="6" fillId="0" borderId="68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0" fillId="0" borderId="61" xfId="0" applyBorder="1"/>
    <xf numFmtId="0" fontId="6" fillId="0" borderId="70" xfId="0" applyFont="1" applyBorder="1" applyAlignment="1">
      <alignment horizontal="left" vertical="center"/>
    </xf>
    <xf numFmtId="0" fontId="6" fillId="0" borderId="71" xfId="0" applyFont="1" applyBorder="1" applyAlignment="1">
      <alignment horizontal="right" vertical="top"/>
    </xf>
    <xf numFmtId="0" fontId="6" fillId="0" borderId="72" xfId="0" applyFont="1" applyBorder="1" applyAlignment="1">
      <alignment horizontal="center" vertical="top"/>
    </xf>
    <xf numFmtId="0" fontId="6" fillId="0" borderId="72" xfId="0" applyFont="1" applyBorder="1" applyAlignment="1">
      <alignment vertical="top"/>
    </xf>
    <xf numFmtId="0" fontId="6" fillId="0" borderId="72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4" fontId="6" fillId="0" borderId="73" xfId="0" applyNumberFormat="1" applyFont="1" applyBorder="1"/>
    <xf numFmtId="0" fontId="6" fillId="0" borderId="74" xfId="0" applyFont="1" applyBorder="1" applyAlignment="1">
      <alignment horizontal="center" vertical="top"/>
    </xf>
    <xf numFmtId="0" fontId="7" fillId="0" borderId="71" xfId="0" applyFont="1" applyBorder="1" applyAlignment="1">
      <alignment horizontal="center" vertical="center"/>
    </xf>
    <xf numFmtId="4" fontId="6" fillId="0" borderId="76" xfId="0" applyNumberFormat="1" applyFont="1" applyBorder="1"/>
    <xf numFmtId="0" fontId="7" fillId="0" borderId="70" xfId="0" applyFont="1" applyBorder="1" applyAlignment="1">
      <alignment horizontal="left" vertical="center"/>
    </xf>
    <xf numFmtId="0" fontId="6" fillId="0" borderId="77" xfId="0" applyFont="1" applyBorder="1" applyAlignment="1">
      <alignment horizontal="right" vertical="top"/>
    </xf>
    <xf numFmtId="0" fontId="6" fillId="0" borderId="78" xfId="0" applyFont="1" applyBorder="1" applyAlignment="1">
      <alignment horizontal="center" vertical="top"/>
    </xf>
    <xf numFmtId="0" fontId="7" fillId="0" borderId="72" xfId="0" applyFont="1" applyBorder="1" applyAlignment="1">
      <alignment vertical="top"/>
    </xf>
    <xf numFmtId="4" fontId="6" fillId="0" borderId="75" xfId="0" applyNumberFormat="1" applyFont="1" applyBorder="1"/>
    <xf numFmtId="0" fontId="6" fillId="3" borderId="71" xfId="0" applyFont="1" applyFill="1" applyBorder="1" applyAlignment="1">
      <alignment horizontal="right" vertical="top"/>
    </xf>
    <xf numFmtId="0" fontId="6" fillId="0" borderId="79" xfId="0" applyFont="1" applyBorder="1" applyAlignment="1">
      <alignment horizontal="left" vertical="center"/>
    </xf>
    <xf numFmtId="0" fontId="6" fillId="4" borderId="46" xfId="0" applyFont="1" applyFill="1" applyBorder="1" applyAlignment="1">
      <alignment horizontal="right" vertical="top"/>
    </xf>
    <xf numFmtId="0" fontId="6" fillId="5" borderId="71" xfId="0" applyFont="1" applyFill="1" applyBorder="1" applyAlignment="1">
      <alignment horizontal="right" vertical="top"/>
    </xf>
    <xf numFmtId="0" fontId="6" fillId="6" borderId="46" xfId="0" applyFont="1" applyFill="1" applyBorder="1" applyAlignment="1">
      <alignment horizontal="right" vertical="top"/>
    </xf>
    <xf numFmtId="0" fontId="6" fillId="7" borderId="71" xfId="0" applyFont="1" applyFill="1" applyBorder="1" applyAlignment="1">
      <alignment horizontal="right" vertical="top"/>
    </xf>
    <xf numFmtId="0" fontId="6" fillId="8" borderId="71" xfId="0" applyFont="1" applyFill="1" applyBorder="1" applyAlignment="1">
      <alignment horizontal="right" vertical="top"/>
    </xf>
    <xf numFmtId="0" fontId="6" fillId="9" borderId="71" xfId="0" applyFont="1" applyFill="1" applyBorder="1" applyAlignment="1">
      <alignment horizontal="right" vertical="top"/>
    </xf>
    <xf numFmtId="0" fontId="6" fillId="10" borderId="0" xfId="0" applyFont="1" applyFill="1" applyAlignment="1">
      <alignment vertical="top"/>
    </xf>
    <xf numFmtId="0" fontId="6" fillId="0" borderId="68" xfId="0" applyFont="1" applyBorder="1" applyAlignment="1">
      <alignment horizontal="center" vertical="top"/>
    </xf>
    <xf numFmtId="169" fontId="6" fillId="0" borderId="73" xfId="2" applyNumberFormat="1" applyFont="1" applyBorder="1" applyAlignment="1" applyProtection="1">
      <alignment horizontal="right" vertical="center"/>
    </xf>
    <xf numFmtId="0" fontId="6" fillId="9" borderId="77" xfId="0" applyFont="1" applyFill="1" applyBorder="1" applyAlignment="1">
      <alignment horizontal="right" vertical="top"/>
    </xf>
    <xf numFmtId="0" fontId="6" fillId="0" borderId="80" xfId="0" applyFont="1" applyBorder="1" applyAlignment="1">
      <alignment horizontal="center" vertical="top"/>
    </xf>
    <xf numFmtId="0" fontId="6" fillId="0" borderId="84" xfId="0" applyFont="1" applyBorder="1" applyAlignment="1">
      <alignment horizontal="left" vertical="center"/>
    </xf>
    <xf numFmtId="0" fontId="6" fillId="0" borderId="85" xfId="0" applyFont="1" applyBorder="1" applyAlignment="1">
      <alignment horizontal="right" vertical="top"/>
    </xf>
    <xf numFmtId="0" fontId="6" fillId="0" borderId="86" xfId="0" applyFont="1" applyBorder="1" applyAlignment="1">
      <alignment horizontal="center" vertical="top"/>
    </xf>
    <xf numFmtId="4" fontId="0" fillId="0" borderId="0" xfId="0" applyNumberFormat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vertical="center"/>
    </xf>
    <xf numFmtId="0" fontId="5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23" xfId="0" applyFont="1" applyBorder="1" applyAlignment="1">
      <alignment horizontal="right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right" vertical="center" wrapText="1"/>
    </xf>
    <xf numFmtId="0" fontId="12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center" wrapText="1"/>
    </xf>
    <xf numFmtId="164" fontId="11" fillId="0" borderId="8" xfId="0" applyNumberFormat="1" applyFont="1" applyBorder="1" applyAlignment="1">
      <alignment horizontal="center" vertical="center" wrapText="1"/>
    </xf>
    <xf numFmtId="0" fontId="13" fillId="0" borderId="15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center" vertical="center" wrapText="1"/>
    </xf>
    <xf numFmtId="2" fontId="13" fillId="0" borderId="3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vertical="center" wrapText="1"/>
    </xf>
    <xf numFmtId="0" fontId="13" fillId="0" borderId="3" xfId="0" applyFont="1" applyBorder="1" applyAlignment="1">
      <alignment horizontal="left" vertical="top" wrapText="1"/>
    </xf>
    <xf numFmtId="164" fontId="13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vertical="top" wrapText="1"/>
    </xf>
    <xf numFmtId="1" fontId="13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top" wrapText="1"/>
    </xf>
    <xf numFmtId="1" fontId="13" fillId="0" borderId="3" xfId="0" applyNumberFormat="1" applyFont="1" applyBorder="1" applyAlignment="1">
      <alignment horizontal="center" vertical="top" wrapText="1"/>
    </xf>
    <xf numFmtId="0" fontId="11" fillId="0" borderId="19" xfId="0" applyFont="1" applyBorder="1" applyAlignment="1">
      <alignment horizontal="right" vertical="center" wrapText="1"/>
    </xf>
    <xf numFmtId="0" fontId="13" fillId="0" borderId="0" xfId="0" applyFont="1" applyAlignment="1">
      <alignment horizontal="left" vertical="top"/>
    </xf>
    <xf numFmtId="0" fontId="12" fillId="11" borderId="15" xfId="0" applyFont="1" applyFill="1" applyBorder="1" applyAlignment="1">
      <alignment horizontal="left" vertical="top" wrapText="1"/>
    </xf>
    <xf numFmtId="0" fontId="13" fillId="11" borderId="3" xfId="0" applyFont="1" applyFill="1" applyBorder="1" applyAlignment="1">
      <alignment horizontal="left" vertical="center" wrapText="1"/>
    </xf>
    <xf numFmtId="0" fontId="13" fillId="11" borderId="3" xfId="0" applyFont="1" applyFill="1" applyBorder="1" applyAlignment="1">
      <alignment horizontal="center" vertical="center" wrapText="1"/>
    </xf>
    <xf numFmtId="2" fontId="13" fillId="11" borderId="3" xfId="0" applyNumberFormat="1" applyFont="1" applyFill="1" applyBorder="1" applyAlignment="1">
      <alignment horizontal="center" vertical="center" wrapText="1"/>
    </xf>
    <xf numFmtId="164" fontId="13" fillId="11" borderId="3" xfId="0" applyNumberFormat="1" applyFont="1" applyFill="1" applyBorder="1" applyAlignment="1">
      <alignment vertical="center" wrapText="1"/>
    </xf>
    <xf numFmtId="0" fontId="5" fillId="11" borderId="0" xfId="0" applyFont="1" applyFill="1"/>
    <xf numFmtId="0" fontId="13" fillId="11" borderId="3" xfId="0" applyFont="1" applyFill="1" applyBorder="1" applyAlignment="1">
      <alignment horizontal="left" vertical="top" wrapText="1"/>
    </xf>
    <xf numFmtId="164" fontId="13" fillId="11" borderId="3" xfId="0" applyNumberFormat="1" applyFont="1" applyFill="1" applyBorder="1" applyAlignment="1">
      <alignment horizontal="center" vertical="center" wrapText="1"/>
    </xf>
    <xf numFmtId="10" fontId="13" fillId="11" borderId="3" xfId="0" applyNumberFormat="1" applyFont="1" applyFill="1" applyBorder="1" applyAlignment="1">
      <alignment vertical="center" wrapText="1"/>
    </xf>
    <xf numFmtId="0" fontId="13" fillId="11" borderId="15" xfId="0" applyFont="1" applyFill="1" applyBorder="1" applyAlignment="1">
      <alignment horizontal="right" vertical="center" wrapText="1"/>
    </xf>
    <xf numFmtId="0" fontId="12" fillId="11" borderId="3" xfId="0" applyFont="1" applyFill="1" applyBorder="1" applyAlignment="1">
      <alignment horizontal="left" vertical="top" wrapText="1"/>
    </xf>
    <xf numFmtId="0" fontId="12" fillId="11" borderId="3" xfId="0" applyFont="1" applyFill="1" applyBorder="1" applyAlignment="1">
      <alignment horizontal="center" vertical="top" wrapText="1"/>
    </xf>
    <xf numFmtId="0" fontId="12" fillId="11" borderId="3" xfId="0" applyFont="1" applyFill="1" applyBorder="1" applyAlignment="1">
      <alignment vertical="top" wrapText="1"/>
    </xf>
    <xf numFmtId="0" fontId="12" fillId="11" borderId="0" xfId="0" applyFont="1" applyFill="1"/>
    <xf numFmtId="0" fontId="13" fillId="11" borderId="3" xfId="0" applyFont="1" applyFill="1" applyBorder="1" applyAlignment="1">
      <alignment horizontal="center" vertical="top" wrapText="1"/>
    </xf>
    <xf numFmtId="4" fontId="13" fillId="11" borderId="3" xfId="0" applyNumberFormat="1" applyFont="1" applyFill="1" applyBorder="1" applyAlignment="1">
      <alignment horizontal="center" vertical="top" wrapText="1"/>
    </xf>
    <xf numFmtId="10" fontId="13" fillId="11" borderId="3" xfId="0" applyNumberFormat="1" applyFont="1" applyFill="1" applyBorder="1" applyAlignment="1">
      <alignment vertical="top" wrapText="1"/>
    </xf>
    <xf numFmtId="43" fontId="12" fillId="0" borderId="0" xfId="1" applyFont="1" applyAlignment="1">
      <alignment vertical="center"/>
    </xf>
    <xf numFmtId="43" fontId="12" fillId="0" borderId="0" xfId="1" applyFont="1"/>
    <xf numFmtId="43" fontId="5" fillId="0" borderId="0" xfId="1" applyFont="1"/>
    <xf numFmtId="43" fontId="11" fillId="0" borderId="21" xfId="1" applyFont="1" applyBorder="1" applyAlignment="1">
      <alignment horizontal="right" vertical="center" wrapText="1"/>
    </xf>
    <xf numFmtId="43" fontId="11" fillId="0" borderId="8" xfId="1" applyFont="1" applyBorder="1" applyAlignment="1">
      <alignment horizontal="center" vertical="center" wrapText="1"/>
    </xf>
    <xf numFmtId="43" fontId="12" fillId="0" borderId="3" xfId="1" applyFont="1" applyBorder="1" applyAlignment="1">
      <alignment horizontal="left" vertical="top" wrapText="1"/>
    </xf>
    <xf numFmtId="43" fontId="13" fillId="11" borderId="3" xfId="1" applyFont="1" applyFill="1" applyBorder="1" applyAlignment="1">
      <alignment vertical="center" wrapText="1"/>
    </xf>
    <xf numFmtId="43" fontId="12" fillId="11" borderId="3" xfId="1" applyFont="1" applyFill="1" applyBorder="1" applyAlignment="1">
      <alignment vertical="top" wrapText="1"/>
    </xf>
    <xf numFmtId="43" fontId="12" fillId="0" borderId="3" xfId="1" applyFont="1" applyBorder="1" applyAlignment="1">
      <alignment vertical="top" wrapText="1"/>
    </xf>
    <xf numFmtId="43" fontId="13" fillId="0" borderId="3" xfId="1" applyFont="1" applyBorder="1" applyAlignment="1">
      <alignment vertical="center" wrapText="1"/>
    </xf>
    <xf numFmtId="43" fontId="13" fillId="11" borderId="3" xfId="1" applyFont="1" applyFill="1" applyBorder="1" applyAlignment="1">
      <alignment vertical="top" wrapText="1"/>
    </xf>
    <xf numFmtId="0" fontId="11" fillId="0" borderId="23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164" fontId="11" fillId="0" borderId="13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164" fontId="13" fillId="0" borderId="17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2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2" fillId="0" borderId="21" xfId="0" applyFont="1" applyBorder="1" applyAlignment="1">
      <alignment horizontal="left" vertical="top" wrapText="1"/>
    </xf>
    <xf numFmtId="0" fontId="13" fillId="0" borderId="15" xfId="0" applyFont="1" applyBorder="1" applyAlignment="1">
      <alignment horizontal="left" vertical="center" wrapText="1"/>
    </xf>
    <xf numFmtId="164" fontId="13" fillId="0" borderId="3" xfId="0" applyNumberFormat="1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center" vertical="top" wrapText="1"/>
    </xf>
    <xf numFmtId="164" fontId="13" fillId="0" borderId="17" xfId="0" applyNumberFormat="1" applyFont="1" applyBorder="1" applyAlignment="1">
      <alignment horizontal="left" vertical="top" wrapText="1"/>
    </xf>
    <xf numFmtId="164" fontId="13" fillId="0" borderId="17" xfId="0" applyNumberFormat="1" applyFont="1" applyBorder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23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168" fontId="13" fillId="0" borderId="3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right" vertical="center" wrapText="1"/>
    </xf>
    <xf numFmtId="0" fontId="13" fillId="11" borderId="15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left" vertical="center" wrapText="1"/>
    </xf>
    <xf numFmtId="0" fontId="12" fillId="11" borderId="3" xfId="0" applyFont="1" applyFill="1" applyBorder="1" applyAlignment="1">
      <alignment horizontal="left" vertical="center" wrapText="1"/>
    </xf>
    <xf numFmtId="0" fontId="12" fillId="11" borderId="15" xfId="0" applyFont="1" applyFill="1" applyBorder="1" applyAlignment="1">
      <alignment horizontal="left" vertical="center" wrapText="1"/>
    </xf>
    <xf numFmtId="168" fontId="13" fillId="11" borderId="3" xfId="0" applyNumberFormat="1" applyFont="1" applyFill="1" applyBorder="1" applyAlignment="1">
      <alignment horizontal="center" vertical="center" wrapText="1"/>
    </xf>
    <xf numFmtId="0" fontId="12" fillId="11" borderId="16" xfId="0" applyFont="1" applyFill="1" applyBorder="1" applyAlignment="1">
      <alignment horizontal="left" vertical="top" wrapText="1"/>
    </xf>
    <xf numFmtId="0" fontId="13" fillId="11" borderId="17" xfId="0" applyFont="1" applyFill="1" applyBorder="1" applyAlignment="1">
      <alignment horizontal="left" vertical="top" wrapText="1"/>
    </xf>
    <xf numFmtId="0" fontId="13" fillId="11" borderId="17" xfId="0" applyFont="1" applyFill="1" applyBorder="1" applyAlignment="1">
      <alignment horizontal="center" vertical="top" wrapText="1"/>
    </xf>
    <xf numFmtId="4" fontId="13" fillId="11" borderId="17" xfId="0" applyNumberFormat="1" applyFont="1" applyFill="1" applyBorder="1" applyAlignment="1">
      <alignment horizontal="center" vertical="top" wrapText="1"/>
    </xf>
    <xf numFmtId="10" fontId="13" fillId="11" borderId="17" xfId="0" applyNumberFormat="1" applyFont="1" applyFill="1" applyBorder="1" applyAlignment="1">
      <alignment horizontal="right" vertical="top" wrapText="1"/>
    </xf>
    <xf numFmtId="4" fontId="13" fillId="11" borderId="17" xfId="0" applyNumberFormat="1" applyFont="1" applyFill="1" applyBorder="1" applyAlignment="1">
      <alignment horizontal="right" vertical="top" wrapText="1"/>
    </xf>
    <xf numFmtId="0" fontId="11" fillId="0" borderId="23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164" fontId="12" fillId="0" borderId="3" xfId="0" applyNumberFormat="1" applyFont="1" applyBorder="1" applyAlignment="1">
      <alignment horizontal="left" vertical="top" wrapText="1"/>
    </xf>
    <xf numFmtId="10" fontId="13" fillId="11" borderId="17" xfId="0" applyNumberFormat="1" applyFont="1" applyFill="1" applyBorder="1" applyAlignment="1">
      <alignment horizontal="center" vertical="top" wrapText="1"/>
    </xf>
    <xf numFmtId="0" fontId="13" fillId="0" borderId="15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center" wrapText="1"/>
    </xf>
    <xf numFmtId="10" fontId="13" fillId="0" borderId="3" xfId="0" applyNumberFormat="1" applyFont="1" applyBorder="1" applyAlignment="1">
      <alignment horizontal="right" vertical="center" wrapText="1"/>
    </xf>
    <xf numFmtId="0" fontId="13" fillId="0" borderId="16" xfId="0" applyFont="1" applyBorder="1" applyAlignment="1">
      <alignment horizontal="left" vertical="top" wrapText="1"/>
    </xf>
    <xf numFmtId="165" fontId="13" fillId="11" borderId="3" xfId="0" applyNumberFormat="1" applyFont="1" applyFill="1" applyBorder="1" applyAlignment="1">
      <alignment horizontal="center" vertical="center" wrapText="1"/>
    </xf>
    <xf numFmtId="10" fontId="13" fillId="11" borderId="3" xfId="0" applyNumberFormat="1" applyFont="1" applyFill="1" applyBorder="1" applyAlignment="1">
      <alignment horizontal="right" vertical="center" wrapText="1"/>
    </xf>
    <xf numFmtId="43" fontId="11" fillId="0" borderId="21" xfId="1" applyFont="1" applyBorder="1" applyAlignment="1">
      <alignment horizontal="left" vertical="center" wrapText="1"/>
    </xf>
    <xf numFmtId="43" fontId="12" fillId="0" borderId="3" xfId="1" applyFont="1" applyBorder="1" applyAlignment="1">
      <alignment horizontal="left" vertical="center" wrapText="1"/>
    </xf>
    <xf numFmtId="43" fontId="13" fillId="0" borderId="3" xfId="1" applyFont="1" applyBorder="1" applyAlignment="1">
      <alignment horizontal="right" vertical="center" wrapText="1"/>
    </xf>
    <xf numFmtId="43" fontId="12" fillId="0" borderId="3" xfId="1" applyFont="1" applyBorder="1" applyAlignment="1">
      <alignment horizontal="right" vertical="center" wrapText="1"/>
    </xf>
    <xf numFmtId="43" fontId="13" fillId="11" borderId="3" xfId="1" applyFont="1" applyFill="1" applyBorder="1" applyAlignment="1">
      <alignment horizontal="right" vertical="center" wrapText="1"/>
    </xf>
    <xf numFmtId="43" fontId="13" fillId="0" borderId="17" xfId="1" applyFont="1" applyBorder="1" applyAlignment="1">
      <alignment horizontal="right" vertical="top" wrapText="1"/>
    </xf>
    <xf numFmtId="9" fontId="13" fillId="11" borderId="3" xfId="4" applyFont="1" applyFill="1" applyBorder="1" applyAlignment="1">
      <alignment horizontal="right" vertical="center" wrapText="1"/>
    </xf>
    <xf numFmtId="0" fontId="14" fillId="0" borderId="21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9" xfId="0" applyFont="1" applyBorder="1"/>
    <xf numFmtId="0" fontId="11" fillId="0" borderId="3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top"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center" wrapText="1"/>
    </xf>
    <xf numFmtId="0" fontId="13" fillId="0" borderId="16" xfId="0" applyFont="1" applyBorder="1" applyAlignment="1">
      <alignment horizontal="right" vertical="top" wrapText="1"/>
    </xf>
    <xf numFmtId="164" fontId="13" fillId="0" borderId="17" xfId="0" applyNumberFormat="1" applyFont="1" applyBorder="1" applyAlignment="1">
      <alignment vertical="top" wrapText="1"/>
    </xf>
    <xf numFmtId="0" fontId="11" fillId="0" borderId="21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164" fontId="13" fillId="0" borderId="3" xfId="0" applyNumberFormat="1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1" fontId="13" fillId="0" borderId="3" xfId="0" applyNumberFormat="1" applyFont="1" applyBorder="1" applyAlignment="1">
      <alignment horizontal="center" wrapText="1"/>
    </xf>
    <xf numFmtId="0" fontId="13" fillId="0" borderId="0" xfId="0" applyFont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164" fontId="13" fillId="0" borderId="17" xfId="0" applyNumberFormat="1" applyFont="1" applyBorder="1" applyAlignment="1">
      <alignment vertical="center" wrapText="1"/>
    </xf>
    <xf numFmtId="43" fontId="5" fillId="0" borderId="0" xfId="1" applyFont="1" applyAlignment="1">
      <alignment vertical="center"/>
    </xf>
    <xf numFmtId="43" fontId="11" fillId="0" borderId="21" xfId="1" applyFont="1" applyBorder="1" applyAlignment="1">
      <alignment horizontal="center" vertical="center" wrapText="1"/>
    </xf>
    <xf numFmtId="43" fontId="12" fillId="0" borderId="21" xfId="1" applyFont="1" applyBorder="1" applyAlignment="1">
      <alignment horizontal="center" vertical="center" wrapText="1"/>
    </xf>
    <xf numFmtId="43" fontId="12" fillId="0" borderId="3" xfId="1" applyFont="1" applyBorder="1" applyAlignment="1">
      <alignment horizontal="center" vertical="center" wrapText="1"/>
    </xf>
    <xf numFmtId="43" fontId="13" fillId="0" borderId="3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left" vertical="center" wrapText="1"/>
    </xf>
    <xf numFmtId="164" fontId="11" fillId="0" borderId="2" xfId="0" applyNumberFormat="1" applyFont="1" applyBorder="1" applyAlignment="1">
      <alignment horizontal="left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wrapText="1"/>
    </xf>
    <xf numFmtId="0" fontId="12" fillId="0" borderId="45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wrapText="1"/>
    </xf>
    <xf numFmtId="0" fontId="12" fillId="0" borderId="1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center" wrapText="1"/>
    </xf>
    <xf numFmtId="0" fontId="11" fillId="0" borderId="23" xfId="0" applyFont="1" applyBorder="1" applyAlignment="1">
      <alignment vertical="center" wrapText="1"/>
    </xf>
    <xf numFmtId="0" fontId="14" fillId="0" borderId="21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3" xfId="0" applyFont="1" applyBorder="1" applyAlignment="1">
      <alignment horizontal="left" wrapText="1"/>
    </xf>
    <xf numFmtId="168" fontId="12" fillId="0" borderId="3" xfId="0" applyNumberFormat="1" applyFont="1" applyBorder="1" applyAlignment="1">
      <alignment horizontal="center" vertical="center" wrapText="1"/>
    </xf>
    <xf numFmtId="0" fontId="13" fillId="0" borderId="15" xfId="0" applyFont="1" applyBorder="1" applyAlignment="1">
      <alignment horizontal="right" wrapText="1"/>
    </xf>
    <xf numFmtId="0" fontId="11" fillId="0" borderId="7" xfId="0" applyFont="1" applyBorder="1" applyAlignment="1">
      <alignment horizontal="right" vertical="center" wrapText="1"/>
    </xf>
    <xf numFmtId="43" fontId="12" fillId="0" borderId="21" xfId="1" applyFont="1" applyBorder="1" applyAlignment="1">
      <alignment horizontal="center" wrapText="1"/>
    </xf>
    <xf numFmtId="164" fontId="13" fillId="0" borderId="21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top"/>
    </xf>
    <xf numFmtId="0" fontId="12" fillId="0" borderId="27" xfId="0" applyFont="1" applyBorder="1"/>
    <xf numFmtId="0" fontId="12" fillId="0" borderId="25" xfId="0" applyFont="1" applyBorder="1" applyAlignment="1">
      <alignment vertical="center"/>
    </xf>
    <xf numFmtId="0" fontId="13" fillId="0" borderId="1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13" fillId="0" borderId="21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4" fontId="13" fillId="0" borderId="3" xfId="0" applyNumberFormat="1" applyFont="1" applyBorder="1" applyAlignment="1">
      <alignment horizontal="center" vertical="center" wrapText="1"/>
    </xf>
    <xf numFmtId="10" fontId="13" fillId="0" borderId="3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vertical="top" wrapText="1"/>
    </xf>
    <xf numFmtId="0" fontId="13" fillId="0" borderId="17" xfId="0" applyFont="1" applyBorder="1" applyAlignment="1">
      <alignment vertical="top" wrapText="1"/>
    </xf>
    <xf numFmtId="43" fontId="13" fillId="0" borderId="21" xfId="1" applyFont="1" applyBorder="1" applyAlignment="1">
      <alignment vertical="center" wrapText="1"/>
    </xf>
    <xf numFmtId="43" fontId="13" fillId="0" borderId="17" xfId="1" applyFont="1" applyBorder="1" applyAlignment="1">
      <alignment vertical="top" wrapText="1"/>
    </xf>
    <xf numFmtId="0" fontId="13" fillId="11" borderId="15" xfId="0" applyFont="1" applyFill="1" applyBorder="1" applyAlignment="1">
      <alignment vertical="center" wrapText="1"/>
    </xf>
    <xf numFmtId="4" fontId="13" fillId="11" borderId="3" xfId="0" applyNumberFormat="1" applyFont="1" applyFill="1" applyBorder="1" applyAlignment="1">
      <alignment horizontal="center" vertical="center" wrapText="1"/>
    </xf>
    <xf numFmtId="43" fontId="13" fillId="11" borderId="3" xfId="1" applyFont="1" applyFill="1" applyBorder="1" applyAlignment="1">
      <alignment horizontal="center" vertical="center" wrapText="1"/>
    </xf>
    <xf numFmtId="9" fontId="13" fillId="11" borderId="3" xfId="0" applyNumberFormat="1" applyFont="1" applyFill="1" applyBorder="1" applyAlignment="1">
      <alignment horizontal="center" vertical="center" wrapText="1"/>
    </xf>
    <xf numFmtId="10" fontId="13" fillId="11" borderId="3" xfId="0" applyNumberFormat="1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/>
    </xf>
    <xf numFmtId="0" fontId="13" fillId="11" borderId="16" xfId="0" applyFont="1" applyFill="1" applyBorder="1" applyAlignment="1">
      <alignment vertical="top" wrapText="1"/>
    </xf>
    <xf numFmtId="0" fontId="12" fillId="0" borderId="23" xfId="0" applyFont="1" applyBorder="1"/>
    <xf numFmtId="0" fontId="11" fillId="0" borderId="12" xfId="0" applyFont="1" applyBorder="1" applyAlignment="1">
      <alignment horizontal="right" vertical="center" wrapText="1"/>
    </xf>
    <xf numFmtId="0" fontId="12" fillId="0" borderId="45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5" xfId="0" applyFont="1" applyBorder="1"/>
    <xf numFmtId="0" fontId="11" fillId="0" borderId="21" xfId="0" applyFont="1" applyBorder="1" applyAlignment="1">
      <alignment horizontal="right" wrapText="1"/>
    </xf>
    <xf numFmtId="0" fontId="11" fillId="0" borderId="12" xfId="0" applyFont="1" applyBorder="1" applyAlignment="1">
      <alignment horizontal="right" wrapText="1"/>
    </xf>
    <xf numFmtId="0" fontId="11" fillId="0" borderId="14" xfId="0" applyFont="1" applyBorder="1" applyAlignment="1">
      <alignment horizontal="right" wrapText="1"/>
    </xf>
    <xf numFmtId="0" fontId="13" fillId="0" borderId="2" xfId="0" applyFont="1" applyBorder="1" applyAlignment="1">
      <alignment horizontal="left" wrapText="1"/>
    </xf>
    <xf numFmtId="1" fontId="13" fillId="0" borderId="17" xfId="0" applyNumberFormat="1" applyFont="1" applyBorder="1" applyAlignment="1">
      <alignment horizontal="center" vertical="top" wrapText="1"/>
    </xf>
    <xf numFmtId="0" fontId="11" fillId="0" borderId="7" xfId="0" applyFont="1" applyBorder="1" applyAlignment="1">
      <alignment horizontal="right" wrapText="1"/>
    </xf>
    <xf numFmtId="0" fontId="11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164" fontId="11" fillId="0" borderId="26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164" fontId="13" fillId="0" borderId="0" xfId="0" applyNumberFormat="1" applyFont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164" fontId="13" fillId="0" borderId="44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</xf>
    <xf numFmtId="0" fontId="13" fillId="0" borderId="27" xfId="0" applyFont="1" applyBorder="1" applyAlignment="1">
      <alignment horizontal="left" vertical="center" wrapText="1"/>
    </xf>
    <xf numFmtId="4" fontId="13" fillId="0" borderId="27" xfId="0" applyNumberFormat="1" applyFont="1" applyBorder="1" applyAlignment="1">
      <alignment horizontal="center" vertical="center" wrapText="1"/>
    </xf>
    <xf numFmtId="10" fontId="13" fillId="0" borderId="17" xfId="0" applyNumberFormat="1" applyFont="1" applyBorder="1" applyAlignment="1">
      <alignment horizontal="center" vertical="center" wrapText="1"/>
    </xf>
    <xf numFmtId="43" fontId="5" fillId="0" borderId="0" xfId="0" applyNumberFormat="1" applyFont="1"/>
    <xf numFmtId="0" fontId="11" fillId="0" borderId="8" xfId="0" applyFont="1" applyBorder="1" applyAlignment="1">
      <alignment horizontal="righ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1" fontId="13" fillId="0" borderId="17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wrapText="1"/>
    </xf>
    <xf numFmtId="0" fontId="11" fillId="0" borderId="41" xfId="0" applyFont="1" applyBorder="1" applyAlignment="1">
      <alignment horizontal="right" vertical="center" wrapText="1"/>
    </xf>
    <xf numFmtId="43" fontId="15" fillId="0" borderId="0" xfId="1" applyFont="1" applyAlignment="1">
      <alignment vertical="center"/>
    </xf>
    <xf numFmtId="43" fontId="11" fillId="0" borderId="13" xfId="1" applyFont="1" applyBorder="1" applyAlignment="1">
      <alignment horizontal="center" vertical="center" wrapText="1"/>
    </xf>
    <xf numFmtId="43" fontId="12" fillId="0" borderId="2" xfId="1" applyFont="1" applyBorder="1" applyAlignment="1">
      <alignment horizontal="center" wrapText="1"/>
    </xf>
    <xf numFmtId="43" fontId="13" fillId="0" borderId="3" xfId="1" applyFont="1" applyBorder="1" applyAlignment="1">
      <alignment horizontal="center" wrapText="1"/>
    </xf>
    <xf numFmtId="43" fontId="11" fillId="0" borderId="42" xfId="1" applyFont="1" applyBorder="1" applyAlignment="1">
      <alignment horizontal="center" vertical="center" wrapText="1"/>
    </xf>
    <xf numFmtId="0" fontId="12" fillId="0" borderId="21" xfId="0" applyFont="1" applyBorder="1" applyAlignment="1">
      <alignment vertical="center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13" fillId="0" borderId="2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right" vertical="center" wrapText="1"/>
    </xf>
    <xf numFmtId="4" fontId="13" fillId="0" borderId="3" xfId="0" applyNumberFormat="1" applyFont="1" applyBorder="1" applyAlignment="1">
      <alignment horizontal="right" vertical="center" wrapText="1"/>
    </xf>
    <xf numFmtId="9" fontId="13" fillId="0" borderId="3" xfId="4" applyFont="1" applyBorder="1" applyAlignment="1">
      <alignment horizontal="right" vertical="center" wrapText="1"/>
    </xf>
    <xf numFmtId="0" fontId="13" fillId="0" borderId="17" xfId="0" applyFont="1" applyBorder="1" applyAlignment="1">
      <alignment horizontal="right" vertical="center" wrapText="1"/>
    </xf>
    <xf numFmtId="0" fontId="12" fillId="0" borderId="0" xfId="0" applyFont="1" applyAlignment="1">
      <alignment horizontal="right"/>
    </xf>
    <xf numFmtId="0" fontId="12" fillId="0" borderId="45" xfId="0" applyFont="1" applyBorder="1" applyAlignment="1">
      <alignment horizontal="center" vertical="center" wrapText="1"/>
    </xf>
    <xf numFmtId="0" fontId="12" fillId="11" borderId="16" xfId="0" applyFont="1" applyFill="1" applyBorder="1" applyAlignment="1">
      <alignment horizontal="left" vertical="center" wrapText="1"/>
    </xf>
    <xf numFmtId="0" fontId="13" fillId="11" borderId="17" xfId="0" applyFont="1" applyFill="1" applyBorder="1" applyAlignment="1">
      <alignment horizontal="left" vertical="center" wrapText="1"/>
    </xf>
    <xf numFmtId="0" fontId="13" fillId="11" borderId="17" xfId="0" applyFont="1" applyFill="1" applyBorder="1" applyAlignment="1">
      <alignment horizontal="center" vertical="center" wrapText="1"/>
    </xf>
    <xf numFmtId="167" fontId="13" fillId="11" borderId="17" xfId="0" applyNumberFormat="1" applyFont="1" applyFill="1" applyBorder="1" applyAlignment="1">
      <alignment horizontal="center" vertical="center" wrapText="1"/>
    </xf>
    <xf numFmtId="10" fontId="13" fillId="11" borderId="17" xfId="0" applyNumberFormat="1" applyFont="1" applyFill="1" applyBorder="1" applyAlignment="1">
      <alignment horizontal="center" vertical="center" wrapText="1"/>
    </xf>
    <xf numFmtId="164" fontId="13" fillId="11" borderId="17" xfId="0" applyNumberFormat="1" applyFont="1" applyFill="1" applyBorder="1" applyAlignment="1">
      <alignment horizontal="center" vertical="center" wrapText="1"/>
    </xf>
    <xf numFmtId="0" fontId="11" fillId="0" borderId="31" xfId="0" applyFont="1" applyBorder="1" applyAlignment="1">
      <alignment horizontal="right" vertical="center" wrapText="1"/>
    </xf>
    <xf numFmtId="0" fontId="11" fillId="0" borderId="32" xfId="0" applyFont="1" applyBorder="1" applyAlignment="1">
      <alignment horizontal="right" vertical="center" wrapText="1"/>
    </xf>
    <xf numFmtId="0" fontId="11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left" vertical="top" wrapText="1"/>
    </xf>
    <xf numFmtId="164" fontId="11" fillId="0" borderId="1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left" vertical="center" wrapText="1"/>
    </xf>
    <xf numFmtId="0" fontId="12" fillId="0" borderId="34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right" vertical="center" wrapText="1"/>
    </xf>
    <xf numFmtId="164" fontId="11" fillId="0" borderId="40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top" wrapText="1"/>
    </xf>
    <xf numFmtId="0" fontId="14" fillId="0" borderId="21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center"/>
    </xf>
    <xf numFmtId="0" fontId="13" fillId="0" borderId="3" xfId="0" applyFont="1" applyBorder="1" applyAlignment="1">
      <alignment horizontal="right" vertical="top" wrapText="1"/>
    </xf>
    <xf numFmtId="0" fontId="13" fillId="0" borderId="15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center" vertical="top" wrapText="1"/>
    </xf>
    <xf numFmtId="4" fontId="13" fillId="0" borderId="4" xfId="0" applyNumberFormat="1" applyFont="1" applyBorder="1" applyAlignment="1">
      <alignment horizontal="right" vertical="top" wrapText="1"/>
    </xf>
    <xf numFmtId="10" fontId="13" fillId="0" borderId="4" xfId="0" applyNumberFormat="1" applyFont="1" applyBorder="1" applyAlignment="1">
      <alignment horizontal="right" vertical="top" wrapText="1"/>
    </xf>
    <xf numFmtId="4" fontId="13" fillId="0" borderId="4" xfId="0" applyNumberFormat="1" applyFont="1" applyBorder="1" applyAlignment="1">
      <alignment horizontal="center" vertical="top" wrapText="1"/>
    </xf>
    <xf numFmtId="0" fontId="13" fillId="0" borderId="6" xfId="0" applyFont="1" applyBorder="1" applyAlignment="1">
      <alignment horizontal="left" vertical="top" wrapText="1"/>
    </xf>
    <xf numFmtId="1" fontId="13" fillId="0" borderId="0" xfId="0" applyNumberFormat="1" applyFont="1" applyAlignment="1">
      <alignment horizontal="left" vertical="top" wrapText="1"/>
    </xf>
    <xf numFmtId="164" fontId="13" fillId="0" borderId="17" xfId="0" applyNumberFormat="1" applyFont="1" applyBorder="1" applyAlignment="1">
      <alignment horizontal="left" vertical="center" wrapText="1"/>
    </xf>
    <xf numFmtId="164" fontId="16" fillId="0" borderId="3" xfId="0" applyNumberFormat="1" applyFont="1" applyBorder="1" applyAlignment="1">
      <alignment vertical="center" wrapText="1"/>
    </xf>
    <xf numFmtId="164" fontId="13" fillId="0" borderId="3" xfId="0" applyNumberFormat="1" applyFont="1" applyBorder="1" applyAlignment="1">
      <alignment vertical="top" wrapText="1"/>
    </xf>
    <xf numFmtId="0" fontId="13" fillId="0" borderId="29" xfId="0" applyFont="1" applyBorder="1" applyAlignment="1">
      <alignment horizontal="right" vertical="top" wrapText="1"/>
    </xf>
    <xf numFmtId="164" fontId="13" fillId="0" borderId="3" xfId="0" applyNumberFormat="1" applyFont="1" applyBorder="1" applyAlignment="1">
      <alignment horizontal="center" vertical="top" wrapText="1"/>
    </xf>
    <xf numFmtId="9" fontId="13" fillId="0" borderId="0" xfId="0" applyNumberFormat="1" applyFont="1" applyAlignment="1">
      <alignment horizontal="center" vertical="top" wrapText="1"/>
    </xf>
    <xf numFmtId="0" fontId="13" fillId="0" borderId="30" xfId="0" applyFont="1" applyBorder="1" applyAlignment="1">
      <alignment horizontal="right" vertical="top" wrapText="1"/>
    </xf>
    <xf numFmtId="0" fontId="13" fillId="0" borderId="27" xfId="0" applyFont="1" applyBorder="1" applyAlignment="1">
      <alignment horizontal="center" vertical="top" wrapText="1"/>
    </xf>
    <xf numFmtId="9" fontId="13" fillId="0" borderId="27" xfId="0" applyNumberFormat="1" applyFont="1" applyBorder="1" applyAlignment="1">
      <alignment horizontal="center" vertical="top" wrapText="1"/>
    </xf>
    <xf numFmtId="164" fontId="11" fillId="0" borderId="3" xfId="0" applyNumberFormat="1" applyFont="1" applyBorder="1" applyAlignment="1">
      <alignment vertical="center" wrapText="1"/>
    </xf>
    <xf numFmtId="4" fontId="13" fillId="11" borderId="3" xfId="0" applyNumberFormat="1" applyFont="1" applyFill="1" applyBorder="1" applyAlignment="1">
      <alignment vertical="center" wrapText="1"/>
    </xf>
    <xf numFmtId="0" fontId="13" fillId="11" borderId="15" xfId="0" applyFont="1" applyFill="1" applyBorder="1" applyAlignment="1">
      <alignment horizontal="right" vertical="top" wrapText="1"/>
    </xf>
    <xf numFmtId="168" fontId="13" fillId="11" borderId="3" xfId="0" applyNumberFormat="1" applyFont="1" applyFill="1" applyBorder="1" applyAlignment="1">
      <alignment horizontal="center" vertical="top" wrapText="1"/>
    </xf>
    <xf numFmtId="9" fontId="13" fillId="11" borderId="3" xfId="0" applyNumberFormat="1" applyFont="1" applyFill="1" applyBorder="1" applyAlignment="1">
      <alignment horizontal="center" vertical="top" wrapText="1"/>
    </xf>
    <xf numFmtId="164" fontId="13" fillId="11" borderId="3" xfId="0" applyNumberFormat="1" applyFont="1" applyFill="1" applyBorder="1" applyAlignment="1">
      <alignment vertical="top" wrapText="1"/>
    </xf>
    <xf numFmtId="164" fontId="13" fillId="0" borderId="0" xfId="0" applyNumberFormat="1" applyFont="1" applyAlignment="1">
      <alignment horizontal="center" vertical="center" wrapText="1"/>
    </xf>
    <xf numFmtId="0" fontId="12" fillId="0" borderId="30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center" vertical="center" wrapText="1"/>
    </xf>
    <xf numFmtId="164" fontId="13" fillId="0" borderId="27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8" fillId="0" borderId="15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top"/>
    </xf>
    <xf numFmtId="0" fontId="13" fillId="0" borderId="5" xfId="0" applyFont="1" applyBorder="1" applyAlignment="1">
      <alignment horizontal="center" vertical="center" wrapText="1"/>
    </xf>
    <xf numFmtId="4" fontId="13" fillId="0" borderId="17" xfId="0" applyNumberFormat="1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right" vertical="center" wrapText="1"/>
    </xf>
    <xf numFmtId="1" fontId="13" fillId="0" borderId="0" xfId="0" applyNumberFormat="1" applyFont="1" applyAlignment="1">
      <alignment horizontal="center" vertical="center" wrapText="1"/>
    </xf>
    <xf numFmtId="164" fontId="13" fillId="0" borderId="4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vertical="center" wrapText="1"/>
    </xf>
    <xf numFmtId="164" fontId="11" fillId="0" borderId="89" xfId="0" applyNumberFormat="1" applyFont="1" applyBorder="1" applyAlignment="1">
      <alignment horizontal="center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164" fontId="13" fillId="0" borderId="28" xfId="0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right" vertical="top" wrapText="1"/>
    </xf>
    <xf numFmtId="0" fontId="15" fillId="0" borderId="0" xfId="0" applyFont="1"/>
    <xf numFmtId="43" fontId="12" fillId="0" borderId="21" xfId="1" applyFont="1" applyBorder="1" applyAlignment="1">
      <alignment horizontal="left" wrapText="1"/>
    </xf>
    <xf numFmtId="43" fontId="12" fillId="0" borderId="3" xfId="1" applyFont="1" applyBorder="1" applyAlignment="1">
      <alignment horizontal="center" wrapText="1"/>
    </xf>
    <xf numFmtId="43" fontId="16" fillId="0" borderId="3" xfId="1" applyFont="1" applyBorder="1" applyAlignment="1">
      <alignment horizontal="center" wrapText="1"/>
    </xf>
    <xf numFmtId="9" fontId="13" fillId="0" borderId="3" xfId="1" applyNumberFormat="1" applyFont="1" applyBorder="1" applyAlignment="1">
      <alignment horizontal="center" wrapText="1"/>
    </xf>
    <xf numFmtId="0" fontId="12" fillId="0" borderId="24" xfId="0" applyFont="1" applyBorder="1" applyAlignment="1">
      <alignment vertical="center"/>
    </xf>
    <xf numFmtId="0" fontId="12" fillId="0" borderId="21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1" fillId="0" borderId="15" xfId="0" applyFont="1" applyBorder="1" applyAlignment="1">
      <alignment vertical="top" wrapText="1"/>
    </xf>
    <xf numFmtId="2" fontId="13" fillId="0" borderId="3" xfId="0" applyNumberFormat="1" applyFont="1" applyBorder="1" applyAlignment="1">
      <alignment horizontal="center" wrapText="1"/>
    </xf>
    <xf numFmtId="0" fontId="11" fillId="0" borderId="16" xfId="0" applyFont="1" applyBorder="1" applyAlignment="1">
      <alignment vertical="top" wrapText="1"/>
    </xf>
    <xf numFmtId="0" fontId="12" fillId="0" borderId="17" xfId="0" applyFont="1" applyBorder="1" applyAlignment="1">
      <alignment vertical="top" wrapText="1"/>
    </xf>
    <xf numFmtId="0" fontId="12" fillId="0" borderId="17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wrapText="1"/>
    </xf>
    <xf numFmtId="0" fontId="12" fillId="11" borderId="0" xfId="0" applyFont="1" applyFill="1" applyAlignment="1">
      <alignment vertical="center"/>
    </xf>
    <xf numFmtId="0" fontId="14" fillId="0" borderId="3" xfId="0" applyFont="1" applyBorder="1" applyAlignment="1">
      <alignment horizontal="left" vertical="center" wrapText="1"/>
    </xf>
    <xf numFmtId="0" fontId="11" fillId="11" borderId="15" xfId="0" applyFont="1" applyFill="1" applyBorder="1" applyAlignment="1">
      <alignment vertical="center" wrapText="1"/>
    </xf>
    <xf numFmtId="2" fontId="13" fillId="0" borderId="3" xfId="0" applyNumberFormat="1" applyFont="1" applyBorder="1" applyAlignment="1">
      <alignment horizontal="right" vertical="center" wrapText="1"/>
    </xf>
    <xf numFmtId="4" fontId="13" fillId="0" borderId="17" xfId="0" applyNumberFormat="1" applyFont="1" applyBorder="1" applyAlignment="1">
      <alignment horizontal="right" vertical="center" wrapText="1"/>
    </xf>
    <xf numFmtId="10" fontId="13" fillId="0" borderId="17" xfId="0" applyNumberFormat="1" applyFont="1" applyBorder="1" applyAlignment="1">
      <alignment horizontal="right" vertical="center" wrapText="1"/>
    </xf>
    <xf numFmtId="2" fontId="13" fillId="0" borderId="17" xfId="0" applyNumberFormat="1" applyFont="1" applyBorder="1" applyAlignment="1">
      <alignment horizontal="right" vertical="center" wrapText="1"/>
    </xf>
    <xf numFmtId="164" fontId="13" fillId="11" borderId="3" xfId="0" applyNumberFormat="1" applyFont="1" applyFill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43" fontId="12" fillId="0" borderId="21" xfId="1" applyFont="1" applyBorder="1" applyAlignment="1">
      <alignment horizontal="left" vertical="center" wrapText="1"/>
    </xf>
    <xf numFmtId="164" fontId="13" fillId="0" borderId="27" xfId="0" applyNumberFormat="1" applyFont="1" applyBorder="1" applyAlignment="1">
      <alignment horizontal="left" vertical="center" wrapText="1"/>
    </xf>
    <xf numFmtId="164" fontId="15" fillId="0" borderId="13" xfId="0" applyNumberFormat="1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wrapText="1"/>
    </xf>
    <xf numFmtId="164" fontId="13" fillId="0" borderId="3" xfId="0" applyNumberFormat="1" applyFont="1" applyBorder="1" applyAlignment="1">
      <alignment horizontal="left" wrapText="1"/>
    </xf>
    <xf numFmtId="0" fontId="13" fillId="0" borderId="0" xfId="0" applyFont="1" applyAlignment="1">
      <alignment horizontal="right" wrapText="1"/>
    </xf>
    <xf numFmtId="0" fontId="8" fillId="0" borderId="3" xfId="0" applyFont="1" applyBorder="1" applyAlignment="1">
      <alignment horizontal="left" vertical="center" wrapText="1"/>
    </xf>
    <xf numFmtId="164" fontId="13" fillId="0" borderId="43" xfId="0" applyNumberFormat="1" applyFont="1" applyBorder="1" applyAlignment="1">
      <alignment horizontal="left" wrapText="1"/>
    </xf>
    <xf numFmtId="0" fontId="13" fillId="0" borderId="0" xfId="0" applyFont="1" applyAlignment="1">
      <alignment horizontal="left"/>
    </xf>
    <xf numFmtId="0" fontId="13" fillId="11" borderId="15" xfId="0" applyFont="1" applyFill="1" applyBorder="1" applyAlignment="1">
      <alignment horizontal="left" wrapText="1"/>
    </xf>
    <xf numFmtId="0" fontId="13" fillId="11" borderId="0" xfId="0" applyFont="1" applyFill="1" applyAlignment="1">
      <alignment horizontal="left" wrapText="1"/>
    </xf>
    <xf numFmtId="0" fontId="13" fillId="11" borderId="0" xfId="0" applyFont="1" applyFill="1" applyAlignment="1">
      <alignment horizontal="right" wrapText="1"/>
    </xf>
    <xf numFmtId="164" fontId="13" fillId="11" borderId="3" xfId="0" applyNumberFormat="1" applyFont="1" applyFill="1" applyBorder="1" applyAlignment="1">
      <alignment horizontal="left" wrapText="1"/>
    </xf>
    <xf numFmtId="164" fontId="13" fillId="11" borderId="44" xfId="0" applyNumberFormat="1" applyFont="1" applyFill="1" applyBorder="1" applyAlignment="1">
      <alignment horizontal="left" wrapText="1"/>
    </xf>
    <xf numFmtId="0" fontId="8" fillId="11" borderId="3" xfId="0" applyFont="1" applyFill="1" applyBorder="1" applyAlignment="1">
      <alignment horizontal="left" vertical="center" wrapText="1"/>
    </xf>
    <xf numFmtId="0" fontId="13" fillId="11" borderId="3" xfId="0" applyFont="1" applyFill="1" applyBorder="1" applyAlignment="1">
      <alignment horizontal="center" wrapText="1"/>
    </xf>
    <xf numFmtId="164" fontId="13" fillId="11" borderId="0" xfId="0" applyNumberFormat="1" applyFont="1" applyFill="1" applyAlignment="1">
      <alignment horizontal="right" wrapText="1"/>
    </xf>
    <xf numFmtId="9" fontId="13" fillId="11" borderId="3" xfId="4" applyFont="1" applyFill="1" applyBorder="1" applyAlignment="1">
      <alignment horizontal="left" wrapText="1"/>
    </xf>
    <xf numFmtId="0" fontId="12" fillId="0" borderId="0" xfId="0" applyFont="1" applyAlignment="1">
      <alignment horizontal="left"/>
    </xf>
    <xf numFmtId="164" fontId="12" fillId="0" borderId="3" xfId="0" applyNumberFormat="1" applyFont="1" applyBorder="1" applyAlignment="1">
      <alignment horizontal="center" wrapText="1"/>
    </xf>
    <xf numFmtId="0" fontId="12" fillId="0" borderId="29" xfId="0" applyFont="1" applyBorder="1" applyAlignment="1">
      <alignment horizontal="left" wrapText="1"/>
    </xf>
    <xf numFmtId="0" fontId="12" fillId="0" borderId="0" xfId="0" applyFont="1" applyAlignment="1">
      <alignment horizontal="center" wrapText="1"/>
    </xf>
    <xf numFmtId="164" fontId="12" fillId="0" borderId="3" xfId="0" applyNumberFormat="1" applyFont="1" applyBorder="1" applyAlignment="1">
      <alignment horizontal="left" wrapText="1"/>
    </xf>
    <xf numFmtId="0" fontId="12" fillId="0" borderId="30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2" fillId="0" borderId="27" xfId="0" applyFont="1" applyBorder="1" applyAlignment="1">
      <alignment horizontal="left" wrapText="1"/>
    </xf>
    <xf numFmtId="0" fontId="12" fillId="0" borderId="17" xfId="0" applyFont="1" applyBorder="1" applyAlignment="1">
      <alignment horizontal="left" wrapText="1"/>
    </xf>
    <xf numFmtId="164" fontId="12" fillId="0" borderId="17" xfId="0" applyNumberFormat="1" applyFont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164" fontId="12" fillId="0" borderId="0" xfId="0" applyNumberFormat="1" applyFont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vertical="center" wrapText="1"/>
    </xf>
    <xf numFmtId="164" fontId="20" fillId="0" borderId="3" xfId="0" applyNumberFormat="1" applyFont="1" applyBorder="1" applyAlignment="1">
      <alignment vertical="center" wrapText="1"/>
    </xf>
    <xf numFmtId="3" fontId="8" fillId="0" borderId="3" xfId="0" applyNumberFormat="1" applyFont="1" applyBorder="1" applyAlignment="1">
      <alignment horizontal="center" vertical="center" wrapText="1"/>
    </xf>
    <xf numFmtId="9" fontId="8" fillId="0" borderId="3" xfId="0" applyNumberFormat="1" applyFont="1" applyBorder="1" applyAlignment="1">
      <alignment vertical="center" wrapText="1"/>
    </xf>
    <xf numFmtId="164" fontId="12" fillId="0" borderId="3" xfId="0" applyNumberFormat="1" applyFont="1" applyBorder="1" applyAlignment="1">
      <alignment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8" fillId="0" borderId="3" xfId="0" applyFont="1" applyBorder="1" applyAlignment="1">
      <alignment vertical="center" wrapText="1"/>
    </xf>
    <xf numFmtId="0" fontId="17" fillId="0" borderId="16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right" vertical="center" wrapText="1"/>
    </xf>
    <xf numFmtId="166" fontId="18" fillId="11" borderId="15" xfId="0" applyNumberFormat="1" applyFont="1" applyFill="1" applyBorder="1" applyAlignment="1">
      <alignment horizontal="left" vertical="center" wrapText="1"/>
    </xf>
    <xf numFmtId="0" fontId="18" fillId="11" borderId="3" xfId="0" applyFont="1" applyFill="1" applyBorder="1" applyAlignment="1">
      <alignment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vertical="center"/>
    </xf>
    <xf numFmtId="0" fontId="17" fillId="11" borderId="15" xfId="0" applyFont="1" applyFill="1" applyBorder="1" applyAlignment="1">
      <alignment horizontal="left" vertical="center" wrapText="1"/>
    </xf>
    <xf numFmtId="0" fontId="18" fillId="11" borderId="3" xfId="0" applyFont="1" applyFill="1" applyBorder="1" applyAlignment="1">
      <alignment horizontal="center" vertical="center" wrapText="1"/>
    </xf>
    <xf numFmtId="2" fontId="18" fillId="11" borderId="3" xfId="0" applyNumberFormat="1" applyFont="1" applyFill="1" applyBorder="1" applyAlignment="1">
      <alignment horizontal="center" vertical="center" wrapText="1"/>
    </xf>
    <xf numFmtId="164" fontId="18" fillId="11" borderId="3" xfId="0" applyNumberFormat="1" applyFont="1" applyFill="1" applyBorder="1" applyAlignment="1">
      <alignment horizontal="center" vertical="center" wrapText="1"/>
    </xf>
    <xf numFmtId="4" fontId="18" fillId="11" borderId="3" xfId="0" applyNumberFormat="1" applyFont="1" applyFill="1" applyBorder="1" applyAlignment="1">
      <alignment horizontal="center" vertical="center" wrapText="1"/>
    </xf>
    <xf numFmtId="0" fontId="18" fillId="11" borderId="15" xfId="0" applyFont="1" applyFill="1" applyBorder="1" applyAlignment="1">
      <alignment horizontal="left" vertical="center" wrapText="1"/>
    </xf>
    <xf numFmtId="3" fontId="18" fillId="11" borderId="3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0" fontId="13" fillId="0" borderId="15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43" fontId="17" fillId="0" borderId="0" xfId="1" applyFont="1" applyAlignment="1">
      <alignment vertical="center"/>
    </xf>
    <xf numFmtId="43" fontId="4" fillId="0" borderId="0" xfId="1" applyFont="1" applyAlignment="1">
      <alignment vertical="center"/>
    </xf>
    <xf numFmtId="43" fontId="3" fillId="0" borderId="8" xfId="1" applyFont="1" applyBorder="1" applyAlignment="1">
      <alignment horizontal="right" vertical="center" wrapText="1"/>
    </xf>
    <xf numFmtId="43" fontId="17" fillId="0" borderId="3" xfId="1" applyFont="1" applyBorder="1" applyAlignment="1">
      <alignment horizontal="left" vertical="center" wrapText="1"/>
    </xf>
    <xf numFmtId="43" fontId="17" fillId="0" borderId="3" xfId="1" applyFont="1" applyBorder="1" applyAlignment="1">
      <alignment vertical="center" wrapText="1"/>
    </xf>
    <xf numFmtId="43" fontId="17" fillId="11" borderId="3" xfId="1" applyFont="1" applyFill="1" applyBorder="1" applyAlignment="1">
      <alignment horizontal="left" vertical="center" wrapText="1"/>
    </xf>
    <xf numFmtId="43" fontId="18" fillId="11" borderId="3" xfId="1" applyFont="1" applyFill="1" applyBorder="1" applyAlignment="1">
      <alignment horizontal="center" vertical="center" wrapText="1"/>
    </xf>
    <xf numFmtId="43" fontId="17" fillId="11" borderId="3" xfId="1" applyFont="1" applyFill="1" applyBorder="1" applyAlignment="1">
      <alignment vertical="center" wrapText="1"/>
    </xf>
    <xf numFmtId="43" fontId="18" fillId="11" borderId="3" xfId="1" applyFont="1" applyFill="1" applyBorder="1" applyAlignment="1">
      <alignment horizontal="right" vertical="center" wrapText="1"/>
    </xf>
    <xf numFmtId="43" fontId="12" fillId="11" borderId="3" xfId="1" applyFont="1" applyFill="1" applyBorder="1" applyAlignment="1">
      <alignment vertical="center" wrapText="1"/>
    </xf>
    <xf numFmtId="43" fontId="6" fillId="11" borderId="3" xfId="1" applyFont="1" applyFill="1" applyBorder="1" applyAlignment="1">
      <alignment horizontal="center" vertical="center" wrapText="1"/>
    </xf>
    <xf numFmtId="43" fontId="18" fillId="0" borderId="17" xfId="1" applyFont="1" applyBorder="1" applyAlignment="1">
      <alignment horizontal="right" vertical="center" wrapText="1"/>
    </xf>
    <xf numFmtId="9" fontId="18" fillId="11" borderId="3" xfId="4" applyFont="1" applyFill="1" applyBorder="1" applyAlignment="1">
      <alignment horizontal="right" vertical="center" wrapText="1"/>
    </xf>
    <xf numFmtId="9" fontId="18" fillId="11" borderId="3" xfId="1" applyNumberFormat="1" applyFont="1" applyFill="1" applyBorder="1" applyAlignment="1">
      <alignment horizontal="right" vertical="center" wrapText="1"/>
    </xf>
    <xf numFmtId="43" fontId="3" fillId="13" borderId="8" xfId="1" applyFont="1" applyFill="1" applyBorder="1" applyAlignment="1">
      <alignment horizontal="center" vertical="center" wrapText="1"/>
    </xf>
    <xf numFmtId="164" fontId="11" fillId="13" borderId="8" xfId="0" applyNumberFormat="1" applyFont="1" applyFill="1" applyBorder="1" applyAlignment="1">
      <alignment horizontal="center" vertical="center" wrapText="1"/>
    </xf>
    <xf numFmtId="164" fontId="11" fillId="13" borderId="8" xfId="0" applyNumberFormat="1" applyFont="1" applyFill="1" applyBorder="1" applyAlignment="1">
      <alignment horizontal="center" wrapText="1"/>
    </xf>
    <xf numFmtId="164" fontId="11" fillId="13" borderId="8" xfId="0" applyNumberFormat="1" applyFont="1" applyFill="1" applyBorder="1" applyAlignment="1">
      <alignment horizontal="left" wrapText="1"/>
    </xf>
    <xf numFmtId="164" fontId="19" fillId="13" borderId="20" xfId="0" applyNumberFormat="1" applyFont="1" applyFill="1" applyBorder="1" applyAlignment="1">
      <alignment horizontal="left" vertical="center" wrapText="1"/>
    </xf>
    <xf numFmtId="164" fontId="11" fillId="13" borderId="17" xfId="0" applyNumberFormat="1" applyFont="1" applyFill="1" applyBorder="1" applyAlignment="1">
      <alignment horizontal="left" vertical="center" wrapText="1"/>
    </xf>
    <xf numFmtId="43" fontId="11" fillId="13" borderId="17" xfId="1" applyFont="1" applyFill="1" applyBorder="1" applyAlignment="1">
      <alignment horizontal="left" vertical="center" wrapText="1"/>
    </xf>
    <xf numFmtId="164" fontId="11" fillId="13" borderId="8" xfId="0" applyNumberFormat="1" applyFont="1" applyFill="1" applyBorder="1" applyAlignment="1">
      <alignment horizontal="left" vertical="center" wrapText="1"/>
    </xf>
    <xf numFmtId="164" fontId="11" fillId="13" borderId="9" xfId="0" applyNumberFormat="1" applyFont="1" applyFill="1" applyBorder="1" applyAlignment="1">
      <alignment horizontal="left" vertical="center" wrapText="1"/>
    </xf>
    <xf numFmtId="43" fontId="11" fillId="13" borderId="8" xfId="1" applyFont="1" applyFill="1" applyBorder="1" applyAlignment="1">
      <alignment horizontal="center" wrapText="1"/>
    </xf>
    <xf numFmtId="164" fontId="11" fillId="13" borderId="8" xfId="0" applyNumberFormat="1" applyFont="1" applyFill="1" applyBorder="1" applyAlignment="1">
      <alignment vertical="center" wrapText="1"/>
    </xf>
    <xf numFmtId="164" fontId="11" fillId="13" borderId="17" xfId="0" applyNumberFormat="1" applyFont="1" applyFill="1" applyBorder="1" applyAlignment="1">
      <alignment horizontal="center" vertical="center" wrapText="1"/>
    </xf>
    <xf numFmtId="164" fontId="11" fillId="13" borderId="17" xfId="0" applyNumberFormat="1" applyFont="1" applyFill="1" applyBorder="1" applyAlignment="1">
      <alignment vertical="center" wrapText="1"/>
    </xf>
    <xf numFmtId="4" fontId="11" fillId="13" borderId="17" xfId="0" applyNumberFormat="1" applyFont="1" applyFill="1" applyBorder="1" applyAlignment="1">
      <alignment horizontal="right" vertical="center" wrapText="1"/>
    </xf>
    <xf numFmtId="43" fontId="11" fillId="13" borderId="17" xfId="1" applyFont="1" applyFill="1" applyBorder="1" applyAlignment="1">
      <alignment horizontal="center" vertical="center" wrapText="1"/>
    </xf>
    <xf numFmtId="43" fontId="11" fillId="13" borderId="8" xfId="1" applyFont="1" applyFill="1" applyBorder="1" applyAlignment="1">
      <alignment horizontal="center" vertical="center" wrapText="1"/>
    </xf>
    <xf numFmtId="43" fontId="11" fillId="13" borderId="20" xfId="1" applyFont="1" applyFill="1" applyBorder="1" applyAlignment="1">
      <alignment horizontal="left" vertical="center" wrapText="1"/>
    </xf>
    <xf numFmtId="9" fontId="12" fillId="0" borderId="0" xfId="4" applyFont="1"/>
    <xf numFmtId="9" fontId="5" fillId="0" borderId="0" xfId="0" applyNumberFormat="1" applyFont="1"/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9" fontId="6" fillId="13" borderId="75" xfId="2" applyNumberFormat="1" applyFont="1" applyFill="1" applyBorder="1" applyAlignment="1" applyProtection="1">
      <alignment horizontal="right" vertical="center"/>
    </xf>
    <xf numFmtId="169" fontId="6" fillId="13" borderId="83" xfId="2" applyNumberFormat="1" applyFont="1" applyFill="1" applyBorder="1" applyAlignment="1" applyProtection="1">
      <alignment horizontal="right" vertical="center"/>
    </xf>
    <xf numFmtId="169" fontId="7" fillId="12" borderId="88" xfId="2" applyNumberFormat="1" applyFont="1" applyFill="1" applyBorder="1" applyAlignment="1" applyProtection="1">
      <alignment horizontal="right" vertical="center"/>
    </xf>
    <xf numFmtId="169" fontId="6" fillId="12" borderId="58" xfId="2" applyNumberFormat="1" applyFont="1" applyFill="1" applyBorder="1" applyAlignment="1" applyProtection="1">
      <alignment horizontal="right" vertical="center"/>
    </xf>
    <xf numFmtId="169" fontId="6" fillId="12" borderId="55" xfId="2" applyNumberFormat="1" applyFont="1" applyFill="1" applyBorder="1" applyAlignment="1" applyProtection="1">
      <alignment horizontal="right" vertical="center"/>
    </xf>
    <xf numFmtId="169" fontId="7" fillId="12" borderId="58" xfId="2" applyNumberFormat="1" applyFont="1" applyFill="1" applyBorder="1" applyAlignment="1" applyProtection="1">
      <alignment horizontal="right" vertical="center"/>
    </xf>
    <xf numFmtId="0" fontId="12" fillId="13" borderId="15" xfId="0" applyFont="1" applyFill="1" applyBorder="1" applyAlignment="1">
      <alignment horizontal="left" wrapText="1"/>
    </xf>
    <xf numFmtId="0" fontId="13" fillId="13" borderId="3" xfId="0" applyFont="1" applyFill="1" applyBorder="1" applyAlignment="1">
      <alignment horizontal="left" wrapText="1"/>
    </xf>
    <xf numFmtId="0" fontId="13" fillId="13" borderId="3" xfId="0" applyFont="1" applyFill="1" applyBorder="1" applyAlignment="1">
      <alignment horizontal="center" wrapText="1"/>
    </xf>
    <xf numFmtId="1" fontId="13" fillId="13" borderId="3" xfId="0" applyNumberFormat="1" applyFont="1" applyFill="1" applyBorder="1" applyAlignment="1">
      <alignment horizontal="center" wrapText="1"/>
    </xf>
    <xf numFmtId="164" fontId="13" fillId="13" borderId="3" xfId="0" applyNumberFormat="1" applyFont="1" applyFill="1" applyBorder="1" applyAlignment="1">
      <alignment horizontal="center" wrapText="1"/>
    </xf>
    <xf numFmtId="164" fontId="12" fillId="13" borderId="3" xfId="0" applyNumberFormat="1" applyFont="1" applyFill="1" applyBorder="1" applyAlignment="1">
      <alignment horizontal="center" wrapText="1"/>
    </xf>
    <xf numFmtId="164" fontId="13" fillId="13" borderId="3" xfId="0" applyNumberFormat="1" applyFont="1" applyFill="1" applyBorder="1" applyAlignment="1">
      <alignment horizontal="left" wrapText="1"/>
    </xf>
    <xf numFmtId="0" fontId="13" fillId="13" borderId="15" xfId="0" applyFont="1" applyFill="1" applyBorder="1" applyAlignment="1">
      <alignment horizontal="left" wrapText="1"/>
    </xf>
    <xf numFmtId="0" fontId="12" fillId="13" borderId="3" xfId="0" applyFont="1" applyFill="1" applyBorder="1" applyAlignment="1">
      <alignment horizontal="left" wrapText="1"/>
    </xf>
    <xf numFmtId="0" fontId="12" fillId="13" borderId="3" xfId="0" applyFont="1" applyFill="1" applyBorder="1" applyAlignment="1">
      <alignment horizontal="center" wrapText="1"/>
    </xf>
    <xf numFmtId="0" fontId="13" fillId="13" borderId="15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center" vertical="center" wrapText="1"/>
    </xf>
    <xf numFmtId="1" fontId="13" fillId="13" borderId="3" xfId="0" applyNumberFormat="1" applyFont="1" applyFill="1" applyBorder="1" applyAlignment="1">
      <alignment horizontal="center" vertical="center" wrapText="1"/>
    </xf>
    <xf numFmtId="164" fontId="13" fillId="13" borderId="3" xfId="0" applyNumberFormat="1" applyFont="1" applyFill="1" applyBorder="1" applyAlignment="1">
      <alignment horizontal="center" vertical="center" wrapText="1"/>
    </xf>
    <xf numFmtId="0" fontId="13" fillId="13" borderId="18" xfId="0" applyFont="1" applyFill="1" applyBorder="1" applyAlignment="1">
      <alignment horizontal="left" vertical="center" wrapText="1"/>
    </xf>
    <xf numFmtId="0" fontId="13" fillId="13" borderId="4" xfId="0" applyFont="1" applyFill="1" applyBorder="1" applyAlignment="1">
      <alignment horizontal="left" vertical="center" wrapText="1"/>
    </xf>
    <xf numFmtId="0" fontId="13" fillId="13" borderId="4" xfId="0" applyFont="1" applyFill="1" applyBorder="1" applyAlignment="1">
      <alignment horizontal="center" vertical="center" wrapText="1"/>
    </xf>
    <xf numFmtId="164" fontId="13" fillId="13" borderId="4" xfId="0" applyNumberFormat="1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left" vertical="center" wrapText="1"/>
    </xf>
    <xf numFmtId="43" fontId="13" fillId="13" borderId="3" xfId="1" applyFont="1" applyFill="1" applyBorder="1" applyAlignment="1">
      <alignment horizontal="center" wrapText="1"/>
    </xf>
    <xf numFmtId="168" fontId="13" fillId="13" borderId="3" xfId="0" applyNumberFormat="1" applyFont="1" applyFill="1" applyBorder="1" applyAlignment="1">
      <alignment horizontal="center" vertical="center" wrapText="1"/>
    </xf>
    <xf numFmtId="43" fontId="13" fillId="13" borderId="3" xfId="1" applyFont="1" applyFill="1" applyBorder="1" applyAlignment="1">
      <alignment horizontal="center" vertical="center" wrapText="1"/>
    </xf>
    <xf numFmtId="43" fontId="12" fillId="13" borderId="3" xfId="1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left" vertical="top" wrapText="1"/>
    </xf>
    <xf numFmtId="0" fontId="13" fillId="13" borderId="3" xfId="0" applyFont="1" applyFill="1" applyBorder="1" applyAlignment="1">
      <alignment horizontal="left" vertical="top" wrapText="1"/>
    </xf>
    <xf numFmtId="0" fontId="12" fillId="13" borderId="3" xfId="0" applyFont="1" applyFill="1" applyBorder="1" applyAlignment="1">
      <alignment horizontal="left" vertical="center" wrapText="1"/>
    </xf>
    <xf numFmtId="168" fontId="12" fillId="13" borderId="3" xfId="0" applyNumberFormat="1" applyFont="1" applyFill="1" applyBorder="1" applyAlignment="1">
      <alignment horizontal="center" vertical="center" wrapText="1"/>
    </xf>
    <xf numFmtId="164" fontId="13" fillId="13" borderId="3" xfId="0" applyNumberFormat="1" applyFont="1" applyFill="1" applyBorder="1" applyAlignment="1">
      <alignment vertical="center" wrapText="1"/>
    </xf>
    <xf numFmtId="0" fontId="13" fillId="13" borderId="15" xfId="0" applyFont="1" applyFill="1" applyBorder="1" applyAlignment="1">
      <alignment horizontal="right" vertical="center" wrapText="1"/>
    </xf>
    <xf numFmtId="0" fontId="13" fillId="13" borderId="2" xfId="0" applyFont="1" applyFill="1" applyBorder="1" applyAlignment="1">
      <alignment horizontal="left" vertical="center" wrapText="1"/>
    </xf>
    <xf numFmtId="2" fontId="13" fillId="13" borderId="3" xfId="0" applyNumberFormat="1" applyFont="1" applyFill="1" applyBorder="1" applyAlignment="1">
      <alignment horizontal="center" vertical="center" wrapText="1"/>
    </xf>
    <xf numFmtId="0" fontId="13" fillId="13" borderId="15" xfId="0" applyFont="1" applyFill="1" applyBorder="1" applyAlignment="1">
      <alignment horizontal="right" vertical="top" wrapText="1"/>
    </xf>
    <xf numFmtId="164" fontId="13" fillId="13" borderId="3" xfId="0" applyNumberFormat="1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2" fillId="13" borderId="16" xfId="0" applyFont="1" applyFill="1" applyBorder="1" applyAlignment="1">
      <alignment horizontal="left" wrapText="1"/>
    </xf>
    <xf numFmtId="0" fontId="13" fillId="13" borderId="17" xfId="0" applyFont="1" applyFill="1" applyBorder="1" applyAlignment="1">
      <alignment horizontal="left" vertical="center" wrapText="1"/>
    </xf>
    <xf numFmtId="0" fontId="13" fillId="13" borderId="17" xfId="0" applyFont="1" applyFill="1" applyBorder="1" applyAlignment="1">
      <alignment horizontal="center" vertical="center" wrapText="1"/>
    </xf>
    <xf numFmtId="164" fontId="13" fillId="13" borderId="17" xfId="0" applyNumberFormat="1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left" vertical="top" wrapText="1"/>
    </xf>
    <xf numFmtId="164" fontId="11" fillId="13" borderId="3" xfId="0" applyNumberFormat="1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left" vertical="center"/>
    </xf>
    <xf numFmtId="0" fontId="11" fillId="13" borderId="3" xfId="0" applyFont="1" applyFill="1" applyBorder="1" applyAlignment="1">
      <alignment horizontal="center" vertical="center" wrapText="1"/>
    </xf>
    <xf numFmtId="164" fontId="12" fillId="13" borderId="3" xfId="0" applyNumberFormat="1" applyFont="1" applyFill="1" applyBorder="1" applyAlignment="1">
      <alignment horizontal="center" vertical="center" wrapText="1"/>
    </xf>
    <xf numFmtId="43" fontId="13" fillId="13" borderId="3" xfId="1" applyFont="1" applyFill="1" applyBorder="1" applyAlignment="1">
      <alignment horizontal="right" vertical="center" wrapText="1"/>
    </xf>
    <xf numFmtId="43" fontId="12" fillId="13" borderId="3" xfId="1" applyFont="1" applyFill="1" applyBorder="1" applyAlignment="1">
      <alignment horizontal="left" vertical="center" wrapText="1"/>
    </xf>
    <xf numFmtId="0" fontId="12" fillId="13" borderId="16" xfId="0" applyFont="1" applyFill="1" applyBorder="1" applyAlignment="1">
      <alignment horizontal="left" vertical="top" wrapText="1"/>
    </xf>
    <xf numFmtId="0" fontId="13" fillId="13" borderId="17" xfId="0" applyFont="1" applyFill="1" applyBorder="1" applyAlignment="1">
      <alignment horizontal="left" vertical="top" wrapText="1"/>
    </xf>
    <xf numFmtId="0" fontId="13" fillId="13" borderId="17" xfId="0" applyFont="1" applyFill="1" applyBorder="1" applyAlignment="1">
      <alignment horizontal="center" vertical="top" wrapText="1"/>
    </xf>
    <xf numFmtId="3" fontId="13" fillId="13" borderId="17" xfId="0" applyNumberFormat="1" applyFont="1" applyFill="1" applyBorder="1" applyAlignment="1">
      <alignment horizontal="center" vertical="top" wrapText="1"/>
    </xf>
    <xf numFmtId="164" fontId="13" fillId="13" borderId="17" xfId="0" applyNumberFormat="1" applyFont="1" applyFill="1" applyBorder="1" applyAlignment="1">
      <alignment horizontal="center" vertical="top" wrapText="1"/>
    </xf>
    <xf numFmtId="0" fontId="12" fillId="13" borderId="3" xfId="0" applyFont="1" applyFill="1" applyBorder="1" applyAlignment="1">
      <alignment horizontal="center" vertical="top" wrapText="1"/>
    </xf>
    <xf numFmtId="0" fontId="13" fillId="13" borderId="15" xfId="0" applyFont="1" applyFill="1" applyBorder="1" applyAlignment="1">
      <alignment horizontal="left" vertical="top" wrapText="1"/>
    </xf>
    <xf numFmtId="0" fontId="13" fillId="13" borderId="3" xfId="0" applyFont="1" applyFill="1" applyBorder="1" applyAlignment="1">
      <alignment horizontal="center" vertical="top" wrapText="1"/>
    </xf>
    <xf numFmtId="1" fontId="13" fillId="13" borderId="3" xfId="0" applyNumberFormat="1" applyFont="1" applyFill="1" applyBorder="1" applyAlignment="1">
      <alignment horizontal="center" vertical="top" wrapText="1"/>
    </xf>
    <xf numFmtId="1" fontId="13" fillId="13" borderId="17" xfId="0" applyNumberFormat="1" applyFont="1" applyFill="1" applyBorder="1" applyAlignment="1">
      <alignment horizontal="center" vertical="top" wrapText="1"/>
    </xf>
    <xf numFmtId="164" fontId="12" fillId="13" borderId="17" xfId="0" applyNumberFormat="1" applyFont="1" applyFill="1" applyBorder="1" applyAlignment="1">
      <alignment horizontal="center" vertical="top" wrapText="1"/>
    </xf>
    <xf numFmtId="0" fontId="11" fillId="13" borderId="15" xfId="0" applyFont="1" applyFill="1" applyBorder="1" applyAlignment="1">
      <alignment horizontal="left" vertical="center" wrapText="1"/>
    </xf>
    <xf numFmtId="0" fontId="11" fillId="13" borderId="4" xfId="0" applyFont="1" applyFill="1" applyBorder="1" applyAlignment="1">
      <alignment horizontal="left" vertical="center" wrapText="1"/>
    </xf>
    <xf numFmtId="43" fontId="12" fillId="13" borderId="3" xfId="1" applyFont="1" applyFill="1" applyBorder="1" applyAlignment="1">
      <alignment vertical="top" wrapText="1"/>
    </xf>
    <xf numFmtId="0" fontId="12" fillId="13" borderId="29" xfId="0" applyFont="1" applyFill="1" applyBorder="1" applyAlignment="1">
      <alignment horizontal="left" vertical="center" wrapText="1"/>
    </xf>
    <xf numFmtId="0" fontId="13" fillId="13" borderId="0" xfId="0" applyFont="1" applyFill="1" applyAlignment="1">
      <alignment horizontal="center" vertical="center" wrapText="1"/>
    </xf>
    <xf numFmtId="164" fontId="13" fillId="13" borderId="0" xfId="0" applyNumberFormat="1" applyFont="1" applyFill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164" fontId="23" fillId="0" borderId="0" xfId="0" applyNumberFormat="1" applyFont="1"/>
    <xf numFmtId="164" fontId="25" fillId="0" borderId="3" xfId="0" applyNumberFormat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center" wrapText="1"/>
    </xf>
    <xf numFmtId="164" fontId="26" fillId="13" borderId="3" xfId="0" applyNumberFormat="1" applyFont="1" applyFill="1" applyBorder="1" applyAlignment="1">
      <alignment horizontal="center" wrapText="1"/>
    </xf>
    <xf numFmtId="164" fontId="25" fillId="13" borderId="3" xfId="0" applyNumberFormat="1" applyFont="1" applyFill="1" applyBorder="1" applyAlignment="1">
      <alignment horizontal="center" wrapText="1"/>
    </xf>
    <xf numFmtId="164" fontId="26" fillId="0" borderId="3" xfId="0" applyNumberFormat="1" applyFont="1" applyBorder="1" applyAlignment="1">
      <alignment horizontal="left" wrapText="1"/>
    </xf>
    <xf numFmtId="164" fontId="26" fillId="13" borderId="3" xfId="0" applyNumberFormat="1" applyFont="1" applyFill="1" applyBorder="1" applyAlignment="1">
      <alignment horizontal="left" wrapText="1"/>
    </xf>
    <xf numFmtId="0" fontId="25" fillId="0" borderId="21" xfId="0" applyFont="1" applyBorder="1" applyAlignment="1">
      <alignment horizontal="left" vertical="center" wrapText="1"/>
    </xf>
    <xf numFmtId="164" fontId="26" fillId="13" borderId="3" xfId="0" applyNumberFormat="1" applyFont="1" applyFill="1" applyBorder="1" applyAlignment="1">
      <alignment horizontal="left" vertical="center" wrapText="1"/>
    </xf>
    <xf numFmtId="0" fontId="25" fillId="0" borderId="3" xfId="0" applyFont="1" applyBorder="1" applyAlignment="1">
      <alignment vertical="center" wrapText="1"/>
    </xf>
    <xf numFmtId="43" fontId="26" fillId="0" borderId="3" xfId="1" applyFont="1" applyBorder="1" applyAlignment="1">
      <alignment horizontal="center" vertical="center" wrapText="1"/>
    </xf>
    <xf numFmtId="0" fontId="25" fillId="0" borderId="21" xfId="0" applyFont="1" applyBorder="1" applyAlignment="1">
      <alignment vertical="center" wrapText="1"/>
    </xf>
    <xf numFmtId="164" fontId="26" fillId="0" borderId="3" xfId="0" applyNumberFormat="1" applyFont="1" applyBorder="1" applyAlignment="1">
      <alignment vertical="center" wrapText="1"/>
    </xf>
    <xf numFmtId="43" fontId="25" fillId="0" borderId="21" xfId="1" applyFont="1" applyBorder="1" applyAlignment="1">
      <alignment horizontal="left" wrapText="1"/>
    </xf>
    <xf numFmtId="43" fontId="25" fillId="0" borderId="3" xfId="1" applyFont="1" applyBorder="1" applyAlignment="1">
      <alignment horizontal="center" wrapText="1"/>
    </xf>
    <xf numFmtId="43" fontId="26" fillId="13" borderId="3" xfId="1" applyFont="1" applyFill="1" applyBorder="1" applyAlignment="1">
      <alignment horizontal="center" wrapText="1"/>
    </xf>
    <xf numFmtId="0" fontId="25" fillId="0" borderId="3" xfId="0" applyFont="1" applyBorder="1" applyAlignment="1">
      <alignment horizontal="center" vertical="center" wrapText="1"/>
    </xf>
    <xf numFmtId="164" fontId="26" fillId="13" borderId="3" xfId="0" applyNumberFormat="1" applyFont="1" applyFill="1" applyBorder="1" applyAlignment="1">
      <alignment horizontal="center" vertical="center" wrapText="1"/>
    </xf>
    <xf numFmtId="164" fontId="26" fillId="0" borderId="3" xfId="0" applyNumberFormat="1" applyFont="1" applyBorder="1" applyAlignment="1">
      <alignment horizontal="center" vertical="center" wrapText="1"/>
    </xf>
    <xf numFmtId="0" fontId="25" fillId="0" borderId="21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11" fillId="0" borderId="8" xfId="0" applyFont="1" applyBorder="1" applyAlignment="1">
      <alignment horizontal="left" wrapText="1"/>
    </xf>
    <xf numFmtId="0" fontId="11" fillId="0" borderId="13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90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left" vertical="center" wrapText="1"/>
    </xf>
    <xf numFmtId="0" fontId="11" fillId="0" borderId="38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43" fontId="12" fillId="0" borderId="21" xfId="1" applyFont="1" applyBorder="1" applyAlignment="1">
      <alignment horizontal="left" vertical="top" wrapText="1"/>
    </xf>
    <xf numFmtId="43" fontId="12" fillId="0" borderId="2" xfId="1" applyFont="1" applyBorder="1" applyAlignment="1">
      <alignment horizontal="left" vertical="top" wrapText="1"/>
    </xf>
    <xf numFmtId="0" fontId="11" fillId="0" borderId="23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2" fillId="0" borderId="2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7" fillId="0" borderId="87" xfId="0" applyFont="1" applyBorder="1" applyAlignment="1">
      <alignment horizontal="right" vertical="center"/>
    </xf>
    <xf numFmtId="0" fontId="7" fillId="0" borderId="85" xfId="0" applyFont="1" applyBorder="1" applyAlignment="1">
      <alignment horizontal="righ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7" fillId="2" borderId="50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65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61" xfId="0" applyFont="1" applyFill="1" applyBorder="1" applyAlignment="1">
      <alignment horizontal="center" vertical="center" wrapText="1"/>
    </xf>
    <xf numFmtId="0" fontId="7" fillId="2" borderId="63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7" fillId="0" borderId="72" xfId="0" applyFont="1" applyBorder="1" applyAlignment="1">
      <alignment horizontal="right" vertical="center"/>
    </xf>
    <xf numFmtId="0" fontId="7" fillId="0" borderId="71" xfId="0" applyFont="1" applyBorder="1" applyAlignment="1">
      <alignment horizontal="right" vertical="center"/>
    </xf>
    <xf numFmtId="0" fontId="7" fillId="0" borderId="81" xfId="0" applyFont="1" applyBorder="1" applyAlignment="1">
      <alignment horizontal="right" vertical="center"/>
    </xf>
    <xf numFmtId="0" fontId="7" fillId="0" borderId="82" xfId="0" applyFont="1" applyBorder="1" applyAlignment="1">
      <alignment horizontal="right" vertical="center"/>
    </xf>
    <xf numFmtId="0" fontId="7" fillId="0" borderId="50" xfId="1" applyNumberFormat="1" applyFont="1" applyBorder="1" applyAlignment="1" applyProtection="1">
      <alignment horizontal="left" vertical="top"/>
    </xf>
    <xf numFmtId="0" fontId="7" fillId="0" borderId="0" xfId="1" applyNumberFormat="1" applyFont="1" applyBorder="1" applyAlignment="1" applyProtection="1">
      <alignment horizontal="left" vertical="top"/>
    </xf>
    <xf numFmtId="0" fontId="7" fillId="0" borderId="50" xfId="0" applyFont="1" applyBorder="1" applyAlignment="1">
      <alignment horizontal="left" vertical="center"/>
    </xf>
    <xf numFmtId="0" fontId="7" fillId="0" borderId="50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</cellXfs>
  <cellStyles count="5">
    <cellStyle name="Comma" xfId="1" builtinId="3"/>
    <cellStyle name="Comma0" xfId="2" xr:uid="{00000000-0005-0000-0000-000001000000}"/>
    <cellStyle name="Normal" xfId="0" builtinId="0"/>
    <cellStyle name="Normal 2" xfId="3" xr:uid="{00000000-0005-0000-0000-000003000000}"/>
    <cellStyle name="Per 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C841-EE77-D34D-90BF-54902A82FBC3}">
  <dimension ref="A1:K56"/>
  <sheetViews>
    <sheetView tabSelected="1" workbookViewId="0">
      <selection activeCell="E3" sqref="E3"/>
    </sheetView>
  </sheetViews>
  <sheetFormatPr baseColWidth="10" defaultRowHeight="18" x14ac:dyDescent="0.2"/>
  <cols>
    <col min="1" max="1" width="13.3984375" bestFit="1" customWidth="1"/>
    <col min="2" max="2" width="45.796875" customWidth="1"/>
    <col min="3" max="3" width="4.796875" bestFit="1" customWidth="1"/>
    <col min="4" max="4" width="14.796875" customWidth="1"/>
    <col min="5" max="5" width="34.59765625" style="605" customWidth="1"/>
    <col min="8" max="8" width="23" customWidth="1"/>
    <col min="9" max="9" width="24.796875" customWidth="1"/>
  </cols>
  <sheetData>
    <row r="1" spans="1:11" ht="28" x14ac:dyDescent="0.2">
      <c r="A1" s="331" t="s">
        <v>7</v>
      </c>
      <c r="B1" s="431" t="s">
        <v>8</v>
      </c>
      <c r="C1" s="605"/>
      <c r="D1" s="605"/>
      <c r="F1" s="605"/>
      <c r="G1" s="605"/>
      <c r="H1" s="605"/>
      <c r="I1" s="605"/>
      <c r="J1" s="605"/>
      <c r="K1" s="605"/>
    </row>
    <row r="2" spans="1:11" x14ac:dyDescent="0.2">
      <c r="A2" s="331"/>
      <c r="B2" s="431"/>
      <c r="C2" s="605"/>
      <c r="D2" s="605"/>
      <c r="F2" s="605"/>
      <c r="G2" s="605"/>
      <c r="H2" s="605" t="s">
        <v>1762</v>
      </c>
      <c r="I2" s="605">
        <f>E3</f>
        <v>1661138.16</v>
      </c>
      <c r="J2" s="605"/>
      <c r="K2" s="605"/>
    </row>
    <row r="3" spans="1:11" x14ac:dyDescent="0.2">
      <c r="A3" s="606" t="s">
        <v>9</v>
      </c>
      <c r="B3" s="606" t="s">
        <v>10</v>
      </c>
      <c r="C3" s="606" t="s">
        <v>11</v>
      </c>
      <c r="D3" s="606">
        <v>1</v>
      </c>
      <c r="E3" s="606">
        <v>1661138.16</v>
      </c>
      <c r="F3" s="605"/>
      <c r="G3" s="605"/>
      <c r="H3" s="605" t="s">
        <v>1763</v>
      </c>
      <c r="I3" s="607">
        <f>SUM(E5:E56)</f>
        <v>267523.63555555558</v>
      </c>
      <c r="J3" s="605"/>
      <c r="K3" s="605"/>
    </row>
    <row r="4" spans="1:11" ht="19" x14ac:dyDescent="0.2">
      <c r="A4" s="499" t="s">
        <v>12</v>
      </c>
      <c r="B4" s="223" t="s">
        <v>13</v>
      </c>
      <c r="C4" s="102"/>
      <c r="D4" s="102"/>
      <c r="E4" s="608"/>
      <c r="F4" s="605"/>
      <c r="G4" s="605"/>
      <c r="H4" s="605"/>
      <c r="I4" s="605"/>
      <c r="J4" s="605"/>
      <c r="K4" s="605"/>
    </row>
    <row r="5" spans="1:11" ht="28" x14ac:dyDescent="0.2">
      <c r="A5" s="500"/>
      <c r="B5" s="223" t="s">
        <v>14</v>
      </c>
      <c r="C5" s="102" t="s">
        <v>15</v>
      </c>
      <c r="D5" s="102">
        <v>36</v>
      </c>
      <c r="E5" s="608">
        <v>61523.635555555549</v>
      </c>
      <c r="F5" s="605"/>
      <c r="G5" s="605"/>
      <c r="H5" s="605"/>
      <c r="I5" s="605"/>
      <c r="J5" s="605"/>
      <c r="K5" s="605"/>
    </row>
    <row r="6" spans="1:11" ht="71" x14ac:dyDescent="0.2">
      <c r="A6" s="500"/>
      <c r="B6" s="223" t="s">
        <v>1755</v>
      </c>
      <c r="C6" s="102" t="s">
        <v>15</v>
      </c>
      <c r="D6" s="102">
        <v>36</v>
      </c>
      <c r="E6" s="608">
        <v>15000</v>
      </c>
      <c r="F6" s="605"/>
      <c r="G6" s="605"/>
      <c r="H6" s="605"/>
      <c r="I6" s="605"/>
      <c r="J6" s="605"/>
      <c r="K6" s="605"/>
    </row>
    <row r="7" spans="1:11" ht="19" x14ac:dyDescent="0.2">
      <c r="A7" s="248" t="s">
        <v>65</v>
      </c>
      <c r="B7" s="429" t="s">
        <v>66</v>
      </c>
      <c r="C7" s="100"/>
      <c r="D7" s="100"/>
      <c r="E7" s="609"/>
      <c r="F7" s="605"/>
      <c r="G7" s="605"/>
      <c r="H7" s="605"/>
      <c r="I7" s="605"/>
      <c r="J7" s="605"/>
      <c r="K7" s="605"/>
    </row>
    <row r="8" spans="1:11" ht="30" x14ac:dyDescent="0.25">
      <c r="A8" s="249"/>
      <c r="B8" s="223" t="s">
        <v>67</v>
      </c>
      <c r="C8" s="218"/>
      <c r="D8" s="218"/>
      <c r="E8" s="610"/>
      <c r="F8" s="605"/>
      <c r="G8" s="605"/>
      <c r="H8" s="605"/>
      <c r="I8" s="605"/>
      <c r="J8" s="605"/>
      <c r="K8" s="605"/>
    </row>
    <row r="9" spans="1:11" ht="19" x14ac:dyDescent="0.25">
      <c r="A9" s="195" t="s">
        <v>68</v>
      </c>
      <c r="B9" s="223" t="s">
        <v>69</v>
      </c>
      <c r="C9" s="218"/>
      <c r="D9" s="218"/>
      <c r="E9" s="610"/>
      <c r="F9" s="605"/>
      <c r="G9" s="605"/>
      <c r="H9" s="605"/>
      <c r="I9" s="605"/>
      <c r="J9" s="605"/>
      <c r="K9" s="605"/>
    </row>
    <row r="10" spans="1:11" ht="29" x14ac:dyDescent="0.2">
      <c r="A10" s="542"/>
      <c r="B10" s="543" t="s">
        <v>70</v>
      </c>
      <c r="C10" s="544" t="s">
        <v>15</v>
      </c>
      <c r="D10" s="545">
        <v>36</v>
      </c>
      <c r="E10" s="611">
        <v>20000</v>
      </c>
      <c r="F10" s="605"/>
      <c r="G10" s="605"/>
      <c r="H10" s="605"/>
      <c r="I10" s="605"/>
      <c r="J10" s="605"/>
      <c r="K10" s="605"/>
    </row>
    <row r="11" spans="1:11" ht="30" x14ac:dyDescent="0.25">
      <c r="A11" s="542"/>
      <c r="B11" s="543" t="s">
        <v>72</v>
      </c>
      <c r="C11" s="544" t="s">
        <v>15</v>
      </c>
      <c r="D11" s="545">
        <v>36</v>
      </c>
      <c r="E11" s="612">
        <f>+E10</f>
        <v>20000</v>
      </c>
      <c r="F11" s="605"/>
      <c r="G11" s="605"/>
      <c r="H11" s="605"/>
      <c r="I11" s="605"/>
      <c r="J11" s="605"/>
      <c r="K11" s="605"/>
    </row>
    <row r="12" spans="1:11" ht="29" x14ac:dyDescent="0.2">
      <c r="A12" s="195" t="s">
        <v>90</v>
      </c>
      <c r="B12" s="223" t="s">
        <v>91</v>
      </c>
      <c r="C12" s="257"/>
      <c r="D12" s="218"/>
      <c r="E12" s="613"/>
      <c r="F12" s="605"/>
      <c r="G12" s="605"/>
      <c r="H12" s="605"/>
      <c r="I12" s="605"/>
      <c r="J12" s="605"/>
      <c r="K12" s="605"/>
    </row>
    <row r="13" spans="1:11" x14ac:dyDescent="0.2">
      <c r="A13" s="195"/>
      <c r="B13" s="223" t="s">
        <v>92</v>
      </c>
      <c r="C13" s="257"/>
      <c r="D13" s="218"/>
      <c r="E13" s="613"/>
      <c r="F13" s="605"/>
      <c r="G13" s="605"/>
      <c r="H13" s="605"/>
      <c r="I13" s="605"/>
      <c r="J13" s="605"/>
      <c r="K13" s="605"/>
    </row>
    <row r="14" spans="1:11" x14ac:dyDescent="0.2">
      <c r="A14" s="249"/>
      <c r="B14" s="223" t="s">
        <v>93</v>
      </c>
      <c r="C14" s="257"/>
      <c r="D14" s="218"/>
      <c r="E14" s="613"/>
      <c r="F14" s="605"/>
      <c r="G14" s="605"/>
      <c r="H14" s="605"/>
      <c r="I14" s="605"/>
      <c r="J14" s="605"/>
      <c r="K14" s="605"/>
    </row>
    <row r="15" spans="1:11" ht="29" x14ac:dyDescent="0.2">
      <c r="A15" s="542"/>
      <c r="B15" s="543" t="s">
        <v>94</v>
      </c>
      <c r="C15" s="544" t="s">
        <v>15</v>
      </c>
      <c r="D15" s="544" t="s">
        <v>96</v>
      </c>
      <c r="E15" s="614">
        <v>10000</v>
      </c>
      <c r="F15" s="605"/>
      <c r="G15" s="605"/>
      <c r="H15" s="605"/>
      <c r="I15" s="605"/>
      <c r="J15" s="605"/>
      <c r="K15" s="605"/>
    </row>
    <row r="16" spans="1:11" x14ac:dyDescent="0.2">
      <c r="A16" s="549" t="s">
        <v>97</v>
      </c>
      <c r="B16" s="543" t="s">
        <v>98</v>
      </c>
      <c r="C16" s="550"/>
      <c r="D16" s="551"/>
      <c r="E16" s="614"/>
      <c r="F16" s="605"/>
      <c r="G16" s="605"/>
      <c r="H16" s="605"/>
      <c r="I16" s="605"/>
      <c r="J16" s="605"/>
      <c r="K16" s="605"/>
    </row>
    <row r="17" spans="1:11" ht="30" thickBot="1" x14ac:dyDescent="0.25">
      <c r="A17" s="542"/>
      <c r="B17" s="543" t="s">
        <v>94</v>
      </c>
      <c r="C17" s="544" t="s">
        <v>15</v>
      </c>
      <c r="D17" s="544" t="s">
        <v>96</v>
      </c>
      <c r="E17" s="614">
        <v>12000</v>
      </c>
      <c r="F17" s="605"/>
      <c r="G17" s="605"/>
      <c r="H17" s="605"/>
      <c r="I17" s="605"/>
      <c r="J17" s="605"/>
      <c r="K17" s="605"/>
    </row>
    <row r="18" spans="1:11" ht="19" x14ac:dyDescent="0.2">
      <c r="A18" s="176" t="s">
        <v>225</v>
      </c>
      <c r="B18" s="145" t="s">
        <v>226</v>
      </c>
      <c r="C18" s="177"/>
      <c r="D18" s="177"/>
      <c r="E18" s="615"/>
      <c r="F18" s="605"/>
      <c r="G18" s="605"/>
      <c r="H18" s="605"/>
      <c r="I18" s="605"/>
      <c r="J18" s="605"/>
      <c r="K18" s="605"/>
    </row>
    <row r="19" spans="1:11" ht="28" x14ac:dyDescent="0.2">
      <c r="A19" s="552" t="s">
        <v>227</v>
      </c>
      <c r="B19" s="572" t="s">
        <v>228</v>
      </c>
      <c r="C19" s="554" t="s">
        <v>15</v>
      </c>
      <c r="D19" s="555">
        <v>36</v>
      </c>
      <c r="E19" s="616">
        <v>8000</v>
      </c>
      <c r="F19" s="605"/>
      <c r="G19" s="605"/>
      <c r="H19" s="605"/>
      <c r="I19" s="605"/>
      <c r="J19" s="605"/>
      <c r="K19" s="605"/>
    </row>
    <row r="20" spans="1:11" x14ac:dyDescent="0.2">
      <c r="A20" s="599" t="s">
        <v>230</v>
      </c>
      <c r="B20" s="600" t="s">
        <v>231</v>
      </c>
      <c r="C20" s="568"/>
      <c r="D20" s="576"/>
      <c r="E20" s="616"/>
      <c r="F20" s="605"/>
      <c r="G20" s="605"/>
      <c r="H20" s="605"/>
      <c r="I20" s="605"/>
      <c r="J20" s="605"/>
      <c r="K20" s="605"/>
    </row>
    <row r="21" spans="1:11" ht="28" x14ac:dyDescent="0.2">
      <c r="A21" s="552" t="s">
        <v>232</v>
      </c>
      <c r="B21" s="572" t="s">
        <v>233</v>
      </c>
      <c r="C21" s="554" t="s">
        <v>15</v>
      </c>
      <c r="D21" s="555">
        <v>36</v>
      </c>
      <c r="E21" s="616">
        <v>8000</v>
      </c>
      <c r="F21" s="605"/>
      <c r="G21" s="605"/>
      <c r="H21" s="605"/>
      <c r="I21" s="605"/>
      <c r="J21" s="605"/>
      <c r="K21" s="605"/>
    </row>
    <row r="22" spans="1:11" x14ac:dyDescent="0.2">
      <c r="A22" s="599" t="s">
        <v>235</v>
      </c>
      <c r="B22" s="600" t="s">
        <v>236</v>
      </c>
      <c r="C22" s="568"/>
      <c r="D22" s="576"/>
      <c r="E22" s="616"/>
      <c r="F22" s="605"/>
      <c r="G22" s="605"/>
      <c r="H22" s="605"/>
      <c r="I22" s="605"/>
      <c r="J22" s="605"/>
      <c r="K22" s="605"/>
    </row>
    <row r="23" spans="1:11" ht="28" x14ac:dyDescent="0.2">
      <c r="A23" s="552" t="s">
        <v>237</v>
      </c>
      <c r="B23" s="572" t="s">
        <v>238</v>
      </c>
      <c r="C23" s="554" t="s">
        <v>15</v>
      </c>
      <c r="D23" s="555">
        <v>36</v>
      </c>
      <c r="E23" s="616">
        <v>8000</v>
      </c>
      <c r="F23" s="605"/>
      <c r="G23" s="605"/>
      <c r="H23" s="605"/>
      <c r="I23" s="605"/>
      <c r="J23" s="605"/>
      <c r="K23" s="605"/>
    </row>
    <row r="24" spans="1:11" x14ac:dyDescent="0.2">
      <c r="A24" s="599" t="s">
        <v>240</v>
      </c>
      <c r="B24" s="600" t="s">
        <v>241</v>
      </c>
      <c r="C24" s="568"/>
      <c r="D24" s="576"/>
      <c r="E24" s="616"/>
      <c r="F24" s="605"/>
      <c r="G24" s="605"/>
      <c r="H24" s="605"/>
      <c r="I24" s="605"/>
      <c r="J24" s="605"/>
      <c r="K24" s="605"/>
    </row>
    <row r="25" spans="1:11" ht="28" x14ac:dyDescent="0.2">
      <c r="A25" s="561"/>
      <c r="B25" s="572" t="s">
        <v>242</v>
      </c>
      <c r="C25" s="568"/>
      <c r="D25" s="576"/>
      <c r="E25" s="616"/>
      <c r="F25" s="605"/>
      <c r="G25" s="605"/>
      <c r="H25" s="605"/>
      <c r="I25" s="605"/>
      <c r="J25" s="605"/>
      <c r="K25" s="605"/>
    </row>
    <row r="26" spans="1:11" x14ac:dyDescent="0.2">
      <c r="A26" s="552" t="s">
        <v>243</v>
      </c>
      <c r="B26" s="553" t="s">
        <v>244</v>
      </c>
      <c r="C26" s="568"/>
      <c r="D26" s="576"/>
      <c r="E26" s="616"/>
      <c r="F26" s="605"/>
      <c r="G26" s="605"/>
      <c r="H26" s="605"/>
      <c r="I26" s="605"/>
      <c r="J26" s="605"/>
      <c r="K26" s="605"/>
    </row>
    <row r="27" spans="1:11" ht="28" x14ac:dyDescent="0.2">
      <c r="A27" s="561"/>
      <c r="B27" s="553" t="s">
        <v>245</v>
      </c>
      <c r="C27" s="568"/>
      <c r="D27" s="576"/>
      <c r="E27" s="616"/>
      <c r="F27" s="605"/>
      <c r="G27" s="605"/>
      <c r="H27" s="605"/>
      <c r="I27" s="605"/>
      <c r="J27" s="605"/>
      <c r="K27" s="605"/>
    </row>
    <row r="28" spans="1:11" ht="28" x14ac:dyDescent="0.2">
      <c r="A28" s="561"/>
      <c r="B28" s="553" t="s">
        <v>246</v>
      </c>
      <c r="C28" s="554" t="s">
        <v>32</v>
      </c>
      <c r="D28" s="555">
        <v>20</v>
      </c>
      <c r="E28" s="616">
        <v>5000</v>
      </c>
      <c r="F28" s="605"/>
      <c r="G28" s="605"/>
      <c r="H28" s="605"/>
      <c r="I28" s="605"/>
      <c r="J28" s="605"/>
      <c r="K28" s="605"/>
    </row>
    <row r="29" spans="1:11" ht="19" x14ac:dyDescent="0.2">
      <c r="A29" s="331" t="s">
        <v>452</v>
      </c>
      <c r="B29" s="211" t="s">
        <v>453</v>
      </c>
      <c r="C29" s="230"/>
      <c r="D29" s="88"/>
      <c r="E29" s="617"/>
      <c r="F29" s="605"/>
      <c r="G29" s="605"/>
      <c r="H29" s="605"/>
      <c r="I29" s="605"/>
      <c r="J29" s="605"/>
      <c r="K29" s="605"/>
    </row>
    <row r="30" spans="1:11" ht="19" x14ac:dyDescent="0.2">
      <c r="A30" s="331"/>
      <c r="B30" s="211"/>
      <c r="C30" s="272"/>
      <c r="D30" s="272"/>
      <c r="E30" s="617"/>
      <c r="F30" s="605"/>
      <c r="G30" s="605"/>
      <c r="H30" s="605"/>
      <c r="I30" s="605"/>
      <c r="J30" s="605"/>
      <c r="K30" s="605"/>
    </row>
    <row r="31" spans="1:11" ht="28" x14ac:dyDescent="0.2">
      <c r="A31" s="273" t="s">
        <v>454</v>
      </c>
      <c r="B31" s="99" t="s">
        <v>455</v>
      </c>
      <c r="C31" s="272"/>
      <c r="D31" s="272"/>
      <c r="E31" s="617"/>
      <c r="F31" s="605"/>
      <c r="G31" s="605"/>
      <c r="H31" s="605"/>
      <c r="I31" s="605"/>
      <c r="J31" s="605"/>
      <c r="K31" s="605"/>
    </row>
    <row r="32" spans="1:11" ht="19" x14ac:dyDescent="0.2">
      <c r="A32" s="331"/>
      <c r="B32" s="99"/>
      <c r="C32" s="272"/>
      <c r="D32" s="272"/>
      <c r="E32" s="617"/>
      <c r="F32" s="605"/>
      <c r="G32" s="605"/>
      <c r="H32" s="605"/>
      <c r="I32" s="605"/>
      <c r="J32" s="605"/>
      <c r="K32" s="605"/>
    </row>
    <row r="33" spans="1:11" ht="28" x14ac:dyDescent="0.2">
      <c r="A33" s="331"/>
      <c r="B33" s="99" t="s">
        <v>456</v>
      </c>
      <c r="C33" s="272"/>
      <c r="D33" s="272"/>
      <c r="E33" s="617"/>
      <c r="F33" s="605"/>
      <c r="G33" s="605"/>
      <c r="H33" s="605"/>
      <c r="I33" s="605"/>
      <c r="J33" s="605"/>
      <c r="K33" s="605"/>
    </row>
    <row r="34" spans="1:11" ht="19" x14ac:dyDescent="0.2">
      <c r="A34" s="331"/>
      <c r="B34" s="99"/>
      <c r="C34" s="272"/>
      <c r="D34" s="272"/>
      <c r="E34" s="617"/>
      <c r="F34" s="605"/>
      <c r="G34" s="605"/>
      <c r="H34" s="605"/>
      <c r="I34" s="605"/>
      <c r="J34" s="605"/>
      <c r="K34" s="605"/>
    </row>
    <row r="35" spans="1:11" ht="29" thickBot="1" x14ac:dyDescent="0.25">
      <c r="A35" s="331"/>
      <c r="B35" s="99" t="s">
        <v>457</v>
      </c>
      <c r="C35" s="102" t="s">
        <v>15</v>
      </c>
      <c r="D35" s="102">
        <v>36</v>
      </c>
      <c r="E35" s="618">
        <v>20000</v>
      </c>
      <c r="F35" s="605"/>
      <c r="G35" s="605"/>
      <c r="H35" s="605"/>
      <c r="I35" s="605"/>
      <c r="J35" s="605"/>
      <c r="K35" s="605"/>
    </row>
    <row r="36" spans="1:11" ht="19" x14ac:dyDescent="0.2">
      <c r="A36" s="254" t="s">
        <v>469</v>
      </c>
      <c r="B36" s="143" t="s">
        <v>470</v>
      </c>
      <c r="C36" s="419"/>
      <c r="D36" s="330"/>
      <c r="E36" s="619"/>
      <c r="F36" s="605"/>
      <c r="G36" s="605"/>
      <c r="H36" s="605"/>
      <c r="I36" s="605"/>
      <c r="J36" s="605"/>
      <c r="K36" s="605"/>
    </row>
    <row r="37" spans="1:11" ht="19" x14ac:dyDescent="0.2">
      <c r="A37" s="331"/>
      <c r="B37" s="211"/>
      <c r="C37" s="272"/>
      <c r="D37" s="272"/>
      <c r="E37" s="617"/>
      <c r="F37" s="605"/>
      <c r="G37" s="605"/>
      <c r="H37" s="605"/>
      <c r="I37" s="605"/>
      <c r="J37" s="605"/>
      <c r="K37" s="605"/>
    </row>
    <row r="38" spans="1:11" ht="28" x14ac:dyDescent="0.2">
      <c r="A38" s="273" t="s">
        <v>471</v>
      </c>
      <c r="B38" s="99" t="s">
        <v>472</v>
      </c>
      <c r="C38" s="272"/>
      <c r="D38" s="272"/>
      <c r="E38" s="617"/>
      <c r="F38" s="605"/>
      <c r="G38" s="605"/>
      <c r="H38" s="605"/>
      <c r="I38" s="605"/>
      <c r="J38" s="605"/>
      <c r="K38" s="605"/>
    </row>
    <row r="39" spans="1:11" ht="19" x14ac:dyDescent="0.2">
      <c r="A39" s="273"/>
      <c r="B39" s="99"/>
      <c r="C39" s="272"/>
      <c r="D39" s="272"/>
      <c r="E39" s="617"/>
      <c r="F39" s="605"/>
      <c r="G39" s="605"/>
      <c r="H39" s="605"/>
      <c r="I39" s="605"/>
      <c r="J39" s="605"/>
      <c r="K39" s="605"/>
    </row>
    <row r="40" spans="1:11" ht="29" thickBot="1" x14ac:dyDescent="0.25">
      <c r="A40" s="273"/>
      <c r="B40" s="99" t="s">
        <v>94</v>
      </c>
      <c r="C40" s="102" t="s">
        <v>15</v>
      </c>
      <c r="D40" s="102">
        <v>36</v>
      </c>
      <c r="E40" s="620">
        <v>20000</v>
      </c>
      <c r="F40" s="605"/>
      <c r="G40" s="605"/>
      <c r="H40" s="605"/>
      <c r="I40" s="605"/>
      <c r="J40" s="605"/>
      <c r="K40" s="605"/>
    </row>
    <row r="41" spans="1:11" ht="30" x14ac:dyDescent="0.25">
      <c r="A41" s="92" t="s">
        <v>484</v>
      </c>
      <c r="B41" s="255" t="s">
        <v>485</v>
      </c>
      <c r="C41" s="256"/>
      <c r="D41" s="256"/>
      <c r="E41" s="621"/>
      <c r="F41" s="605"/>
      <c r="G41" s="605"/>
      <c r="H41" s="605"/>
      <c r="I41" s="605"/>
      <c r="J41" s="605"/>
      <c r="K41" s="605"/>
    </row>
    <row r="42" spans="1:11" ht="19" x14ac:dyDescent="0.25">
      <c r="A42" s="166" t="s">
        <v>486</v>
      </c>
      <c r="B42" s="223" t="s">
        <v>487</v>
      </c>
      <c r="C42" s="218"/>
      <c r="D42" s="218"/>
      <c r="E42" s="622"/>
      <c r="F42" s="605"/>
      <c r="G42" s="605"/>
      <c r="H42" s="605"/>
      <c r="I42" s="605"/>
      <c r="J42" s="605"/>
      <c r="K42" s="605"/>
    </row>
    <row r="43" spans="1:11" ht="30" x14ac:dyDescent="0.25">
      <c r="A43" s="152"/>
      <c r="B43" s="223" t="s">
        <v>488</v>
      </c>
      <c r="C43" s="218"/>
      <c r="D43" s="218"/>
      <c r="E43" s="622"/>
      <c r="F43" s="605"/>
      <c r="G43" s="605"/>
      <c r="H43" s="605"/>
      <c r="I43" s="605"/>
      <c r="J43" s="605"/>
      <c r="K43" s="605"/>
    </row>
    <row r="44" spans="1:11" ht="19" x14ac:dyDescent="0.25">
      <c r="A44" s="152"/>
      <c r="B44" s="223" t="s">
        <v>489</v>
      </c>
      <c r="C44" s="218"/>
      <c r="D44" s="218"/>
      <c r="E44" s="622"/>
    </row>
    <row r="45" spans="1:11" ht="30" thickBot="1" x14ac:dyDescent="0.25">
      <c r="A45" s="561"/>
      <c r="B45" s="543" t="s">
        <v>490</v>
      </c>
      <c r="C45" s="544" t="s">
        <v>15</v>
      </c>
      <c r="D45" s="545">
        <v>36</v>
      </c>
      <c r="E45" s="623">
        <v>10000</v>
      </c>
    </row>
    <row r="46" spans="1:11" ht="19" x14ac:dyDescent="0.15">
      <c r="A46" s="176" t="s">
        <v>533</v>
      </c>
      <c r="B46" s="208" t="s">
        <v>534</v>
      </c>
      <c r="C46" s="177"/>
      <c r="D46" s="177"/>
      <c r="E46" s="615"/>
    </row>
    <row r="47" spans="1:11" ht="19" x14ac:dyDescent="0.15">
      <c r="A47" s="166" t="s">
        <v>535</v>
      </c>
      <c r="B47" s="99" t="s">
        <v>536</v>
      </c>
      <c r="C47" s="154"/>
      <c r="D47" s="154"/>
      <c r="E47" s="624"/>
    </row>
    <row r="48" spans="1:11" ht="29" thickBot="1" x14ac:dyDescent="0.2">
      <c r="A48" s="561"/>
      <c r="B48" s="553" t="s">
        <v>94</v>
      </c>
      <c r="C48" s="554" t="s">
        <v>15</v>
      </c>
      <c r="D48" s="554">
        <v>36</v>
      </c>
      <c r="E48" s="625">
        <v>10000</v>
      </c>
    </row>
    <row r="49" spans="1:5" ht="28" x14ac:dyDescent="0.15">
      <c r="A49" s="176" t="s">
        <v>712</v>
      </c>
      <c r="B49" s="143" t="s">
        <v>713</v>
      </c>
      <c r="C49" s="177"/>
      <c r="D49" s="177"/>
      <c r="E49" s="615"/>
    </row>
    <row r="50" spans="1:5" ht="19" x14ac:dyDescent="0.15">
      <c r="A50" s="166" t="s">
        <v>714</v>
      </c>
      <c r="B50" s="99" t="s">
        <v>715</v>
      </c>
      <c r="C50" s="154"/>
      <c r="D50" s="154"/>
      <c r="E50" s="624"/>
    </row>
    <row r="51" spans="1:5" ht="19" x14ac:dyDescent="0.15">
      <c r="A51" s="152"/>
      <c r="B51" s="99" t="s">
        <v>716</v>
      </c>
      <c r="C51" s="154"/>
      <c r="D51" s="154"/>
      <c r="E51" s="624"/>
    </row>
    <row r="52" spans="1:5" ht="29" thickBot="1" x14ac:dyDescent="0.2">
      <c r="A52" s="152"/>
      <c r="B52" s="99" t="s">
        <v>94</v>
      </c>
      <c r="C52" s="102" t="s">
        <v>15</v>
      </c>
      <c r="D52" s="102">
        <v>36</v>
      </c>
      <c r="E52" s="626">
        <v>20000</v>
      </c>
    </row>
    <row r="53" spans="1:5" ht="19" x14ac:dyDescent="0.15">
      <c r="A53" s="163" t="s">
        <v>1492</v>
      </c>
      <c r="B53" s="164" t="s">
        <v>1493</v>
      </c>
      <c r="C53" s="165"/>
      <c r="D53" s="165"/>
      <c r="E53" s="627"/>
    </row>
    <row r="54" spans="1:5" ht="19" x14ac:dyDescent="0.15">
      <c r="A54" s="195" t="s">
        <v>1494</v>
      </c>
      <c r="B54" s="148" t="s">
        <v>1495</v>
      </c>
      <c r="C54" s="100"/>
      <c r="D54" s="100"/>
      <c r="E54" s="609"/>
    </row>
    <row r="55" spans="1:5" ht="28" x14ac:dyDescent="0.15">
      <c r="A55" s="566"/>
      <c r="B55" s="553" t="s">
        <v>1496</v>
      </c>
      <c r="C55" s="554" t="s">
        <v>15</v>
      </c>
      <c r="D55" s="555">
        <v>36</v>
      </c>
      <c r="E55" s="625">
        <v>5000</v>
      </c>
    </row>
    <row r="56" spans="1:5" ht="28" x14ac:dyDescent="0.15">
      <c r="A56" s="566"/>
      <c r="B56" s="553" t="s">
        <v>1498</v>
      </c>
      <c r="C56" s="554" t="s">
        <v>15</v>
      </c>
      <c r="D56" s="555">
        <v>36</v>
      </c>
      <c r="E56" s="625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view="pageBreakPreview" topLeftCell="A3" zoomScaleNormal="100" zoomScaleSheetLayoutView="100" workbookViewId="0">
      <selection activeCell="N13" sqref="N13"/>
    </sheetView>
  </sheetViews>
  <sheetFormatPr baseColWidth="10" defaultColWidth="9.3984375" defaultRowHeight="14" x14ac:dyDescent="0.15"/>
  <cols>
    <col min="1" max="1" width="10" style="89" customWidth="1"/>
    <col min="2" max="2" width="70.3984375" style="89" customWidth="1"/>
    <col min="3" max="3" width="12" style="161" customWidth="1"/>
    <col min="4" max="4" width="11" style="161" customWidth="1"/>
    <col min="5" max="5" width="16.3984375" style="535" customWidth="1"/>
    <col min="6" max="6" width="16.19921875" style="535" customWidth="1"/>
    <col min="7" max="7" width="9" style="89" hidden="1" customWidth="1"/>
    <col min="8" max="8" width="10" style="89" hidden="1" customWidth="1"/>
    <col min="9" max="9" width="0" style="89" hidden="1" customWidth="1"/>
    <col min="10" max="16384" width="9.3984375" style="89"/>
  </cols>
  <sheetData>
    <row r="1" spans="1:10" ht="11.25" customHeight="1" x14ac:dyDescent="0.15">
      <c r="A1" s="87" t="s">
        <v>1752</v>
      </c>
      <c r="B1" s="88"/>
      <c r="E1" s="161"/>
      <c r="F1" s="161"/>
    </row>
    <row r="2" spans="1:10" ht="19.5" customHeight="1" x14ac:dyDescent="0.15">
      <c r="A2" s="629" t="s">
        <v>0</v>
      </c>
      <c r="B2" s="629"/>
      <c r="C2" s="629"/>
      <c r="D2" s="629"/>
      <c r="E2" s="629"/>
      <c r="F2" s="161"/>
    </row>
    <row r="3" spans="1:10" ht="11.25" customHeight="1" x14ac:dyDescent="0.15">
      <c r="A3" s="630" t="s">
        <v>1756</v>
      </c>
      <c r="B3" s="630"/>
      <c r="E3" s="161"/>
      <c r="F3" s="161"/>
    </row>
    <row r="4" spans="1:10" ht="15.75" customHeight="1" x14ac:dyDescent="0.15">
      <c r="A4" s="300" t="s">
        <v>20</v>
      </c>
      <c r="B4" s="88"/>
      <c r="E4" s="161"/>
      <c r="F4" s="534"/>
    </row>
    <row r="5" spans="1:10" ht="20" customHeight="1" x14ac:dyDescent="0.2">
      <c r="G5" s="498"/>
      <c r="H5" s="91"/>
      <c r="I5" s="91"/>
      <c r="J5" s="91"/>
    </row>
    <row r="6" spans="1:10" ht="20" customHeight="1" x14ac:dyDescent="0.2">
      <c r="A6" s="269" t="s">
        <v>1</v>
      </c>
      <c r="B6" s="317" t="s">
        <v>2</v>
      </c>
      <c r="C6" s="317" t="s">
        <v>3</v>
      </c>
      <c r="D6" s="317" t="s">
        <v>4</v>
      </c>
      <c r="E6" s="317" t="s">
        <v>5</v>
      </c>
      <c r="F6" s="317" t="s">
        <v>6</v>
      </c>
      <c r="G6" s="498"/>
      <c r="H6" s="91"/>
      <c r="I6" s="91"/>
      <c r="J6" s="91"/>
    </row>
    <row r="7" spans="1:10" ht="25.5" customHeight="1" x14ac:dyDescent="0.2">
      <c r="A7" s="331" t="s">
        <v>7</v>
      </c>
      <c r="B7" s="431" t="s">
        <v>8</v>
      </c>
      <c r="C7" s="102"/>
      <c r="D7" s="102"/>
      <c r="E7" s="154"/>
      <c r="F7" s="242"/>
      <c r="G7" s="498"/>
      <c r="H7" s="91"/>
      <c r="I7" s="91"/>
      <c r="J7" s="91"/>
    </row>
    <row r="8" spans="1:10" ht="20" customHeight="1" x14ac:dyDescent="0.2">
      <c r="A8" s="331"/>
      <c r="B8" s="431"/>
      <c r="C8" s="102"/>
      <c r="D8" s="102"/>
      <c r="E8" s="154"/>
      <c r="F8" s="242"/>
      <c r="G8" s="498"/>
      <c r="H8" s="91"/>
      <c r="I8" s="91"/>
      <c r="J8" s="91"/>
    </row>
    <row r="9" spans="1:10" ht="20" customHeight="1" x14ac:dyDescent="0.2">
      <c r="A9" s="499" t="s">
        <v>9</v>
      </c>
      <c r="B9" s="223" t="s">
        <v>10</v>
      </c>
      <c r="C9" s="102" t="s">
        <v>11</v>
      </c>
      <c r="D9" s="102">
        <v>1</v>
      </c>
      <c r="E9" s="242">
        <f>+G9*Summary!K52</f>
        <v>1661138.16</v>
      </c>
      <c r="F9" s="242">
        <f>+E9*D9</f>
        <v>1661138.16</v>
      </c>
      <c r="G9" s="532">
        <v>0.06</v>
      </c>
      <c r="H9" s="91"/>
      <c r="I9" s="91"/>
      <c r="J9" s="91"/>
    </row>
    <row r="10" spans="1:10" ht="20" customHeight="1" x14ac:dyDescent="0.2">
      <c r="A10" s="499"/>
      <c r="B10" s="223"/>
      <c r="C10" s="102"/>
      <c r="D10" s="102"/>
      <c r="E10" s="242"/>
      <c r="F10" s="242"/>
      <c r="G10" s="91"/>
      <c r="H10" s="91"/>
      <c r="I10" s="91"/>
      <c r="J10" s="91"/>
    </row>
    <row r="11" spans="1:10" ht="20" customHeight="1" x14ac:dyDescent="0.15">
      <c r="A11" s="499" t="s">
        <v>12</v>
      </c>
      <c r="B11" s="223" t="s">
        <v>13</v>
      </c>
      <c r="C11" s="102"/>
      <c r="D11" s="102"/>
      <c r="E11" s="242"/>
      <c r="F11" s="242"/>
    </row>
    <row r="12" spans="1:10" ht="20" customHeight="1" x14ac:dyDescent="0.15">
      <c r="A12" s="500"/>
      <c r="B12" s="223" t="s">
        <v>14</v>
      </c>
      <c r="C12" s="102" t="s">
        <v>15</v>
      </c>
      <c r="D12" s="102">
        <v>36</v>
      </c>
      <c r="E12" s="242">
        <f>+G12*Summary!K52/36</f>
        <v>61523.635555555549</v>
      </c>
      <c r="F12" s="242">
        <f>+E12*D12</f>
        <v>2214850.88</v>
      </c>
      <c r="G12" s="533">
        <v>0.08</v>
      </c>
    </row>
    <row r="13" spans="1:10" ht="51" customHeight="1" x14ac:dyDescent="0.15">
      <c r="A13" s="500"/>
      <c r="B13" s="223" t="s">
        <v>1755</v>
      </c>
      <c r="C13" s="102" t="s">
        <v>16</v>
      </c>
      <c r="D13" s="102">
        <v>36</v>
      </c>
      <c r="E13" s="242">
        <v>15000</v>
      </c>
      <c r="F13" s="242">
        <f>+E13*D13</f>
        <v>540000</v>
      </c>
    </row>
    <row r="14" spans="1:10" ht="20" customHeight="1" x14ac:dyDescent="0.15">
      <c r="A14" s="500"/>
      <c r="B14" s="223"/>
      <c r="C14" s="102"/>
      <c r="D14" s="102"/>
      <c r="E14" s="242"/>
      <c r="F14" s="242"/>
    </row>
    <row r="15" spans="1:10" ht="20" customHeight="1" x14ac:dyDescent="0.15">
      <c r="A15" s="422"/>
      <c r="B15" s="105"/>
      <c r="C15" s="102"/>
      <c r="D15" s="102"/>
      <c r="E15" s="154"/>
      <c r="F15" s="242"/>
    </row>
    <row r="16" spans="1:10" ht="20" customHeight="1" x14ac:dyDescent="0.15">
      <c r="A16" s="422"/>
      <c r="B16" s="105"/>
      <c r="C16" s="102"/>
      <c r="D16" s="102"/>
      <c r="E16" s="154"/>
      <c r="F16" s="242"/>
    </row>
    <row r="17" spans="1:6" ht="20" customHeight="1" x14ac:dyDescent="0.15">
      <c r="A17" s="422"/>
      <c r="B17" s="105"/>
      <c r="C17" s="102"/>
      <c r="D17" s="102"/>
      <c r="E17" s="154"/>
      <c r="F17" s="242"/>
    </row>
    <row r="18" spans="1:6" ht="20" customHeight="1" x14ac:dyDescent="0.15">
      <c r="A18" s="422"/>
      <c r="B18" s="105"/>
      <c r="C18" s="102"/>
      <c r="D18" s="102"/>
      <c r="E18" s="154"/>
      <c r="F18" s="242"/>
    </row>
    <row r="19" spans="1:6" ht="20" customHeight="1" x14ac:dyDescent="0.15">
      <c r="A19" s="422"/>
      <c r="B19" s="105"/>
      <c r="C19" s="102"/>
      <c r="D19" s="102"/>
      <c r="E19" s="154"/>
      <c r="F19" s="242"/>
    </row>
    <row r="20" spans="1:6" x14ac:dyDescent="0.15">
      <c r="A20" s="422"/>
      <c r="B20" s="105"/>
      <c r="C20" s="102"/>
      <c r="D20" s="102"/>
      <c r="E20" s="154"/>
      <c r="F20" s="242"/>
    </row>
    <row r="21" spans="1:6" x14ac:dyDescent="0.15">
      <c r="A21" s="422"/>
      <c r="B21" s="105"/>
      <c r="C21" s="102"/>
      <c r="D21" s="102"/>
      <c r="E21" s="154"/>
      <c r="F21" s="242"/>
    </row>
    <row r="22" spans="1:6" x14ac:dyDescent="0.15">
      <c r="A22" s="422"/>
      <c r="B22" s="105"/>
      <c r="C22" s="102"/>
      <c r="D22" s="102"/>
      <c r="E22" s="154"/>
      <c r="F22" s="242"/>
    </row>
    <row r="23" spans="1:6" x14ac:dyDescent="0.15">
      <c r="A23" s="260" t="s">
        <v>17</v>
      </c>
      <c r="B23" s="628" t="s">
        <v>18</v>
      </c>
      <c r="C23" s="628"/>
      <c r="D23" s="628"/>
      <c r="E23" s="628"/>
      <c r="F23" s="97">
        <f>SUM(F7:F22)</f>
        <v>4415989.04</v>
      </c>
    </row>
    <row r="26" spans="1:6" x14ac:dyDescent="0.15">
      <c r="A26" s="113" t="s">
        <v>19</v>
      </c>
    </row>
    <row r="27" spans="1:6" x14ac:dyDescent="0.15">
      <c r="A27" s="113"/>
    </row>
  </sheetData>
  <mergeCells count="3">
    <mergeCell ref="B23:E23"/>
    <mergeCell ref="A2:E2"/>
    <mergeCell ref="A3:B3"/>
  </mergeCells>
  <phoneticPr fontId="2" type="noConversion"/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view="pageBreakPreview" topLeftCell="A5" zoomScaleNormal="100" zoomScaleSheetLayoutView="100" workbookViewId="0">
      <selection activeCell="J32" sqref="J32"/>
    </sheetView>
  </sheetViews>
  <sheetFormatPr baseColWidth="10" defaultColWidth="9" defaultRowHeight="12" x14ac:dyDescent="0.15"/>
  <cols>
    <col min="1" max="1" width="8.796875" style="393" customWidth="1"/>
    <col min="2" max="2" width="55.19921875" style="393" customWidth="1"/>
    <col min="3" max="3" width="8" style="393" customWidth="1"/>
    <col min="4" max="4" width="15" style="393" customWidth="1"/>
    <col min="5" max="5" width="14.19921875" style="501" customWidth="1"/>
    <col min="6" max="6" width="14.3984375" style="501" bestFit="1" customWidth="1"/>
    <col min="7" max="7" width="9" style="393" customWidth="1"/>
    <col min="8" max="16384" width="9" style="393"/>
  </cols>
  <sheetData>
    <row r="1" spans="1:6" ht="12" customHeight="1" x14ac:dyDescent="0.15">
      <c r="A1" s="1" t="s">
        <v>1752</v>
      </c>
    </row>
    <row r="2" spans="1:6" ht="20.25" customHeight="1" x14ac:dyDescent="0.15">
      <c r="A2" s="632" t="s">
        <v>0</v>
      </c>
      <c r="B2" s="632"/>
      <c r="C2" s="632"/>
      <c r="D2" s="632"/>
      <c r="E2" s="632"/>
    </row>
    <row r="3" spans="1:6" ht="9" customHeight="1" x14ac:dyDescent="0.15">
      <c r="A3" s="633" t="s">
        <v>1757</v>
      </c>
      <c r="B3" s="633"/>
    </row>
    <row r="4" spans="1:6" x14ac:dyDescent="0.15">
      <c r="A4" s="394" t="s">
        <v>20</v>
      </c>
      <c r="F4" s="502"/>
    </row>
    <row r="5" spans="1:6" ht="20" customHeight="1" thickBot="1" x14ac:dyDescent="0.2"/>
    <row r="6" spans="1:6" ht="20" customHeight="1" thickBot="1" x14ac:dyDescent="0.2">
      <c r="A6" s="478" t="s">
        <v>21</v>
      </c>
      <c r="B6" s="479" t="s">
        <v>22</v>
      </c>
      <c r="C6" s="479" t="s">
        <v>23</v>
      </c>
      <c r="D6" s="480" t="s">
        <v>24</v>
      </c>
      <c r="E6" s="503" t="s">
        <v>25</v>
      </c>
      <c r="F6" s="503" t="s">
        <v>26</v>
      </c>
    </row>
    <row r="7" spans="1:6" ht="20" customHeight="1" x14ac:dyDescent="0.15">
      <c r="A7" s="481" t="s">
        <v>27</v>
      </c>
      <c r="B7" s="482" t="s">
        <v>28</v>
      </c>
      <c r="C7" s="483"/>
      <c r="D7" s="396"/>
      <c r="E7" s="504"/>
      <c r="F7" s="504"/>
    </row>
    <row r="8" spans="1:6" ht="20" customHeight="1" x14ac:dyDescent="0.15">
      <c r="A8" s="395" t="s">
        <v>29</v>
      </c>
      <c r="B8" s="484" t="s">
        <v>30</v>
      </c>
      <c r="C8" s="396"/>
      <c r="D8" s="396"/>
      <c r="E8" s="504"/>
      <c r="F8" s="504"/>
    </row>
    <row r="9" spans="1:6" ht="20" customHeight="1" x14ac:dyDescent="0.15">
      <c r="A9" s="397"/>
      <c r="B9" s="484" t="s">
        <v>31</v>
      </c>
      <c r="C9" s="398" t="s">
        <v>32</v>
      </c>
      <c r="D9" s="399">
        <v>3</v>
      </c>
      <c r="E9" s="504">
        <v>35000</v>
      </c>
      <c r="F9" s="505">
        <f>+E9*D9</f>
        <v>105000</v>
      </c>
    </row>
    <row r="10" spans="1:6" ht="20" customHeight="1" x14ac:dyDescent="0.15">
      <c r="A10" s="397"/>
      <c r="B10" s="484" t="s">
        <v>33</v>
      </c>
      <c r="C10" s="398" t="s">
        <v>34</v>
      </c>
      <c r="D10" s="399">
        <v>6</v>
      </c>
      <c r="E10" s="504">
        <v>25000</v>
      </c>
      <c r="F10" s="505">
        <f t="shared" ref="F10:F11" si="0">+E10*D10</f>
        <v>150000</v>
      </c>
    </row>
    <row r="11" spans="1:6" ht="20" customHeight="1" x14ac:dyDescent="0.15">
      <c r="A11" s="397"/>
      <c r="B11" s="484"/>
      <c r="C11" s="398"/>
      <c r="D11" s="399"/>
      <c r="E11" s="504"/>
      <c r="F11" s="505">
        <f t="shared" si="0"/>
        <v>0</v>
      </c>
    </row>
    <row r="12" spans="1:6" s="490" customFormat="1" ht="20" customHeight="1" x14ac:dyDescent="0.15">
      <c r="A12" s="487">
        <v>20.05</v>
      </c>
      <c r="B12" s="488" t="s">
        <v>37</v>
      </c>
      <c r="C12" s="489"/>
      <c r="D12" s="489"/>
      <c r="E12" s="506"/>
      <c r="F12" s="506"/>
    </row>
    <row r="13" spans="1:6" s="490" customFormat="1" ht="20" customHeight="1" x14ac:dyDescent="0.15">
      <c r="A13" s="491"/>
      <c r="B13" s="488" t="s">
        <v>38</v>
      </c>
      <c r="C13" s="492" t="s">
        <v>39</v>
      </c>
      <c r="D13" s="493">
        <v>1</v>
      </c>
      <c r="E13" s="507">
        <v>200000</v>
      </c>
      <c r="F13" s="508">
        <v>200000</v>
      </c>
    </row>
    <row r="14" spans="1:6" s="490" customFormat="1" ht="20" customHeight="1" x14ac:dyDescent="0.15">
      <c r="A14" s="491"/>
      <c r="B14" s="488"/>
      <c r="C14" s="492"/>
      <c r="D14" s="493"/>
      <c r="E14" s="507"/>
      <c r="F14" s="509"/>
    </row>
    <row r="15" spans="1:6" s="490" customFormat="1" ht="20" customHeight="1" x14ac:dyDescent="0.15">
      <c r="A15" s="491"/>
      <c r="B15" s="488" t="s">
        <v>40</v>
      </c>
      <c r="C15" s="492" t="s">
        <v>41</v>
      </c>
      <c r="D15" s="495">
        <v>200000</v>
      </c>
      <c r="E15" s="513">
        <v>0.15</v>
      </c>
      <c r="F15" s="510">
        <f>+E15*D15</f>
        <v>30000</v>
      </c>
    </row>
    <row r="16" spans="1:6" s="490" customFormat="1" ht="20" customHeight="1" x14ac:dyDescent="0.15">
      <c r="A16" s="491"/>
      <c r="B16" s="488"/>
      <c r="C16" s="492"/>
      <c r="D16" s="492"/>
      <c r="E16" s="509"/>
      <c r="F16" s="508"/>
    </row>
    <row r="17" spans="1:6" s="490" customFormat="1" ht="20" customHeight="1" x14ac:dyDescent="0.15">
      <c r="A17" s="496" t="s">
        <v>1719</v>
      </c>
      <c r="B17" s="488" t="s">
        <v>1720</v>
      </c>
      <c r="C17" s="492"/>
      <c r="D17" s="497"/>
      <c r="E17" s="509"/>
      <c r="F17" s="508"/>
    </row>
    <row r="18" spans="1:6" s="490" customFormat="1" ht="20" customHeight="1" x14ac:dyDescent="0.15">
      <c r="A18" s="491"/>
      <c r="B18" s="488" t="s">
        <v>1721</v>
      </c>
      <c r="C18" s="492" t="s">
        <v>35</v>
      </c>
      <c r="D18" s="497">
        <v>1</v>
      </c>
      <c r="E18" s="511">
        <v>200000</v>
      </c>
      <c r="F18" s="511">
        <f>SUM(D18*E18)</f>
        <v>200000</v>
      </c>
    </row>
    <row r="19" spans="1:6" s="490" customFormat="1" ht="20" customHeight="1" x14ac:dyDescent="0.15">
      <c r="A19" s="491"/>
      <c r="B19" s="488" t="s">
        <v>1722</v>
      </c>
      <c r="C19" s="492" t="s">
        <v>35</v>
      </c>
      <c r="D19" s="497">
        <v>1</v>
      </c>
      <c r="E19" s="511">
        <v>200000</v>
      </c>
      <c r="F19" s="511">
        <f t="shared" ref="F19:F22" si="1">SUM(D19*E19)</f>
        <v>200000</v>
      </c>
    </row>
    <row r="20" spans="1:6" s="490" customFormat="1" ht="20" customHeight="1" x14ac:dyDescent="0.15">
      <c r="A20" s="491"/>
      <c r="B20" s="488" t="s">
        <v>1723</v>
      </c>
      <c r="C20" s="492" t="s">
        <v>35</v>
      </c>
      <c r="D20" s="497">
        <v>1</v>
      </c>
      <c r="E20" s="511">
        <v>200000</v>
      </c>
      <c r="F20" s="511">
        <f t="shared" si="1"/>
        <v>200000</v>
      </c>
    </row>
    <row r="21" spans="1:6" s="490" customFormat="1" ht="20" customHeight="1" x14ac:dyDescent="0.15">
      <c r="A21" s="491"/>
      <c r="B21" s="488" t="s">
        <v>1724</v>
      </c>
      <c r="C21" s="492" t="s">
        <v>35</v>
      </c>
      <c r="D21" s="497">
        <v>1</v>
      </c>
      <c r="E21" s="511">
        <v>200000</v>
      </c>
      <c r="F21" s="511">
        <f t="shared" si="1"/>
        <v>200000</v>
      </c>
    </row>
    <row r="22" spans="1:6" s="490" customFormat="1" ht="20" customHeight="1" x14ac:dyDescent="0.15">
      <c r="A22" s="491"/>
      <c r="B22" s="488" t="s">
        <v>1725</v>
      </c>
      <c r="C22" s="492" t="s">
        <v>35</v>
      </c>
      <c r="D22" s="497">
        <v>1</v>
      </c>
      <c r="E22" s="511">
        <v>300000</v>
      </c>
      <c r="F22" s="511">
        <f t="shared" si="1"/>
        <v>300000</v>
      </c>
    </row>
    <row r="23" spans="1:6" s="490" customFormat="1" ht="13" x14ac:dyDescent="0.15">
      <c r="A23" s="491"/>
      <c r="B23" s="488" t="s">
        <v>1726</v>
      </c>
      <c r="C23" s="492"/>
      <c r="D23" s="492"/>
      <c r="E23" s="509"/>
      <c r="F23" s="508"/>
    </row>
    <row r="24" spans="1:6" s="490" customFormat="1" ht="13" x14ac:dyDescent="0.15">
      <c r="A24" s="491"/>
      <c r="B24" s="488" t="s">
        <v>1727</v>
      </c>
      <c r="C24" s="492" t="s">
        <v>36</v>
      </c>
      <c r="D24" s="494">
        <v>600000</v>
      </c>
      <c r="E24" s="514">
        <v>0.15</v>
      </c>
      <c r="F24" s="508">
        <f>+E24*D24</f>
        <v>90000</v>
      </c>
    </row>
    <row r="25" spans="1:6" ht="13" thickBot="1" x14ac:dyDescent="0.2">
      <c r="A25" s="485"/>
      <c r="B25" s="400"/>
      <c r="C25" s="401"/>
      <c r="D25" s="486"/>
      <c r="E25" s="512"/>
      <c r="F25" s="512"/>
    </row>
    <row r="26" spans="1:6" ht="14" thickBot="1" x14ac:dyDescent="0.2">
      <c r="A26" s="478" t="s">
        <v>42</v>
      </c>
      <c r="B26" s="631" t="s">
        <v>43</v>
      </c>
      <c r="C26" s="631"/>
      <c r="D26" s="631"/>
      <c r="E26" s="631"/>
      <c r="F26" s="515">
        <f>SUM(F7:F24)</f>
        <v>1675000</v>
      </c>
    </row>
    <row r="29" spans="1:6" x14ac:dyDescent="0.15">
      <c r="A29" s="402" t="s">
        <v>44</v>
      </c>
    </row>
    <row r="30" spans="1:6" x14ac:dyDescent="0.15">
      <c r="A30" s="402"/>
    </row>
  </sheetData>
  <mergeCells count="3">
    <mergeCell ref="B26:E26"/>
    <mergeCell ref="A2:E2"/>
    <mergeCell ref="A3:B3"/>
  </mergeCells>
  <phoneticPr fontId="2" type="noConversion"/>
  <pageMargins left="0.7" right="0.7" top="0.75" bottom="0.75" header="0.3" footer="0.3"/>
  <pageSetup paperSize="9" scale="7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view="pageBreakPreview" topLeftCell="A6" zoomScaleNormal="100" zoomScaleSheetLayoutView="100" workbookViewId="0">
      <selection activeCell="F23" sqref="F23"/>
    </sheetView>
  </sheetViews>
  <sheetFormatPr baseColWidth="10" defaultColWidth="9" defaultRowHeight="14" x14ac:dyDescent="0.15"/>
  <cols>
    <col min="1" max="1" width="12" style="88" customWidth="1"/>
    <col min="2" max="2" width="73.3984375" style="88" customWidth="1"/>
    <col min="3" max="3" width="9" style="161" customWidth="1"/>
    <col min="4" max="4" width="10.796875" style="161" customWidth="1"/>
    <col min="5" max="5" width="15.19921875" style="471" bestFit="1" customWidth="1"/>
    <col min="6" max="6" width="15.19921875" style="88" bestFit="1" customWidth="1"/>
    <col min="7" max="7" width="9" style="88" customWidth="1"/>
    <col min="8" max="8" width="9" style="88"/>
    <col min="9" max="9" width="14.59765625" style="88" bestFit="1" customWidth="1"/>
    <col min="10" max="16384" width="9" style="88"/>
  </cols>
  <sheetData>
    <row r="1" spans="1:9" x14ac:dyDescent="0.15">
      <c r="A1" s="87" t="s">
        <v>1752</v>
      </c>
      <c r="C1" s="88"/>
      <c r="D1" s="88"/>
      <c r="E1" s="88"/>
    </row>
    <row r="2" spans="1:9" ht="21.75" customHeight="1" x14ac:dyDescent="0.15">
      <c r="A2" s="629" t="s">
        <v>0</v>
      </c>
      <c r="B2" s="629"/>
      <c r="C2" s="629"/>
      <c r="D2" s="629"/>
      <c r="E2" s="629"/>
    </row>
    <row r="3" spans="1:9" x14ac:dyDescent="0.15">
      <c r="C3" s="88"/>
      <c r="D3" s="88"/>
      <c r="E3" s="88"/>
    </row>
    <row r="4" spans="1:9" ht="15.75" customHeight="1" x14ac:dyDescent="0.15">
      <c r="A4" s="300" t="s">
        <v>20</v>
      </c>
      <c r="C4" s="88"/>
      <c r="D4" s="88"/>
      <c r="E4" s="88"/>
      <c r="F4" s="301"/>
    </row>
    <row r="5" spans="1:9" ht="20" customHeight="1" thickBot="1" x14ac:dyDescent="0.2"/>
    <row r="6" spans="1:9" ht="20" customHeight="1" thickBot="1" x14ac:dyDescent="0.2">
      <c r="A6" s="260" t="s">
        <v>45</v>
      </c>
      <c r="B6" s="316" t="s">
        <v>46</v>
      </c>
      <c r="C6" s="317" t="s">
        <v>47</v>
      </c>
      <c r="D6" s="317" t="s">
        <v>48</v>
      </c>
      <c r="E6" s="97" t="s">
        <v>49</v>
      </c>
      <c r="F6" s="317" t="s">
        <v>50</v>
      </c>
    </row>
    <row r="7" spans="1:9" ht="28.5" customHeight="1" x14ac:dyDescent="0.15">
      <c r="A7" s="331" t="s">
        <v>51</v>
      </c>
      <c r="B7" s="431" t="s">
        <v>52</v>
      </c>
      <c r="C7" s="102"/>
      <c r="D7" s="102"/>
      <c r="E7" s="104"/>
      <c r="F7" s="272"/>
    </row>
    <row r="8" spans="1:9" ht="20" customHeight="1" x14ac:dyDescent="0.15">
      <c r="A8" s="331" t="s">
        <v>53</v>
      </c>
      <c r="B8" s="448" t="s">
        <v>54</v>
      </c>
      <c r="C8" s="472"/>
      <c r="D8" s="472"/>
      <c r="E8" s="473"/>
      <c r="F8" s="474"/>
    </row>
    <row r="9" spans="1:9" ht="20" customHeight="1" x14ac:dyDescent="0.15">
      <c r="A9" s="331"/>
      <c r="B9" s="448" t="s">
        <v>1728</v>
      </c>
      <c r="C9" s="472"/>
      <c r="D9" s="472"/>
      <c r="E9" s="473"/>
      <c r="F9" s="474"/>
    </row>
    <row r="10" spans="1:9" ht="20" customHeight="1" x14ac:dyDescent="0.15">
      <c r="A10" s="331"/>
      <c r="B10" s="448" t="s">
        <v>1729</v>
      </c>
      <c r="C10" s="472" t="s">
        <v>35</v>
      </c>
      <c r="D10" s="472">
        <v>1</v>
      </c>
      <c r="E10" s="473">
        <v>7500000</v>
      </c>
      <c r="F10" s="473">
        <v>7500000</v>
      </c>
    </row>
    <row r="11" spans="1:9" ht="20" customHeight="1" x14ac:dyDescent="0.15">
      <c r="A11" s="331"/>
      <c r="B11" s="448" t="s">
        <v>55</v>
      </c>
      <c r="C11" s="472" t="s">
        <v>36</v>
      </c>
      <c r="D11" s="475">
        <v>7500000</v>
      </c>
      <c r="E11" s="476">
        <v>0.15</v>
      </c>
      <c r="F11" s="473">
        <f>+E11*D11</f>
        <v>1125000</v>
      </c>
    </row>
    <row r="12" spans="1:9" ht="20" customHeight="1" x14ac:dyDescent="0.15">
      <c r="A12" s="331"/>
      <c r="B12" s="99"/>
      <c r="C12" s="102"/>
      <c r="D12" s="102"/>
      <c r="E12" s="104"/>
      <c r="F12" s="477"/>
    </row>
    <row r="13" spans="1:9" ht="20" customHeight="1" x14ac:dyDescent="0.15">
      <c r="A13" s="331"/>
      <c r="B13" s="99"/>
      <c r="C13" s="102"/>
      <c r="D13" s="102"/>
      <c r="E13" s="104"/>
      <c r="F13" s="477"/>
      <c r="I13" s="131"/>
    </row>
    <row r="14" spans="1:9" ht="20" customHeight="1" x14ac:dyDescent="0.15">
      <c r="A14" s="331"/>
      <c r="B14" s="99"/>
      <c r="C14" s="102"/>
      <c r="D14" s="102"/>
      <c r="E14" s="104"/>
      <c r="F14" s="477"/>
    </row>
    <row r="15" spans="1:9" ht="20" customHeight="1" x14ac:dyDescent="0.15">
      <c r="A15" s="331"/>
      <c r="B15" s="99"/>
      <c r="C15" s="102"/>
      <c r="D15" s="102"/>
      <c r="E15" s="104"/>
      <c r="F15" s="477"/>
    </row>
    <row r="16" spans="1:9" ht="20" customHeight="1" x14ac:dyDescent="0.15">
      <c r="A16" s="331"/>
      <c r="B16" s="99"/>
      <c r="C16" s="102"/>
      <c r="D16" s="102"/>
      <c r="E16" s="104"/>
      <c r="F16" s="477"/>
    </row>
    <row r="17" spans="1:6" ht="20" customHeight="1" x14ac:dyDescent="0.15">
      <c r="A17" s="331"/>
      <c r="B17" s="99"/>
      <c r="C17" s="102"/>
      <c r="D17" s="102"/>
      <c r="E17" s="104"/>
      <c r="F17" s="477"/>
    </row>
    <row r="18" spans="1:6" ht="20" customHeight="1" x14ac:dyDescent="0.15">
      <c r="A18" s="331"/>
      <c r="B18" s="99"/>
      <c r="C18" s="102"/>
      <c r="D18" s="102"/>
      <c r="E18" s="104"/>
      <c r="F18" s="477"/>
    </row>
    <row r="19" spans="1:6" ht="20" customHeight="1" x14ac:dyDescent="0.15">
      <c r="A19" s="331"/>
      <c r="B19" s="99"/>
      <c r="C19" s="102"/>
      <c r="D19" s="102"/>
      <c r="E19" s="104"/>
      <c r="F19" s="477"/>
    </row>
    <row r="20" spans="1:6" x14ac:dyDescent="0.15">
      <c r="A20" s="331"/>
      <c r="B20" s="99"/>
      <c r="C20" s="102"/>
      <c r="D20" s="102"/>
      <c r="E20" s="104"/>
      <c r="F20" s="477"/>
    </row>
    <row r="21" spans="1:6" x14ac:dyDescent="0.15">
      <c r="A21" s="331"/>
      <c r="B21" s="99"/>
      <c r="C21" s="102"/>
      <c r="D21" s="102"/>
      <c r="E21" s="104"/>
      <c r="F21" s="477"/>
    </row>
    <row r="22" spans="1:6" ht="15" thickBot="1" x14ac:dyDescent="0.2">
      <c r="A22" s="332"/>
      <c r="B22" s="156"/>
      <c r="C22" s="157"/>
      <c r="D22" s="157"/>
      <c r="E22" s="232"/>
      <c r="F22" s="333"/>
    </row>
    <row r="23" spans="1:6" ht="15" thickBot="1" x14ac:dyDescent="0.2">
      <c r="A23" s="260" t="s">
        <v>56</v>
      </c>
      <c r="B23" s="628" t="s">
        <v>57</v>
      </c>
      <c r="C23" s="628"/>
      <c r="D23" s="628"/>
      <c r="E23" s="628"/>
      <c r="F23" s="516">
        <f>SUM(F8:F21)</f>
        <v>8625000</v>
      </c>
    </row>
    <row r="26" spans="1:6" x14ac:dyDescent="0.15">
      <c r="A26" s="113" t="s">
        <v>58</v>
      </c>
    </row>
    <row r="27" spans="1:6" x14ac:dyDescent="0.15">
      <c r="A27" s="113"/>
    </row>
  </sheetData>
  <mergeCells count="2">
    <mergeCell ref="B23:E23"/>
    <mergeCell ref="A2:E2"/>
  </mergeCells>
  <phoneticPr fontId="2" type="noConversion"/>
  <pageMargins left="0.7" right="0.7" top="0.75" bottom="0.75" header="0.3" footer="0.3"/>
  <pageSetup paperSize="9"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view="pageBreakPreview" zoomScaleNormal="100" zoomScaleSheetLayoutView="100" workbookViewId="0">
      <selection activeCell="B27" sqref="B27"/>
    </sheetView>
  </sheetViews>
  <sheetFormatPr baseColWidth="10" defaultColWidth="9.3984375" defaultRowHeight="14" x14ac:dyDescent="0.2"/>
  <cols>
    <col min="1" max="1" width="11" style="460" customWidth="1"/>
    <col min="2" max="2" width="59" style="460" customWidth="1"/>
    <col min="3" max="3" width="10" style="89" customWidth="1"/>
    <col min="4" max="4" width="11" style="89" customWidth="1"/>
    <col min="5" max="5" width="12" style="89" bestFit="1" customWidth="1"/>
    <col min="6" max="6" width="15.19921875" style="89" bestFit="1" customWidth="1"/>
    <col min="7" max="16384" width="9.3984375" style="89"/>
  </cols>
  <sheetData>
    <row r="1" spans="1:6" x14ac:dyDescent="0.15">
      <c r="A1" s="87" t="s">
        <v>1752</v>
      </c>
      <c r="B1" s="88"/>
      <c r="C1" s="88"/>
      <c r="D1" s="88"/>
      <c r="E1" s="88"/>
      <c r="F1" s="88"/>
    </row>
    <row r="2" spans="1:6" ht="18.75" customHeight="1" x14ac:dyDescent="0.15">
      <c r="A2" s="629" t="s">
        <v>0</v>
      </c>
      <c r="B2" s="629"/>
      <c r="C2" s="629"/>
      <c r="D2" s="629"/>
      <c r="E2" s="629"/>
      <c r="F2" s="88"/>
    </row>
    <row r="3" spans="1:6" x14ac:dyDescent="0.15">
      <c r="A3" s="88"/>
      <c r="B3" s="88"/>
      <c r="C3" s="88"/>
      <c r="D3" s="88"/>
      <c r="E3" s="88"/>
      <c r="F3" s="88"/>
    </row>
    <row r="4" spans="1:6" ht="15.75" customHeight="1" x14ac:dyDescent="0.15">
      <c r="A4" s="300" t="s">
        <v>20</v>
      </c>
      <c r="B4" s="88"/>
      <c r="C4" s="88"/>
      <c r="D4" s="88"/>
      <c r="E4" s="88"/>
      <c r="F4" s="301"/>
    </row>
    <row r="5" spans="1:6" s="162" customFormat="1" ht="20" customHeight="1" thickBot="1" x14ac:dyDescent="0.25">
      <c r="A5" s="460"/>
      <c r="B5" s="460"/>
      <c r="C5" s="89"/>
      <c r="D5" s="89"/>
      <c r="E5" s="89"/>
      <c r="F5" s="89"/>
    </row>
    <row r="6" spans="1:6" s="162" customFormat="1" ht="20" customHeight="1" thickBot="1" x14ac:dyDescent="0.25">
      <c r="A6" s="269" t="s">
        <v>59</v>
      </c>
      <c r="B6" s="96" t="s">
        <v>60</v>
      </c>
      <c r="C6" s="317" t="s">
        <v>61</v>
      </c>
      <c r="D6" s="317" t="s">
        <v>62</v>
      </c>
      <c r="E6" s="317" t="s">
        <v>63</v>
      </c>
      <c r="F6" s="317" t="s">
        <v>64</v>
      </c>
    </row>
    <row r="7" spans="1:6" s="162" customFormat="1" ht="20" customHeight="1" x14ac:dyDescent="0.2">
      <c r="A7" s="248" t="s">
        <v>65</v>
      </c>
      <c r="B7" s="429" t="s">
        <v>66</v>
      </c>
      <c r="C7" s="100"/>
      <c r="D7" s="100"/>
      <c r="E7" s="100"/>
      <c r="F7" s="100"/>
    </row>
    <row r="8" spans="1:6" s="162" customFormat="1" ht="20" customHeight="1" x14ac:dyDescent="0.2">
      <c r="A8" s="249"/>
      <c r="B8" s="223" t="s">
        <v>67</v>
      </c>
      <c r="C8" s="218"/>
      <c r="D8" s="218"/>
      <c r="E8" s="218"/>
      <c r="F8" s="218"/>
    </row>
    <row r="9" spans="1:6" s="162" customFormat="1" ht="20" customHeight="1" x14ac:dyDescent="0.2">
      <c r="A9" s="195" t="s">
        <v>68</v>
      </c>
      <c r="B9" s="223" t="s">
        <v>69</v>
      </c>
      <c r="C9" s="218"/>
      <c r="D9" s="218"/>
      <c r="E9" s="218"/>
      <c r="F9" s="218"/>
    </row>
    <row r="10" spans="1:6" s="91" customFormat="1" ht="20" customHeight="1" x14ac:dyDescent="0.2">
      <c r="A10" s="542"/>
      <c r="B10" s="543" t="s">
        <v>70</v>
      </c>
      <c r="C10" s="544" t="s">
        <v>71</v>
      </c>
      <c r="D10" s="545">
        <v>36</v>
      </c>
      <c r="E10" s="546">
        <v>20000</v>
      </c>
      <c r="F10" s="546">
        <f>+E10*D10</f>
        <v>720000</v>
      </c>
    </row>
    <row r="11" spans="1:6" s="91" customFormat="1" ht="20" customHeight="1" x14ac:dyDescent="0.2">
      <c r="A11" s="542"/>
      <c r="B11" s="543" t="s">
        <v>72</v>
      </c>
      <c r="C11" s="544" t="s">
        <v>15</v>
      </c>
      <c r="D11" s="545">
        <v>36</v>
      </c>
      <c r="E11" s="547">
        <f>+E10</f>
        <v>20000</v>
      </c>
      <c r="F11" s="547">
        <f>+E11*D11</f>
        <v>720000</v>
      </c>
    </row>
    <row r="12" spans="1:6" s="91" customFormat="1" ht="20" customHeight="1" x14ac:dyDescent="0.2">
      <c r="A12" s="462"/>
      <c r="B12" s="223"/>
      <c r="C12" s="463"/>
      <c r="D12" s="218"/>
      <c r="E12" s="463"/>
      <c r="F12" s="461"/>
    </row>
    <row r="13" spans="1:6" s="91" customFormat="1" ht="20" customHeight="1" x14ac:dyDescent="0.2">
      <c r="A13" s="462"/>
      <c r="B13" s="223"/>
      <c r="C13" s="463"/>
      <c r="D13" s="218"/>
      <c r="E13" s="463"/>
      <c r="F13" s="461"/>
    </row>
    <row r="14" spans="1:6" s="91" customFormat="1" ht="20" customHeight="1" x14ac:dyDescent="0.2">
      <c r="A14" s="462"/>
      <c r="B14" s="223"/>
      <c r="C14" s="251"/>
      <c r="D14" s="257"/>
      <c r="E14" s="251"/>
      <c r="F14" s="464"/>
    </row>
    <row r="15" spans="1:6" s="91" customFormat="1" ht="20" customHeight="1" x14ac:dyDescent="0.2">
      <c r="A15" s="462"/>
      <c r="B15" s="223"/>
      <c r="C15" s="251"/>
      <c r="D15" s="257"/>
      <c r="E15" s="251"/>
      <c r="F15" s="464"/>
    </row>
    <row r="16" spans="1:6" s="91" customFormat="1" ht="20" customHeight="1" x14ac:dyDescent="0.2">
      <c r="A16" s="462"/>
      <c r="B16" s="223"/>
      <c r="C16" s="251"/>
      <c r="D16" s="257"/>
      <c r="E16" s="251"/>
      <c r="F16" s="464"/>
    </row>
    <row r="17" spans="1:7" s="91" customFormat="1" ht="20" customHeight="1" x14ac:dyDescent="0.2">
      <c r="A17" s="462"/>
      <c r="B17" s="223"/>
      <c r="C17" s="251"/>
      <c r="D17" s="257"/>
      <c r="E17" s="251"/>
      <c r="F17" s="464"/>
    </row>
    <row r="18" spans="1:7" s="91" customFormat="1" ht="20" customHeight="1" x14ac:dyDescent="0.2">
      <c r="A18" s="462"/>
      <c r="B18" s="223"/>
      <c r="C18" s="251"/>
      <c r="D18" s="257"/>
      <c r="E18" s="251"/>
      <c r="F18" s="464"/>
    </row>
    <row r="19" spans="1:7" s="91" customFormat="1" ht="20" customHeight="1" x14ac:dyDescent="0.2">
      <c r="A19" s="462"/>
      <c r="B19" s="223"/>
      <c r="C19" s="251"/>
      <c r="D19" s="257"/>
      <c r="E19" s="251"/>
      <c r="F19" s="464"/>
    </row>
    <row r="20" spans="1:7" s="91" customFormat="1" ht="21.5" customHeight="1" x14ac:dyDescent="0.2">
      <c r="A20" s="462"/>
      <c r="B20" s="223"/>
      <c r="C20" s="251"/>
      <c r="D20" s="257"/>
      <c r="E20" s="251"/>
      <c r="F20" s="464"/>
    </row>
    <row r="21" spans="1:7" x14ac:dyDescent="0.2">
      <c r="A21" s="462"/>
      <c r="B21" s="223"/>
      <c r="C21" s="251"/>
      <c r="D21" s="257"/>
      <c r="E21" s="251"/>
      <c r="F21" s="464"/>
      <c r="G21" s="91"/>
    </row>
    <row r="22" spans="1:7" x14ac:dyDescent="0.2">
      <c r="A22" s="462"/>
      <c r="B22" s="223"/>
      <c r="C22" s="251"/>
      <c r="D22" s="257"/>
      <c r="E22" s="251"/>
      <c r="F22" s="464"/>
      <c r="G22" s="91"/>
    </row>
    <row r="23" spans="1:7" ht="15" thickBot="1" x14ac:dyDescent="0.25">
      <c r="A23" s="465"/>
      <c r="B23" s="466"/>
      <c r="C23" s="467"/>
      <c r="D23" s="468"/>
      <c r="E23" s="467"/>
      <c r="F23" s="469"/>
      <c r="G23" s="91"/>
    </row>
    <row r="24" spans="1:7" ht="16" thickBot="1" x14ac:dyDescent="0.25">
      <c r="A24" s="470" t="s">
        <v>73</v>
      </c>
      <c r="B24" s="634" t="s">
        <v>74</v>
      </c>
      <c r="C24" s="634"/>
      <c r="D24" s="634"/>
      <c r="E24" s="634"/>
      <c r="F24" s="517">
        <f>SUM(F8:F23)</f>
        <v>1440000</v>
      </c>
      <c r="G24" s="91"/>
    </row>
    <row r="25" spans="1:7" x14ac:dyDescent="0.2">
      <c r="G25" s="91"/>
    </row>
    <row r="26" spans="1:7" x14ac:dyDescent="0.2">
      <c r="A26" s="113" t="s">
        <v>75</v>
      </c>
      <c r="G26" s="91"/>
    </row>
    <row r="27" spans="1:7" x14ac:dyDescent="0.2">
      <c r="A27" s="113"/>
      <c r="G27" s="91"/>
    </row>
    <row r="28" spans="1:7" x14ac:dyDescent="0.2">
      <c r="G28" s="91"/>
    </row>
    <row r="29" spans="1:7" x14ac:dyDescent="0.2">
      <c r="G29" s="91"/>
    </row>
    <row r="30" spans="1:7" x14ac:dyDescent="0.2">
      <c r="G30" s="91"/>
    </row>
    <row r="31" spans="1:7" x14ac:dyDescent="0.2">
      <c r="G31" s="91"/>
    </row>
  </sheetData>
  <mergeCells count="2">
    <mergeCell ref="B24:E24"/>
    <mergeCell ref="A2:E2"/>
  </mergeCells>
  <phoneticPr fontId="2" type="noConversion"/>
  <pageMargins left="0.7" right="0.7" top="0.75" bottom="0.75" header="0.3" footer="0.3"/>
  <pageSetup paperSize="9" scale="7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view="pageBreakPreview" zoomScaleNormal="100" zoomScaleSheetLayoutView="100" workbookViewId="0">
      <selection activeCell="B26" sqref="B26"/>
    </sheetView>
  </sheetViews>
  <sheetFormatPr baseColWidth="10" defaultColWidth="9.3984375" defaultRowHeight="13" x14ac:dyDescent="0.15"/>
  <cols>
    <col min="1" max="1" width="11" style="89" customWidth="1"/>
    <col min="2" max="2" width="69.59765625" style="89" customWidth="1"/>
    <col min="3" max="3" width="13.19921875" style="89" customWidth="1"/>
    <col min="4" max="5" width="15.19921875" style="89" bestFit="1" customWidth="1"/>
    <col min="6" max="6" width="16.19921875" style="89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17.25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4" x14ac:dyDescent="0.15">
      <c r="A4" s="300" t="s">
        <v>20</v>
      </c>
      <c r="B4" s="88"/>
      <c r="C4" s="88"/>
      <c r="D4" s="88"/>
      <c r="E4" s="88"/>
      <c r="F4" s="301"/>
    </row>
    <row r="5" spans="1:6" ht="17.25" customHeight="1" thickBot="1" x14ac:dyDescent="0.2"/>
    <row r="6" spans="1:6" ht="24" customHeight="1" thickBot="1" x14ac:dyDescent="0.2">
      <c r="A6" s="260" t="s">
        <v>76</v>
      </c>
      <c r="B6" s="316" t="s">
        <v>77</v>
      </c>
      <c r="C6" s="317" t="s">
        <v>78</v>
      </c>
      <c r="D6" s="317" t="s">
        <v>79</v>
      </c>
      <c r="E6" s="317" t="s">
        <v>80</v>
      </c>
      <c r="F6" s="317" t="s">
        <v>81</v>
      </c>
    </row>
    <row r="7" spans="1:6" ht="20" customHeight="1" x14ac:dyDescent="0.15">
      <c r="A7" s="248" t="s">
        <v>82</v>
      </c>
      <c r="B7" s="445" t="s">
        <v>83</v>
      </c>
      <c r="C7" s="100"/>
      <c r="D7" s="100"/>
      <c r="E7" s="100"/>
      <c r="F7" s="100"/>
    </row>
    <row r="8" spans="1:6" ht="20" customHeight="1" x14ac:dyDescent="0.15">
      <c r="A8" s="195" t="s">
        <v>84</v>
      </c>
      <c r="B8" s="296" t="s">
        <v>85</v>
      </c>
      <c r="C8" s="220" t="s">
        <v>86</v>
      </c>
      <c r="D8" s="423">
        <v>1</v>
      </c>
      <c r="E8" s="446">
        <v>80000</v>
      </c>
      <c r="F8" s="446">
        <f>+E8*D8</f>
        <v>80000</v>
      </c>
    </row>
    <row r="9" spans="1:6" ht="20" customHeight="1" x14ac:dyDescent="0.2">
      <c r="A9" s="249"/>
      <c r="B9" s="223"/>
      <c r="C9" s="257"/>
      <c r="D9" s="218"/>
      <c r="E9" s="446"/>
      <c r="F9" s="446">
        <f t="shared" ref="F9:F18" si="0">+E9*D9</f>
        <v>0</v>
      </c>
    </row>
    <row r="10" spans="1:6" ht="24.75" customHeight="1" x14ac:dyDescent="0.15">
      <c r="A10" s="195" t="s">
        <v>87</v>
      </c>
      <c r="B10" s="223" t="s">
        <v>88</v>
      </c>
      <c r="C10" s="220" t="s">
        <v>89</v>
      </c>
      <c r="D10" s="423">
        <v>1</v>
      </c>
      <c r="E10" s="446">
        <v>80000</v>
      </c>
      <c r="F10" s="446">
        <f t="shared" si="0"/>
        <v>80000</v>
      </c>
    </row>
    <row r="11" spans="1:6" ht="20" customHeight="1" x14ac:dyDescent="0.2">
      <c r="A11" s="195" t="s">
        <v>90</v>
      </c>
      <c r="B11" s="223" t="s">
        <v>91</v>
      </c>
      <c r="C11" s="257"/>
      <c r="D11" s="218"/>
      <c r="E11" s="446"/>
      <c r="F11" s="446">
        <f t="shared" si="0"/>
        <v>0</v>
      </c>
    </row>
    <row r="12" spans="1:6" ht="24" customHeight="1" x14ac:dyDescent="0.2">
      <c r="A12" s="195"/>
      <c r="B12" s="223" t="s">
        <v>92</v>
      </c>
      <c r="C12" s="257"/>
      <c r="D12" s="218"/>
      <c r="E12" s="446"/>
      <c r="F12" s="446">
        <f t="shared" si="0"/>
        <v>0</v>
      </c>
    </row>
    <row r="13" spans="1:6" ht="20" customHeight="1" x14ac:dyDescent="0.2">
      <c r="A13" s="249"/>
      <c r="B13" s="223" t="s">
        <v>93</v>
      </c>
      <c r="C13" s="257"/>
      <c r="D13" s="218"/>
      <c r="E13" s="446"/>
      <c r="F13" s="446">
        <f t="shared" si="0"/>
        <v>0</v>
      </c>
    </row>
    <row r="14" spans="1:6" ht="20" customHeight="1" x14ac:dyDescent="0.2">
      <c r="A14" s="542"/>
      <c r="B14" s="543" t="s">
        <v>94</v>
      </c>
      <c r="C14" s="544" t="s">
        <v>95</v>
      </c>
      <c r="D14" s="544" t="s">
        <v>96</v>
      </c>
      <c r="E14" s="548">
        <v>10000</v>
      </c>
      <c r="F14" s="548">
        <f t="shared" si="0"/>
        <v>360000</v>
      </c>
    </row>
    <row r="15" spans="1:6" ht="20" customHeight="1" x14ac:dyDescent="0.2">
      <c r="A15" s="549" t="s">
        <v>97</v>
      </c>
      <c r="B15" s="543" t="s">
        <v>98</v>
      </c>
      <c r="C15" s="550"/>
      <c r="D15" s="551"/>
      <c r="E15" s="548"/>
      <c r="F15" s="548">
        <f t="shared" si="0"/>
        <v>0</v>
      </c>
    </row>
    <row r="16" spans="1:6" ht="20" customHeight="1" x14ac:dyDescent="0.2">
      <c r="A16" s="542"/>
      <c r="B16" s="543" t="s">
        <v>99</v>
      </c>
      <c r="C16" s="544" t="s">
        <v>100</v>
      </c>
      <c r="D16" s="544" t="s">
        <v>101</v>
      </c>
      <c r="E16" s="548">
        <v>12000</v>
      </c>
      <c r="F16" s="548">
        <f t="shared" si="0"/>
        <v>432000</v>
      </c>
    </row>
    <row r="17" spans="1:6" ht="20" customHeight="1" x14ac:dyDescent="0.15">
      <c r="A17" s="549" t="s">
        <v>102</v>
      </c>
      <c r="B17" s="543" t="s">
        <v>103</v>
      </c>
      <c r="C17" s="544" t="s">
        <v>104</v>
      </c>
      <c r="D17" s="544" t="s">
        <v>105</v>
      </c>
      <c r="E17" s="548">
        <v>20000</v>
      </c>
      <c r="F17" s="548">
        <f t="shared" si="0"/>
        <v>80000</v>
      </c>
    </row>
    <row r="18" spans="1:6" ht="20" customHeight="1" x14ac:dyDescent="0.15">
      <c r="A18" s="195"/>
      <c r="B18" s="222"/>
      <c r="C18" s="220"/>
      <c r="D18" s="447"/>
      <c r="E18" s="446"/>
      <c r="F18" s="446">
        <f t="shared" si="0"/>
        <v>0</v>
      </c>
    </row>
    <row r="19" spans="1:6" s="119" customFormat="1" ht="20.75" customHeight="1" x14ac:dyDescent="0.15">
      <c r="A19" s="451"/>
      <c r="B19" s="452" t="s">
        <v>1758</v>
      </c>
      <c r="C19" s="116" t="s">
        <v>35</v>
      </c>
      <c r="D19" s="453">
        <v>1</v>
      </c>
      <c r="E19" s="454">
        <v>5000000</v>
      </c>
      <c r="F19" s="455">
        <f>SUM(D19*E19)</f>
        <v>5000000</v>
      </c>
    </row>
    <row r="20" spans="1:6" s="119" customFormat="1" ht="14" x14ac:dyDescent="0.15">
      <c r="A20" s="451"/>
      <c r="B20" s="456" t="s">
        <v>1759</v>
      </c>
      <c r="C20" s="457" t="s">
        <v>36</v>
      </c>
      <c r="D20" s="458">
        <f>F19</f>
        <v>5000000</v>
      </c>
      <c r="E20" s="459">
        <v>0.15</v>
      </c>
      <c r="F20" s="455">
        <f>+E20*D20</f>
        <v>750000</v>
      </c>
    </row>
    <row r="21" spans="1:6" s="119" customFormat="1" x14ac:dyDescent="0.15">
      <c r="A21" s="451"/>
      <c r="B21" s="452"/>
      <c r="C21" s="457"/>
      <c r="D21" s="453"/>
      <c r="E21" s="454"/>
      <c r="F21" s="455"/>
    </row>
    <row r="22" spans="1:6" ht="14" thickBot="1" x14ac:dyDescent="0.2">
      <c r="A22" s="195"/>
      <c r="B22" s="222"/>
      <c r="C22" s="220"/>
      <c r="D22" s="447"/>
      <c r="E22" s="446"/>
      <c r="F22" s="449"/>
    </row>
    <row r="23" spans="1:6" ht="15" thickBot="1" x14ac:dyDescent="0.2">
      <c r="A23" s="298" t="s">
        <v>106</v>
      </c>
      <c r="B23" s="634" t="s">
        <v>107</v>
      </c>
      <c r="C23" s="634"/>
      <c r="D23" s="634"/>
      <c r="E23" s="634"/>
      <c r="F23" s="518">
        <f>SUM(F7:F22)</f>
        <v>6782000</v>
      </c>
    </row>
    <row r="24" spans="1:6" ht="14" x14ac:dyDescent="0.2">
      <c r="A24" s="91"/>
      <c r="B24" s="91"/>
      <c r="C24" s="91"/>
      <c r="D24" s="91"/>
      <c r="E24" s="91"/>
      <c r="F24" s="91"/>
    </row>
    <row r="25" spans="1:6" ht="14" x14ac:dyDescent="0.2">
      <c r="A25" s="450" t="s">
        <v>108</v>
      </c>
      <c r="B25" s="91"/>
      <c r="C25" s="91"/>
      <c r="D25" s="91"/>
      <c r="E25" s="91"/>
      <c r="F25" s="91"/>
    </row>
    <row r="26" spans="1:6" ht="14" x14ac:dyDescent="0.2">
      <c r="A26" s="113"/>
      <c r="B26" s="91"/>
      <c r="C26" s="91"/>
      <c r="D26" s="91"/>
      <c r="E26" s="91"/>
      <c r="F26" s="91"/>
    </row>
    <row r="27" spans="1:6" ht="14" x14ac:dyDescent="0.2">
      <c r="A27" s="91"/>
      <c r="B27" s="91"/>
      <c r="C27" s="91"/>
      <c r="D27" s="91"/>
      <c r="E27" s="91"/>
      <c r="F27" s="91"/>
    </row>
    <row r="28" spans="1:6" ht="14" x14ac:dyDescent="0.2">
      <c r="A28" s="91"/>
      <c r="B28" s="91"/>
      <c r="C28" s="91"/>
      <c r="D28" s="91"/>
      <c r="E28" s="91"/>
      <c r="F28" s="91"/>
    </row>
  </sheetData>
  <mergeCells count="2">
    <mergeCell ref="B23:E23"/>
    <mergeCell ref="A2:E2"/>
  </mergeCells>
  <phoneticPr fontId="2" type="noConversion"/>
  <pageMargins left="0.7" right="0.7" top="0.75" bottom="0.75" header="0.3" footer="0.3"/>
  <pageSetup paperSize="9" scale="6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view="pageBreakPreview" topLeftCell="A4" zoomScaleNormal="100" zoomScaleSheetLayoutView="100" workbookViewId="0">
      <selection activeCell="C34" sqref="C34"/>
    </sheetView>
  </sheetViews>
  <sheetFormatPr baseColWidth="10" defaultColWidth="9.3984375" defaultRowHeight="13" x14ac:dyDescent="0.15"/>
  <cols>
    <col min="1" max="1" width="11" style="89" customWidth="1"/>
    <col min="2" max="2" width="62.3984375" style="89" customWidth="1"/>
    <col min="3" max="3" width="10" style="89" customWidth="1"/>
    <col min="4" max="5" width="12.3984375" style="89" customWidth="1"/>
    <col min="6" max="6" width="15.1992187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14" x14ac:dyDescent="0.15">
      <c r="A2" s="629" t="s">
        <v>0</v>
      </c>
      <c r="B2" s="629"/>
      <c r="C2" s="629"/>
      <c r="D2" s="629"/>
      <c r="E2" s="629"/>
      <c r="F2" s="88"/>
    </row>
    <row r="3" spans="1:6" ht="15.75" customHeight="1" x14ac:dyDescent="0.15">
      <c r="A3" s="88"/>
      <c r="B3" s="88"/>
      <c r="C3" s="88"/>
      <c r="D3" s="88"/>
      <c r="E3" s="88"/>
      <c r="F3" s="88"/>
    </row>
    <row r="4" spans="1:6" ht="32" customHeight="1" thickBot="1" x14ac:dyDescent="0.2">
      <c r="A4" s="300" t="s">
        <v>20</v>
      </c>
      <c r="B4" s="88"/>
      <c r="C4" s="88"/>
      <c r="D4" s="88"/>
      <c r="E4" s="88"/>
      <c r="F4" s="301"/>
    </row>
    <row r="5" spans="1:6" ht="20.75" customHeight="1" thickBot="1" x14ac:dyDescent="0.2">
      <c r="A5" s="92" t="s">
        <v>109</v>
      </c>
      <c r="B5" s="93" t="s">
        <v>110</v>
      </c>
      <c r="C5" s="93" t="s">
        <v>111</v>
      </c>
      <c r="D5" s="93" t="s">
        <v>112</v>
      </c>
      <c r="E5" s="93" t="s">
        <v>113</v>
      </c>
      <c r="F5" s="93" t="s">
        <v>114</v>
      </c>
    </row>
    <row r="6" spans="1:6" ht="18.5" customHeight="1" x14ac:dyDescent="0.15">
      <c r="A6" s="163" t="s">
        <v>115</v>
      </c>
      <c r="B6" s="255" t="s">
        <v>116</v>
      </c>
      <c r="C6" s="165"/>
      <c r="D6" s="165"/>
      <c r="E6" s="165"/>
      <c r="F6" s="165"/>
    </row>
    <row r="7" spans="1:6" ht="19.25" customHeight="1" x14ac:dyDescent="0.15">
      <c r="A7" s="101"/>
      <c r="B7" s="223" t="s">
        <v>117</v>
      </c>
      <c r="C7" s="100"/>
      <c r="D7" s="100"/>
      <c r="E7" s="100"/>
      <c r="F7" s="100"/>
    </row>
    <row r="8" spans="1:6" ht="19.25" customHeight="1" x14ac:dyDescent="0.15">
      <c r="A8" s="365" t="s">
        <v>118</v>
      </c>
      <c r="B8" s="105" t="s">
        <v>119</v>
      </c>
      <c r="C8" s="100"/>
      <c r="D8" s="100"/>
      <c r="E8" s="100"/>
      <c r="F8" s="100"/>
    </row>
    <row r="9" spans="1:6" ht="12.75" customHeight="1" x14ac:dyDescent="0.15">
      <c r="A9" s="101"/>
      <c r="B9" s="99" t="s">
        <v>120</v>
      </c>
      <c r="C9" s="102" t="s">
        <v>121</v>
      </c>
      <c r="D9" s="109">
        <v>778</v>
      </c>
      <c r="E9" s="106">
        <v>85</v>
      </c>
      <c r="F9" s="106">
        <f>+E9*D9</f>
        <v>66130</v>
      </c>
    </row>
    <row r="10" spans="1:6" ht="15.25" customHeight="1" x14ac:dyDescent="0.15">
      <c r="A10" s="101"/>
      <c r="B10" s="99" t="s">
        <v>122</v>
      </c>
      <c r="C10" s="102" t="s">
        <v>123</v>
      </c>
      <c r="D10" s="109">
        <v>700</v>
      </c>
      <c r="E10" s="106">
        <v>75</v>
      </c>
      <c r="F10" s="106">
        <f t="shared" ref="F10:F31" si="0">+E10*D10</f>
        <v>52500</v>
      </c>
    </row>
    <row r="11" spans="1:6" ht="22.25" customHeight="1" x14ac:dyDescent="0.15">
      <c r="A11" s="566"/>
      <c r="B11" s="553" t="s">
        <v>124</v>
      </c>
      <c r="C11" s="554" t="s">
        <v>125</v>
      </c>
      <c r="D11" s="555">
        <v>1000</v>
      </c>
      <c r="E11" s="556">
        <v>125</v>
      </c>
      <c r="F11" s="556">
        <f t="shared" si="0"/>
        <v>125000</v>
      </c>
    </row>
    <row r="12" spans="1:6" ht="13" customHeight="1" x14ac:dyDescent="0.15">
      <c r="A12" s="552" t="s">
        <v>126</v>
      </c>
      <c r="B12" s="553" t="s">
        <v>127</v>
      </c>
      <c r="C12" s="554" t="s">
        <v>128</v>
      </c>
      <c r="D12" s="555">
        <v>600</v>
      </c>
      <c r="E12" s="556">
        <v>125</v>
      </c>
      <c r="F12" s="556">
        <f t="shared" si="0"/>
        <v>75000</v>
      </c>
    </row>
    <row r="13" spans="1:6" ht="13" customHeight="1" x14ac:dyDescent="0.15">
      <c r="A13" s="566"/>
      <c r="B13" s="567" t="s">
        <v>129</v>
      </c>
      <c r="C13" s="581"/>
      <c r="D13" s="593"/>
      <c r="E13" s="556"/>
      <c r="F13" s="556">
        <f t="shared" si="0"/>
        <v>0</v>
      </c>
    </row>
    <row r="14" spans="1:6" ht="13" customHeight="1" x14ac:dyDescent="0.15">
      <c r="A14" s="594" t="s">
        <v>130</v>
      </c>
      <c r="B14" s="567" t="s">
        <v>131</v>
      </c>
      <c r="C14" s="581"/>
      <c r="D14" s="593"/>
      <c r="E14" s="556"/>
      <c r="F14" s="556">
        <f t="shared" si="0"/>
        <v>0</v>
      </c>
    </row>
    <row r="15" spans="1:6" ht="14.5" customHeight="1" x14ac:dyDescent="0.15">
      <c r="A15" s="566"/>
      <c r="B15" s="567" t="s">
        <v>132</v>
      </c>
      <c r="C15" s="581"/>
      <c r="D15" s="593"/>
      <c r="E15" s="556"/>
      <c r="F15" s="556">
        <f t="shared" si="0"/>
        <v>0</v>
      </c>
    </row>
    <row r="16" spans="1:6" ht="13" customHeight="1" x14ac:dyDescent="0.15">
      <c r="A16" s="566"/>
      <c r="B16" s="553" t="s">
        <v>133</v>
      </c>
      <c r="C16" s="595" t="s">
        <v>134</v>
      </c>
      <c r="D16" s="555">
        <v>300</v>
      </c>
      <c r="E16" s="556">
        <v>120</v>
      </c>
      <c r="F16" s="556">
        <f t="shared" si="0"/>
        <v>36000</v>
      </c>
    </row>
    <row r="17" spans="1:6" ht="13" customHeight="1" x14ac:dyDescent="0.15">
      <c r="A17" s="566"/>
      <c r="B17" s="553" t="s">
        <v>135</v>
      </c>
      <c r="C17" s="554" t="s">
        <v>136</v>
      </c>
      <c r="D17" s="555">
        <v>100</v>
      </c>
      <c r="E17" s="556">
        <v>125</v>
      </c>
      <c r="F17" s="556">
        <f t="shared" si="0"/>
        <v>12500</v>
      </c>
    </row>
    <row r="18" spans="1:6" ht="13" customHeight="1" x14ac:dyDescent="0.15">
      <c r="A18" s="566"/>
      <c r="B18" s="567" t="s">
        <v>137</v>
      </c>
      <c r="C18" s="595" t="s">
        <v>138</v>
      </c>
      <c r="D18" s="596">
        <v>200</v>
      </c>
      <c r="E18" s="556">
        <v>140</v>
      </c>
      <c r="F18" s="556">
        <f t="shared" si="0"/>
        <v>28000</v>
      </c>
    </row>
    <row r="19" spans="1:6" ht="20.75" customHeight="1" x14ac:dyDescent="0.15">
      <c r="A19" s="566"/>
      <c r="B19" s="553" t="s">
        <v>139</v>
      </c>
      <c r="C19" s="581"/>
      <c r="D19" s="593"/>
      <c r="E19" s="556"/>
      <c r="F19" s="556">
        <f t="shared" si="0"/>
        <v>0</v>
      </c>
    </row>
    <row r="20" spans="1:6" ht="14.5" customHeight="1" x14ac:dyDescent="0.15">
      <c r="A20" s="566"/>
      <c r="B20" s="553" t="s">
        <v>140</v>
      </c>
      <c r="C20" s="595" t="s">
        <v>141</v>
      </c>
      <c r="D20" s="555">
        <v>400</v>
      </c>
      <c r="E20" s="556">
        <v>190</v>
      </c>
      <c r="F20" s="556">
        <f t="shared" si="0"/>
        <v>76000</v>
      </c>
    </row>
    <row r="21" spans="1:6" ht="13" customHeight="1" x14ac:dyDescent="0.15">
      <c r="A21" s="566"/>
      <c r="B21" s="553" t="s">
        <v>142</v>
      </c>
      <c r="C21" s="554" t="s">
        <v>143</v>
      </c>
      <c r="D21" s="555">
        <v>400</v>
      </c>
      <c r="E21" s="556">
        <v>190</v>
      </c>
      <c r="F21" s="556">
        <f t="shared" si="0"/>
        <v>76000</v>
      </c>
    </row>
    <row r="22" spans="1:6" ht="13" customHeight="1" x14ac:dyDescent="0.15">
      <c r="A22" s="566"/>
      <c r="B22" s="553" t="s">
        <v>144</v>
      </c>
      <c r="C22" s="554" t="s">
        <v>145</v>
      </c>
      <c r="D22" s="555">
        <v>50</v>
      </c>
      <c r="E22" s="556">
        <v>290</v>
      </c>
      <c r="F22" s="556">
        <f t="shared" si="0"/>
        <v>14500</v>
      </c>
    </row>
    <row r="23" spans="1:6" ht="13" customHeight="1" x14ac:dyDescent="0.15">
      <c r="A23" s="566"/>
      <c r="B23" s="567" t="s">
        <v>146</v>
      </c>
      <c r="C23" s="595" t="s">
        <v>147</v>
      </c>
      <c r="D23" s="596">
        <v>30</v>
      </c>
      <c r="E23" s="556">
        <v>290</v>
      </c>
      <c r="F23" s="556">
        <f t="shared" si="0"/>
        <v>8700</v>
      </c>
    </row>
    <row r="24" spans="1:6" ht="14.5" customHeight="1" x14ac:dyDescent="0.15">
      <c r="A24" s="566"/>
      <c r="B24" s="553" t="s">
        <v>148</v>
      </c>
      <c r="C24" s="581"/>
      <c r="D24" s="593"/>
      <c r="E24" s="556"/>
      <c r="F24" s="556">
        <f t="shared" si="0"/>
        <v>0</v>
      </c>
    </row>
    <row r="25" spans="1:6" ht="13" customHeight="1" x14ac:dyDescent="0.15">
      <c r="A25" s="566"/>
      <c r="B25" s="553" t="s">
        <v>149</v>
      </c>
      <c r="C25" s="554" t="s">
        <v>150</v>
      </c>
      <c r="D25" s="555">
        <v>40</v>
      </c>
      <c r="E25" s="556">
        <v>2000</v>
      </c>
      <c r="F25" s="556">
        <f t="shared" si="0"/>
        <v>80000</v>
      </c>
    </row>
    <row r="26" spans="1:6" ht="13" customHeight="1" x14ac:dyDescent="0.15">
      <c r="A26" s="566"/>
      <c r="B26" s="553" t="s">
        <v>151</v>
      </c>
      <c r="C26" s="554" t="s">
        <v>152</v>
      </c>
      <c r="D26" s="555">
        <v>40</v>
      </c>
      <c r="E26" s="556">
        <f>+E25</f>
        <v>2000</v>
      </c>
      <c r="F26" s="556">
        <f t="shared" si="0"/>
        <v>80000</v>
      </c>
    </row>
    <row r="27" spans="1:6" ht="15.75" customHeight="1" x14ac:dyDescent="0.15">
      <c r="A27" s="566"/>
      <c r="B27" s="567" t="s">
        <v>153</v>
      </c>
      <c r="C27" s="595" t="s">
        <v>154</v>
      </c>
      <c r="D27" s="596">
        <v>40</v>
      </c>
      <c r="E27" s="556">
        <f>+E26</f>
        <v>2000</v>
      </c>
      <c r="F27" s="556">
        <f t="shared" si="0"/>
        <v>80000</v>
      </c>
    </row>
    <row r="28" spans="1:6" ht="20" customHeight="1" x14ac:dyDescent="0.15">
      <c r="A28" s="566"/>
      <c r="B28" s="553" t="s">
        <v>155</v>
      </c>
      <c r="C28" s="581"/>
      <c r="D28" s="593"/>
      <c r="E28" s="556"/>
      <c r="F28" s="556">
        <f t="shared" si="0"/>
        <v>0</v>
      </c>
    </row>
    <row r="29" spans="1:6" ht="14" x14ac:dyDescent="0.15">
      <c r="A29" s="566"/>
      <c r="B29" s="553" t="s">
        <v>156</v>
      </c>
      <c r="C29" s="554" t="s">
        <v>157</v>
      </c>
      <c r="D29" s="555">
        <v>40</v>
      </c>
      <c r="E29" s="556">
        <v>12000</v>
      </c>
      <c r="F29" s="556">
        <f t="shared" si="0"/>
        <v>480000</v>
      </c>
    </row>
    <row r="30" spans="1:6" ht="14" x14ac:dyDescent="0.15">
      <c r="A30" s="566"/>
      <c r="B30" s="553" t="s">
        <v>158</v>
      </c>
      <c r="C30" s="554" t="s">
        <v>159</v>
      </c>
      <c r="D30" s="555">
        <v>40</v>
      </c>
      <c r="E30" s="585">
        <f>+E29</f>
        <v>12000</v>
      </c>
      <c r="F30" s="556">
        <f t="shared" si="0"/>
        <v>480000</v>
      </c>
    </row>
    <row r="31" spans="1:6" ht="15" thickBot="1" x14ac:dyDescent="0.2">
      <c r="A31" s="588"/>
      <c r="B31" s="589" t="s">
        <v>160</v>
      </c>
      <c r="C31" s="590" t="s">
        <v>161</v>
      </c>
      <c r="D31" s="597">
        <v>40</v>
      </c>
      <c r="E31" s="598">
        <f>+E30</f>
        <v>12000</v>
      </c>
      <c r="F31" s="556">
        <f t="shared" si="0"/>
        <v>480000</v>
      </c>
    </row>
    <row r="32" spans="1:6" ht="15" thickBot="1" x14ac:dyDescent="0.2">
      <c r="A32" s="260" t="s">
        <v>162</v>
      </c>
      <c r="B32" s="628" t="s">
        <v>163</v>
      </c>
      <c r="C32" s="628"/>
      <c r="D32" s="628"/>
      <c r="E32" s="628"/>
      <c r="F32" s="97">
        <f>SUM(F9:F31)</f>
        <v>2250330</v>
      </c>
    </row>
    <row r="33" spans="1:1" x14ac:dyDescent="0.15">
      <c r="A33" s="113" t="s">
        <v>164</v>
      </c>
    </row>
    <row r="34" spans="1:1" x14ac:dyDescent="0.15">
      <c r="A34" s="113"/>
    </row>
  </sheetData>
  <mergeCells count="2">
    <mergeCell ref="B32:E32"/>
    <mergeCell ref="A2:E2"/>
  </mergeCells>
  <phoneticPr fontId="2" type="noConversion"/>
  <pageMargins left="0.7" right="0.7" top="0.75" bottom="0.75" header="0.3" footer="0.3"/>
  <pageSetup paperSize="9" scale="7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view="pageBreakPreview" topLeftCell="A15" zoomScaleNormal="100" zoomScaleSheetLayoutView="100" workbookViewId="0">
      <selection activeCell="B31" sqref="B31"/>
    </sheetView>
  </sheetViews>
  <sheetFormatPr baseColWidth="10" defaultColWidth="9.3984375" defaultRowHeight="13" x14ac:dyDescent="0.15"/>
  <cols>
    <col min="1" max="1" width="11" style="89" customWidth="1"/>
    <col min="2" max="2" width="63.3984375" style="89" customWidth="1"/>
    <col min="3" max="4" width="10" style="89" customWidth="1"/>
    <col min="5" max="5" width="12" style="89" customWidth="1"/>
    <col min="6" max="6" width="16.5976562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31.5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x14ac:dyDescent="0.15">
      <c r="A4" s="300" t="s">
        <v>20</v>
      </c>
      <c r="B4" s="88"/>
      <c r="C4" s="88"/>
      <c r="D4" s="88"/>
      <c r="E4" s="88"/>
      <c r="F4" s="301"/>
    </row>
    <row r="5" spans="1:6" s="88" customFormat="1" ht="15.25" customHeight="1" thickBot="1" x14ac:dyDescent="0.2">
      <c r="A5" s="89"/>
      <c r="B5" s="89"/>
      <c r="C5" s="89"/>
      <c r="D5" s="89"/>
      <c r="E5" s="89"/>
      <c r="F5" s="89"/>
    </row>
    <row r="6" spans="1:6" s="88" customFormat="1" ht="13" customHeight="1" thickBot="1" x14ac:dyDescent="0.2">
      <c r="A6" s="92" t="s">
        <v>165</v>
      </c>
      <c r="B6" s="94" t="s">
        <v>166</v>
      </c>
      <c r="C6" s="93" t="s">
        <v>167</v>
      </c>
      <c r="D6" s="93" t="s">
        <v>168</v>
      </c>
      <c r="E6" s="93" t="s">
        <v>169</v>
      </c>
      <c r="F6" s="93" t="s">
        <v>170</v>
      </c>
    </row>
    <row r="7" spans="1:6" s="88" customFormat="1" ht="13" customHeight="1" x14ac:dyDescent="0.15">
      <c r="A7" s="144"/>
      <c r="B7" s="635" t="s">
        <v>171</v>
      </c>
      <c r="C7" s="635"/>
      <c r="D7" s="635"/>
      <c r="E7" s="635"/>
      <c r="F7" s="444">
        <f>'M1100'!F32</f>
        <v>2250330</v>
      </c>
    </row>
    <row r="8" spans="1:6" s="88" customFormat="1" ht="13" customHeight="1" x14ac:dyDescent="0.15">
      <c r="A8" s="267" t="s">
        <v>172</v>
      </c>
      <c r="B8" s="148" t="s">
        <v>173</v>
      </c>
      <c r="C8" s="309"/>
      <c r="D8" s="309"/>
      <c r="E8" s="309"/>
      <c r="F8" s="309"/>
    </row>
    <row r="9" spans="1:6" s="88" customFormat="1" ht="14.5" customHeight="1" x14ac:dyDescent="0.15">
      <c r="A9" s="152"/>
      <c r="B9" s="99" t="s">
        <v>174</v>
      </c>
      <c r="C9" s="153"/>
      <c r="D9" s="154"/>
      <c r="E9" s="154"/>
      <c r="F9" s="153"/>
    </row>
    <row r="10" spans="1:6" s="88" customFormat="1" ht="13" customHeight="1" x14ac:dyDescent="0.15">
      <c r="A10" s="152"/>
      <c r="B10" s="99" t="s">
        <v>175</v>
      </c>
      <c r="C10" s="102" t="s">
        <v>176</v>
      </c>
      <c r="D10" s="109">
        <v>40</v>
      </c>
      <c r="E10" s="106">
        <v>450</v>
      </c>
      <c r="F10" s="106">
        <f>+E10*D10</f>
        <v>18000</v>
      </c>
    </row>
    <row r="11" spans="1:6" s="88" customFormat="1" ht="13" customHeight="1" x14ac:dyDescent="0.15">
      <c r="A11" s="152"/>
      <c r="B11" s="99" t="s">
        <v>177</v>
      </c>
      <c r="C11" s="102" t="s">
        <v>178</v>
      </c>
      <c r="D11" s="109">
        <v>40</v>
      </c>
      <c r="E11" s="106">
        <v>450</v>
      </c>
      <c r="F11" s="106">
        <f t="shared" ref="F11:F21" si="0">+E11*D11</f>
        <v>18000</v>
      </c>
    </row>
    <row r="12" spans="1:6" s="88" customFormat="1" ht="13" customHeight="1" x14ac:dyDescent="0.15">
      <c r="A12" s="152"/>
      <c r="B12" s="99" t="s">
        <v>179</v>
      </c>
      <c r="C12" s="102" t="s">
        <v>180</v>
      </c>
      <c r="D12" s="109">
        <v>40</v>
      </c>
      <c r="E12" s="106">
        <v>450</v>
      </c>
      <c r="F12" s="106">
        <f t="shared" si="0"/>
        <v>18000</v>
      </c>
    </row>
    <row r="13" spans="1:6" s="88" customFormat="1" ht="14.5" customHeight="1" x14ac:dyDescent="0.15">
      <c r="A13" s="152"/>
      <c r="B13" s="99" t="s">
        <v>181</v>
      </c>
      <c r="C13" s="153"/>
      <c r="D13" s="154"/>
      <c r="E13" s="106"/>
      <c r="F13" s="106">
        <f t="shared" si="0"/>
        <v>0</v>
      </c>
    </row>
    <row r="14" spans="1:6" s="88" customFormat="1" ht="13" customHeight="1" x14ac:dyDescent="0.15">
      <c r="A14" s="152"/>
      <c r="B14" s="99" t="s">
        <v>182</v>
      </c>
      <c r="C14" s="102" t="s">
        <v>183</v>
      </c>
      <c r="D14" s="109">
        <v>40</v>
      </c>
      <c r="E14" s="106">
        <f>+E12</f>
        <v>450</v>
      </c>
      <c r="F14" s="106">
        <f t="shared" si="0"/>
        <v>18000</v>
      </c>
    </row>
    <row r="15" spans="1:6" s="88" customFormat="1" ht="13" customHeight="1" x14ac:dyDescent="0.15">
      <c r="A15" s="152"/>
      <c r="B15" s="99" t="s">
        <v>184</v>
      </c>
      <c r="C15" s="102" t="s">
        <v>185</v>
      </c>
      <c r="D15" s="109">
        <v>40</v>
      </c>
      <c r="E15" s="106">
        <f>+E14</f>
        <v>450</v>
      </c>
      <c r="F15" s="106">
        <f t="shared" si="0"/>
        <v>18000</v>
      </c>
    </row>
    <row r="16" spans="1:6" s="88" customFormat="1" ht="13.75" customHeight="1" x14ac:dyDescent="0.15">
      <c r="A16" s="152"/>
      <c r="B16" s="99" t="s">
        <v>186</v>
      </c>
      <c r="C16" s="102" t="s">
        <v>187</v>
      </c>
      <c r="D16" s="109">
        <v>40</v>
      </c>
      <c r="E16" s="106">
        <f>+E15</f>
        <v>450</v>
      </c>
      <c r="F16" s="106">
        <f t="shared" si="0"/>
        <v>18000</v>
      </c>
    </row>
    <row r="17" spans="1:6" s="88" customFormat="1" ht="20" customHeight="1" x14ac:dyDescent="0.15">
      <c r="A17" s="152"/>
      <c r="B17" s="99" t="s">
        <v>188</v>
      </c>
      <c r="C17" s="153"/>
      <c r="D17" s="154"/>
      <c r="E17" s="106"/>
      <c r="F17" s="106">
        <f t="shared" si="0"/>
        <v>0</v>
      </c>
    </row>
    <row r="18" spans="1:6" s="88" customFormat="1" ht="20" customHeight="1" x14ac:dyDescent="0.15">
      <c r="A18" s="152"/>
      <c r="B18" s="99" t="s">
        <v>189</v>
      </c>
      <c r="C18" s="102" t="s">
        <v>190</v>
      </c>
      <c r="D18" s="109">
        <v>40</v>
      </c>
      <c r="E18" s="106">
        <v>450</v>
      </c>
      <c r="F18" s="106">
        <f t="shared" si="0"/>
        <v>18000</v>
      </c>
    </row>
    <row r="19" spans="1:6" s="88" customFormat="1" ht="20" customHeight="1" x14ac:dyDescent="0.15">
      <c r="A19" s="152"/>
      <c r="B19" s="99" t="s">
        <v>191</v>
      </c>
      <c r="C19" s="102" t="s">
        <v>192</v>
      </c>
      <c r="D19" s="109">
        <v>40</v>
      </c>
      <c r="E19" s="106">
        <v>450</v>
      </c>
      <c r="F19" s="106">
        <f t="shared" si="0"/>
        <v>18000</v>
      </c>
    </row>
    <row r="20" spans="1:6" s="88" customFormat="1" ht="20" customHeight="1" x14ac:dyDescent="0.15">
      <c r="A20" s="152"/>
      <c r="B20" s="99" t="s">
        <v>193</v>
      </c>
      <c r="C20" s="102" t="s">
        <v>194</v>
      </c>
      <c r="D20" s="109">
        <v>40</v>
      </c>
      <c r="E20" s="106">
        <v>450</v>
      </c>
      <c r="F20" s="106">
        <f t="shared" si="0"/>
        <v>18000</v>
      </c>
    </row>
    <row r="21" spans="1:6" s="88" customFormat="1" ht="18.5" customHeight="1" x14ac:dyDescent="0.15">
      <c r="A21" s="166" t="s">
        <v>195</v>
      </c>
      <c r="B21" s="99" t="s">
        <v>196</v>
      </c>
      <c r="C21" s="153"/>
      <c r="D21" s="154"/>
      <c r="E21" s="154"/>
      <c r="F21" s="106">
        <f t="shared" si="0"/>
        <v>0</v>
      </c>
    </row>
    <row r="22" spans="1:6" s="88" customFormat="1" ht="18.5" customHeight="1" x14ac:dyDescent="0.15">
      <c r="A22" s="152"/>
      <c r="B22" s="99" t="s">
        <v>197</v>
      </c>
      <c r="C22" s="102" t="s">
        <v>198</v>
      </c>
      <c r="D22" s="154"/>
      <c r="E22" s="106">
        <v>24000</v>
      </c>
      <c r="F22" s="102" t="s">
        <v>1707</v>
      </c>
    </row>
    <row r="23" spans="1:6" s="88" customFormat="1" ht="19.25" customHeight="1" x14ac:dyDescent="0.15">
      <c r="A23" s="166" t="s">
        <v>199</v>
      </c>
      <c r="B23" s="99" t="s">
        <v>200</v>
      </c>
      <c r="C23" s="153"/>
      <c r="D23" s="154"/>
      <c r="E23" s="106"/>
      <c r="F23" s="153"/>
    </row>
    <row r="24" spans="1:6" s="88" customFormat="1" ht="20" customHeight="1" x14ac:dyDescent="0.15">
      <c r="A24" s="152"/>
      <c r="B24" s="99" t="s">
        <v>201</v>
      </c>
      <c r="C24" s="102" t="s">
        <v>202</v>
      </c>
      <c r="D24" s="154"/>
      <c r="E24" s="106">
        <v>2600</v>
      </c>
      <c r="F24" s="102" t="s">
        <v>1707</v>
      </c>
    </row>
    <row r="25" spans="1:6" s="88" customFormat="1" ht="15.75" customHeight="1" x14ac:dyDescent="0.15">
      <c r="A25" s="152"/>
      <c r="B25" s="99" t="s">
        <v>203</v>
      </c>
      <c r="C25" s="102" t="s">
        <v>204</v>
      </c>
      <c r="D25" s="154"/>
      <c r="E25" s="106">
        <v>2100</v>
      </c>
      <c r="F25" s="102" t="s">
        <v>1707</v>
      </c>
    </row>
    <row r="26" spans="1:6" s="88" customFormat="1" ht="20.75" customHeight="1" x14ac:dyDescent="0.15">
      <c r="A26" s="166" t="s">
        <v>205</v>
      </c>
      <c r="B26" s="99" t="s">
        <v>206</v>
      </c>
      <c r="C26" s="153"/>
      <c r="D26" s="154"/>
      <c r="E26" s="106"/>
      <c r="F26" s="106">
        <f t="shared" ref="F26:F29" si="1">+E26*D26</f>
        <v>0</v>
      </c>
    </row>
    <row r="27" spans="1:6" ht="14" x14ac:dyDescent="0.15">
      <c r="A27" s="152"/>
      <c r="B27" s="99" t="s">
        <v>207</v>
      </c>
      <c r="C27" s="102" t="s">
        <v>208</v>
      </c>
      <c r="D27" s="109">
        <v>600</v>
      </c>
      <c r="E27" s="106">
        <v>10</v>
      </c>
      <c r="F27" s="106">
        <f t="shared" si="1"/>
        <v>6000</v>
      </c>
    </row>
    <row r="28" spans="1:6" ht="14" x14ac:dyDescent="0.15">
      <c r="A28" s="552" t="s">
        <v>209</v>
      </c>
      <c r="B28" s="553" t="s">
        <v>210</v>
      </c>
      <c r="C28" s="554" t="s">
        <v>211</v>
      </c>
      <c r="D28" s="555">
        <v>1</v>
      </c>
      <c r="E28" s="556">
        <v>70000</v>
      </c>
      <c r="F28" s="556">
        <f t="shared" si="1"/>
        <v>70000</v>
      </c>
    </row>
    <row r="29" spans="1:6" ht="14" x14ac:dyDescent="0.15">
      <c r="A29" s="557" t="s">
        <v>212</v>
      </c>
      <c r="B29" s="558" t="s">
        <v>213</v>
      </c>
      <c r="C29" s="559" t="s">
        <v>214</v>
      </c>
      <c r="D29" s="559" t="s">
        <v>215</v>
      </c>
      <c r="E29" s="560">
        <v>60000</v>
      </c>
      <c r="F29" s="556">
        <f t="shared" si="1"/>
        <v>60000</v>
      </c>
    </row>
    <row r="30" spans="1:6" ht="17" thickBot="1" x14ac:dyDescent="0.2">
      <c r="A30" s="112" t="s">
        <v>216</v>
      </c>
      <c r="B30" s="636" t="s">
        <v>217</v>
      </c>
      <c r="C30" s="636"/>
      <c r="D30" s="636"/>
      <c r="E30" s="636"/>
      <c r="F30" s="519">
        <f>SUM(F7:F29)</f>
        <v>2548330</v>
      </c>
    </row>
    <row r="31" spans="1:6" ht="14" x14ac:dyDescent="0.2">
      <c r="A31" s="91"/>
      <c r="B31" s="91"/>
      <c r="C31" s="91"/>
      <c r="D31" s="91"/>
      <c r="E31" s="91"/>
      <c r="F31" s="91"/>
    </row>
    <row r="32" spans="1:6" x14ac:dyDescent="0.15">
      <c r="A32" s="113" t="s">
        <v>218</v>
      </c>
    </row>
    <row r="33" spans="1:1" x14ac:dyDescent="0.15">
      <c r="A33" s="113"/>
    </row>
  </sheetData>
  <mergeCells count="3">
    <mergeCell ref="B7:E7"/>
    <mergeCell ref="B30:E30"/>
    <mergeCell ref="A2:E2"/>
  </mergeCells>
  <phoneticPr fontId="2" type="noConversion"/>
  <pageMargins left="0.7" right="0.7" top="0.75" bottom="0.75" header="0.3" footer="0.3"/>
  <pageSetup paperSize="9" scale="7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view="pageBreakPreview" topLeftCell="A3" zoomScaleNormal="100" zoomScaleSheetLayoutView="100" workbookViewId="0">
      <selection activeCell="C24" sqref="C24"/>
    </sheetView>
  </sheetViews>
  <sheetFormatPr baseColWidth="10" defaultColWidth="9.3984375" defaultRowHeight="13" x14ac:dyDescent="0.15"/>
  <cols>
    <col min="1" max="1" width="11" style="89" customWidth="1"/>
    <col min="2" max="2" width="64.19921875" style="89" customWidth="1"/>
    <col min="3" max="3" width="10" style="89" customWidth="1"/>
    <col min="4" max="5" width="14.3984375" style="89" customWidth="1"/>
    <col min="6" max="6" width="15.1992187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4.75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x14ac:dyDescent="0.15">
      <c r="A4" s="300" t="s">
        <v>20</v>
      </c>
      <c r="B4" s="88"/>
      <c r="C4" s="88"/>
      <c r="D4" s="88"/>
      <c r="E4" s="88"/>
      <c r="F4" s="301"/>
    </row>
    <row r="5" spans="1:6" ht="14.25" customHeight="1" thickBot="1" x14ac:dyDescent="0.2"/>
    <row r="6" spans="1:6" ht="17.75" customHeight="1" thickBot="1" x14ac:dyDescent="0.2">
      <c r="A6" s="92" t="s">
        <v>219</v>
      </c>
      <c r="B6" s="94" t="s">
        <v>220</v>
      </c>
      <c r="C6" s="93" t="s">
        <v>221</v>
      </c>
      <c r="D6" s="93" t="s">
        <v>222</v>
      </c>
      <c r="E6" s="93" t="s">
        <v>223</v>
      </c>
      <c r="F6" s="93" t="s">
        <v>224</v>
      </c>
    </row>
    <row r="7" spans="1:6" ht="32.75" customHeight="1" x14ac:dyDescent="0.15">
      <c r="A7" s="176" t="s">
        <v>225</v>
      </c>
      <c r="B7" s="145" t="s">
        <v>226</v>
      </c>
      <c r="C7" s="177"/>
      <c r="D7" s="177"/>
      <c r="E7" s="177"/>
      <c r="F7" s="177"/>
    </row>
    <row r="8" spans="1:6" ht="17.75" customHeight="1" x14ac:dyDescent="0.15">
      <c r="A8" s="552" t="s">
        <v>227</v>
      </c>
      <c r="B8" s="572" t="s">
        <v>228</v>
      </c>
      <c r="C8" s="554" t="s">
        <v>229</v>
      </c>
      <c r="D8" s="555">
        <v>36</v>
      </c>
      <c r="E8" s="575">
        <v>8000</v>
      </c>
      <c r="F8" s="575">
        <f>+E8*D8</f>
        <v>288000</v>
      </c>
    </row>
    <row r="9" spans="1:6" ht="20" customHeight="1" x14ac:dyDescent="0.15">
      <c r="A9" s="599" t="s">
        <v>230</v>
      </c>
      <c r="B9" s="600" t="s">
        <v>231</v>
      </c>
      <c r="C9" s="568"/>
      <c r="D9" s="576"/>
      <c r="E9" s="575"/>
      <c r="F9" s="575">
        <f t="shared" ref="F9:F18" si="0">+E9*D9</f>
        <v>0</v>
      </c>
    </row>
    <row r="10" spans="1:6" ht="16.25" customHeight="1" x14ac:dyDescent="0.15">
      <c r="A10" s="552" t="s">
        <v>232</v>
      </c>
      <c r="B10" s="572" t="s">
        <v>233</v>
      </c>
      <c r="C10" s="554" t="s">
        <v>234</v>
      </c>
      <c r="D10" s="555">
        <v>36</v>
      </c>
      <c r="E10" s="575">
        <v>8000</v>
      </c>
      <c r="F10" s="575">
        <f t="shared" si="0"/>
        <v>288000</v>
      </c>
    </row>
    <row r="11" spans="1:6" ht="15.25" customHeight="1" x14ac:dyDescent="0.15">
      <c r="A11" s="599" t="s">
        <v>235</v>
      </c>
      <c r="B11" s="600" t="s">
        <v>236</v>
      </c>
      <c r="C11" s="568"/>
      <c r="D11" s="576"/>
      <c r="E11" s="575"/>
      <c r="F11" s="575">
        <f t="shared" si="0"/>
        <v>0</v>
      </c>
    </row>
    <row r="12" spans="1:6" ht="26.25" customHeight="1" x14ac:dyDescent="0.15">
      <c r="A12" s="552" t="s">
        <v>237</v>
      </c>
      <c r="B12" s="572" t="s">
        <v>238</v>
      </c>
      <c r="C12" s="554" t="s">
        <v>239</v>
      </c>
      <c r="D12" s="555">
        <v>36</v>
      </c>
      <c r="E12" s="575">
        <v>8000</v>
      </c>
      <c r="F12" s="575">
        <f t="shared" si="0"/>
        <v>288000</v>
      </c>
    </row>
    <row r="13" spans="1:6" ht="26.25" customHeight="1" x14ac:dyDescent="0.15">
      <c r="A13" s="599" t="s">
        <v>240</v>
      </c>
      <c r="B13" s="600" t="s">
        <v>241</v>
      </c>
      <c r="C13" s="568"/>
      <c r="D13" s="576"/>
      <c r="E13" s="575"/>
      <c r="F13" s="575">
        <f t="shared" si="0"/>
        <v>0</v>
      </c>
    </row>
    <row r="14" spans="1:6" ht="20" customHeight="1" x14ac:dyDescent="0.15">
      <c r="A14" s="561"/>
      <c r="B14" s="572" t="s">
        <v>242</v>
      </c>
      <c r="C14" s="568"/>
      <c r="D14" s="576"/>
      <c r="E14" s="575"/>
      <c r="F14" s="575">
        <f t="shared" si="0"/>
        <v>0</v>
      </c>
    </row>
    <row r="15" spans="1:6" ht="14" x14ac:dyDescent="0.15">
      <c r="A15" s="552" t="s">
        <v>243</v>
      </c>
      <c r="B15" s="553" t="s">
        <v>244</v>
      </c>
      <c r="C15" s="568"/>
      <c r="D15" s="576"/>
      <c r="E15" s="575"/>
      <c r="F15" s="575">
        <f t="shared" si="0"/>
        <v>0</v>
      </c>
    </row>
    <row r="16" spans="1:6" ht="14" x14ac:dyDescent="0.15">
      <c r="A16" s="561"/>
      <c r="B16" s="553" t="s">
        <v>245</v>
      </c>
      <c r="C16" s="568"/>
      <c r="D16" s="576"/>
      <c r="E16" s="575"/>
      <c r="F16" s="575">
        <f t="shared" si="0"/>
        <v>0</v>
      </c>
    </row>
    <row r="17" spans="1:6" ht="14" x14ac:dyDescent="0.15">
      <c r="A17" s="561"/>
      <c r="B17" s="553" t="s">
        <v>246</v>
      </c>
      <c r="C17" s="554" t="s">
        <v>247</v>
      </c>
      <c r="D17" s="555">
        <v>20</v>
      </c>
      <c r="E17" s="575">
        <v>5000</v>
      </c>
      <c r="F17" s="575">
        <f t="shared" si="0"/>
        <v>100000</v>
      </c>
    </row>
    <row r="18" spans="1:6" ht="15" thickBot="1" x14ac:dyDescent="0.2">
      <c r="A18" s="390"/>
      <c r="B18" s="156"/>
      <c r="C18" s="391"/>
      <c r="D18" s="320"/>
      <c r="E18" s="443"/>
      <c r="F18" s="167">
        <f t="shared" si="0"/>
        <v>0</v>
      </c>
    </row>
    <row r="19" spans="1:6" ht="15" thickBot="1" x14ac:dyDescent="0.2">
      <c r="A19" s="179" t="s">
        <v>248</v>
      </c>
      <c r="B19" s="637" t="s">
        <v>249</v>
      </c>
      <c r="C19" s="637"/>
      <c r="D19" s="637"/>
      <c r="E19" s="637"/>
      <c r="F19" s="520">
        <f>SUM(F8:F18)</f>
        <v>964000</v>
      </c>
    </row>
    <row r="20" spans="1:6" ht="14" x14ac:dyDescent="0.2">
      <c r="F20" s="91"/>
    </row>
    <row r="21" spans="1:6" ht="14" x14ac:dyDescent="0.2">
      <c r="F21" s="91"/>
    </row>
    <row r="22" spans="1:6" ht="14" x14ac:dyDescent="0.2">
      <c r="F22" s="91"/>
    </row>
    <row r="23" spans="1:6" ht="14" x14ac:dyDescent="0.2">
      <c r="A23" s="113" t="s">
        <v>250</v>
      </c>
      <c r="F23" s="91"/>
    </row>
    <row r="24" spans="1:6" ht="14" x14ac:dyDescent="0.2">
      <c r="A24" s="113"/>
      <c r="F24" s="91"/>
    </row>
    <row r="25" spans="1:6" ht="14" x14ac:dyDescent="0.2">
      <c r="F25" s="91"/>
    </row>
  </sheetData>
  <mergeCells count="2">
    <mergeCell ref="B19:E19"/>
    <mergeCell ref="A2:E2"/>
  </mergeCells>
  <phoneticPr fontId="2" type="noConversion"/>
  <pageMargins left="0.7" right="0.7" top="0.75" bottom="0.75" header="0.3" footer="0.3"/>
  <pageSetup paperSize="9" scale="7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2"/>
  <sheetViews>
    <sheetView view="pageBreakPreview" topLeftCell="A15" zoomScaleNormal="100" zoomScaleSheetLayoutView="100" workbookViewId="0">
      <selection activeCell="C32" sqref="C32"/>
    </sheetView>
  </sheetViews>
  <sheetFormatPr baseColWidth="10" defaultColWidth="9.3984375" defaultRowHeight="13" x14ac:dyDescent="0.15"/>
  <cols>
    <col min="1" max="1" width="11" style="89" customWidth="1"/>
    <col min="2" max="2" width="60.19921875" style="89" customWidth="1"/>
    <col min="3" max="3" width="10" style="89" customWidth="1"/>
    <col min="4" max="4" width="11" style="89" customWidth="1"/>
    <col min="5" max="5" width="12.59765625" style="89" customWidth="1"/>
    <col min="6" max="6" width="16.19921875" style="133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131"/>
    </row>
    <row r="2" spans="1:6" ht="22.5" customHeight="1" x14ac:dyDescent="0.15">
      <c r="A2" s="629" t="s">
        <v>0</v>
      </c>
      <c r="B2" s="629"/>
      <c r="C2" s="629"/>
      <c r="D2" s="629"/>
      <c r="E2" s="629"/>
      <c r="F2" s="131"/>
    </row>
    <row r="3" spans="1:6" ht="14" x14ac:dyDescent="0.15">
      <c r="A3" s="88"/>
      <c r="B3" s="88"/>
      <c r="C3" s="88"/>
      <c r="D3" s="88"/>
      <c r="E3" s="88"/>
      <c r="F3" s="131"/>
    </row>
    <row r="4" spans="1:6" ht="15.75" customHeight="1" x14ac:dyDescent="0.15">
      <c r="A4" s="300" t="s">
        <v>20</v>
      </c>
      <c r="B4" s="88"/>
      <c r="C4" s="88"/>
      <c r="D4" s="88"/>
      <c r="E4" s="88"/>
      <c r="F4" s="325"/>
    </row>
    <row r="5" spans="1:6" s="88" customFormat="1" ht="24" customHeight="1" thickBot="1" x14ac:dyDescent="0.2">
      <c r="A5" s="89"/>
      <c r="B5" s="89"/>
      <c r="C5" s="89"/>
      <c r="D5" s="89"/>
      <c r="E5" s="89"/>
      <c r="F5" s="133"/>
    </row>
    <row r="6" spans="1:6" s="88" customFormat="1" ht="16.25" customHeight="1" thickBot="1" x14ac:dyDescent="0.2">
      <c r="A6" s="92" t="s">
        <v>251</v>
      </c>
      <c r="B6" s="94" t="s">
        <v>252</v>
      </c>
      <c r="C6" s="93" t="s">
        <v>253</v>
      </c>
      <c r="D6" s="93" t="s">
        <v>254</v>
      </c>
      <c r="E6" s="93" t="s">
        <v>255</v>
      </c>
      <c r="F6" s="234" t="s">
        <v>256</v>
      </c>
    </row>
    <row r="7" spans="1:6" s="88" customFormat="1" ht="16.25" customHeight="1" x14ac:dyDescent="0.15">
      <c r="A7" s="438" t="s">
        <v>257</v>
      </c>
      <c r="B7" s="145" t="s">
        <v>258</v>
      </c>
      <c r="C7" s="439"/>
      <c r="D7" s="177"/>
      <c r="E7" s="177"/>
      <c r="F7" s="442"/>
    </row>
    <row r="8" spans="1:6" s="88" customFormat="1" ht="12" customHeight="1" x14ac:dyDescent="0.15">
      <c r="A8" s="440"/>
      <c r="B8" s="211"/>
      <c r="C8" s="441"/>
      <c r="D8" s="153"/>
      <c r="E8" s="153"/>
      <c r="F8" s="202"/>
    </row>
    <row r="9" spans="1:6" s="88" customFormat="1" ht="12" customHeight="1" x14ac:dyDescent="0.15">
      <c r="A9" s="306"/>
      <c r="B9" s="99" t="s">
        <v>259</v>
      </c>
      <c r="C9" s="441"/>
      <c r="D9" s="153"/>
      <c r="E9" s="153"/>
      <c r="F9" s="202"/>
    </row>
    <row r="10" spans="1:6" s="88" customFormat="1" ht="20" customHeight="1" x14ac:dyDescent="0.15">
      <c r="A10" s="304" t="s">
        <v>260</v>
      </c>
      <c r="B10" s="99" t="s">
        <v>261</v>
      </c>
      <c r="C10" s="441"/>
      <c r="D10" s="154"/>
      <c r="E10" s="153"/>
      <c r="F10" s="202"/>
    </row>
    <row r="11" spans="1:6" s="88" customFormat="1" ht="15.25" customHeight="1" x14ac:dyDescent="0.15">
      <c r="A11" s="306"/>
      <c r="B11" s="99" t="s">
        <v>262</v>
      </c>
      <c r="C11" s="441"/>
      <c r="D11" s="154"/>
      <c r="E11" s="102"/>
      <c r="F11" s="237">
        <f>+E11*D11</f>
        <v>0</v>
      </c>
    </row>
    <row r="12" spans="1:6" s="88" customFormat="1" ht="20" customHeight="1" x14ac:dyDescent="0.15">
      <c r="A12" s="306"/>
      <c r="B12" s="99" t="s">
        <v>263</v>
      </c>
      <c r="C12" s="403" t="s">
        <v>264</v>
      </c>
      <c r="D12" s="109">
        <v>300</v>
      </c>
      <c r="E12" s="104">
        <v>120</v>
      </c>
      <c r="F12" s="237">
        <f t="shared" ref="F12:F28" si="0">+E12*D12</f>
        <v>36000</v>
      </c>
    </row>
    <row r="13" spans="1:6" s="88" customFormat="1" ht="19.25" customHeight="1" x14ac:dyDescent="0.15">
      <c r="A13" s="306"/>
      <c r="B13" s="99" t="s">
        <v>265</v>
      </c>
      <c r="C13" s="403" t="s">
        <v>266</v>
      </c>
      <c r="D13" s="102">
        <v>1000</v>
      </c>
      <c r="E13" s="104">
        <v>120</v>
      </c>
      <c r="F13" s="237">
        <f t="shared" si="0"/>
        <v>120000</v>
      </c>
    </row>
    <row r="14" spans="1:6" s="88" customFormat="1" ht="18.5" customHeight="1" x14ac:dyDescent="0.15">
      <c r="A14" s="306"/>
      <c r="B14" s="99" t="s">
        <v>267</v>
      </c>
      <c r="C14" s="403" t="s">
        <v>268</v>
      </c>
      <c r="D14" s="109">
        <v>450</v>
      </c>
      <c r="E14" s="104">
        <v>120</v>
      </c>
      <c r="F14" s="237">
        <f t="shared" si="0"/>
        <v>54000</v>
      </c>
    </row>
    <row r="15" spans="1:6" s="88" customFormat="1" ht="18.5" customHeight="1" x14ac:dyDescent="0.15">
      <c r="A15" s="306"/>
      <c r="B15" s="99"/>
      <c r="C15" s="403"/>
      <c r="D15" s="109"/>
      <c r="E15" s="104"/>
      <c r="F15" s="237">
        <f t="shared" si="0"/>
        <v>0</v>
      </c>
    </row>
    <row r="16" spans="1:6" s="88" customFormat="1" ht="12.75" customHeight="1" x14ac:dyDescent="0.15">
      <c r="A16" s="440" t="s">
        <v>269</v>
      </c>
      <c r="B16" s="319" t="s">
        <v>270</v>
      </c>
      <c r="C16" s="441"/>
      <c r="D16" s="154"/>
      <c r="E16" s="104"/>
      <c r="F16" s="237">
        <f t="shared" si="0"/>
        <v>0</v>
      </c>
    </row>
    <row r="17" spans="1:6" s="88" customFormat="1" ht="12.75" customHeight="1" x14ac:dyDescent="0.15">
      <c r="A17" s="440"/>
      <c r="B17" s="211"/>
      <c r="C17" s="441"/>
      <c r="D17" s="154"/>
      <c r="E17" s="104"/>
      <c r="F17" s="237">
        <f t="shared" si="0"/>
        <v>0</v>
      </c>
    </row>
    <row r="18" spans="1:6" s="88" customFormat="1" ht="27.25" customHeight="1" x14ac:dyDescent="0.15">
      <c r="A18" s="306"/>
      <c r="B18" s="99" t="s">
        <v>271</v>
      </c>
      <c r="C18" s="441"/>
      <c r="D18" s="154"/>
      <c r="E18" s="104"/>
      <c r="F18" s="237">
        <f t="shared" si="0"/>
        <v>0</v>
      </c>
    </row>
    <row r="19" spans="1:6" s="88" customFormat="1" ht="20" customHeight="1" x14ac:dyDescent="0.15">
      <c r="A19" s="304" t="s">
        <v>272</v>
      </c>
      <c r="B19" s="99" t="s">
        <v>273</v>
      </c>
      <c r="C19" s="441"/>
      <c r="D19" s="154"/>
      <c r="E19" s="104"/>
      <c r="F19" s="237">
        <f t="shared" si="0"/>
        <v>0</v>
      </c>
    </row>
    <row r="20" spans="1:6" s="88" customFormat="1" ht="21" customHeight="1" x14ac:dyDescent="0.15">
      <c r="A20" s="306"/>
      <c r="B20" s="99" t="s">
        <v>274</v>
      </c>
      <c r="C20" s="403" t="s">
        <v>275</v>
      </c>
      <c r="D20" s="109">
        <v>450</v>
      </c>
      <c r="E20" s="104">
        <v>35</v>
      </c>
      <c r="F20" s="237">
        <f t="shared" si="0"/>
        <v>15750</v>
      </c>
    </row>
    <row r="21" spans="1:6" ht="20" customHeight="1" x14ac:dyDescent="0.15">
      <c r="A21" s="306"/>
      <c r="B21" s="99" t="s">
        <v>276</v>
      </c>
      <c r="C21" s="403" t="s">
        <v>277</v>
      </c>
      <c r="D21" s="109">
        <v>1000</v>
      </c>
      <c r="E21" s="104">
        <v>35</v>
      </c>
      <c r="F21" s="237">
        <f t="shared" si="0"/>
        <v>35000</v>
      </c>
    </row>
    <row r="22" spans="1:6" ht="14" x14ac:dyDescent="0.15">
      <c r="A22" s="306"/>
      <c r="B22" s="99" t="s">
        <v>278</v>
      </c>
      <c r="C22" s="403" t="s">
        <v>279</v>
      </c>
      <c r="D22" s="109">
        <v>350</v>
      </c>
      <c r="E22" s="104">
        <v>120</v>
      </c>
      <c r="F22" s="237">
        <f t="shared" si="0"/>
        <v>42000</v>
      </c>
    </row>
    <row r="23" spans="1:6" ht="14" x14ac:dyDescent="0.15">
      <c r="A23" s="306"/>
      <c r="B23" s="99"/>
      <c r="C23" s="403"/>
      <c r="D23" s="109"/>
      <c r="E23" s="104"/>
      <c r="F23" s="237">
        <f t="shared" si="0"/>
        <v>0</v>
      </c>
    </row>
    <row r="24" spans="1:6" ht="14" x14ac:dyDescent="0.15">
      <c r="A24" s="440" t="s">
        <v>280</v>
      </c>
      <c r="B24" s="319" t="s">
        <v>281</v>
      </c>
      <c r="C24" s="441"/>
      <c r="D24" s="154"/>
      <c r="E24" s="104"/>
      <c r="F24" s="237">
        <f t="shared" si="0"/>
        <v>0</v>
      </c>
    </row>
    <row r="25" spans="1:6" ht="14" x14ac:dyDescent="0.15">
      <c r="A25" s="440"/>
      <c r="B25" s="211"/>
      <c r="C25" s="441"/>
      <c r="D25" s="154"/>
      <c r="E25" s="104"/>
      <c r="F25" s="237">
        <f t="shared" si="0"/>
        <v>0</v>
      </c>
    </row>
    <row r="26" spans="1:6" ht="14" x14ac:dyDescent="0.15">
      <c r="A26" s="304" t="s">
        <v>282</v>
      </c>
      <c r="B26" s="99" t="s">
        <v>283</v>
      </c>
      <c r="C26" s="441"/>
      <c r="D26" s="154"/>
      <c r="E26" s="104"/>
      <c r="F26" s="237">
        <f t="shared" si="0"/>
        <v>0</v>
      </c>
    </row>
    <row r="27" spans="1:6" ht="14" x14ac:dyDescent="0.15">
      <c r="A27" s="152"/>
      <c r="B27" s="99" t="s">
        <v>284</v>
      </c>
      <c r="C27" s="102" t="s">
        <v>285</v>
      </c>
      <c r="D27" s="109">
        <v>200</v>
      </c>
      <c r="E27" s="104">
        <v>30</v>
      </c>
      <c r="F27" s="237">
        <f t="shared" si="0"/>
        <v>6000</v>
      </c>
    </row>
    <row r="28" spans="1:6" ht="15" thickBot="1" x14ac:dyDescent="0.2">
      <c r="A28" s="155"/>
      <c r="B28" s="156" t="s">
        <v>286</v>
      </c>
      <c r="C28" s="157" t="s">
        <v>287</v>
      </c>
      <c r="D28" s="157">
        <v>200</v>
      </c>
      <c r="E28" s="232">
        <v>30</v>
      </c>
      <c r="F28" s="237">
        <f t="shared" si="0"/>
        <v>6000</v>
      </c>
    </row>
    <row r="29" spans="1:6" ht="15" thickBot="1" x14ac:dyDescent="0.2">
      <c r="A29" s="179" t="s">
        <v>288</v>
      </c>
      <c r="B29" s="637" t="s">
        <v>289</v>
      </c>
      <c r="C29" s="637"/>
      <c r="D29" s="637"/>
      <c r="E29" s="637"/>
      <c r="F29" s="521">
        <f>SUM(F11:F28)</f>
        <v>314750</v>
      </c>
    </row>
    <row r="31" spans="1:6" x14ac:dyDescent="0.15">
      <c r="A31" s="113" t="s">
        <v>290</v>
      </c>
    </row>
    <row r="32" spans="1:6" x14ac:dyDescent="0.15">
      <c r="A32" s="113"/>
    </row>
  </sheetData>
  <mergeCells count="2">
    <mergeCell ref="B29:E29"/>
    <mergeCell ref="A2:E2"/>
  </mergeCells>
  <phoneticPr fontId="2" type="noConversion"/>
  <pageMargins left="0.7" right="0.7" top="0.75" bottom="0.75" header="0.3" footer="0.3"/>
  <pageSetup paperSize="9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9"/>
  <sheetViews>
    <sheetView view="pageBreakPreview" topLeftCell="A15" zoomScaleNormal="100" zoomScaleSheetLayoutView="100" workbookViewId="0">
      <selection activeCell="C29" sqref="C29"/>
    </sheetView>
  </sheetViews>
  <sheetFormatPr baseColWidth="10" defaultColWidth="9.3984375" defaultRowHeight="13" x14ac:dyDescent="0.15"/>
  <cols>
    <col min="1" max="1" width="11" style="89" customWidth="1"/>
    <col min="2" max="2" width="70.59765625" style="89" customWidth="1"/>
    <col min="3" max="3" width="10" style="89" customWidth="1"/>
    <col min="4" max="4" width="11" style="89" customWidth="1"/>
    <col min="5" max="5" width="12" style="89" bestFit="1" customWidth="1"/>
    <col min="6" max="6" width="13.398437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1.75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x14ac:dyDescent="0.15">
      <c r="A4" s="300" t="s">
        <v>20</v>
      </c>
      <c r="B4" s="88"/>
      <c r="C4" s="88"/>
      <c r="D4" s="88"/>
      <c r="E4" s="88"/>
      <c r="F4" s="301"/>
    </row>
    <row r="5" spans="1:6" ht="20" customHeight="1" thickBot="1" x14ac:dyDescent="0.2"/>
    <row r="6" spans="1:6" ht="16.25" customHeight="1" thickBot="1" x14ac:dyDescent="0.2">
      <c r="A6" s="260" t="s">
        <v>291</v>
      </c>
      <c r="B6" s="317" t="s">
        <v>292</v>
      </c>
      <c r="C6" s="317" t="s">
        <v>293</v>
      </c>
      <c r="D6" s="316" t="s">
        <v>294</v>
      </c>
      <c r="E6" s="316" t="s">
        <v>295</v>
      </c>
      <c r="F6" s="316" t="s">
        <v>296</v>
      </c>
    </row>
    <row r="7" spans="1:6" ht="20.75" customHeight="1" x14ac:dyDescent="0.15">
      <c r="A7" s="405"/>
      <c r="B7" s="145" t="s">
        <v>297</v>
      </c>
      <c r="C7" s="177"/>
      <c r="D7" s="177"/>
      <c r="E7" s="177"/>
      <c r="F7" s="177"/>
    </row>
    <row r="8" spans="1:6" ht="14.5" customHeight="1" x14ac:dyDescent="0.15">
      <c r="A8" s="318" t="s">
        <v>298</v>
      </c>
      <c r="B8" s="196" t="s">
        <v>299</v>
      </c>
      <c r="C8" s="153"/>
      <c r="D8" s="153"/>
      <c r="E8" s="153"/>
      <c r="F8" s="153"/>
    </row>
    <row r="9" spans="1:6" ht="13" customHeight="1" x14ac:dyDescent="0.15">
      <c r="A9" s="152"/>
      <c r="B9" s="148" t="s">
        <v>300</v>
      </c>
      <c r="C9" s="153"/>
      <c r="D9" s="153"/>
      <c r="E9" s="153"/>
      <c r="F9" s="153"/>
    </row>
    <row r="10" spans="1:6" ht="13" customHeight="1" x14ac:dyDescent="0.15">
      <c r="A10" s="166" t="s">
        <v>301</v>
      </c>
      <c r="B10" s="99" t="s">
        <v>302</v>
      </c>
      <c r="C10" s="153"/>
      <c r="D10" s="153"/>
      <c r="E10" s="153"/>
      <c r="F10" s="153"/>
    </row>
    <row r="11" spans="1:6" ht="14.5" customHeight="1" x14ac:dyDescent="0.15">
      <c r="A11" s="152"/>
      <c r="B11" s="99" t="s">
        <v>303</v>
      </c>
      <c r="C11" s="102" t="s">
        <v>304</v>
      </c>
      <c r="D11" s="109">
        <v>160</v>
      </c>
      <c r="E11" s="167">
        <v>65</v>
      </c>
      <c r="F11" s="167">
        <f>+E11*D11</f>
        <v>10400</v>
      </c>
    </row>
    <row r="12" spans="1:6" ht="13" customHeight="1" x14ac:dyDescent="0.15">
      <c r="A12" s="152"/>
      <c r="B12" s="99" t="s">
        <v>305</v>
      </c>
      <c r="C12" s="153"/>
      <c r="D12" s="154"/>
      <c r="E12" s="167"/>
      <c r="F12" s="167">
        <f t="shared" ref="F12:F18" si="0">+E12*D12</f>
        <v>0</v>
      </c>
    </row>
    <row r="13" spans="1:6" ht="13" customHeight="1" x14ac:dyDescent="0.15">
      <c r="A13" s="152"/>
      <c r="B13" s="99" t="s">
        <v>306</v>
      </c>
      <c r="C13" s="102" t="s">
        <v>307</v>
      </c>
      <c r="D13" s="109">
        <v>250</v>
      </c>
      <c r="E13" s="167">
        <v>65</v>
      </c>
      <c r="F13" s="167">
        <f t="shared" si="0"/>
        <v>16250</v>
      </c>
    </row>
    <row r="14" spans="1:6" ht="20.75" customHeight="1" x14ac:dyDescent="0.15">
      <c r="A14" s="152"/>
      <c r="B14" s="99" t="s">
        <v>308</v>
      </c>
      <c r="C14" s="102" t="s">
        <v>309</v>
      </c>
      <c r="D14" s="109">
        <v>50</v>
      </c>
      <c r="E14" s="167">
        <v>65</v>
      </c>
      <c r="F14" s="167">
        <f t="shared" si="0"/>
        <v>3250</v>
      </c>
    </row>
    <row r="15" spans="1:6" ht="27.25" customHeight="1" x14ac:dyDescent="0.15">
      <c r="A15" s="152"/>
      <c r="B15" s="99" t="s">
        <v>310</v>
      </c>
      <c r="C15" s="153"/>
      <c r="D15" s="154"/>
      <c r="E15" s="167"/>
      <c r="F15" s="167">
        <f t="shared" si="0"/>
        <v>0</v>
      </c>
    </row>
    <row r="16" spans="1:6" ht="28.5" customHeight="1" x14ac:dyDescent="0.15">
      <c r="A16" s="152"/>
      <c r="B16" s="99" t="s">
        <v>311</v>
      </c>
      <c r="C16" s="102" t="s">
        <v>312</v>
      </c>
      <c r="D16" s="109">
        <v>100</v>
      </c>
      <c r="E16" s="167">
        <v>120</v>
      </c>
      <c r="F16" s="167">
        <f t="shared" si="0"/>
        <v>12000</v>
      </c>
    </row>
    <row r="17" spans="1:6" ht="28.5" customHeight="1" x14ac:dyDescent="0.15">
      <c r="A17" s="152"/>
      <c r="B17" s="99" t="s">
        <v>313</v>
      </c>
      <c r="C17" s="102" t="s">
        <v>314</v>
      </c>
      <c r="D17" s="109">
        <v>100</v>
      </c>
      <c r="E17" s="167">
        <v>120</v>
      </c>
      <c r="F17" s="167">
        <f t="shared" si="0"/>
        <v>12000</v>
      </c>
    </row>
    <row r="18" spans="1:6" ht="28.5" customHeight="1" x14ac:dyDescent="0.15">
      <c r="A18" s="166" t="s">
        <v>315</v>
      </c>
      <c r="B18" s="99" t="s">
        <v>316</v>
      </c>
      <c r="C18" s="153"/>
      <c r="D18" s="154"/>
      <c r="E18" s="153"/>
      <c r="F18" s="167">
        <f t="shared" si="0"/>
        <v>0</v>
      </c>
    </row>
    <row r="19" spans="1:6" s="119" customFormat="1" ht="28.5" customHeight="1" x14ac:dyDescent="0.15">
      <c r="A19" s="183"/>
      <c r="B19" s="115" t="s">
        <v>317</v>
      </c>
      <c r="C19" s="116" t="s">
        <v>318</v>
      </c>
      <c r="D19" s="117">
        <v>1</v>
      </c>
      <c r="E19" s="121">
        <v>50000</v>
      </c>
      <c r="F19" s="437">
        <v>50000</v>
      </c>
    </row>
    <row r="20" spans="1:6" s="119" customFormat="1" ht="28.5" customHeight="1" x14ac:dyDescent="0.15">
      <c r="A20" s="183"/>
      <c r="B20" s="115" t="s">
        <v>319</v>
      </c>
      <c r="C20" s="116" t="s">
        <v>320</v>
      </c>
      <c r="D20" s="281">
        <v>50000</v>
      </c>
      <c r="E20" s="200">
        <v>0.15</v>
      </c>
      <c r="F20" s="437">
        <f>+E20*D20</f>
        <v>7500</v>
      </c>
    </row>
    <row r="21" spans="1:6" ht="28.5" customHeight="1" x14ac:dyDescent="0.15">
      <c r="A21" s="152"/>
      <c r="B21" s="99"/>
      <c r="C21" s="102"/>
      <c r="D21" s="339"/>
      <c r="E21" s="197"/>
      <c r="F21" s="167"/>
    </row>
    <row r="22" spans="1:6" ht="20.75" customHeight="1" x14ac:dyDescent="0.15">
      <c r="A22" s="152"/>
      <c r="B22" s="99"/>
      <c r="C22" s="102"/>
      <c r="D22" s="339"/>
      <c r="E22" s="197"/>
      <c r="F22" s="167"/>
    </row>
    <row r="23" spans="1:6" ht="14" x14ac:dyDescent="0.15">
      <c r="A23" s="152"/>
      <c r="B23" s="99"/>
      <c r="C23" s="102"/>
      <c r="D23" s="339"/>
      <c r="E23" s="197"/>
      <c r="F23" s="433"/>
    </row>
    <row r="24" spans="1:6" ht="14" x14ac:dyDescent="0.15">
      <c r="A24" s="152"/>
      <c r="B24" s="99"/>
      <c r="C24" s="102"/>
      <c r="D24" s="339"/>
      <c r="E24" s="197"/>
      <c r="F24" s="433"/>
    </row>
    <row r="25" spans="1:6" ht="15" thickBot="1" x14ac:dyDescent="0.2">
      <c r="A25" s="155"/>
      <c r="B25" s="156"/>
      <c r="C25" s="157"/>
      <c r="D25" s="434"/>
      <c r="E25" s="435"/>
      <c r="F25" s="436"/>
    </row>
    <row r="26" spans="1:6" ht="15" thickBot="1" x14ac:dyDescent="0.2">
      <c r="A26" s="179" t="s">
        <v>321</v>
      </c>
      <c r="B26" s="637" t="s">
        <v>322</v>
      </c>
      <c r="C26" s="637"/>
      <c r="D26" s="637"/>
      <c r="E26" s="637"/>
      <c r="F26" s="520">
        <f>SUM(F11:F25)</f>
        <v>111400</v>
      </c>
    </row>
    <row r="28" spans="1:6" x14ac:dyDescent="0.15">
      <c r="A28" s="113" t="s">
        <v>323</v>
      </c>
    </row>
    <row r="29" spans="1:6" x14ac:dyDescent="0.15">
      <c r="A29" s="113"/>
    </row>
  </sheetData>
  <mergeCells count="2">
    <mergeCell ref="B26:E26"/>
    <mergeCell ref="A2:E2"/>
  </mergeCells>
  <phoneticPr fontId="2" type="noConversion"/>
  <pageMargins left="0.7" right="0.7" top="0.75" bottom="0.75" header="0.3" footer="0.3"/>
  <pageSetup paperSize="9" scale="7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view="pageBreakPreview" topLeftCell="A21" zoomScaleNormal="100" zoomScaleSheetLayoutView="100" workbookViewId="0">
      <selection activeCell="C34" sqref="C34"/>
    </sheetView>
  </sheetViews>
  <sheetFormatPr baseColWidth="10" defaultColWidth="9.3984375" defaultRowHeight="13" x14ac:dyDescent="0.15"/>
  <cols>
    <col min="1" max="1" width="11" style="89" customWidth="1"/>
    <col min="2" max="2" width="74.3984375" style="89" customWidth="1"/>
    <col min="3" max="6" width="14.3984375" style="89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18.75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s="88" customFormat="1" ht="15.75" customHeight="1" x14ac:dyDescent="0.15">
      <c r="A4" s="300" t="s">
        <v>20</v>
      </c>
      <c r="F4" s="301"/>
    </row>
    <row r="5" spans="1:6" s="88" customFormat="1" ht="20" customHeight="1" thickBot="1" x14ac:dyDescent="0.2"/>
    <row r="6" spans="1:6" s="88" customFormat="1" ht="13.75" customHeight="1" thickBot="1" x14ac:dyDescent="0.2">
      <c r="A6" s="260" t="s">
        <v>324</v>
      </c>
      <c r="B6" s="316" t="s">
        <v>325</v>
      </c>
      <c r="C6" s="317" t="s">
        <v>326</v>
      </c>
      <c r="D6" s="317" t="s">
        <v>327</v>
      </c>
      <c r="E6" s="317" t="s">
        <v>328</v>
      </c>
      <c r="F6" s="317" t="s">
        <v>329</v>
      </c>
    </row>
    <row r="7" spans="1:6" s="88" customFormat="1" ht="17.25" customHeight="1" x14ac:dyDescent="0.15">
      <c r="A7" s="331" t="s">
        <v>330</v>
      </c>
      <c r="B7" s="319" t="s">
        <v>331</v>
      </c>
      <c r="C7" s="153"/>
      <c r="D7" s="153"/>
      <c r="E7" s="153"/>
      <c r="F7" s="153"/>
    </row>
    <row r="8" spans="1:6" s="88" customFormat="1" ht="13" customHeight="1" x14ac:dyDescent="0.15">
      <c r="A8" s="166" t="s">
        <v>332</v>
      </c>
      <c r="B8" s="148" t="s">
        <v>333</v>
      </c>
      <c r="C8" s="153"/>
      <c r="D8" s="153"/>
      <c r="E8" s="153"/>
      <c r="F8" s="153"/>
    </row>
    <row r="9" spans="1:6" s="88" customFormat="1" ht="13" customHeight="1" x14ac:dyDescent="0.15">
      <c r="A9" s="152"/>
      <c r="B9" s="99" t="s">
        <v>334</v>
      </c>
      <c r="C9" s="102" t="s">
        <v>335</v>
      </c>
      <c r="D9" s="109">
        <v>200</v>
      </c>
      <c r="E9" s="106">
        <v>25</v>
      </c>
      <c r="F9" s="106">
        <f>+E9*D9</f>
        <v>5000</v>
      </c>
    </row>
    <row r="10" spans="1:6" s="88" customFormat="1" ht="20" customHeight="1" x14ac:dyDescent="0.15">
      <c r="A10" s="152"/>
      <c r="B10" s="99" t="s">
        <v>336</v>
      </c>
      <c r="C10" s="153"/>
      <c r="D10" s="154"/>
      <c r="E10" s="106"/>
      <c r="F10" s="106">
        <f t="shared" ref="F10:F29" si="0">+E10*D10</f>
        <v>0</v>
      </c>
    </row>
    <row r="11" spans="1:6" s="88" customFormat="1" ht="14" x14ac:dyDescent="0.15">
      <c r="A11" s="152"/>
      <c r="B11" s="99" t="s">
        <v>337</v>
      </c>
      <c r="C11" s="153"/>
      <c r="D11" s="154"/>
      <c r="E11" s="106"/>
      <c r="F11" s="106">
        <f t="shared" si="0"/>
        <v>0</v>
      </c>
    </row>
    <row r="12" spans="1:6" s="88" customFormat="1" ht="14" x14ac:dyDescent="0.15">
      <c r="A12" s="152"/>
      <c r="B12" s="99" t="s">
        <v>338</v>
      </c>
      <c r="C12" s="102" t="s">
        <v>339</v>
      </c>
      <c r="D12" s="109">
        <v>16</v>
      </c>
      <c r="E12" s="106">
        <v>250</v>
      </c>
      <c r="F12" s="106">
        <f t="shared" si="0"/>
        <v>4000</v>
      </c>
    </row>
    <row r="13" spans="1:6" s="88" customFormat="1" ht="14" x14ac:dyDescent="0.15">
      <c r="A13" s="152"/>
      <c r="B13" s="99" t="s">
        <v>340</v>
      </c>
      <c r="C13" s="102" t="s">
        <v>341</v>
      </c>
      <c r="D13" s="109">
        <v>16</v>
      </c>
      <c r="E13" s="106">
        <v>250</v>
      </c>
      <c r="F13" s="106">
        <f t="shared" si="0"/>
        <v>4000</v>
      </c>
    </row>
    <row r="14" spans="1:6" s="88" customFormat="1" ht="14" x14ac:dyDescent="0.15">
      <c r="A14" s="166" t="s">
        <v>342</v>
      </c>
      <c r="B14" s="99" t="s">
        <v>343</v>
      </c>
      <c r="C14" s="153"/>
      <c r="D14" s="154"/>
      <c r="E14" s="106"/>
      <c r="F14" s="106">
        <f t="shared" si="0"/>
        <v>0</v>
      </c>
    </row>
    <row r="15" spans="1:6" s="88" customFormat="1" ht="14" x14ac:dyDescent="0.15">
      <c r="A15" s="152"/>
      <c r="B15" s="99" t="s">
        <v>344</v>
      </c>
      <c r="C15" s="102" t="s">
        <v>345</v>
      </c>
      <c r="D15" s="109">
        <v>100</v>
      </c>
      <c r="E15" s="106">
        <v>30</v>
      </c>
      <c r="F15" s="106">
        <f t="shared" si="0"/>
        <v>3000</v>
      </c>
    </row>
    <row r="16" spans="1:6" s="88" customFormat="1" ht="17.75" customHeight="1" x14ac:dyDescent="0.15">
      <c r="A16" s="152"/>
      <c r="B16" s="99" t="s">
        <v>346</v>
      </c>
      <c r="C16" s="153"/>
      <c r="D16" s="154"/>
      <c r="E16" s="106"/>
      <c r="F16" s="106">
        <f t="shared" si="0"/>
        <v>0</v>
      </c>
    </row>
    <row r="17" spans="1:6" s="88" customFormat="1" ht="28.25" customHeight="1" x14ac:dyDescent="0.15">
      <c r="A17" s="152"/>
      <c r="B17" s="99" t="s">
        <v>347</v>
      </c>
      <c r="C17" s="153"/>
      <c r="D17" s="154"/>
      <c r="E17" s="106"/>
      <c r="F17" s="106">
        <f t="shared" si="0"/>
        <v>0</v>
      </c>
    </row>
    <row r="18" spans="1:6" s="88" customFormat="1" ht="13.75" customHeight="1" x14ac:dyDescent="0.15">
      <c r="A18" s="152"/>
      <c r="B18" s="99" t="s">
        <v>348</v>
      </c>
      <c r="C18" s="102" t="s">
        <v>349</v>
      </c>
      <c r="D18" s="109">
        <v>10</v>
      </c>
      <c r="E18" s="106">
        <v>250</v>
      </c>
      <c r="F18" s="106">
        <f t="shared" si="0"/>
        <v>2500</v>
      </c>
    </row>
    <row r="19" spans="1:6" s="88" customFormat="1" ht="13" customHeight="1" x14ac:dyDescent="0.15">
      <c r="A19" s="152"/>
      <c r="B19" s="99" t="s">
        <v>350</v>
      </c>
      <c r="C19" s="102" t="s">
        <v>351</v>
      </c>
      <c r="D19" s="109">
        <v>10</v>
      </c>
      <c r="E19" s="106">
        <v>250</v>
      </c>
      <c r="F19" s="106">
        <f t="shared" si="0"/>
        <v>2500</v>
      </c>
    </row>
    <row r="20" spans="1:6" s="88" customFormat="1" ht="13.75" customHeight="1" x14ac:dyDescent="0.15">
      <c r="A20" s="331" t="s">
        <v>352</v>
      </c>
      <c r="B20" s="319" t="s">
        <v>353</v>
      </c>
      <c r="C20" s="153"/>
      <c r="D20" s="154"/>
      <c r="E20" s="106"/>
      <c r="F20" s="106">
        <f t="shared" si="0"/>
        <v>0</v>
      </c>
    </row>
    <row r="21" spans="1:6" s="88" customFormat="1" ht="18.5" customHeight="1" x14ac:dyDescent="0.15">
      <c r="A21" s="166" t="s">
        <v>354</v>
      </c>
      <c r="B21" s="148" t="s">
        <v>355</v>
      </c>
      <c r="C21" s="153"/>
      <c r="D21" s="154"/>
      <c r="E21" s="106"/>
      <c r="F21" s="106">
        <f t="shared" si="0"/>
        <v>0</v>
      </c>
    </row>
    <row r="22" spans="1:6" s="88" customFormat="1" ht="12" customHeight="1" x14ac:dyDescent="0.15">
      <c r="A22" s="152"/>
      <c r="B22" s="99" t="s">
        <v>356</v>
      </c>
      <c r="C22" s="153"/>
      <c r="D22" s="154"/>
      <c r="E22" s="106"/>
      <c r="F22" s="106">
        <f t="shared" si="0"/>
        <v>0</v>
      </c>
    </row>
    <row r="23" spans="1:6" s="88" customFormat="1" ht="13" customHeight="1" x14ac:dyDescent="0.15">
      <c r="A23" s="152"/>
      <c r="B23" s="99" t="s">
        <v>357</v>
      </c>
      <c r="C23" s="102" t="s">
        <v>358</v>
      </c>
      <c r="D23" s="109">
        <v>20</v>
      </c>
      <c r="E23" s="106">
        <v>350</v>
      </c>
      <c r="F23" s="106">
        <f t="shared" si="0"/>
        <v>7000</v>
      </c>
    </row>
    <row r="24" spans="1:6" s="88" customFormat="1" ht="11.25" customHeight="1" x14ac:dyDescent="0.15">
      <c r="A24" s="152"/>
      <c r="B24" s="99" t="s">
        <v>359</v>
      </c>
      <c r="C24" s="153"/>
      <c r="D24" s="154"/>
      <c r="E24" s="106"/>
      <c r="F24" s="106">
        <f t="shared" si="0"/>
        <v>0</v>
      </c>
    </row>
    <row r="25" spans="1:6" s="88" customFormat="1" ht="24" customHeight="1" x14ac:dyDescent="0.15">
      <c r="A25" s="166" t="s">
        <v>360</v>
      </c>
      <c r="B25" s="99" t="s">
        <v>361</v>
      </c>
      <c r="C25" s="153"/>
      <c r="D25" s="154"/>
      <c r="E25" s="106"/>
      <c r="F25" s="106">
        <f t="shared" si="0"/>
        <v>0</v>
      </c>
    </row>
    <row r="26" spans="1:6" s="88" customFormat="1" ht="20.75" customHeight="1" x14ac:dyDescent="0.15">
      <c r="A26" s="152"/>
      <c r="B26" s="99" t="s">
        <v>362</v>
      </c>
      <c r="C26" s="153"/>
      <c r="D26" s="154"/>
      <c r="E26" s="106"/>
      <c r="F26" s="106">
        <f t="shared" si="0"/>
        <v>0</v>
      </c>
    </row>
    <row r="27" spans="1:6" ht="14" x14ac:dyDescent="0.15">
      <c r="A27" s="152"/>
      <c r="B27" s="99" t="s">
        <v>363</v>
      </c>
      <c r="C27" s="102" t="s">
        <v>364</v>
      </c>
      <c r="D27" s="109">
        <v>20</v>
      </c>
      <c r="E27" s="106">
        <v>250</v>
      </c>
      <c r="F27" s="106">
        <f t="shared" si="0"/>
        <v>5000</v>
      </c>
    </row>
    <row r="28" spans="1:6" ht="14" x14ac:dyDescent="0.15">
      <c r="A28" s="152"/>
      <c r="B28" s="99" t="s">
        <v>365</v>
      </c>
      <c r="C28" s="153"/>
      <c r="D28" s="154"/>
      <c r="E28" s="106"/>
      <c r="F28" s="106">
        <f t="shared" si="0"/>
        <v>0</v>
      </c>
    </row>
    <row r="29" spans="1:6" ht="15" thickBot="1" x14ac:dyDescent="0.2">
      <c r="A29" s="152"/>
      <c r="B29" s="99" t="s">
        <v>366</v>
      </c>
      <c r="C29" s="102" t="s">
        <v>367</v>
      </c>
      <c r="D29" s="109">
        <v>100</v>
      </c>
      <c r="E29" s="106">
        <v>30</v>
      </c>
      <c r="F29" s="106">
        <f t="shared" si="0"/>
        <v>3000</v>
      </c>
    </row>
    <row r="30" spans="1:6" ht="15" thickBot="1" x14ac:dyDescent="0.2">
      <c r="A30" s="260" t="s">
        <v>368</v>
      </c>
      <c r="B30" s="628" t="s">
        <v>369</v>
      </c>
      <c r="C30" s="628"/>
      <c r="D30" s="628"/>
      <c r="E30" s="628"/>
      <c r="F30" s="522">
        <f>SUM(F9:F29)</f>
        <v>36000</v>
      </c>
    </row>
    <row r="33" spans="1:1" x14ac:dyDescent="0.15">
      <c r="A33" s="113" t="s">
        <v>370</v>
      </c>
    </row>
    <row r="34" spans="1:1" x14ac:dyDescent="0.15">
      <c r="A34" s="113"/>
    </row>
  </sheetData>
  <mergeCells count="2">
    <mergeCell ref="B30:E30"/>
    <mergeCell ref="A2:E2"/>
  </mergeCells>
  <phoneticPr fontId="2" type="noConversion"/>
  <pageMargins left="0.7" right="0.7" top="0.75" bottom="0.75" header="0.3" footer="0.3"/>
  <pageSetup paperSize="9" scale="6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9"/>
  <sheetViews>
    <sheetView view="pageBreakPreview" topLeftCell="A8" zoomScaleNormal="100" zoomScaleSheetLayoutView="100" workbookViewId="0">
      <selection activeCell="C18" sqref="C18"/>
    </sheetView>
  </sheetViews>
  <sheetFormatPr baseColWidth="10" defaultColWidth="9.3984375" defaultRowHeight="13" x14ac:dyDescent="0.15"/>
  <cols>
    <col min="1" max="1" width="10" style="89" customWidth="1"/>
    <col min="2" max="2" width="63.19921875" style="89" customWidth="1"/>
    <col min="3" max="3" width="9.3984375" style="89" customWidth="1"/>
    <col min="4" max="5" width="12" style="89" bestFit="1" customWidth="1"/>
    <col min="6" max="6" width="14.3984375" style="89" customWidth="1"/>
    <col min="7" max="16384" width="9.3984375" style="89"/>
  </cols>
  <sheetData>
    <row r="1" spans="1:7" ht="14" x14ac:dyDescent="0.15">
      <c r="A1" s="87" t="s">
        <v>1761</v>
      </c>
      <c r="B1" s="88"/>
      <c r="C1" s="88"/>
      <c r="D1" s="88"/>
      <c r="E1" s="88"/>
      <c r="F1" s="88"/>
    </row>
    <row r="2" spans="1:7" ht="24" customHeight="1" x14ac:dyDescent="0.15">
      <c r="A2" s="629" t="s">
        <v>0</v>
      </c>
      <c r="B2" s="629"/>
      <c r="C2" s="629"/>
      <c r="D2" s="629"/>
      <c r="E2" s="629"/>
      <c r="F2" s="88"/>
    </row>
    <row r="3" spans="1:7" ht="14" x14ac:dyDescent="0.15">
      <c r="A3" s="88"/>
      <c r="B3" s="88"/>
      <c r="C3" s="88"/>
      <c r="D3" s="88"/>
      <c r="E3" s="88"/>
      <c r="F3" s="88"/>
    </row>
    <row r="4" spans="1:7" ht="15.75" customHeight="1" thickBot="1" x14ac:dyDescent="0.2">
      <c r="A4" s="300" t="s">
        <v>20</v>
      </c>
      <c r="B4" s="88"/>
      <c r="C4" s="88"/>
      <c r="D4" s="88"/>
      <c r="E4" s="88"/>
      <c r="F4" s="301"/>
    </row>
    <row r="5" spans="1:7" s="88" customFormat="1" ht="42" customHeight="1" thickBot="1" x14ac:dyDescent="0.2">
      <c r="A5" s="260" t="s">
        <v>371</v>
      </c>
      <c r="B5" s="317" t="s">
        <v>372</v>
      </c>
      <c r="C5" s="317" t="s">
        <v>373</v>
      </c>
      <c r="D5" s="317" t="s">
        <v>374</v>
      </c>
      <c r="E5" s="317" t="s">
        <v>375</v>
      </c>
      <c r="F5" s="317" t="s">
        <v>376</v>
      </c>
    </row>
    <row r="6" spans="1:7" s="88" customFormat="1" ht="42" customHeight="1" x14ac:dyDescent="0.15">
      <c r="A6" s="331" t="s">
        <v>377</v>
      </c>
      <c r="B6" s="431" t="s">
        <v>378</v>
      </c>
      <c r="C6" s="272"/>
      <c r="D6" s="272"/>
      <c r="E6" s="272"/>
      <c r="F6" s="242"/>
    </row>
    <row r="7" spans="1:7" s="88" customFormat="1" ht="24" customHeight="1" x14ac:dyDescent="0.15">
      <c r="A7" s="331" t="s">
        <v>379</v>
      </c>
      <c r="B7" s="99" t="s">
        <v>380</v>
      </c>
      <c r="D7" s="272"/>
      <c r="E7" s="272"/>
      <c r="F7" s="106" t="str">
        <f>IF(D7=0,"",ROUND(D7*E7,2))</f>
        <v/>
      </c>
    </row>
    <row r="8" spans="1:7" s="430" customFormat="1" ht="42" customHeight="1" x14ac:dyDescent="0.15">
      <c r="A8" s="432"/>
      <c r="B8" s="115" t="s">
        <v>381</v>
      </c>
      <c r="C8" s="116" t="s">
        <v>382</v>
      </c>
      <c r="D8" s="116">
        <v>1</v>
      </c>
      <c r="E8" s="121">
        <v>50000</v>
      </c>
      <c r="F8" s="121">
        <v>50000</v>
      </c>
    </row>
    <row r="9" spans="1:7" s="430" customFormat="1" ht="42" customHeight="1" x14ac:dyDescent="0.15">
      <c r="A9" s="432"/>
      <c r="B9" s="115" t="s">
        <v>383</v>
      </c>
      <c r="C9" s="116" t="s">
        <v>384</v>
      </c>
      <c r="D9" s="121">
        <f>+E8</f>
        <v>50000</v>
      </c>
      <c r="E9" s="284">
        <v>0.15</v>
      </c>
      <c r="F9" s="121">
        <f>+E9*D9</f>
        <v>7500</v>
      </c>
    </row>
    <row r="10" spans="1:7" s="88" customFormat="1" ht="42" customHeight="1" x14ac:dyDescent="0.15">
      <c r="A10" s="331"/>
      <c r="B10" s="99"/>
      <c r="C10" s="102"/>
      <c r="D10" s="106"/>
      <c r="E10" s="275"/>
      <c r="F10" s="106"/>
    </row>
    <row r="11" spans="1:7" s="88" customFormat="1" ht="21.5" customHeight="1" x14ac:dyDescent="0.15">
      <c r="A11" s="331"/>
      <c r="B11" s="99"/>
      <c r="C11" s="102"/>
      <c r="D11" s="106"/>
      <c r="E11" s="275"/>
      <c r="F11" s="106"/>
    </row>
    <row r="12" spans="1:7" s="88" customFormat="1" ht="14" x14ac:dyDescent="0.15">
      <c r="A12" s="331"/>
      <c r="B12" s="99"/>
      <c r="C12" s="102"/>
      <c r="D12" s="106"/>
      <c r="E12" s="275"/>
      <c r="F12" s="106"/>
    </row>
    <row r="13" spans="1:7" s="88" customFormat="1" ht="14" x14ac:dyDescent="0.15">
      <c r="A13" s="331"/>
      <c r="B13" s="99"/>
      <c r="C13" s="272"/>
      <c r="D13" s="272"/>
      <c r="E13" s="272"/>
      <c r="F13" s="106"/>
    </row>
    <row r="14" spans="1:7" s="88" customFormat="1" ht="15" thickBot="1" x14ac:dyDescent="0.2">
      <c r="A14" s="331"/>
      <c r="B14" s="99"/>
      <c r="C14" s="272"/>
      <c r="D14" s="272"/>
      <c r="E14" s="272"/>
      <c r="F14" s="104"/>
    </row>
    <row r="15" spans="1:7" ht="15" thickBot="1" x14ac:dyDescent="0.25">
      <c r="A15" s="260" t="s">
        <v>385</v>
      </c>
      <c r="B15" s="628" t="s">
        <v>386</v>
      </c>
      <c r="C15" s="628"/>
      <c r="D15" s="628"/>
      <c r="E15" s="628"/>
      <c r="F15" s="516">
        <f>SUM(F6:F12)</f>
        <v>57500</v>
      </c>
      <c r="G15" s="91"/>
    </row>
    <row r="16" spans="1:7" ht="14" x14ac:dyDescent="0.2">
      <c r="A16" s="88"/>
      <c r="B16" s="88"/>
      <c r="C16" s="88"/>
      <c r="D16" s="88"/>
      <c r="E16" s="88"/>
      <c r="F16" s="88"/>
      <c r="G16" s="91"/>
    </row>
    <row r="17" spans="1:7" ht="14" x14ac:dyDescent="0.2">
      <c r="A17" s="268" t="s">
        <v>387</v>
      </c>
      <c r="B17" s="88"/>
      <c r="C17" s="88"/>
      <c r="D17" s="88"/>
      <c r="E17" s="88"/>
      <c r="F17" s="88"/>
      <c r="G17" s="91"/>
    </row>
    <row r="18" spans="1:7" ht="14" x14ac:dyDescent="0.2">
      <c r="A18" s="113"/>
      <c r="B18" s="88"/>
      <c r="C18" s="88"/>
      <c r="D18" s="88"/>
      <c r="E18" s="88"/>
      <c r="F18" s="88"/>
      <c r="G18" s="91"/>
    </row>
    <row r="19" spans="1:7" ht="14" x14ac:dyDescent="0.2">
      <c r="G19" s="91"/>
    </row>
    <row r="20" spans="1:7" ht="14" x14ac:dyDescent="0.2">
      <c r="G20" s="91"/>
    </row>
    <row r="21" spans="1:7" ht="14" x14ac:dyDescent="0.2">
      <c r="G21" s="91"/>
    </row>
    <row r="22" spans="1:7" ht="14" x14ac:dyDescent="0.2">
      <c r="G22" s="91"/>
    </row>
    <row r="23" spans="1:7" ht="14" x14ac:dyDescent="0.2">
      <c r="G23" s="91"/>
    </row>
    <row r="24" spans="1:7" ht="14" x14ac:dyDescent="0.2">
      <c r="G24" s="91"/>
    </row>
    <row r="25" spans="1:7" ht="14" x14ac:dyDescent="0.2">
      <c r="G25" s="91"/>
    </row>
    <row r="26" spans="1:7" ht="14" x14ac:dyDescent="0.2">
      <c r="G26" s="91"/>
    </row>
    <row r="27" spans="1:7" ht="14" x14ac:dyDescent="0.2">
      <c r="G27" s="91"/>
    </row>
    <row r="28" spans="1:7" ht="14" x14ac:dyDescent="0.2">
      <c r="G28" s="91"/>
    </row>
    <row r="29" spans="1:7" ht="14" x14ac:dyDescent="0.2">
      <c r="G29" s="91"/>
    </row>
  </sheetData>
  <mergeCells count="2">
    <mergeCell ref="B15:E15"/>
    <mergeCell ref="A2:E2"/>
  </mergeCells>
  <phoneticPr fontId="2" type="noConversion"/>
  <pageMargins left="0.7" right="0.7" top="0.75" bottom="0.75" header="0.3" footer="0.3"/>
  <pageSetup paperSize="9"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5"/>
  <sheetViews>
    <sheetView view="pageBreakPreview" topLeftCell="A18" zoomScaleNormal="100" zoomScaleSheetLayoutView="100" workbookViewId="0">
      <selection activeCell="C35" sqref="C35"/>
    </sheetView>
  </sheetViews>
  <sheetFormatPr baseColWidth="10" defaultColWidth="9.3984375" defaultRowHeight="13" x14ac:dyDescent="0.15"/>
  <cols>
    <col min="1" max="1" width="10" style="89" customWidth="1"/>
    <col min="2" max="2" width="59.796875" style="89" customWidth="1"/>
    <col min="3" max="3" width="10" style="89" customWidth="1"/>
    <col min="4" max="6" width="14.3984375" style="89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3.25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x14ac:dyDescent="0.15">
      <c r="A4" s="300" t="s">
        <v>20</v>
      </c>
      <c r="B4" s="88"/>
      <c r="C4" s="88"/>
      <c r="D4" s="88"/>
      <c r="E4" s="88"/>
      <c r="F4" s="301"/>
    </row>
    <row r="5" spans="1:6" ht="2.25" customHeight="1" x14ac:dyDescent="0.15">
      <c r="A5" s="87" t="s">
        <v>388</v>
      </c>
    </row>
    <row r="6" spans="1:6" s="88" customFormat="1" ht="15" thickBot="1" x14ac:dyDescent="0.2">
      <c r="A6" s="89"/>
      <c r="B6" s="89"/>
      <c r="C6" s="89"/>
      <c r="D6" s="89"/>
      <c r="E6" s="89"/>
      <c r="F6" s="89"/>
    </row>
    <row r="7" spans="1:6" s="88" customFormat="1" ht="13" customHeight="1" thickBot="1" x14ac:dyDescent="0.2">
      <c r="A7" s="92" t="s">
        <v>389</v>
      </c>
      <c r="B7" s="94" t="s">
        <v>390</v>
      </c>
      <c r="C7" s="93" t="s">
        <v>391</v>
      </c>
      <c r="D7" s="93" t="s">
        <v>392</v>
      </c>
      <c r="E7" s="94" t="s">
        <v>393</v>
      </c>
      <c r="F7" s="94" t="s">
        <v>394</v>
      </c>
    </row>
    <row r="8" spans="1:6" s="88" customFormat="1" ht="13" customHeight="1" x14ac:dyDescent="0.15">
      <c r="A8" s="191" t="s">
        <v>395</v>
      </c>
      <c r="B8" s="255" t="s">
        <v>396</v>
      </c>
      <c r="C8" s="165"/>
      <c r="D8" s="427"/>
      <c r="E8" s="165"/>
      <c r="F8" s="165"/>
    </row>
    <row r="9" spans="1:6" s="88" customFormat="1" ht="13" customHeight="1" x14ac:dyDescent="0.15">
      <c r="A9" s="428"/>
      <c r="B9" s="429"/>
      <c r="C9" s="100"/>
      <c r="D9" s="107"/>
      <c r="E9" s="100"/>
      <c r="F9" s="100"/>
    </row>
    <row r="10" spans="1:6" s="88" customFormat="1" ht="13" customHeight="1" x14ac:dyDescent="0.15">
      <c r="A10" s="166" t="s">
        <v>397</v>
      </c>
      <c r="B10" s="99" t="s">
        <v>398</v>
      </c>
      <c r="C10" s="102" t="s">
        <v>399</v>
      </c>
      <c r="D10" s="109">
        <v>70</v>
      </c>
      <c r="E10" s="106">
        <v>85</v>
      </c>
      <c r="F10" s="106">
        <f>+E10*D10</f>
        <v>5950</v>
      </c>
    </row>
    <row r="11" spans="1:6" s="88" customFormat="1" ht="13" customHeight="1" x14ac:dyDescent="0.15">
      <c r="A11" s="166" t="s">
        <v>400</v>
      </c>
      <c r="B11" s="99" t="s">
        <v>401</v>
      </c>
      <c r="C11" s="153"/>
      <c r="D11" s="154"/>
      <c r="E11" s="106"/>
      <c r="F11" s="106">
        <f t="shared" ref="F11:F19" si="0">+E11*D11</f>
        <v>0</v>
      </c>
    </row>
    <row r="12" spans="1:6" s="88" customFormat="1" ht="13" customHeight="1" x14ac:dyDescent="0.15">
      <c r="A12" s="152"/>
      <c r="B12" s="99" t="s">
        <v>402</v>
      </c>
      <c r="C12" s="102" t="s">
        <v>403</v>
      </c>
      <c r="D12" s="109">
        <v>70</v>
      </c>
      <c r="E12" s="106">
        <v>65</v>
      </c>
      <c r="F12" s="106">
        <f t="shared" si="0"/>
        <v>4550</v>
      </c>
    </row>
    <row r="13" spans="1:6" s="88" customFormat="1" ht="13" customHeight="1" x14ac:dyDescent="0.15">
      <c r="A13" s="152"/>
      <c r="B13" s="99" t="s">
        <v>404</v>
      </c>
      <c r="C13" s="102" t="s">
        <v>405</v>
      </c>
      <c r="D13" s="109">
        <v>20</v>
      </c>
      <c r="E13" s="106">
        <v>65</v>
      </c>
      <c r="F13" s="106">
        <f t="shared" si="0"/>
        <v>1300</v>
      </c>
    </row>
    <row r="14" spans="1:6" s="88" customFormat="1" ht="13" customHeight="1" x14ac:dyDescent="0.15">
      <c r="A14" s="166" t="s">
        <v>406</v>
      </c>
      <c r="B14" s="99" t="s">
        <v>407</v>
      </c>
      <c r="C14" s="153"/>
      <c r="D14" s="154"/>
      <c r="E14" s="106"/>
      <c r="F14" s="106">
        <f t="shared" si="0"/>
        <v>0</v>
      </c>
    </row>
    <row r="15" spans="1:6" s="88" customFormat="1" ht="13" customHeight="1" x14ac:dyDescent="0.15">
      <c r="A15" s="152"/>
      <c r="B15" s="99" t="s">
        <v>408</v>
      </c>
      <c r="C15" s="102" t="s">
        <v>409</v>
      </c>
      <c r="D15" s="109">
        <v>20</v>
      </c>
      <c r="E15" s="106">
        <v>2700</v>
      </c>
      <c r="F15" s="106">
        <f t="shared" si="0"/>
        <v>54000</v>
      </c>
    </row>
    <row r="16" spans="1:6" s="88" customFormat="1" ht="13" customHeight="1" x14ac:dyDescent="0.15">
      <c r="A16" s="152"/>
      <c r="B16" s="99" t="s">
        <v>410</v>
      </c>
      <c r="C16" s="102" t="s">
        <v>411</v>
      </c>
      <c r="D16" s="109">
        <v>20</v>
      </c>
      <c r="E16" s="106">
        <v>3000</v>
      </c>
      <c r="F16" s="106">
        <f t="shared" si="0"/>
        <v>60000</v>
      </c>
    </row>
    <row r="17" spans="1:6" s="88" customFormat="1" ht="13" customHeight="1" x14ac:dyDescent="0.15">
      <c r="A17" s="152"/>
      <c r="B17" s="99" t="s">
        <v>412</v>
      </c>
      <c r="C17" s="102" t="s">
        <v>413</v>
      </c>
      <c r="D17" s="109">
        <v>200</v>
      </c>
      <c r="E17" s="106">
        <v>80</v>
      </c>
      <c r="F17" s="106">
        <f t="shared" si="0"/>
        <v>16000</v>
      </c>
    </row>
    <row r="18" spans="1:6" s="88" customFormat="1" ht="13" customHeight="1" x14ac:dyDescent="0.15">
      <c r="A18" s="152"/>
      <c r="B18" s="99" t="s">
        <v>414</v>
      </c>
      <c r="C18" s="102" t="s">
        <v>415</v>
      </c>
      <c r="D18" s="109">
        <v>20</v>
      </c>
      <c r="E18" s="106">
        <v>4500</v>
      </c>
      <c r="F18" s="106">
        <f t="shared" si="0"/>
        <v>90000</v>
      </c>
    </row>
    <row r="19" spans="1:6" s="88" customFormat="1" ht="13" customHeight="1" x14ac:dyDescent="0.15">
      <c r="A19" s="166" t="s">
        <v>416</v>
      </c>
      <c r="B19" s="99" t="s">
        <v>417</v>
      </c>
      <c r="C19" s="153"/>
      <c r="D19" s="154"/>
      <c r="E19" s="153"/>
      <c r="F19" s="106">
        <f t="shared" si="0"/>
        <v>0</v>
      </c>
    </row>
    <row r="20" spans="1:6" s="430" customFormat="1" ht="13" customHeight="1" x14ac:dyDescent="0.15">
      <c r="A20" s="183"/>
      <c r="B20" s="115" t="s">
        <v>418</v>
      </c>
      <c r="C20" s="116" t="s">
        <v>419</v>
      </c>
      <c r="D20" s="117">
        <v>1</v>
      </c>
      <c r="E20" s="121">
        <v>150000</v>
      </c>
      <c r="F20" s="121">
        <v>150000</v>
      </c>
    </row>
    <row r="21" spans="1:6" s="430" customFormat="1" ht="13" customHeight="1" x14ac:dyDescent="0.15">
      <c r="A21" s="183"/>
      <c r="B21" s="115" t="s">
        <v>420</v>
      </c>
      <c r="C21" s="116" t="s">
        <v>421</v>
      </c>
      <c r="D21" s="121">
        <v>150000</v>
      </c>
      <c r="E21" s="200">
        <v>0.15</v>
      </c>
      <c r="F21" s="121">
        <f>+E21*D21</f>
        <v>22500</v>
      </c>
    </row>
    <row r="22" spans="1:6" s="88" customFormat="1" ht="13" customHeight="1" x14ac:dyDescent="0.15">
      <c r="A22" s="166" t="s">
        <v>422</v>
      </c>
      <c r="B22" s="99" t="s">
        <v>423</v>
      </c>
      <c r="C22" s="153"/>
      <c r="D22" s="154"/>
      <c r="E22" s="153"/>
      <c r="F22" s="106">
        <f t="shared" ref="F22:F31" si="1">+E22*D22</f>
        <v>0</v>
      </c>
    </row>
    <row r="23" spans="1:6" s="88" customFormat="1" ht="13" customHeight="1" x14ac:dyDescent="0.15">
      <c r="A23" s="152"/>
      <c r="B23" s="99" t="s">
        <v>424</v>
      </c>
      <c r="C23" s="102" t="s">
        <v>425</v>
      </c>
      <c r="D23" s="109">
        <v>2</v>
      </c>
      <c r="E23" s="167">
        <v>850</v>
      </c>
      <c r="F23" s="106">
        <f t="shared" si="1"/>
        <v>1700</v>
      </c>
    </row>
    <row r="24" spans="1:6" s="88" customFormat="1" ht="13" customHeight="1" x14ac:dyDescent="0.15">
      <c r="A24" s="152"/>
      <c r="B24" s="99" t="s">
        <v>426</v>
      </c>
      <c r="C24" s="102" t="s">
        <v>427</v>
      </c>
      <c r="D24" s="109">
        <v>2</v>
      </c>
      <c r="E24" s="167">
        <v>850</v>
      </c>
      <c r="F24" s="106">
        <f t="shared" si="1"/>
        <v>1700</v>
      </c>
    </row>
    <row r="25" spans="1:6" s="88" customFormat="1" ht="13" customHeight="1" x14ac:dyDescent="0.15">
      <c r="A25" s="166" t="s">
        <v>428</v>
      </c>
      <c r="B25" s="99" t="s">
        <v>429</v>
      </c>
      <c r="C25" s="153"/>
      <c r="D25" s="154"/>
      <c r="E25" s="167"/>
      <c r="F25" s="106">
        <f t="shared" si="1"/>
        <v>0</v>
      </c>
    </row>
    <row r="26" spans="1:6" s="88" customFormat="1" ht="13" customHeight="1" x14ac:dyDescent="0.15">
      <c r="A26" s="152"/>
      <c r="B26" s="99" t="s">
        <v>430</v>
      </c>
      <c r="C26" s="102" t="s">
        <v>431</v>
      </c>
      <c r="D26" s="109">
        <v>1</v>
      </c>
      <c r="E26" s="167">
        <v>24000</v>
      </c>
      <c r="F26" s="106">
        <f t="shared" si="1"/>
        <v>24000</v>
      </c>
    </row>
    <row r="27" spans="1:6" s="88" customFormat="1" ht="13" customHeight="1" x14ac:dyDescent="0.15">
      <c r="A27" s="152"/>
      <c r="B27" s="99" t="s">
        <v>432</v>
      </c>
      <c r="C27" s="102" t="s">
        <v>433</v>
      </c>
      <c r="D27" s="109">
        <v>1</v>
      </c>
      <c r="E27" s="167">
        <v>24000</v>
      </c>
      <c r="F27" s="106">
        <f t="shared" si="1"/>
        <v>24000</v>
      </c>
    </row>
    <row r="28" spans="1:6" ht="21.5" customHeight="1" x14ac:dyDescent="0.15">
      <c r="A28" s="152"/>
      <c r="B28" s="99" t="s">
        <v>434</v>
      </c>
      <c r="C28" s="102" t="s">
        <v>435</v>
      </c>
      <c r="D28" s="109">
        <v>100</v>
      </c>
      <c r="E28" s="167">
        <v>25</v>
      </c>
      <c r="F28" s="106">
        <f t="shared" si="1"/>
        <v>2500</v>
      </c>
    </row>
    <row r="29" spans="1:6" ht="14" x14ac:dyDescent="0.15">
      <c r="A29" s="166" t="s">
        <v>436</v>
      </c>
      <c r="B29" s="99" t="s">
        <v>437</v>
      </c>
      <c r="C29" s="153"/>
      <c r="D29" s="154"/>
      <c r="E29" s="167"/>
      <c r="F29" s="106">
        <f t="shared" si="1"/>
        <v>0</v>
      </c>
    </row>
    <row r="30" spans="1:6" ht="14" x14ac:dyDescent="0.15">
      <c r="A30" s="152"/>
      <c r="B30" s="99" t="s">
        <v>438</v>
      </c>
      <c r="C30" s="102" t="s">
        <v>439</v>
      </c>
      <c r="D30" s="109">
        <v>500</v>
      </c>
      <c r="E30" s="167">
        <v>10</v>
      </c>
      <c r="F30" s="106">
        <f t="shared" si="1"/>
        <v>5000</v>
      </c>
    </row>
    <row r="31" spans="1:6" ht="15" thickBot="1" x14ac:dyDescent="0.2">
      <c r="A31" s="155"/>
      <c r="B31" s="156" t="s">
        <v>440</v>
      </c>
      <c r="C31" s="157" t="s">
        <v>441</v>
      </c>
      <c r="D31" s="157" t="s">
        <v>442</v>
      </c>
      <c r="E31" s="374">
        <v>10</v>
      </c>
      <c r="F31" s="106">
        <f t="shared" si="1"/>
        <v>1000</v>
      </c>
    </row>
    <row r="32" spans="1:6" ht="15" thickBot="1" x14ac:dyDescent="0.2">
      <c r="A32" s="260" t="s">
        <v>443</v>
      </c>
      <c r="B32" s="628" t="s">
        <v>444</v>
      </c>
      <c r="C32" s="628"/>
      <c r="D32" s="628"/>
      <c r="E32" s="628"/>
      <c r="F32" s="523">
        <f>SUM(F8:F31)</f>
        <v>464200</v>
      </c>
    </row>
    <row r="34" spans="1:1" x14ac:dyDescent="0.15">
      <c r="A34" s="113" t="s">
        <v>445</v>
      </c>
    </row>
    <row r="35" spans="1:1" x14ac:dyDescent="0.15">
      <c r="A35" s="113"/>
    </row>
  </sheetData>
  <mergeCells count="2">
    <mergeCell ref="B32:E32"/>
    <mergeCell ref="A2:E2"/>
  </mergeCells>
  <phoneticPr fontId="2" type="noConversion"/>
  <pageMargins left="0.7" right="0.7" top="0.75" bottom="0.75" header="0.3" footer="0.3"/>
  <pageSetup paperSize="9" scale="7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1"/>
  <sheetViews>
    <sheetView view="pageBreakPreview" topLeftCell="A2" zoomScaleNormal="100" zoomScaleSheetLayoutView="100" workbookViewId="0">
      <selection activeCell="E14" sqref="E14"/>
    </sheetView>
  </sheetViews>
  <sheetFormatPr baseColWidth="10" defaultColWidth="9.3984375" defaultRowHeight="13" x14ac:dyDescent="0.15"/>
  <cols>
    <col min="1" max="1" width="11" style="89" customWidth="1"/>
    <col min="2" max="2" width="60.796875" style="89" customWidth="1"/>
    <col min="3" max="3" width="10" style="89" customWidth="1"/>
    <col min="4" max="4" width="11" style="89" customWidth="1"/>
    <col min="5" max="5" width="13.59765625" style="89" customWidth="1"/>
    <col min="6" max="6" width="15.1992187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1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x14ac:dyDescent="0.15">
      <c r="A4" s="300" t="s">
        <v>20</v>
      </c>
      <c r="B4" s="88"/>
      <c r="C4" s="88"/>
      <c r="D4" s="88"/>
      <c r="E4" s="88"/>
      <c r="F4" s="301"/>
    </row>
    <row r="5" spans="1:6" ht="24" customHeight="1" thickBot="1" x14ac:dyDescent="0.2"/>
    <row r="6" spans="1:6" ht="7.5" customHeight="1" thickBot="1" x14ac:dyDescent="0.2">
      <c r="A6" s="260" t="s">
        <v>446</v>
      </c>
      <c r="B6" s="316" t="s">
        <v>447</v>
      </c>
      <c r="C6" s="317" t="s">
        <v>448</v>
      </c>
      <c r="D6" s="317" t="s">
        <v>449</v>
      </c>
      <c r="E6" s="317" t="s">
        <v>450</v>
      </c>
      <c r="F6" s="317" t="s">
        <v>451</v>
      </c>
    </row>
    <row r="7" spans="1:6" ht="22.5" customHeight="1" x14ac:dyDescent="0.15">
      <c r="A7" s="331" t="s">
        <v>452</v>
      </c>
      <c r="B7" s="211" t="s">
        <v>453</v>
      </c>
      <c r="C7" s="230"/>
      <c r="D7" s="88"/>
      <c r="E7" s="228"/>
      <c r="F7" s="228"/>
    </row>
    <row r="8" spans="1:6" ht="7.5" customHeight="1" x14ac:dyDescent="0.15">
      <c r="A8" s="331"/>
      <c r="B8" s="211"/>
      <c r="C8" s="272"/>
      <c r="D8" s="272"/>
      <c r="E8" s="228"/>
      <c r="F8" s="228"/>
    </row>
    <row r="9" spans="1:6" ht="24" customHeight="1" x14ac:dyDescent="0.15">
      <c r="A9" s="273" t="s">
        <v>454</v>
      </c>
      <c r="B9" s="99" t="s">
        <v>455</v>
      </c>
      <c r="C9" s="272"/>
      <c r="D9" s="272"/>
      <c r="E9" s="228"/>
      <c r="F9" s="228"/>
    </row>
    <row r="10" spans="1:6" ht="24" customHeight="1" x14ac:dyDescent="0.15">
      <c r="A10" s="331"/>
      <c r="B10" s="99"/>
      <c r="C10" s="272"/>
      <c r="D10" s="272"/>
      <c r="E10" s="228"/>
      <c r="F10" s="228"/>
    </row>
    <row r="11" spans="1:6" ht="24" customHeight="1" x14ac:dyDescent="0.15">
      <c r="A11" s="331"/>
      <c r="B11" s="99" t="s">
        <v>456</v>
      </c>
      <c r="C11" s="272"/>
      <c r="D11" s="272"/>
      <c r="E11" s="228"/>
      <c r="F11" s="228"/>
    </row>
    <row r="12" spans="1:6" ht="24" customHeight="1" x14ac:dyDescent="0.15">
      <c r="A12" s="331"/>
      <c r="B12" s="99"/>
      <c r="C12" s="272"/>
      <c r="D12" s="272"/>
      <c r="E12" s="228"/>
      <c r="F12" s="228"/>
    </row>
    <row r="13" spans="1:6" ht="24" customHeight="1" x14ac:dyDescent="0.15">
      <c r="A13" s="331"/>
      <c r="B13" s="99" t="s">
        <v>457</v>
      </c>
      <c r="C13" s="102" t="s">
        <v>458</v>
      </c>
      <c r="D13" s="102">
        <v>36</v>
      </c>
      <c r="E13" s="237">
        <v>20000</v>
      </c>
      <c r="F13" s="106">
        <f>+E13*D13</f>
        <v>720000</v>
      </c>
    </row>
    <row r="14" spans="1:6" ht="24" customHeight="1" x14ac:dyDescent="0.15">
      <c r="A14" s="331"/>
      <c r="B14" s="99"/>
      <c r="C14" s="102"/>
      <c r="D14" s="102"/>
      <c r="E14" s="103"/>
      <c r="F14" s="106"/>
    </row>
    <row r="15" spans="1:6" ht="24" customHeight="1" x14ac:dyDescent="0.15">
      <c r="A15" s="331"/>
      <c r="B15" s="99"/>
      <c r="C15" s="102"/>
      <c r="D15" s="102"/>
      <c r="E15" s="103"/>
      <c r="F15" s="106"/>
    </row>
    <row r="16" spans="1:6" ht="24" customHeight="1" x14ac:dyDescent="0.15">
      <c r="A16" s="331"/>
      <c r="B16" s="99"/>
      <c r="C16" s="102"/>
      <c r="D16" s="102"/>
      <c r="E16" s="103"/>
      <c r="F16" s="106"/>
    </row>
    <row r="17" spans="1:7" ht="24" customHeight="1" x14ac:dyDescent="0.15">
      <c r="A17" s="422"/>
      <c r="B17" s="223"/>
      <c r="C17" s="220"/>
      <c r="D17" s="220"/>
      <c r="E17" s="423"/>
      <c r="F17" s="219"/>
    </row>
    <row r="18" spans="1:7" ht="24" customHeight="1" x14ac:dyDescent="0.15">
      <c r="A18" s="422"/>
      <c r="B18" s="223"/>
      <c r="C18" s="220"/>
      <c r="D18" s="220"/>
      <c r="E18" s="423"/>
      <c r="F18" s="219"/>
    </row>
    <row r="19" spans="1:7" ht="24" customHeight="1" x14ac:dyDescent="0.15">
      <c r="A19" s="422"/>
      <c r="B19" s="223"/>
      <c r="C19" s="220"/>
      <c r="D19" s="220"/>
      <c r="E19" s="423"/>
      <c r="F19" s="219"/>
    </row>
    <row r="20" spans="1:7" ht="20.25" customHeight="1" x14ac:dyDescent="0.15">
      <c r="A20" s="422"/>
      <c r="B20" s="223"/>
      <c r="C20" s="220"/>
      <c r="D20" s="220"/>
      <c r="E20" s="423"/>
      <c r="F20" s="219"/>
    </row>
    <row r="21" spans="1:7" ht="21.5" customHeight="1" x14ac:dyDescent="0.2">
      <c r="A21" s="422"/>
      <c r="B21" s="223"/>
      <c r="C21" s="220"/>
      <c r="D21" s="220"/>
      <c r="E21" s="423"/>
      <c r="F21" s="219"/>
      <c r="G21" s="91"/>
    </row>
    <row r="22" spans="1:7" ht="14" x14ac:dyDescent="0.2">
      <c r="A22" s="422"/>
      <c r="B22" s="223"/>
      <c r="C22" s="220"/>
      <c r="D22" s="220"/>
      <c r="E22" s="423"/>
      <c r="F22" s="219"/>
      <c r="G22" s="91"/>
    </row>
    <row r="23" spans="1:7" ht="14" x14ac:dyDescent="0.2">
      <c r="A23" s="422"/>
      <c r="B23" s="223"/>
      <c r="C23" s="220"/>
      <c r="D23" s="220"/>
      <c r="E23" s="423"/>
      <c r="F23" s="219"/>
      <c r="G23" s="91"/>
    </row>
    <row r="24" spans="1:7" ht="15" thickBot="1" x14ac:dyDescent="0.25">
      <c r="A24" s="424"/>
      <c r="B24" s="169" t="s">
        <v>459</v>
      </c>
      <c r="C24" s="277"/>
      <c r="D24" s="277"/>
      <c r="E24" s="425"/>
      <c r="F24" s="426"/>
      <c r="G24" s="91"/>
    </row>
    <row r="25" spans="1:7" ht="15" thickBot="1" x14ac:dyDescent="0.25">
      <c r="A25" s="260" t="s">
        <v>460</v>
      </c>
      <c r="B25" s="628" t="s">
        <v>461</v>
      </c>
      <c r="C25" s="628"/>
      <c r="D25" s="628"/>
      <c r="E25" s="628"/>
      <c r="F25" s="516">
        <f>SUM(F7:F24)</f>
        <v>720000</v>
      </c>
      <c r="G25" s="91"/>
    </row>
    <row r="26" spans="1:7" ht="14" x14ac:dyDescent="0.2">
      <c r="A26" s="113" t="s">
        <v>462</v>
      </c>
      <c r="F26" s="91"/>
      <c r="G26" s="91"/>
    </row>
    <row r="27" spans="1:7" ht="14" x14ac:dyDescent="0.2">
      <c r="A27" s="113"/>
      <c r="F27" s="91"/>
      <c r="G27" s="91"/>
    </row>
    <row r="28" spans="1:7" ht="14" x14ac:dyDescent="0.2">
      <c r="F28" s="91"/>
      <c r="G28" s="91"/>
    </row>
    <row r="29" spans="1:7" ht="14" x14ac:dyDescent="0.2">
      <c r="F29" s="91"/>
      <c r="G29" s="91"/>
    </row>
    <row r="30" spans="1:7" ht="14" x14ac:dyDescent="0.2">
      <c r="F30" s="91"/>
      <c r="G30" s="91"/>
    </row>
    <row r="31" spans="1:7" ht="14" x14ac:dyDescent="0.2">
      <c r="F31" s="91"/>
      <c r="G31" s="91"/>
    </row>
    <row r="32" spans="1:7" ht="14" x14ac:dyDescent="0.2">
      <c r="F32" s="91"/>
      <c r="G32" s="91"/>
    </row>
    <row r="33" spans="6:7" ht="14" x14ac:dyDescent="0.2">
      <c r="F33" s="91"/>
      <c r="G33" s="91"/>
    </row>
    <row r="34" spans="6:7" ht="14" x14ac:dyDescent="0.2">
      <c r="F34" s="91"/>
      <c r="G34" s="91"/>
    </row>
    <row r="35" spans="6:7" ht="14" x14ac:dyDescent="0.2">
      <c r="F35" s="91"/>
      <c r="G35" s="91"/>
    </row>
    <row r="36" spans="6:7" ht="14" x14ac:dyDescent="0.2">
      <c r="F36" s="91"/>
      <c r="G36" s="91"/>
    </row>
    <row r="37" spans="6:7" ht="14" x14ac:dyDescent="0.2">
      <c r="F37" s="91"/>
      <c r="G37" s="91"/>
    </row>
    <row r="38" spans="6:7" ht="14" x14ac:dyDescent="0.2">
      <c r="F38" s="91"/>
    </row>
    <row r="39" spans="6:7" ht="14" x14ac:dyDescent="0.2">
      <c r="F39" s="91"/>
    </row>
    <row r="40" spans="6:7" ht="14" x14ac:dyDescent="0.2">
      <c r="F40" s="91"/>
    </row>
    <row r="41" spans="6:7" ht="14" x14ac:dyDescent="0.2">
      <c r="F41" s="91"/>
    </row>
  </sheetData>
  <mergeCells count="2">
    <mergeCell ref="B25:E25"/>
    <mergeCell ref="A2:E2"/>
  </mergeCells>
  <phoneticPr fontId="2" type="noConversion"/>
  <pageMargins left="0.7" right="0.7" top="0.75" bottom="0.75" header="0.3" footer="0.3"/>
  <pageSetup paperSize="9" scale="7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1"/>
  <sheetViews>
    <sheetView view="pageBreakPreview" topLeftCell="A12" zoomScaleNormal="100" zoomScaleSheetLayoutView="100" workbookViewId="0">
      <selection activeCell="E12" sqref="E12"/>
    </sheetView>
  </sheetViews>
  <sheetFormatPr baseColWidth="10" defaultColWidth="9.3984375" defaultRowHeight="13" x14ac:dyDescent="0.15"/>
  <cols>
    <col min="1" max="1" width="11" style="89" customWidth="1"/>
    <col min="2" max="2" width="62.796875" style="89" customWidth="1"/>
    <col min="3" max="4" width="11" style="89" customWidth="1"/>
    <col min="5" max="6" width="14.3984375" style="89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0.25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x14ac:dyDescent="0.15">
      <c r="A4" s="300" t="s">
        <v>20</v>
      </c>
      <c r="B4" s="88"/>
      <c r="C4" s="88"/>
      <c r="D4" s="88"/>
      <c r="E4" s="88"/>
      <c r="F4" s="301"/>
    </row>
    <row r="5" spans="1:6" ht="23.25" customHeight="1" thickBot="1" x14ac:dyDescent="0.2"/>
    <row r="6" spans="1:6" ht="7.5" customHeight="1" thickBot="1" x14ac:dyDescent="0.2">
      <c r="A6" s="260" t="s">
        <v>463</v>
      </c>
      <c r="B6" s="316" t="s">
        <v>464</v>
      </c>
      <c r="C6" s="317" t="s">
        <v>465</v>
      </c>
      <c r="D6" s="317" t="s">
        <v>466</v>
      </c>
      <c r="E6" s="317" t="s">
        <v>467</v>
      </c>
      <c r="F6" s="317" t="s">
        <v>468</v>
      </c>
    </row>
    <row r="7" spans="1:6" ht="25.5" customHeight="1" x14ac:dyDescent="0.15">
      <c r="A7" s="254" t="s">
        <v>469</v>
      </c>
      <c r="B7" s="143" t="s">
        <v>470</v>
      </c>
      <c r="C7" s="419"/>
      <c r="D7" s="330"/>
      <c r="E7" s="420"/>
      <c r="F7" s="420"/>
    </row>
    <row r="8" spans="1:6" ht="25.5" customHeight="1" x14ac:dyDescent="0.15">
      <c r="A8" s="331"/>
      <c r="B8" s="211"/>
      <c r="C8" s="272"/>
      <c r="D8" s="272"/>
      <c r="E8" s="228"/>
      <c r="F8" s="228"/>
    </row>
    <row r="9" spans="1:6" ht="25.5" customHeight="1" x14ac:dyDescent="0.15">
      <c r="A9" s="273" t="s">
        <v>471</v>
      </c>
      <c r="B9" s="99" t="s">
        <v>472</v>
      </c>
      <c r="C9" s="272"/>
      <c r="D9" s="272"/>
      <c r="E9" s="228"/>
      <c r="F9" s="228"/>
    </row>
    <row r="10" spans="1:6" ht="25.5" customHeight="1" x14ac:dyDescent="0.15">
      <c r="A10" s="273"/>
      <c r="B10" s="99"/>
      <c r="C10" s="272"/>
      <c r="D10" s="272"/>
      <c r="E10" s="228"/>
      <c r="F10" s="228"/>
    </row>
    <row r="11" spans="1:6" ht="25.5" customHeight="1" x14ac:dyDescent="0.15">
      <c r="A11" s="273"/>
      <c r="B11" s="99" t="s">
        <v>473</v>
      </c>
      <c r="C11" s="102" t="s">
        <v>474</v>
      </c>
      <c r="D11" s="102">
        <v>36</v>
      </c>
      <c r="E11" s="104">
        <v>20000</v>
      </c>
      <c r="F11" s="106">
        <f>+E11*D11</f>
        <v>720000</v>
      </c>
    </row>
    <row r="12" spans="1:6" ht="25.5" customHeight="1" x14ac:dyDescent="0.15">
      <c r="A12" s="273"/>
      <c r="B12" s="99"/>
      <c r="C12" s="102"/>
      <c r="D12" s="102"/>
      <c r="E12" s="104"/>
      <c r="F12" s="106"/>
    </row>
    <row r="13" spans="1:6" ht="25.5" customHeight="1" x14ac:dyDescent="0.15">
      <c r="A13" s="273"/>
      <c r="B13" s="99"/>
      <c r="C13" s="102"/>
      <c r="D13" s="102"/>
      <c r="E13" s="104"/>
      <c r="F13" s="106"/>
    </row>
    <row r="14" spans="1:6" ht="25.5" customHeight="1" x14ac:dyDescent="0.15">
      <c r="A14" s="273"/>
      <c r="B14" s="99"/>
      <c r="C14" s="102"/>
      <c r="D14" s="102"/>
      <c r="E14" s="104"/>
      <c r="F14" s="106"/>
    </row>
    <row r="15" spans="1:6" ht="25.5" customHeight="1" x14ac:dyDescent="0.15">
      <c r="A15" s="273"/>
      <c r="B15" s="99"/>
      <c r="C15" s="102"/>
      <c r="D15" s="102"/>
      <c r="E15" s="104"/>
      <c r="F15" s="106"/>
    </row>
    <row r="16" spans="1:6" ht="25.5" customHeight="1" x14ac:dyDescent="0.15">
      <c r="A16" s="273"/>
      <c r="B16" s="99"/>
      <c r="C16" s="102"/>
      <c r="D16" s="102"/>
      <c r="E16" s="104"/>
      <c r="F16" s="106"/>
    </row>
    <row r="17" spans="1:7" ht="24.75" customHeight="1" x14ac:dyDescent="0.15">
      <c r="A17" s="273"/>
      <c r="B17" s="99"/>
      <c r="C17" s="102"/>
      <c r="D17" s="102"/>
      <c r="E17" s="104"/>
      <c r="F17" s="106"/>
    </row>
    <row r="18" spans="1:7" s="414" customFormat="1" ht="21.5" customHeight="1" x14ac:dyDescent="0.2">
      <c r="A18" s="273"/>
      <c r="B18" s="99"/>
      <c r="C18" s="102"/>
      <c r="D18" s="102"/>
      <c r="E18" s="104"/>
      <c r="F18" s="106"/>
    </row>
    <row r="19" spans="1:7" ht="14" x14ac:dyDescent="0.2">
      <c r="A19" s="273"/>
      <c r="B19" s="99"/>
      <c r="C19" s="102"/>
      <c r="D19" s="102"/>
      <c r="E19" s="104"/>
      <c r="F19" s="106"/>
      <c r="G19" s="91"/>
    </row>
    <row r="20" spans="1:7" ht="14" x14ac:dyDescent="0.2">
      <c r="A20" s="273"/>
      <c r="B20" s="99"/>
      <c r="C20" s="102"/>
      <c r="D20" s="102"/>
      <c r="E20" s="104"/>
      <c r="F20" s="106"/>
      <c r="G20" s="91"/>
    </row>
    <row r="21" spans="1:7" ht="15" thickBot="1" x14ac:dyDescent="0.25">
      <c r="A21" s="332"/>
      <c r="B21" s="156"/>
      <c r="C21" s="333"/>
      <c r="D21" s="333"/>
      <c r="E21" s="421"/>
      <c r="F21" s="421"/>
      <c r="G21" s="91"/>
    </row>
    <row r="22" spans="1:7" ht="15" thickBot="1" x14ac:dyDescent="0.25">
      <c r="A22" s="260" t="s">
        <v>475</v>
      </c>
      <c r="B22" s="628" t="s">
        <v>476</v>
      </c>
      <c r="C22" s="628"/>
      <c r="D22" s="628"/>
      <c r="E22" s="628"/>
      <c r="F22" s="516">
        <f>SUM(F7:F20)</f>
        <v>720000</v>
      </c>
      <c r="G22" s="91"/>
    </row>
    <row r="23" spans="1:7" ht="14" x14ac:dyDescent="0.2">
      <c r="F23" s="91"/>
      <c r="G23" s="91"/>
    </row>
    <row r="24" spans="1:7" ht="14" x14ac:dyDescent="0.2">
      <c r="A24" s="113" t="s">
        <v>477</v>
      </c>
      <c r="F24" s="91"/>
      <c r="G24" s="91"/>
    </row>
    <row r="25" spans="1:7" ht="14" x14ac:dyDescent="0.2">
      <c r="A25" s="113"/>
      <c r="F25" s="91"/>
      <c r="G25" s="91"/>
    </row>
    <row r="26" spans="1:7" ht="14" x14ac:dyDescent="0.2">
      <c r="F26" s="91"/>
      <c r="G26" s="91"/>
    </row>
    <row r="27" spans="1:7" ht="14" x14ac:dyDescent="0.2">
      <c r="F27" s="91"/>
      <c r="G27" s="91"/>
    </row>
    <row r="28" spans="1:7" ht="14" x14ac:dyDescent="0.2">
      <c r="F28" s="91"/>
      <c r="G28" s="91"/>
    </row>
    <row r="29" spans="1:7" ht="14" x14ac:dyDescent="0.2">
      <c r="F29" s="91"/>
      <c r="G29" s="91"/>
    </row>
    <row r="30" spans="1:7" ht="14" x14ac:dyDescent="0.2">
      <c r="F30" s="91"/>
      <c r="G30" s="91"/>
    </row>
    <row r="31" spans="1:7" ht="14" x14ac:dyDescent="0.2">
      <c r="F31" s="91"/>
      <c r="G31" s="91"/>
    </row>
    <row r="32" spans="1:7" ht="14" x14ac:dyDescent="0.2">
      <c r="F32" s="91"/>
      <c r="G32" s="91"/>
    </row>
    <row r="33" spans="6:7" ht="14" x14ac:dyDescent="0.2">
      <c r="F33" s="91"/>
      <c r="G33" s="91"/>
    </row>
    <row r="34" spans="6:7" ht="14" x14ac:dyDescent="0.2">
      <c r="F34" s="91"/>
      <c r="G34" s="91"/>
    </row>
    <row r="35" spans="6:7" ht="14" x14ac:dyDescent="0.2">
      <c r="F35" s="91"/>
      <c r="G35" s="91"/>
    </row>
    <row r="36" spans="6:7" ht="14" x14ac:dyDescent="0.2">
      <c r="F36" s="91"/>
      <c r="G36" s="91"/>
    </row>
    <row r="37" spans="6:7" ht="14" x14ac:dyDescent="0.2">
      <c r="F37" s="91"/>
      <c r="G37" s="91"/>
    </row>
    <row r="38" spans="6:7" ht="14" x14ac:dyDescent="0.2">
      <c r="F38" s="91"/>
    </row>
    <row r="39" spans="6:7" ht="14" x14ac:dyDescent="0.2">
      <c r="F39" s="91"/>
    </row>
    <row r="40" spans="6:7" ht="14" x14ac:dyDescent="0.2">
      <c r="F40" s="91"/>
    </row>
    <row r="41" spans="6:7" ht="14" x14ac:dyDescent="0.2">
      <c r="F41" s="91"/>
    </row>
  </sheetData>
  <mergeCells count="2">
    <mergeCell ref="B22:E22"/>
    <mergeCell ref="A2:E2"/>
  </mergeCells>
  <phoneticPr fontId="2" type="noConversion"/>
  <pageMargins left="0.7" right="0.7" top="0.75" bottom="0.75" header="0.3" footer="0.3"/>
  <pageSetup paperSize="9" scale="7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9"/>
  <sheetViews>
    <sheetView view="pageBreakPreview" topLeftCell="A14" zoomScaleNormal="100" zoomScaleSheetLayoutView="100" workbookViewId="0">
      <selection activeCell="A11" sqref="A11:F11"/>
    </sheetView>
  </sheetViews>
  <sheetFormatPr baseColWidth="10" defaultColWidth="9.3984375" defaultRowHeight="13" x14ac:dyDescent="0.15"/>
  <cols>
    <col min="1" max="1" width="10" style="89" customWidth="1"/>
    <col min="2" max="2" width="76" style="89" customWidth="1"/>
    <col min="3" max="3" width="10" style="89" customWidth="1"/>
    <col min="4" max="4" width="14" style="89" customWidth="1"/>
    <col min="5" max="5" width="14" style="133" customWidth="1"/>
    <col min="6" max="6" width="16.3984375" style="133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131"/>
      <c r="F1" s="131"/>
    </row>
    <row r="2" spans="1:6" ht="20.25" customHeight="1" x14ac:dyDescent="0.15">
      <c r="A2" s="629" t="s">
        <v>0</v>
      </c>
      <c r="B2" s="629"/>
      <c r="C2" s="629"/>
      <c r="D2" s="629"/>
      <c r="E2" s="629"/>
      <c r="F2" s="131"/>
    </row>
    <row r="3" spans="1:6" ht="14" x14ac:dyDescent="0.15">
      <c r="A3" s="88"/>
      <c r="B3" s="88"/>
      <c r="C3" s="88"/>
      <c r="D3" s="88"/>
      <c r="E3" s="131"/>
      <c r="F3" s="131"/>
    </row>
    <row r="4" spans="1:6" ht="15.75" customHeight="1" x14ac:dyDescent="0.15">
      <c r="A4" s="300" t="s">
        <v>20</v>
      </c>
      <c r="B4" s="88"/>
      <c r="C4" s="88"/>
      <c r="D4" s="88"/>
      <c r="E4" s="131"/>
      <c r="F4" s="325"/>
    </row>
    <row r="5" spans="1:6" s="88" customFormat="1" ht="14.25" customHeight="1" thickBot="1" x14ac:dyDescent="0.2">
      <c r="A5" s="89"/>
      <c r="B5" s="89"/>
      <c r="C5" s="89"/>
      <c r="D5" s="89"/>
      <c r="E5" s="133"/>
      <c r="F5" s="133"/>
    </row>
    <row r="6" spans="1:6" s="88" customFormat="1" ht="13.75" customHeight="1" thickBot="1" x14ac:dyDescent="0.2">
      <c r="A6" s="260" t="s">
        <v>478</v>
      </c>
      <c r="B6" s="316" t="s">
        <v>479</v>
      </c>
      <c r="C6" s="317" t="s">
        <v>480</v>
      </c>
      <c r="D6" s="317" t="s">
        <v>481</v>
      </c>
      <c r="E6" s="135" t="s">
        <v>482</v>
      </c>
      <c r="F6" s="135" t="s">
        <v>483</v>
      </c>
    </row>
    <row r="7" spans="1:6" s="88" customFormat="1" ht="13.75" customHeight="1" x14ac:dyDescent="0.2">
      <c r="A7" s="92" t="s">
        <v>484</v>
      </c>
      <c r="B7" s="255" t="s">
        <v>485</v>
      </c>
      <c r="C7" s="256"/>
      <c r="D7" s="256"/>
      <c r="E7" s="415"/>
      <c r="F7" s="415"/>
    </row>
    <row r="8" spans="1:6" s="88" customFormat="1" ht="18.5" customHeight="1" x14ac:dyDescent="0.2">
      <c r="A8" s="166" t="s">
        <v>486</v>
      </c>
      <c r="B8" s="223" t="s">
        <v>487</v>
      </c>
      <c r="C8" s="218"/>
      <c r="D8" s="218"/>
      <c r="E8" s="416"/>
      <c r="F8" s="416"/>
    </row>
    <row r="9" spans="1:6" s="88" customFormat="1" ht="18.5" customHeight="1" x14ac:dyDescent="0.2">
      <c r="A9" s="152"/>
      <c r="B9" s="223" t="s">
        <v>488</v>
      </c>
      <c r="C9" s="218"/>
      <c r="D9" s="218"/>
      <c r="E9" s="416"/>
      <c r="F9" s="416"/>
    </row>
    <row r="10" spans="1:6" s="88" customFormat="1" ht="21.5" customHeight="1" x14ac:dyDescent="0.2">
      <c r="A10" s="152"/>
      <c r="B10" s="223" t="s">
        <v>489</v>
      </c>
      <c r="C10" s="218"/>
      <c r="D10" s="218"/>
      <c r="E10" s="416"/>
      <c r="F10" s="416"/>
    </row>
    <row r="11" spans="1:6" s="88" customFormat="1" ht="19.25" customHeight="1" x14ac:dyDescent="0.15">
      <c r="A11" s="561"/>
      <c r="B11" s="543" t="s">
        <v>490</v>
      </c>
      <c r="C11" s="544" t="s">
        <v>491</v>
      </c>
      <c r="D11" s="545">
        <v>36</v>
      </c>
      <c r="E11" s="562">
        <v>10000</v>
      </c>
      <c r="F11" s="562">
        <f>+E11*D11</f>
        <v>360000</v>
      </c>
    </row>
    <row r="12" spans="1:6" s="88" customFormat="1" ht="24.75" customHeight="1" x14ac:dyDescent="0.15">
      <c r="A12" s="152"/>
      <c r="B12" s="223" t="s">
        <v>492</v>
      </c>
      <c r="C12" s="220" t="s">
        <v>493</v>
      </c>
      <c r="D12" s="221">
        <v>1000</v>
      </c>
      <c r="E12" s="328">
        <v>35</v>
      </c>
      <c r="F12" s="328">
        <f>+E12*D12</f>
        <v>35000</v>
      </c>
    </row>
    <row r="13" spans="1:6" s="88" customFormat="1" ht="21.75" customHeight="1" x14ac:dyDescent="0.2">
      <c r="A13" s="152"/>
      <c r="B13" s="223" t="s">
        <v>494</v>
      </c>
      <c r="C13" s="218"/>
      <c r="D13" s="218"/>
      <c r="E13" s="416"/>
      <c r="F13" s="416"/>
    </row>
    <row r="14" spans="1:6" s="88" customFormat="1" ht="21.75" customHeight="1" x14ac:dyDescent="0.15">
      <c r="A14" s="152"/>
      <c r="B14" s="223" t="s">
        <v>495</v>
      </c>
      <c r="C14" s="220" t="s">
        <v>496</v>
      </c>
      <c r="D14" s="328">
        <v>700000</v>
      </c>
      <c r="E14" s="418">
        <v>0.15</v>
      </c>
      <c r="F14" s="328">
        <f>+E14*D14</f>
        <v>105000</v>
      </c>
    </row>
    <row r="15" spans="1:6" s="88" customFormat="1" ht="24.75" customHeight="1" x14ac:dyDescent="0.2">
      <c r="A15" s="166" t="s">
        <v>497</v>
      </c>
      <c r="B15" s="223" t="s">
        <v>498</v>
      </c>
      <c r="C15" s="218"/>
      <c r="D15" s="218"/>
      <c r="E15" s="416"/>
      <c r="F15" s="416"/>
    </row>
    <row r="16" spans="1:6" s="88" customFormat="1" ht="24.75" customHeight="1" x14ac:dyDescent="0.15">
      <c r="A16" s="152"/>
      <c r="B16" s="223" t="s">
        <v>499</v>
      </c>
      <c r="C16" s="220" t="s">
        <v>500</v>
      </c>
      <c r="D16" s="221">
        <v>60</v>
      </c>
      <c r="E16" s="328">
        <v>1500</v>
      </c>
      <c r="F16" s="328">
        <f>+E16*D16</f>
        <v>90000</v>
      </c>
    </row>
    <row r="17" spans="1:7" s="88" customFormat="1" ht="24.75" customHeight="1" x14ac:dyDescent="0.25">
      <c r="A17" s="152"/>
      <c r="B17" s="223"/>
      <c r="C17" s="220"/>
      <c r="D17" s="221"/>
      <c r="E17" s="417"/>
      <c r="F17" s="328"/>
    </row>
    <row r="18" spans="1:7" s="88" customFormat="1" ht="24.75" customHeight="1" x14ac:dyDescent="0.25">
      <c r="A18" s="152"/>
      <c r="B18" s="223"/>
      <c r="C18" s="220"/>
      <c r="D18" s="221"/>
      <c r="E18" s="417"/>
      <c r="F18" s="328"/>
    </row>
    <row r="19" spans="1:7" s="88" customFormat="1" ht="24.75" customHeight="1" x14ac:dyDescent="0.25">
      <c r="A19" s="152"/>
      <c r="B19" s="223"/>
      <c r="C19" s="220"/>
      <c r="D19" s="221"/>
      <c r="E19" s="417"/>
      <c r="F19" s="328"/>
    </row>
    <row r="20" spans="1:7" s="301" customFormat="1" ht="21.5" customHeight="1" x14ac:dyDescent="0.25">
      <c r="A20" s="152"/>
      <c r="B20" s="223"/>
      <c r="C20" s="220"/>
      <c r="D20" s="221"/>
      <c r="E20" s="417"/>
      <c r="F20" s="328"/>
    </row>
    <row r="21" spans="1:7" ht="18" x14ac:dyDescent="0.25">
      <c r="A21" s="152"/>
      <c r="B21" s="223"/>
      <c r="C21" s="220"/>
      <c r="D21" s="221"/>
      <c r="E21" s="417"/>
      <c r="F21" s="328"/>
      <c r="G21" s="91"/>
    </row>
    <row r="22" spans="1:7" ht="18" x14ac:dyDescent="0.25">
      <c r="A22" s="152"/>
      <c r="B22" s="223"/>
      <c r="C22" s="220"/>
      <c r="D22" s="221"/>
      <c r="E22" s="417"/>
      <c r="F22" s="328"/>
      <c r="G22" s="91"/>
    </row>
    <row r="23" spans="1:7" ht="19" thickBot="1" x14ac:dyDescent="0.3">
      <c r="A23" s="152"/>
      <c r="B23" s="223"/>
      <c r="C23" s="220"/>
      <c r="D23" s="221"/>
      <c r="E23" s="417"/>
      <c r="F23" s="328"/>
      <c r="G23" s="91"/>
    </row>
    <row r="24" spans="1:7" ht="16" thickBot="1" x14ac:dyDescent="0.25">
      <c r="A24" s="260" t="s">
        <v>501</v>
      </c>
      <c r="B24" s="634" t="s">
        <v>502</v>
      </c>
      <c r="C24" s="634"/>
      <c r="D24" s="634"/>
      <c r="E24" s="634"/>
      <c r="F24" s="524">
        <f>SUM(F7:F23)</f>
        <v>590000</v>
      </c>
      <c r="G24" s="91"/>
    </row>
    <row r="25" spans="1:7" ht="14" x14ac:dyDescent="0.2">
      <c r="F25" s="132"/>
      <c r="G25" s="91"/>
    </row>
    <row r="26" spans="1:7" ht="14" x14ac:dyDescent="0.2">
      <c r="A26" s="113" t="s">
        <v>503</v>
      </c>
      <c r="F26" s="132"/>
      <c r="G26" s="91"/>
    </row>
    <row r="27" spans="1:7" ht="14" x14ac:dyDescent="0.2">
      <c r="A27" s="113"/>
      <c r="F27" s="132"/>
      <c r="G27" s="91"/>
    </row>
    <row r="28" spans="1:7" ht="14" x14ac:dyDescent="0.2">
      <c r="F28" s="132"/>
      <c r="G28" s="91"/>
    </row>
    <row r="29" spans="1:7" ht="14" x14ac:dyDescent="0.2">
      <c r="F29" s="132"/>
      <c r="G29" s="91"/>
    </row>
    <row r="30" spans="1:7" ht="14" x14ac:dyDescent="0.2">
      <c r="F30" s="132"/>
      <c r="G30" s="91"/>
    </row>
    <row r="31" spans="1:7" ht="14" x14ac:dyDescent="0.2">
      <c r="F31" s="132"/>
      <c r="G31" s="91"/>
    </row>
    <row r="32" spans="1:7" ht="14" x14ac:dyDescent="0.2">
      <c r="F32" s="132"/>
      <c r="G32" s="91"/>
    </row>
    <row r="33" spans="6:7" ht="14" x14ac:dyDescent="0.2">
      <c r="F33" s="132"/>
      <c r="G33" s="91"/>
    </row>
    <row r="34" spans="6:7" ht="14" x14ac:dyDescent="0.2">
      <c r="F34" s="132"/>
      <c r="G34" s="91"/>
    </row>
    <row r="35" spans="6:7" ht="14" x14ac:dyDescent="0.2">
      <c r="F35" s="132"/>
      <c r="G35" s="91"/>
    </row>
    <row r="36" spans="6:7" ht="14" x14ac:dyDescent="0.2">
      <c r="F36" s="132"/>
      <c r="G36" s="91"/>
    </row>
    <row r="37" spans="6:7" ht="14" x14ac:dyDescent="0.2">
      <c r="F37" s="132"/>
      <c r="G37" s="91"/>
    </row>
    <row r="38" spans="6:7" ht="14" x14ac:dyDescent="0.2">
      <c r="F38" s="132"/>
      <c r="G38" s="91"/>
    </row>
    <row r="39" spans="6:7" ht="14" x14ac:dyDescent="0.2">
      <c r="F39" s="132"/>
      <c r="G39" s="91"/>
    </row>
    <row r="40" spans="6:7" ht="14" x14ac:dyDescent="0.2">
      <c r="F40" s="132"/>
      <c r="G40" s="91"/>
    </row>
    <row r="41" spans="6:7" ht="14" x14ac:dyDescent="0.2">
      <c r="F41" s="132"/>
      <c r="G41" s="91"/>
    </row>
    <row r="42" spans="6:7" ht="14" x14ac:dyDescent="0.2">
      <c r="F42" s="132"/>
      <c r="G42" s="91"/>
    </row>
    <row r="43" spans="6:7" ht="14" x14ac:dyDescent="0.2">
      <c r="F43" s="132"/>
      <c r="G43" s="91"/>
    </row>
    <row r="44" spans="6:7" ht="14" x14ac:dyDescent="0.2">
      <c r="F44" s="132"/>
      <c r="G44" s="91"/>
    </row>
    <row r="45" spans="6:7" ht="14" x14ac:dyDescent="0.2">
      <c r="F45" s="132"/>
      <c r="G45" s="91"/>
    </row>
    <row r="46" spans="6:7" ht="14" x14ac:dyDescent="0.2">
      <c r="F46" s="132"/>
    </row>
    <row r="47" spans="6:7" ht="14" x14ac:dyDescent="0.2">
      <c r="F47" s="132"/>
    </row>
    <row r="48" spans="6:7" ht="14" x14ac:dyDescent="0.2">
      <c r="F48" s="132"/>
    </row>
    <row r="49" spans="6:6" ht="14" x14ac:dyDescent="0.2">
      <c r="F49" s="132"/>
    </row>
  </sheetData>
  <mergeCells count="2">
    <mergeCell ref="B24:E24"/>
    <mergeCell ref="A2:E2"/>
  </mergeCells>
  <phoneticPr fontId="2" type="noConversion"/>
  <pageMargins left="0.7" right="0.7" top="0.75" bottom="0.75" header="0.3" footer="0.3"/>
  <pageSetup paperSize="9" scale="6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9"/>
  <sheetViews>
    <sheetView view="pageBreakPreview" topLeftCell="A9" zoomScaleNormal="100" zoomScaleSheetLayoutView="100" workbookViewId="0">
      <selection activeCell="F22" sqref="F22"/>
    </sheetView>
  </sheetViews>
  <sheetFormatPr baseColWidth="10" defaultColWidth="9.3984375" defaultRowHeight="13" x14ac:dyDescent="0.15"/>
  <cols>
    <col min="1" max="1" width="10" style="89" customWidth="1"/>
    <col min="2" max="2" width="68.19921875" style="89" customWidth="1"/>
    <col min="3" max="4" width="10" style="89" customWidth="1"/>
    <col min="5" max="6" width="13.3984375" style="89" customWidth="1"/>
    <col min="7" max="16384" width="9.3984375" style="89"/>
  </cols>
  <sheetData>
    <row r="1" spans="1:8" ht="14" x14ac:dyDescent="0.15">
      <c r="A1" s="87" t="s">
        <v>1760</v>
      </c>
      <c r="B1" s="88"/>
      <c r="C1" s="88"/>
      <c r="D1" s="88"/>
      <c r="E1" s="88"/>
      <c r="F1" s="88"/>
    </row>
    <row r="2" spans="1:8" ht="22.5" customHeight="1" x14ac:dyDescent="0.15">
      <c r="A2" s="629" t="s">
        <v>0</v>
      </c>
      <c r="B2" s="629"/>
      <c r="C2" s="629"/>
      <c r="D2" s="629"/>
      <c r="E2" s="629"/>
      <c r="F2" s="88"/>
    </row>
    <row r="3" spans="1:8" ht="14" x14ac:dyDescent="0.15">
      <c r="A3" s="88"/>
      <c r="B3" s="88"/>
      <c r="C3" s="88"/>
      <c r="D3" s="88"/>
      <c r="E3" s="88"/>
      <c r="F3" s="88"/>
    </row>
    <row r="4" spans="1:8" ht="15" thickBot="1" x14ac:dyDescent="0.2">
      <c r="A4" s="300" t="s">
        <v>20</v>
      </c>
      <c r="B4" s="88"/>
      <c r="C4" s="88"/>
      <c r="D4" s="88"/>
      <c r="E4" s="88"/>
      <c r="F4" s="301"/>
    </row>
    <row r="5" spans="1:8" ht="20.75" customHeight="1" thickBot="1" x14ac:dyDescent="0.25">
      <c r="A5" s="260" t="s">
        <v>504</v>
      </c>
      <c r="B5" s="316" t="s">
        <v>505</v>
      </c>
      <c r="C5" s="317" t="s">
        <v>506</v>
      </c>
      <c r="D5" s="317" t="s">
        <v>507</v>
      </c>
      <c r="E5" s="317" t="s">
        <v>508</v>
      </c>
      <c r="F5" s="317" t="s">
        <v>509</v>
      </c>
      <c r="H5" s="91"/>
    </row>
    <row r="6" spans="1:8" ht="20" customHeight="1" x14ac:dyDescent="0.2">
      <c r="A6" s="176" t="s">
        <v>510</v>
      </c>
      <c r="B6" s="255" t="s">
        <v>511</v>
      </c>
      <c r="C6" s="165"/>
      <c r="D6" s="165"/>
      <c r="E6" s="165"/>
      <c r="F6" s="165"/>
      <c r="H6" s="91"/>
    </row>
    <row r="7" spans="1:8" ht="24" customHeight="1" x14ac:dyDescent="0.2">
      <c r="A7" s="413"/>
      <c r="B7" s="211"/>
      <c r="C7" s="100"/>
      <c r="D7" s="100"/>
      <c r="E7" s="100"/>
      <c r="F7" s="100"/>
      <c r="H7" s="91"/>
    </row>
    <row r="8" spans="1:8" ht="24" customHeight="1" x14ac:dyDescent="0.15">
      <c r="A8" s="195" t="s">
        <v>512</v>
      </c>
      <c r="B8" s="223" t="s">
        <v>513</v>
      </c>
      <c r="C8" s="220" t="s">
        <v>514</v>
      </c>
      <c r="D8" s="220">
        <v>240</v>
      </c>
      <c r="E8" s="219">
        <v>65</v>
      </c>
      <c r="F8" s="219">
        <f>+E8*D8</f>
        <v>15600</v>
      </c>
    </row>
    <row r="9" spans="1:8" ht="24" customHeight="1" x14ac:dyDescent="0.15">
      <c r="A9" s="195" t="s">
        <v>515</v>
      </c>
      <c r="B9" s="223" t="s">
        <v>516</v>
      </c>
      <c r="C9" s="220" t="s">
        <v>517</v>
      </c>
      <c r="D9" s="221">
        <v>800</v>
      </c>
      <c r="E9" s="219">
        <v>65</v>
      </c>
      <c r="F9" s="219">
        <f t="shared" ref="F9:F11" si="0">+E9*D9</f>
        <v>52000</v>
      </c>
    </row>
    <row r="10" spans="1:8" ht="24" customHeight="1" x14ac:dyDescent="0.15">
      <c r="A10" s="195" t="s">
        <v>518</v>
      </c>
      <c r="B10" s="223" t="s">
        <v>519</v>
      </c>
      <c r="C10" s="220" t="s">
        <v>520</v>
      </c>
      <c r="D10" s="221">
        <v>160</v>
      </c>
      <c r="E10" s="219">
        <v>650</v>
      </c>
      <c r="F10" s="219">
        <f t="shared" si="0"/>
        <v>104000</v>
      </c>
    </row>
    <row r="11" spans="1:8" ht="24" customHeight="1" x14ac:dyDescent="0.15">
      <c r="A11" s="195" t="s">
        <v>521</v>
      </c>
      <c r="B11" s="223" t="s">
        <v>522</v>
      </c>
      <c r="C11" s="220" t="s">
        <v>523</v>
      </c>
      <c r="D11" s="220">
        <v>1600</v>
      </c>
      <c r="E11" s="219">
        <v>10</v>
      </c>
      <c r="F11" s="219">
        <f t="shared" si="0"/>
        <v>16000</v>
      </c>
    </row>
    <row r="12" spans="1:8" ht="24" customHeight="1" x14ac:dyDescent="0.15">
      <c r="A12" s="195"/>
      <c r="B12" s="223"/>
      <c r="C12" s="220"/>
      <c r="D12" s="220"/>
      <c r="E12" s="219"/>
      <c r="F12" s="219"/>
    </row>
    <row r="13" spans="1:8" ht="24" customHeight="1" x14ac:dyDescent="0.15">
      <c r="A13" s="195"/>
      <c r="B13" s="223"/>
      <c r="C13" s="220"/>
      <c r="D13" s="220"/>
      <c r="E13" s="219"/>
      <c r="F13" s="219"/>
    </row>
    <row r="14" spans="1:8" ht="24" customHeight="1" x14ac:dyDescent="0.15">
      <c r="A14" s="195"/>
      <c r="B14" s="223"/>
      <c r="C14" s="220"/>
      <c r="D14" s="220"/>
      <c r="E14" s="219"/>
      <c r="F14" s="219"/>
    </row>
    <row r="15" spans="1:8" ht="20" customHeight="1" x14ac:dyDescent="0.15">
      <c r="A15" s="195"/>
      <c r="B15" s="223"/>
      <c r="C15" s="220"/>
      <c r="D15" s="220"/>
      <c r="E15" s="219"/>
      <c r="F15" s="219"/>
    </row>
    <row r="16" spans="1:8" ht="24" customHeight="1" x14ac:dyDescent="0.15">
      <c r="A16" s="195"/>
      <c r="B16" s="223"/>
      <c r="C16" s="220"/>
      <c r="D16" s="220"/>
      <c r="E16" s="219"/>
      <c r="F16" s="219"/>
    </row>
    <row r="17" spans="1:8" s="414" customFormat="1" ht="21.5" customHeight="1" x14ac:dyDescent="0.2">
      <c r="A17" s="195"/>
      <c r="B17" s="223"/>
      <c r="C17" s="220"/>
      <c r="D17" s="220"/>
      <c r="E17" s="219"/>
      <c r="F17" s="219"/>
    </row>
    <row r="18" spans="1:8" ht="14" x14ac:dyDescent="0.2">
      <c r="A18" s="195"/>
      <c r="B18" s="223"/>
      <c r="C18" s="220"/>
      <c r="D18" s="220"/>
      <c r="E18" s="219"/>
      <c r="F18" s="219"/>
      <c r="G18" s="91"/>
      <c r="H18" s="91"/>
    </row>
    <row r="19" spans="1:8" ht="14" x14ac:dyDescent="0.2">
      <c r="A19" s="195"/>
      <c r="B19" s="223"/>
      <c r="C19" s="220"/>
      <c r="D19" s="221"/>
      <c r="E19" s="219"/>
      <c r="F19" s="219"/>
      <c r="G19" s="91"/>
      <c r="H19" s="91"/>
    </row>
    <row r="20" spans="1:8" ht="15" thickBot="1" x14ac:dyDescent="0.25">
      <c r="A20" s="195"/>
      <c r="B20" s="223"/>
      <c r="C20" s="220"/>
      <c r="D20" s="220"/>
      <c r="E20" s="219"/>
      <c r="F20" s="219"/>
      <c r="G20" s="91"/>
      <c r="H20" s="91"/>
    </row>
    <row r="21" spans="1:8" ht="16" thickBot="1" x14ac:dyDescent="0.25">
      <c r="A21" s="298" t="s">
        <v>524</v>
      </c>
      <c r="B21" s="634" t="s">
        <v>525</v>
      </c>
      <c r="C21" s="634"/>
      <c r="D21" s="634"/>
      <c r="E21" s="634"/>
      <c r="F21" s="517">
        <f>SUM(F6:F20)</f>
        <v>187600</v>
      </c>
      <c r="G21" s="91"/>
      <c r="H21" s="91"/>
    </row>
    <row r="22" spans="1:8" ht="14" x14ac:dyDescent="0.2">
      <c r="A22" s="91"/>
      <c r="B22" s="91"/>
      <c r="C22" s="91"/>
      <c r="D22" s="91"/>
      <c r="E22" s="91"/>
      <c r="F22" s="91"/>
      <c r="G22" s="91"/>
      <c r="H22" s="91"/>
    </row>
    <row r="23" spans="1:8" ht="14" x14ac:dyDescent="0.2">
      <c r="A23" s="113" t="s">
        <v>526</v>
      </c>
      <c r="F23" s="91"/>
      <c r="G23" s="91"/>
      <c r="H23" s="91"/>
    </row>
    <row r="24" spans="1:8" ht="14" x14ac:dyDescent="0.2">
      <c r="A24" s="113"/>
      <c r="F24" s="91"/>
      <c r="G24" s="91"/>
      <c r="H24" s="91"/>
    </row>
    <row r="25" spans="1:8" ht="14" x14ac:dyDescent="0.2">
      <c r="F25" s="91"/>
      <c r="G25" s="91"/>
      <c r="H25" s="91"/>
    </row>
    <row r="26" spans="1:8" ht="14" x14ac:dyDescent="0.2">
      <c r="F26" s="91"/>
      <c r="G26" s="91"/>
      <c r="H26" s="91"/>
    </row>
    <row r="27" spans="1:8" ht="14" x14ac:dyDescent="0.2">
      <c r="F27" s="91"/>
      <c r="G27" s="91"/>
      <c r="H27" s="91"/>
    </row>
    <row r="28" spans="1:8" ht="14" x14ac:dyDescent="0.2">
      <c r="F28" s="91"/>
      <c r="G28" s="91"/>
      <c r="H28" s="91"/>
    </row>
    <row r="29" spans="1:8" ht="14" x14ac:dyDescent="0.2">
      <c r="F29" s="91"/>
      <c r="G29" s="91"/>
      <c r="H29" s="91"/>
    </row>
    <row r="30" spans="1:8" ht="14" x14ac:dyDescent="0.2">
      <c r="F30" s="91"/>
      <c r="G30" s="91"/>
      <c r="H30" s="91"/>
    </row>
    <row r="31" spans="1:8" ht="14" x14ac:dyDescent="0.2">
      <c r="F31" s="91"/>
      <c r="G31" s="91"/>
      <c r="H31" s="91"/>
    </row>
    <row r="32" spans="1:8" ht="14" x14ac:dyDescent="0.2">
      <c r="F32" s="91"/>
      <c r="G32" s="91"/>
      <c r="H32" s="91"/>
    </row>
    <row r="33" spans="6:8" ht="14" x14ac:dyDescent="0.2">
      <c r="F33" s="91"/>
      <c r="G33" s="91"/>
      <c r="H33" s="91"/>
    </row>
    <row r="34" spans="6:8" ht="14" x14ac:dyDescent="0.2">
      <c r="F34" s="91"/>
      <c r="G34" s="91"/>
      <c r="H34" s="91"/>
    </row>
    <row r="35" spans="6:8" ht="14" x14ac:dyDescent="0.2">
      <c r="F35" s="91"/>
      <c r="G35" s="91"/>
      <c r="H35" s="91"/>
    </row>
    <row r="36" spans="6:8" ht="14" x14ac:dyDescent="0.2">
      <c r="F36" s="91"/>
    </row>
    <row r="37" spans="6:8" ht="14" x14ac:dyDescent="0.2">
      <c r="F37" s="91"/>
    </row>
    <row r="38" spans="6:8" ht="14" x14ac:dyDescent="0.2">
      <c r="F38" s="91"/>
    </row>
    <row r="39" spans="6:8" ht="14" x14ac:dyDescent="0.2">
      <c r="F39" s="91"/>
    </row>
  </sheetData>
  <mergeCells count="2">
    <mergeCell ref="B21:E21"/>
    <mergeCell ref="A2:E2"/>
  </mergeCells>
  <phoneticPr fontId="2" type="noConversion"/>
  <pageMargins left="0.7" right="0.7" top="0.75" bottom="0.75" header="0.3" footer="0.3"/>
  <pageSetup paperSize="9" scale="7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0"/>
  <sheetViews>
    <sheetView view="pageBreakPreview" topLeftCell="A5" zoomScaleNormal="100" zoomScaleSheetLayoutView="100" workbookViewId="0">
      <selection activeCell="E10" sqref="E10"/>
    </sheetView>
  </sheetViews>
  <sheetFormatPr baseColWidth="10" defaultColWidth="9.3984375" defaultRowHeight="13" x14ac:dyDescent="0.15"/>
  <cols>
    <col min="1" max="1" width="11" style="89" customWidth="1"/>
    <col min="2" max="2" width="75.3984375" style="89" customWidth="1"/>
    <col min="3" max="3" width="10" style="89" customWidth="1"/>
    <col min="4" max="4" width="11" style="89" customWidth="1"/>
    <col min="5" max="5" width="15.59765625" style="89" customWidth="1"/>
    <col min="6" max="6" width="15.19921875" style="89" bestFit="1" customWidth="1"/>
    <col min="7" max="16384" width="9.3984375" style="89"/>
  </cols>
  <sheetData>
    <row r="1" spans="1:7" ht="14" x14ac:dyDescent="0.15">
      <c r="A1" s="87" t="s">
        <v>1760</v>
      </c>
      <c r="B1" s="88"/>
      <c r="C1" s="88"/>
      <c r="D1" s="88"/>
      <c r="E1" s="88"/>
      <c r="F1" s="88"/>
    </row>
    <row r="2" spans="1:7" ht="21.75" customHeight="1" x14ac:dyDescent="0.15">
      <c r="A2" s="629" t="s">
        <v>0</v>
      </c>
      <c r="B2" s="629"/>
      <c r="C2" s="629"/>
      <c r="D2" s="629"/>
      <c r="E2" s="629"/>
      <c r="F2" s="88"/>
    </row>
    <row r="3" spans="1:7" ht="14" x14ac:dyDescent="0.15">
      <c r="A3" s="88"/>
      <c r="B3" s="88"/>
      <c r="C3" s="88"/>
      <c r="D3" s="88"/>
      <c r="E3" s="88"/>
      <c r="F3" s="88"/>
    </row>
    <row r="4" spans="1:7" ht="15.75" customHeight="1" x14ac:dyDescent="0.15">
      <c r="A4" s="300" t="s">
        <v>20</v>
      </c>
      <c r="B4" s="88"/>
      <c r="C4" s="88"/>
      <c r="D4" s="88"/>
      <c r="E4" s="88"/>
      <c r="F4" s="301"/>
    </row>
    <row r="5" spans="1:7" s="88" customFormat="1" ht="27" customHeight="1" thickBot="1" x14ac:dyDescent="0.2">
      <c r="A5" s="89"/>
      <c r="B5" s="89"/>
      <c r="C5" s="89"/>
      <c r="D5" s="89"/>
      <c r="E5" s="89"/>
      <c r="F5" s="89"/>
      <c r="G5" s="89"/>
    </row>
    <row r="6" spans="1:7" s="88" customFormat="1" ht="27" customHeight="1" thickBot="1" x14ac:dyDescent="0.2">
      <c r="A6" s="260" t="s">
        <v>527</v>
      </c>
      <c r="B6" s="316" t="s">
        <v>528</v>
      </c>
      <c r="C6" s="317" t="s">
        <v>529</v>
      </c>
      <c r="D6" s="317" t="s">
        <v>530</v>
      </c>
      <c r="E6" s="317" t="s">
        <v>531</v>
      </c>
      <c r="F6" s="317" t="s">
        <v>532</v>
      </c>
      <c r="G6" s="89"/>
    </row>
    <row r="7" spans="1:7" s="88" customFormat="1" ht="27" customHeight="1" x14ac:dyDescent="0.15">
      <c r="A7" s="176" t="s">
        <v>533</v>
      </c>
      <c r="B7" s="208" t="s">
        <v>534</v>
      </c>
      <c r="C7" s="177"/>
      <c r="D7" s="177"/>
      <c r="E7" s="177"/>
      <c r="F7" s="177"/>
    </row>
    <row r="8" spans="1:7" s="88" customFormat="1" ht="27" customHeight="1" x14ac:dyDescent="0.15">
      <c r="A8" s="166" t="s">
        <v>535</v>
      </c>
      <c r="B8" s="99" t="s">
        <v>536</v>
      </c>
      <c r="C8" s="154"/>
      <c r="D8" s="154"/>
      <c r="E8" s="154"/>
      <c r="F8" s="154"/>
    </row>
    <row r="9" spans="1:7" s="88" customFormat="1" ht="27" customHeight="1" x14ac:dyDescent="0.15">
      <c r="A9" s="561"/>
      <c r="B9" s="553" t="s">
        <v>537</v>
      </c>
      <c r="C9" s="554" t="s">
        <v>538</v>
      </c>
      <c r="D9" s="554">
        <v>36</v>
      </c>
      <c r="E9" s="556">
        <v>10000</v>
      </c>
      <c r="F9" s="556">
        <f>+E9*D9</f>
        <v>360000</v>
      </c>
    </row>
    <row r="10" spans="1:7" s="88" customFormat="1" ht="27" customHeight="1" x14ac:dyDescent="0.15">
      <c r="A10" s="152"/>
      <c r="B10" s="214"/>
      <c r="C10" s="102"/>
      <c r="D10" s="225"/>
      <c r="E10" s="106"/>
      <c r="F10" s="411"/>
    </row>
    <row r="11" spans="1:7" s="88" customFormat="1" ht="27" customHeight="1" x14ac:dyDescent="0.15">
      <c r="A11" s="152"/>
      <c r="B11" s="214"/>
      <c r="C11" s="102"/>
      <c r="D11" s="225"/>
      <c r="E11" s="106"/>
      <c r="F11" s="411"/>
    </row>
    <row r="12" spans="1:7" s="88" customFormat="1" ht="27" customHeight="1" x14ac:dyDescent="0.15">
      <c r="A12" s="152"/>
      <c r="B12" s="214"/>
      <c r="C12" s="102"/>
      <c r="D12" s="225"/>
      <c r="E12" s="106"/>
      <c r="F12" s="411"/>
    </row>
    <row r="13" spans="1:7" s="88" customFormat="1" ht="27" customHeight="1" x14ac:dyDescent="0.15">
      <c r="A13" s="152"/>
      <c r="B13" s="214"/>
      <c r="C13" s="102"/>
      <c r="D13" s="225"/>
      <c r="E13" s="106"/>
      <c r="F13" s="411"/>
    </row>
    <row r="14" spans="1:7" s="88" customFormat="1" ht="27" customHeight="1" x14ac:dyDescent="0.15">
      <c r="A14" s="152"/>
      <c r="B14" s="214"/>
      <c r="C14" s="102"/>
      <c r="D14" s="225"/>
      <c r="E14" s="106"/>
      <c r="F14" s="411"/>
    </row>
    <row r="15" spans="1:7" s="88" customFormat="1" ht="27" customHeight="1" x14ac:dyDescent="0.15">
      <c r="A15" s="152"/>
      <c r="B15" s="214"/>
      <c r="C15" s="102"/>
      <c r="D15" s="225"/>
      <c r="E15" s="106"/>
      <c r="F15" s="411"/>
    </row>
    <row r="16" spans="1:7" s="301" customFormat="1" ht="21.5" customHeight="1" x14ac:dyDescent="0.15">
      <c r="A16" s="152"/>
      <c r="B16" s="214"/>
      <c r="C16" s="102"/>
      <c r="D16" s="225"/>
      <c r="E16" s="106"/>
      <c r="F16" s="411"/>
      <c r="G16" s="88"/>
    </row>
    <row r="17" spans="1:7" s="88" customFormat="1" ht="14" x14ac:dyDescent="0.15">
      <c r="A17" s="152"/>
      <c r="B17" s="214"/>
      <c r="C17" s="102"/>
      <c r="D17" s="225"/>
      <c r="E17" s="106"/>
      <c r="F17" s="411"/>
    </row>
    <row r="18" spans="1:7" ht="14" x14ac:dyDescent="0.15">
      <c r="A18" s="152"/>
      <c r="B18" s="214"/>
      <c r="C18" s="102"/>
      <c r="D18" s="225"/>
      <c r="E18" s="106"/>
      <c r="F18" s="411"/>
      <c r="G18" s="88"/>
    </row>
    <row r="19" spans="1:7" ht="15" thickBot="1" x14ac:dyDescent="0.2">
      <c r="A19" s="155"/>
      <c r="B19" s="312"/>
      <c r="C19" s="157"/>
      <c r="D19" s="391"/>
      <c r="E19" s="158"/>
      <c r="F19" s="412"/>
      <c r="G19" s="88"/>
    </row>
    <row r="20" spans="1:7" ht="15" thickBot="1" x14ac:dyDescent="0.2">
      <c r="A20" s="260" t="s">
        <v>539</v>
      </c>
      <c r="B20" s="628" t="s">
        <v>540</v>
      </c>
      <c r="C20" s="628"/>
      <c r="D20" s="628"/>
      <c r="E20" s="628"/>
      <c r="F20" s="516">
        <f>SUM(F7:F19)</f>
        <v>360000</v>
      </c>
      <c r="G20" s="301"/>
    </row>
    <row r="21" spans="1:7" ht="14" x14ac:dyDescent="0.15">
      <c r="A21" s="88"/>
      <c r="B21" s="88"/>
      <c r="C21" s="88"/>
      <c r="D21" s="88"/>
      <c r="E21" s="88"/>
      <c r="F21" s="88"/>
      <c r="G21" s="88"/>
    </row>
    <row r="22" spans="1:7" ht="14" x14ac:dyDescent="0.2">
      <c r="A22" s="113" t="s">
        <v>541</v>
      </c>
      <c r="F22" s="91"/>
      <c r="G22" s="91"/>
    </row>
    <row r="23" spans="1:7" ht="14" x14ac:dyDescent="0.2">
      <c r="A23" s="113"/>
      <c r="F23" s="91"/>
      <c r="G23" s="91"/>
    </row>
    <row r="24" spans="1:7" ht="14" x14ac:dyDescent="0.2">
      <c r="F24" s="91"/>
      <c r="G24" s="91"/>
    </row>
    <row r="25" spans="1:7" ht="14" x14ac:dyDescent="0.2">
      <c r="F25" s="91"/>
      <c r="G25" s="91"/>
    </row>
    <row r="26" spans="1:7" ht="14" x14ac:dyDescent="0.2">
      <c r="F26" s="91"/>
      <c r="G26" s="91"/>
    </row>
    <row r="27" spans="1:7" ht="14" x14ac:dyDescent="0.2">
      <c r="F27" s="91"/>
      <c r="G27" s="91"/>
    </row>
    <row r="28" spans="1:7" ht="14" x14ac:dyDescent="0.2">
      <c r="F28" s="91"/>
      <c r="G28" s="91"/>
    </row>
    <row r="29" spans="1:7" ht="14" x14ac:dyDescent="0.2">
      <c r="F29" s="91"/>
      <c r="G29" s="91"/>
    </row>
    <row r="30" spans="1:7" ht="14" x14ac:dyDescent="0.2">
      <c r="F30" s="91"/>
      <c r="G30" s="91"/>
    </row>
    <row r="31" spans="1:7" ht="14" x14ac:dyDescent="0.2">
      <c r="F31" s="91"/>
      <c r="G31" s="91"/>
    </row>
    <row r="32" spans="1:7" ht="14" x14ac:dyDescent="0.2">
      <c r="F32" s="91"/>
      <c r="G32" s="91"/>
    </row>
    <row r="33" spans="6:7" ht="14" x14ac:dyDescent="0.2">
      <c r="F33" s="91"/>
      <c r="G33" s="91"/>
    </row>
    <row r="34" spans="6:7" ht="14" x14ac:dyDescent="0.2">
      <c r="F34" s="91"/>
      <c r="G34" s="91"/>
    </row>
    <row r="35" spans="6:7" ht="14" x14ac:dyDescent="0.2">
      <c r="F35" s="91"/>
      <c r="G35" s="91"/>
    </row>
    <row r="36" spans="6:7" ht="14" x14ac:dyDescent="0.2">
      <c r="F36" s="91"/>
      <c r="G36" s="91"/>
    </row>
    <row r="37" spans="6:7" ht="14" x14ac:dyDescent="0.2">
      <c r="F37" s="91"/>
      <c r="G37" s="91"/>
    </row>
    <row r="38" spans="6:7" ht="14" x14ac:dyDescent="0.2">
      <c r="F38" s="91"/>
      <c r="G38" s="91"/>
    </row>
    <row r="39" spans="6:7" ht="14" x14ac:dyDescent="0.2">
      <c r="F39" s="91"/>
      <c r="G39" s="91"/>
    </row>
    <row r="40" spans="6:7" ht="14" x14ac:dyDescent="0.2">
      <c r="F40" s="91"/>
      <c r="G40" s="91"/>
    </row>
  </sheetData>
  <mergeCells count="2">
    <mergeCell ref="B20:E20"/>
    <mergeCell ref="A2:E2"/>
  </mergeCells>
  <phoneticPr fontId="2" type="noConversion"/>
  <pageMargins left="0.7" right="0.7" top="0.75" bottom="0.75" header="0.3" footer="0.3"/>
  <pageSetup paperSize="9" scale="66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7"/>
  <sheetViews>
    <sheetView view="pageBreakPreview" topLeftCell="A45" zoomScaleNormal="100" zoomScaleSheetLayoutView="100" workbookViewId="0">
      <selection activeCell="F55" sqref="F55"/>
    </sheetView>
  </sheetViews>
  <sheetFormatPr baseColWidth="10" defaultColWidth="9.3984375" defaultRowHeight="13" x14ac:dyDescent="0.15"/>
  <cols>
    <col min="1" max="1" width="11" style="89" customWidth="1"/>
    <col min="2" max="2" width="76.59765625" style="89" customWidth="1"/>
    <col min="3" max="3" width="10" style="89" customWidth="1"/>
    <col min="4" max="6" width="13.19921875" style="89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14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x14ac:dyDescent="0.15">
      <c r="A4" s="300" t="s">
        <v>20</v>
      </c>
      <c r="B4" s="88"/>
      <c r="C4" s="88"/>
      <c r="D4" s="88"/>
      <c r="E4" s="88"/>
      <c r="F4" s="301"/>
    </row>
    <row r="5" spans="1:6" ht="16.5" customHeight="1" thickBot="1" x14ac:dyDescent="0.2"/>
    <row r="6" spans="1:6" ht="13" customHeight="1" thickBot="1" x14ac:dyDescent="0.2">
      <c r="A6" s="260" t="s">
        <v>542</v>
      </c>
      <c r="B6" s="316" t="s">
        <v>543</v>
      </c>
      <c r="C6" s="317" t="s">
        <v>544</v>
      </c>
      <c r="D6" s="317" t="s">
        <v>545</v>
      </c>
      <c r="E6" s="317" t="s">
        <v>546</v>
      </c>
      <c r="F6" s="317" t="s">
        <v>547</v>
      </c>
    </row>
    <row r="7" spans="1:6" ht="13.75" customHeight="1" x14ac:dyDescent="0.15">
      <c r="A7" s="405"/>
      <c r="B7" s="145" t="s">
        <v>548</v>
      </c>
      <c r="C7" s="177"/>
      <c r="D7" s="177"/>
      <c r="E7" s="177"/>
      <c r="F7" s="177"/>
    </row>
    <row r="8" spans="1:6" ht="14.5" customHeight="1" x14ac:dyDescent="0.15">
      <c r="A8" s="406" t="s">
        <v>549</v>
      </c>
      <c r="B8" s="196" t="s">
        <v>550</v>
      </c>
      <c r="C8" s="153"/>
      <c r="D8" s="153"/>
      <c r="E8" s="153"/>
      <c r="F8" s="153"/>
    </row>
    <row r="9" spans="1:6" ht="13.75" customHeight="1" x14ac:dyDescent="0.15">
      <c r="A9" s="98" t="s">
        <v>551</v>
      </c>
      <c r="B9" s="148" t="s">
        <v>552</v>
      </c>
      <c r="C9" s="154"/>
      <c r="D9" s="154"/>
      <c r="E9" s="154"/>
      <c r="F9" s="154"/>
    </row>
    <row r="10" spans="1:6" ht="20" customHeight="1" x14ac:dyDescent="0.15">
      <c r="A10" s="152"/>
      <c r="B10" s="99" t="s">
        <v>553</v>
      </c>
      <c r="C10" s="154"/>
      <c r="D10" s="154"/>
      <c r="E10" s="154"/>
      <c r="F10" s="154"/>
    </row>
    <row r="11" spans="1:6" ht="20" customHeight="1" x14ac:dyDescent="0.15">
      <c r="A11" s="152"/>
      <c r="B11" s="99" t="s">
        <v>554</v>
      </c>
      <c r="C11" s="102" t="s">
        <v>555</v>
      </c>
      <c r="D11" s="109">
        <v>160</v>
      </c>
      <c r="E11" s="106">
        <v>85</v>
      </c>
      <c r="F11" s="106">
        <f>+E11*D11</f>
        <v>13600</v>
      </c>
    </row>
    <row r="12" spans="1:6" ht="19.25" customHeight="1" x14ac:dyDescent="0.15">
      <c r="A12" s="152"/>
      <c r="B12" s="99" t="s">
        <v>556</v>
      </c>
      <c r="C12" s="102" t="s">
        <v>557</v>
      </c>
      <c r="D12" s="109">
        <v>16</v>
      </c>
      <c r="E12" s="106">
        <v>450</v>
      </c>
      <c r="F12" s="106">
        <f t="shared" ref="F12:F33" si="0">+E12*D12</f>
        <v>7200</v>
      </c>
    </row>
    <row r="13" spans="1:6" ht="19.25" customHeight="1" x14ac:dyDescent="0.15">
      <c r="A13" s="152"/>
      <c r="B13" s="99" t="s">
        <v>558</v>
      </c>
      <c r="C13" s="154"/>
      <c r="D13" s="154"/>
      <c r="E13" s="106"/>
      <c r="F13" s="106">
        <f t="shared" si="0"/>
        <v>0</v>
      </c>
    </row>
    <row r="14" spans="1:6" ht="19.25" customHeight="1" x14ac:dyDescent="0.15">
      <c r="A14" s="152"/>
      <c r="B14" s="99" t="s">
        <v>559</v>
      </c>
      <c r="C14" s="102" t="s">
        <v>560</v>
      </c>
      <c r="D14" s="109">
        <v>56</v>
      </c>
      <c r="E14" s="106">
        <v>150</v>
      </c>
      <c r="F14" s="106">
        <f t="shared" si="0"/>
        <v>8400</v>
      </c>
    </row>
    <row r="15" spans="1:6" ht="20.75" customHeight="1" x14ac:dyDescent="0.15">
      <c r="A15" s="98" t="s">
        <v>561</v>
      </c>
      <c r="B15" s="99" t="s">
        <v>562</v>
      </c>
      <c r="C15" s="154"/>
      <c r="D15" s="154"/>
      <c r="E15" s="106"/>
      <c r="F15" s="106">
        <f t="shared" si="0"/>
        <v>0</v>
      </c>
    </row>
    <row r="16" spans="1:6" ht="20" customHeight="1" x14ac:dyDescent="0.15">
      <c r="A16" s="152"/>
      <c r="B16" s="99" t="s">
        <v>563</v>
      </c>
      <c r="C16" s="102" t="s">
        <v>564</v>
      </c>
      <c r="D16" s="109">
        <v>24</v>
      </c>
      <c r="E16" s="106">
        <v>2600</v>
      </c>
      <c r="F16" s="106">
        <f t="shared" si="0"/>
        <v>62400</v>
      </c>
    </row>
    <row r="17" spans="1:6" ht="19.25" customHeight="1" x14ac:dyDescent="0.15">
      <c r="A17" s="152"/>
      <c r="B17" s="99" t="s">
        <v>565</v>
      </c>
      <c r="C17" s="102" t="s">
        <v>566</v>
      </c>
      <c r="D17" s="109">
        <v>10</v>
      </c>
      <c r="E17" s="106">
        <v>2600</v>
      </c>
      <c r="F17" s="106">
        <f t="shared" si="0"/>
        <v>26000</v>
      </c>
    </row>
    <row r="18" spans="1:6" ht="20" customHeight="1" x14ac:dyDescent="0.15">
      <c r="A18" s="152"/>
      <c r="B18" s="99" t="s">
        <v>567</v>
      </c>
      <c r="C18" s="102" t="s">
        <v>568</v>
      </c>
      <c r="D18" s="109">
        <v>10</v>
      </c>
      <c r="E18" s="106">
        <v>2600</v>
      </c>
      <c r="F18" s="106">
        <f t="shared" si="0"/>
        <v>26000</v>
      </c>
    </row>
    <row r="19" spans="1:6" ht="19.25" customHeight="1" x14ac:dyDescent="0.15">
      <c r="A19" s="98" t="s">
        <v>569</v>
      </c>
      <c r="B19" s="99" t="s">
        <v>570</v>
      </c>
      <c r="C19" s="102" t="s">
        <v>571</v>
      </c>
      <c r="D19" s="109">
        <v>10</v>
      </c>
      <c r="E19" s="106">
        <v>2600</v>
      </c>
      <c r="F19" s="106">
        <f t="shared" si="0"/>
        <v>26000</v>
      </c>
    </row>
    <row r="20" spans="1:6" ht="11.25" customHeight="1" x14ac:dyDescent="0.15">
      <c r="A20" s="98" t="s">
        <v>572</v>
      </c>
      <c r="B20" s="99" t="s">
        <v>573</v>
      </c>
      <c r="C20" s="154"/>
      <c r="D20" s="154"/>
      <c r="E20" s="106"/>
      <c r="F20" s="106">
        <f t="shared" si="0"/>
        <v>0</v>
      </c>
    </row>
    <row r="21" spans="1:6" ht="16.25" customHeight="1" x14ac:dyDescent="0.15">
      <c r="A21" s="152"/>
      <c r="B21" s="99" t="s">
        <v>574</v>
      </c>
      <c r="C21" s="102" t="s">
        <v>575</v>
      </c>
      <c r="D21" s="109">
        <v>10</v>
      </c>
      <c r="E21" s="106">
        <v>250</v>
      </c>
      <c r="F21" s="106">
        <f t="shared" si="0"/>
        <v>2500</v>
      </c>
    </row>
    <row r="22" spans="1:6" ht="20.75" customHeight="1" x14ac:dyDescent="0.15">
      <c r="A22" s="152"/>
      <c r="B22" s="99" t="s">
        <v>576</v>
      </c>
      <c r="C22" s="102" t="s">
        <v>577</v>
      </c>
      <c r="D22" s="109">
        <v>10</v>
      </c>
      <c r="E22" s="106">
        <v>250</v>
      </c>
      <c r="F22" s="106">
        <f t="shared" si="0"/>
        <v>2500</v>
      </c>
    </row>
    <row r="23" spans="1:6" ht="20" customHeight="1" x14ac:dyDescent="0.15">
      <c r="A23" s="98" t="s">
        <v>578</v>
      </c>
      <c r="B23" s="99" t="s">
        <v>579</v>
      </c>
      <c r="C23" s="154"/>
      <c r="D23" s="154"/>
      <c r="E23" s="106"/>
      <c r="F23" s="106">
        <f t="shared" si="0"/>
        <v>0</v>
      </c>
    </row>
    <row r="24" spans="1:6" ht="19.25" customHeight="1" x14ac:dyDescent="0.15">
      <c r="A24" s="152"/>
      <c r="B24" s="99" t="s">
        <v>580</v>
      </c>
      <c r="C24" s="102" t="s">
        <v>581</v>
      </c>
      <c r="D24" s="109">
        <v>160</v>
      </c>
      <c r="E24" s="106">
        <v>25</v>
      </c>
      <c r="F24" s="106">
        <f t="shared" si="0"/>
        <v>4000</v>
      </c>
    </row>
    <row r="25" spans="1:6" ht="20" customHeight="1" x14ac:dyDescent="0.15">
      <c r="A25" s="152"/>
      <c r="B25" s="99" t="s">
        <v>582</v>
      </c>
      <c r="C25" s="154"/>
      <c r="D25" s="154"/>
      <c r="E25" s="106"/>
      <c r="F25" s="106">
        <f t="shared" si="0"/>
        <v>0</v>
      </c>
    </row>
    <row r="26" spans="1:6" ht="20" customHeight="1" x14ac:dyDescent="0.15">
      <c r="A26" s="98" t="s">
        <v>583</v>
      </c>
      <c r="B26" s="99" t="s">
        <v>584</v>
      </c>
      <c r="C26" s="102" t="s">
        <v>585</v>
      </c>
      <c r="D26" s="109">
        <v>160</v>
      </c>
      <c r="E26" s="106">
        <v>65</v>
      </c>
      <c r="F26" s="106">
        <f t="shared" si="0"/>
        <v>10400</v>
      </c>
    </row>
    <row r="27" spans="1:6" ht="20" customHeight="1" x14ac:dyDescent="0.15">
      <c r="A27" s="98" t="s">
        <v>586</v>
      </c>
      <c r="B27" s="99" t="s">
        <v>587</v>
      </c>
      <c r="C27" s="154"/>
      <c r="D27" s="154"/>
      <c r="E27" s="106"/>
      <c r="F27" s="106">
        <f t="shared" si="0"/>
        <v>0</v>
      </c>
    </row>
    <row r="28" spans="1:6" ht="20" customHeight="1" x14ac:dyDescent="0.15">
      <c r="A28" s="152"/>
      <c r="B28" s="99" t="s">
        <v>588</v>
      </c>
      <c r="C28" s="102" t="s">
        <v>589</v>
      </c>
      <c r="D28" s="109">
        <v>16</v>
      </c>
      <c r="E28" s="106">
        <v>850</v>
      </c>
      <c r="F28" s="106">
        <f t="shared" si="0"/>
        <v>13600</v>
      </c>
    </row>
    <row r="29" spans="1:6" ht="20" customHeight="1" x14ac:dyDescent="0.15">
      <c r="A29" s="152"/>
      <c r="B29" s="99" t="s">
        <v>590</v>
      </c>
      <c r="C29" s="102" t="s">
        <v>591</v>
      </c>
      <c r="D29" s="109">
        <v>16</v>
      </c>
      <c r="E29" s="106">
        <v>550</v>
      </c>
      <c r="F29" s="106">
        <f t="shared" si="0"/>
        <v>8800</v>
      </c>
    </row>
    <row r="30" spans="1:6" ht="20" customHeight="1" x14ac:dyDescent="0.15">
      <c r="A30" s="98" t="s">
        <v>592</v>
      </c>
      <c r="B30" s="99" t="s">
        <v>593</v>
      </c>
      <c r="C30" s="154"/>
      <c r="D30" s="154"/>
      <c r="E30" s="106"/>
      <c r="F30" s="106">
        <f t="shared" si="0"/>
        <v>0</v>
      </c>
    </row>
    <row r="31" spans="1:6" ht="20" customHeight="1" x14ac:dyDescent="0.15">
      <c r="A31" s="98"/>
      <c r="B31" s="99"/>
      <c r="C31" s="154"/>
      <c r="D31" s="154"/>
      <c r="E31" s="106"/>
      <c r="F31" s="106">
        <f t="shared" si="0"/>
        <v>0</v>
      </c>
    </row>
    <row r="32" spans="1:6" ht="20" customHeight="1" x14ac:dyDescent="0.15">
      <c r="A32" s="152"/>
      <c r="B32" s="99" t="s">
        <v>594</v>
      </c>
      <c r="C32" s="102" t="s">
        <v>595</v>
      </c>
      <c r="D32" s="109">
        <v>260</v>
      </c>
      <c r="E32" s="106">
        <v>10</v>
      </c>
      <c r="F32" s="106">
        <f t="shared" si="0"/>
        <v>2600</v>
      </c>
    </row>
    <row r="33" spans="1:6" ht="20" customHeight="1" x14ac:dyDescent="0.15">
      <c r="A33" s="152"/>
      <c r="B33" s="214" t="s">
        <v>596</v>
      </c>
      <c r="C33" s="102" t="s">
        <v>597</v>
      </c>
      <c r="D33" s="225">
        <v>260</v>
      </c>
      <c r="E33" s="106">
        <v>10</v>
      </c>
      <c r="F33" s="106">
        <f t="shared" si="0"/>
        <v>2600</v>
      </c>
    </row>
    <row r="34" spans="1:6" ht="20" customHeight="1" x14ac:dyDescent="0.15">
      <c r="A34" s="152"/>
      <c r="B34" s="214"/>
      <c r="C34" s="102"/>
      <c r="D34" s="225"/>
      <c r="E34" s="106"/>
      <c r="F34" s="310"/>
    </row>
    <row r="35" spans="1:6" ht="20" customHeight="1" x14ac:dyDescent="0.15">
      <c r="A35" s="152"/>
      <c r="B35" s="214"/>
      <c r="C35" s="102"/>
      <c r="D35" s="225"/>
      <c r="E35" s="106"/>
      <c r="F35" s="310"/>
    </row>
    <row r="36" spans="1:6" ht="20" customHeight="1" x14ac:dyDescent="0.15">
      <c r="A36" s="152"/>
      <c r="B36" s="214"/>
      <c r="C36" s="102"/>
      <c r="D36" s="225"/>
      <c r="E36" s="106"/>
      <c r="F36" s="310"/>
    </row>
    <row r="37" spans="1:6" ht="20" customHeight="1" x14ac:dyDescent="0.15">
      <c r="A37" s="152"/>
      <c r="B37" s="214"/>
      <c r="C37" s="102"/>
      <c r="D37" s="225"/>
      <c r="E37" s="106"/>
      <c r="F37" s="310"/>
    </row>
    <row r="38" spans="1:6" ht="20" customHeight="1" x14ac:dyDescent="0.15">
      <c r="A38" s="152"/>
      <c r="B38" s="214"/>
      <c r="C38" s="102"/>
      <c r="D38" s="225"/>
      <c r="E38" s="106"/>
      <c r="F38" s="310"/>
    </row>
    <row r="39" spans="1:6" ht="20" customHeight="1" x14ac:dyDescent="0.15">
      <c r="A39" s="152"/>
      <c r="B39" s="214"/>
      <c r="C39" s="102"/>
      <c r="D39" s="225"/>
      <c r="E39" s="106"/>
      <c r="F39" s="310"/>
    </row>
    <row r="40" spans="1:6" ht="20" customHeight="1" x14ac:dyDescent="0.15">
      <c r="A40" s="152"/>
      <c r="B40" s="214"/>
      <c r="C40" s="102"/>
      <c r="D40" s="225"/>
      <c r="E40" s="106"/>
      <c r="F40" s="310"/>
    </row>
    <row r="41" spans="1:6" ht="20" customHeight="1" x14ac:dyDescent="0.15">
      <c r="A41" s="152"/>
      <c r="B41" s="214"/>
      <c r="C41" s="102"/>
      <c r="D41" s="225"/>
      <c r="E41" s="106"/>
      <c r="F41" s="310"/>
    </row>
    <row r="42" spans="1:6" ht="20" customHeight="1" x14ac:dyDescent="0.15">
      <c r="A42" s="152"/>
      <c r="B42" s="214"/>
      <c r="C42" s="102"/>
      <c r="D42" s="225"/>
      <c r="E42" s="106"/>
      <c r="F42" s="310"/>
    </row>
    <row r="43" spans="1:6" ht="20" customHeight="1" x14ac:dyDescent="0.15">
      <c r="A43" s="152"/>
      <c r="B43" s="214"/>
      <c r="C43" s="102"/>
      <c r="D43" s="225"/>
      <c r="E43" s="106"/>
      <c r="F43" s="310"/>
    </row>
    <row r="44" spans="1:6" ht="20" customHeight="1" x14ac:dyDescent="0.15">
      <c r="A44" s="152"/>
      <c r="B44" s="214"/>
      <c r="C44" s="102"/>
      <c r="D44" s="225"/>
      <c r="E44" s="106"/>
      <c r="F44" s="310"/>
    </row>
    <row r="45" spans="1:6" ht="26.25" customHeight="1" x14ac:dyDescent="0.15">
      <c r="A45" s="152"/>
      <c r="B45" s="214"/>
      <c r="C45" s="102"/>
      <c r="D45" s="225"/>
      <c r="E45" s="106"/>
      <c r="F45" s="310"/>
    </row>
    <row r="46" spans="1:6" ht="26.25" customHeight="1" x14ac:dyDescent="0.15">
      <c r="A46" s="152"/>
      <c r="B46" s="214"/>
      <c r="C46" s="102"/>
      <c r="D46" s="225"/>
      <c r="E46" s="106"/>
      <c r="F46" s="310"/>
    </row>
    <row r="47" spans="1:6" ht="26.25" customHeight="1" x14ac:dyDescent="0.15">
      <c r="A47" s="152"/>
      <c r="B47" s="214"/>
      <c r="C47" s="102"/>
      <c r="D47" s="225"/>
      <c r="E47" s="106"/>
      <c r="F47" s="310"/>
    </row>
    <row r="48" spans="1:6" ht="21.5" customHeight="1" x14ac:dyDescent="0.15">
      <c r="A48" s="152"/>
      <c r="B48" s="214"/>
      <c r="C48" s="102"/>
      <c r="D48" s="225"/>
      <c r="E48" s="106"/>
      <c r="F48" s="310"/>
    </row>
    <row r="49" spans="1:6" ht="18.75" customHeight="1" x14ac:dyDescent="0.15">
      <c r="A49" s="152"/>
      <c r="B49" s="214"/>
      <c r="C49" s="102"/>
      <c r="D49" s="225"/>
      <c r="E49" s="106"/>
      <c r="F49" s="310"/>
    </row>
    <row r="50" spans="1:6" ht="14" x14ac:dyDescent="0.15">
      <c r="A50" s="152"/>
      <c r="B50" s="214"/>
      <c r="C50" s="102"/>
      <c r="D50" s="407"/>
      <c r="E50" s="106"/>
      <c r="F50" s="310"/>
    </row>
    <row r="51" spans="1:6" ht="14" x14ac:dyDescent="0.15">
      <c r="A51" s="152"/>
      <c r="B51" s="214"/>
      <c r="C51" s="102"/>
      <c r="D51" s="225"/>
      <c r="E51" s="106"/>
      <c r="F51" s="310"/>
    </row>
    <row r="52" spans="1:6" ht="14" x14ac:dyDescent="0.15">
      <c r="A52" s="152"/>
      <c r="B52" s="214"/>
      <c r="C52" s="102"/>
      <c r="D52" s="225"/>
      <c r="E52" s="106"/>
      <c r="F52" s="310"/>
    </row>
    <row r="53" spans="1:6" ht="14" thickBot="1" x14ac:dyDescent="0.2">
      <c r="A53" s="179"/>
      <c r="B53" s="312"/>
      <c r="C53" s="157"/>
      <c r="D53" s="391"/>
      <c r="E53" s="158"/>
      <c r="F53" s="408"/>
    </row>
    <row r="54" spans="1:6" ht="15" thickBot="1" x14ac:dyDescent="0.2">
      <c r="A54" s="260" t="s">
        <v>598</v>
      </c>
      <c r="B54" s="628" t="s">
        <v>599</v>
      </c>
      <c r="C54" s="628"/>
      <c r="D54" s="628"/>
      <c r="E54" s="628"/>
      <c r="F54" s="525">
        <f>SUM(F7:F53)</f>
        <v>216600</v>
      </c>
    </row>
    <row r="55" spans="1:6" x14ac:dyDescent="0.15">
      <c r="A55" s="299"/>
      <c r="B55" s="174"/>
      <c r="C55" s="174"/>
      <c r="D55" s="174"/>
      <c r="E55" s="174"/>
      <c r="F55" s="409"/>
    </row>
    <row r="56" spans="1:6" x14ac:dyDescent="0.15">
      <c r="A56" s="113" t="s">
        <v>600</v>
      </c>
    </row>
    <row r="57" spans="1:6" x14ac:dyDescent="0.15">
      <c r="A57" s="113"/>
    </row>
  </sheetData>
  <mergeCells count="2">
    <mergeCell ref="B54:E54"/>
    <mergeCell ref="A2:E2"/>
  </mergeCells>
  <phoneticPr fontId="2" type="noConversion"/>
  <pageMargins left="0.7" right="0.7" top="0.75" bottom="0.75" header="0.3" footer="0.3"/>
  <pageSetup paperSize="9" scale="6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1"/>
  <sheetViews>
    <sheetView view="pageBreakPreview" topLeftCell="A19" zoomScaleNormal="100" zoomScaleSheetLayoutView="100" workbookViewId="0">
      <selection activeCell="A8" sqref="A8:F8"/>
    </sheetView>
  </sheetViews>
  <sheetFormatPr baseColWidth="10" defaultColWidth="9.3984375" defaultRowHeight="14" x14ac:dyDescent="0.2"/>
  <cols>
    <col min="1" max="1" width="12" style="89" customWidth="1"/>
    <col min="2" max="2" width="63.3984375" style="89" customWidth="1"/>
    <col min="3" max="3" width="11" style="162" customWidth="1"/>
    <col min="4" max="4" width="17.3984375" style="162" customWidth="1"/>
    <col min="5" max="5" width="13.796875" style="162" customWidth="1"/>
    <col min="6" max="6" width="19.19921875" style="162" customWidth="1"/>
    <col min="7" max="16384" width="9.3984375" style="89"/>
  </cols>
  <sheetData>
    <row r="1" spans="1:6" x14ac:dyDescent="0.15">
      <c r="A1" s="87" t="s">
        <v>1760</v>
      </c>
      <c r="B1" s="88"/>
      <c r="C1" s="88"/>
      <c r="D1" s="88"/>
      <c r="E1" s="88"/>
      <c r="F1" s="88"/>
    </row>
    <row r="2" spans="1:6" ht="21" customHeight="1" x14ac:dyDescent="0.15">
      <c r="A2" s="629" t="s">
        <v>0</v>
      </c>
      <c r="B2" s="629"/>
      <c r="C2" s="629"/>
      <c r="D2" s="629"/>
      <c r="E2" s="629"/>
      <c r="F2" s="88"/>
    </row>
    <row r="3" spans="1:6" x14ac:dyDescent="0.15">
      <c r="A3" s="88"/>
      <c r="B3" s="88"/>
      <c r="C3" s="88"/>
      <c r="D3" s="88"/>
      <c r="E3" s="88"/>
      <c r="F3" s="88"/>
    </row>
    <row r="4" spans="1:6" ht="15.75" customHeight="1" x14ac:dyDescent="0.15">
      <c r="A4" s="300" t="s">
        <v>20</v>
      </c>
      <c r="B4" s="88"/>
      <c r="C4" s="88"/>
      <c r="D4" s="88"/>
      <c r="E4" s="88"/>
      <c r="F4" s="301"/>
    </row>
    <row r="5" spans="1:6" ht="14.25" customHeight="1" thickBot="1" x14ac:dyDescent="0.2">
      <c r="C5" s="89"/>
      <c r="D5" s="89"/>
      <c r="E5" s="89"/>
      <c r="F5" s="89"/>
    </row>
    <row r="6" spans="1:6" ht="19.25" customHeight="1" thickBot="1" x14ac:dyDescent="0.2">
      <c r="A6" s="92" t="s">
        <v>601</v>
      </c>
      <c r="B6" s="94" t="s">
        <v>602</v>
      </c>
      <c r="C6" s="93" t="s">
        <v>603</v>
      </c>
      <c r="D6" s="93" t="s">
        <v>604</v>
      </c>
      <c r="E6" s="93" t="s">
        <v>605</v>
      </c>
      <c r="F6" s="93" t="s">
        <v>606</v>
      </c>
    </row>
    <row r="7" spans="1:6" ht="19.25" customHeight="1" x14ac:dyDescent="0.15">
      <c r="A7" s="92" t="s">
        <v>607</v>
      </c>
      <c r="B7" s="145" t="s">
        <v>608</v>
      </c>
      <c r="C7" s="209"/>
      <c r="D7" s="209"/>
      <c r="E7" s="209"/>
      <c r="F7" s="209"/>
    </row>
    <row r="8" spans="1:6" ht="19.25" customHeight="1" x14ac:dyDescent="0.15">
      <c r="A8" s="571" t="s">
        <v>609</v>
      </c>
      <c r="B8" s="572" t="s">
        <v>610</v>
      </c>
      <c r="C8" s="554" t="s">
        <v>611</v>
      </c>
      <c r="D8" s="573">
        <v>4</v>
      </c>
      <c r="E8" s="556">
        <v>50000</v>
      </c>
      <c r="F8" s="556">
        <f>+E8*D8</f>
        <v>200000</v>
      </c>
    </row>
    <row r="9" spans="1:6" ht="19.25" customHeight="1" x14ac:dyDescent="0.15">
      <c r="A9" s="98" t="s">
        <v>612</v>
      </c>
      <c r="B9" s="99" t="s">
        <v>613</v>
      </c>
      <c r="C9" s="154"/>
      <c r="D9" s="154"/>
      <c r="E9" s="106"/>
      <c r="F9" s="106">
        <f t="shared" ref="F9:F27" si="0">+E9*D9</f>
        <v>0</v>
      </c>
    </row>
    <row r="10" spans="1:6" ht="19.25" customHeight="1" x14ac:dyDescent="0.15">
      <c r="A10" s="561"/>
      <c r="B10" s="553" t="s">
        <v>614</v>
      </c>
      <c r="C10" s="554" t="s">
        <v>615</v>
      </c>
      <c r="D10" s="555">
        <v>4500</v>
      </c>
      <c r="E10" s="556">
        <v>80</v>
      </c>
      <c r="F10" s="556">
        <f t="shared" si="0"/>
        <v>360000</v>
      </c>
    </row>
    <row r="11" spans="1:6" ht="20" customHeight="1" x14ac:dyDescent="0.15">
      <c r="A11" s="561"/>
      <c r="B11" s="553" t="s">
        <v>616</v>
      </c>
      <c r="C11" s="554" t="s">
        <v>617</v>
      </c>
      <c r="D11" s="555">
        <v>1300</v>
      </c>
      <c r="E11" s="556">
        <v>80</v>
      </c>
      <c r="F11" s="556">
        <f t="shared" si="0"/>
        <v>104000</v>
      </c>
    </row>
    <row r="12" spans="1:6" ht="20" customHeight="1" x14ac:dyDescent="0.15">
      <c r="A12" s="561"/>
      <c r="B12" s="553" t="s">
        <v>618</v>
      </c>
      <c r="C12" s="554" t="s">
        <v>619</v>
      </c>
      <c r="D12" s="555">
        <v>240</v>
      </c>
      <c r="E12" s="556">
        <v>80</v>
      </c>
      <c r="F12" s="556">
        <f t="shared" si="0"/>
        <v>19200</v>
      </c>
    </row>
    <row r="13" spans="1:6" ht="19.25" customHeight="1" x14ac:dyDescent="0.15">
      <c r="A13" s="561"/>
      <c r="B13" s="553" t="s">
        <v>620</v>
      </c>
      <c r="C13" s="554" t="s">
        <v>621</v>
      </c>
      <c r="D13" s="555">
        <v>240</v>
      </c>
      <c r="E13" s="556">
        <v>200</v>
      </c>
      <c r="F13" s="556">
        <f t="shared" si="0"/>
        <v>48000</v>
      </c>
    </row>
    <row r="14" spans="1:6" ht="19.25" customHeight="1" x14ac:dyDescent="0.15">
      <c r="A14" s="561"/>
      <c r="B14" s="553" t="s">
        <v>622</v>
      </c>
      <c r="C14" s="554" t="s">
        <v>623</v>
      </c>
      <c r="D14" s="555">
        <v>160</v>
      </c>
      <c r="E14" s="556">
        <v>1800</v>
      </c>
      <c r="F14" s="556">
        <f t="shared" si="0"/>
        <v>288000</v>
      </c>
    </row>
    <row r="15" spans="1:6" ht="19.25" customHeight="1" x14ac:dyDescent="0.15">
      <c r="A15" s="561"/>
      <c r="B15" s="553" t="s">
        <v>624</v>
      </c>
      <c r="C15" s="554" t="s">
        <v>625</v>
      </c>
      <c r="D15" s="555">
        <v>160</v>
      </c>
      <c r="E15" s="556">
        <v>1800</v>
      </c>
      <c r="F15" s="556">
        <f t="shared" si="0"/>
        <v>288000</v>
      </c>
    </row>
    <row r="16" spans="1:6" ht="19.25" customHeight="1" x14ac:dyDescent="0.15">
      <c r="A16" s="98" t="s">
        <v>626</v>
      </c>
      <c r="B16" s="99" t="s">
        <v>627</v>
      </c>
      <c r="C16" s="154"/>
      <c r="D16" s="154"/>
      <c r="E16" s="106"/>
      <c r="F16" s="106">
        <f t="shared" si="0"/>
        <v>0</v>
      </c>
    </row>
    <row r="17" spans="1:7" ht="18.5" customHeight="1" x14ac:dyDescent="0.15">
      <c r="A17" s="152"/>
      <c r="B17" s="99" t="s">
        <v>628</v>
      </c>
      <c r="C17" s="102" t="s">
        <v>629</v>
      </c>
      <c r="D17" s="109">
        <v>240</v>
      </c>
      <c r="E17" s="106">
        <v>75</v>
      </c>
      <c r="F17" s="106">
        <f t="shared" si="0"/>
        <v>18000</v>
      </c>
    </row>
    <row r="18" spans="1:7" ht="20" customHeight="1" x14ac:dyDescent="0.15">
      <c r="A18" s="152"/>
      <c r="B18" s="99" t="s">
        <v>630</v>
      </c>
      <c r="C18" s="102" t="s">
        <v>631</v>
      </c>
      <c r="D18" s="109">
        <v>240</v>
      </c>
      <c r="E18" s="106">
        <v>75</v>
      </c>
      <c r="F18" s="106">
        <f t="shared" si="0"/>
        <v>18000</v>
      </c>
    </row>
    <row r="19" spans="1:7" ht="20" customHeight="1" x14ac:dyDescent="0.15">
      <c r="A19" s="152"/>
      <c r="B19" s="99" t="s">
        <v>632</v>
      </c>
      <c r="C19" s="102" t="s">
        <v>633</v>
      </c>
      <c r="D19" s="109">
        <v>240</v>
      </c>
      <c r="E19" s="106">
        <v>75</v>
      </c>
      <c r="F19" s="106">
        <f t="shared" si="0"/>
        <v>18000</v>
      </c>
    </row>
    <row r="20" spans="1:7" ht="19.25" customHeight="1" x14ac:dyDescent="0.15">
      <c r="A20" s="152"/>
      <c r="B20" s="99" t="s">
        <v>634</v>
      </c>
      <c r="C20" s="102" t="s">
        <v>635</v>
      </c>
      <c r="D20" s="109">
        <v>24</v>
      </c>
      <c r="E20" s="106">
        <v>450</v>
      </c>
      <c r="F20" s="106">
        <f t="shared" si="0"/>
        <v>10800</v>
      </c>
    </row>
    <row r="21" spans="1:7" ht="19.25" customHeight="1" x14ac:dyDescent="0.15">
      <c r="A21" s="152"/>
      <c r="B21" s="99" t="s">
        <v>636</v>
      </c>
      <c r="C21" s="102" t="s">
        <v>637</v>
      </c>
      <c r="D21" s="109">
        <v>24</v>
      </c>
      <c r="E21" s="106">
        <v>450</v>
      </c>
      <c r="F21" s="106">
        <f t="shared" si="0"/>
        <v>10800</v>
      </c>
    </row>
    <row r="22" spans="1:7" ht="27" customHeight="1" x14ac:dyDescent="0.15">
      <c r="A22" s="152"/>
      <c r="B22" s="99" t="s">
        <v>638</v>
      </c>
      <c r="C22" s="102" t="s">
        <v>639</v>
      </c>
      <c r="D22" s="109">
        <v>24</v>
      </c>
      <c r="E22" s="106">
        <v>800</v>
      </c>
      <c r="F22" s="106">
        <f t="shared" si="0"/>
        <v>19200</v>
      </c>
    </row>
    <row r="23" spans="1:7" ht="20.75" customHeight="1" x14ac:dyDescent="0.15">
      <c r="A23" s="98" t="s">
        <v>640</v>
      </c>
      <c r="B23" s="99" t="s">
        <v>641</v>
      </c>
      <c r="C23" s="154"/>
      <c r="D23" s="154"/>
      <c r="E23" s="106"/>
      <c r="F23" s="106">
        <f t="shared" si="0"/>
        <v>0</v>
      </c>
    </row>
    <row r="24" spans="1:7" x14ac:dyDescent="0.2">
      <c r="A24" s="561"/>
      <c r="B24" s="553" t="s">
        <v>642</v>
      </c>
      <c r="C24" s="554" t="s">
        <v>643</v>
      </c>
      <c r="D24" s="555">
        <v>10000</v>
      </c>
      <c r="E24" s="556">
        <v>20</v>
      </c>
      <c r="F24" s="556">
        <f t="shared" si="0"/>
        <v>200000</v>
      </c>
      <c r="G24" s="91"/>
    </row>
    <row r="25" spans="1:7" x14ac:dyDescent="0.2">
      <c r="A25" s="561"/>
      <c r="B25" s="553" t="s">
        <v>644</v>
      </c>
      <c r="C25" s="554" t="s">
        <v>645</v>
      </c>
      <c r="D25" s="555">
        <v>240</v>
      </c>
      <c r="E25" s="556">
        <v>45</v>
      </c>
      <c r="F25" s="556">
        <f t="shared" si="0"/>
        <v>10800</v>
      </c>
      <c r="G25" s="91"/>
    </row>
    <row r="26" spans="1:7" x14ac:dyDescent="0.15">
      <c r="A26" s="561"/>
      <c r="B26" s="553" t="s">
        <v>646</v>
      </c>
      <c r="C26" s="554" t="s">
        <v>647</v>
      </c>
      <c r="D26" s="555">
        <v>100</v>
      </c>
      <c r="E26" s="556">
        <v>45</v>
      </c>
      <c r="F26" s="556">
        <f t="shared" si="0"/>
        <v>4500</v>
      </c>
    </row>
    <row r="27" spans="1:7" ht="15" thickBot="1" x14ac:dyDescent="0.2">
      <c r="A27" s="155"/>
      <c r="B27" s="156" t="s">
        <v>648</v>
      </c>
      <c r="C27" s="157" t="s">
        <v>649</v>
      </c>
      <c r="D27" s="157">
        <v>500</v>
      </c>
      <c r="E27" s="158">
        <v>120</v>
      </c>
      <c r="F27" s="106">
        <f t="shared" si="0"/>
        <v>60000</v>
      </c>
    </row>
    <row r="28" spans="1:7" ht="15" thickBot="1" x14ac:dyDescent="0.2">
      <c r="A28" s="179" t="s">
        <v>650</v>
      </c>
      <c r="B28" s="637" t="s">
        <v>651</v>
      </c>
      <c r="C28" s="637"/>
      <c r="D28" s="637"/>
      <c r="E28" s="638"/>
      <c r="F28" s="410">
        <f>SUM(F7:F27)</f>
        <v>1677300</v>
      </c>
    </row>
    <row r="30" spans="1:7" x14ac:dyDescent="0.2">
      <c r="A30" s="113" t="s">
        <v>652</v>
      </c>
    </row>
    <row r="31" spans="1:7" x14ac:dyDescent="0.2">
      <c r="A31" s="113"/>
    </row>
  </sheetData>
  <mergeCells count="2">
    <mergeCell ref="B28:E28"/>
    <mergeCell ref="A2:E2"/>
  </mergeCells>
  <phoneticPr fontId="2" type="noConversion"/>
  <pageMargins left="0.7" right="0.7" top="0.75" bottom="0.75" header="0.3" footer="0.3"/>
  <pageSetup paperSize="9" scale="7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3"/>
  <sheetViews>
    <sheetView view="pageBreakPreview" topLeftCell="A12" zoomScaleNormal="100" zoomScaleSheetLayoutView="100" workbookViewId="0">
      <selection activeCell="E14" sqref="E14"/>
    </sheetView>
  </sheetViews>
  <sheetFormatPr baseColWidth="10" defaultColWidth="9.3984375" defaultRowHeight="13" x14ac:dyDescent="0.15"/>
  <cols>
    <col min="1" max="1" width="10" style="89" customWidth="1"/>
    <col min="2" max="2" width="77.3984375" style="89" customWidth="1"/>
    <col min="3" max="3" width="10" style="89" customWidth="1"/>
    <col min="4" max="4" width="11" style="89" customWidth="1"/>
    <col min="5" max="5" width="12.3984375" style="89" customWidth="1"/>
    <col min="6" max="6" width="15.1992187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0.25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x14ac:dyDescent="0.15">
      <c r="A4" s="300" t="s">
        <v>20</v>
      </c>
      <c r="B4" s="88"/>
      <c r="C4" s="88"/>
      <c r="D4" s="88"/>
      <c r="E4" s="88"/>
      <c r="F4" s="301"/>
    </row>
    <row r="5" spans="1:6" ht="10.5" customHeight="1" thickBot="1" x14ac:dyDescent="0.2"/>
    <row r="6" spans="1:6" ht="25.75" customHeight="1" thickBot="1" x14ac:dyDescent="0.2">
      <c r="A6" s="92" t="s">
        <v>653</v>
      </c>
      <c r="B6" s="93" t="s">
        <v>654</v>
      </c>
      <c r="C6" s="93" t="s">
        <v>655</v>
      </c>
      <c r="D6" s="93" t="s">
        <v>656</v>
      </c>
      <c r="E6" s="93" t="s">
        <v>657</v>
      </c>
      <c r="F6" s="93" t="s">
        <v>658</v>
      </c>
    </row>
    <row r="7" spans="1:6" ht="19.25" customHeight="1" x14ac:dyDescent="0.15">
      <c r="A7" s="144"/>
      <c r="B7" s="635" t="s">
        <v>659</v>
      </c>
      <c r="C7" s="635"/>
      <c r="D7" s="635"/>
      <c r="E7" s="635"/>
      <c r="F7" s="146">
        <f>+'M3100'!F28</f>
        <v>1677300</v>
      </c>
    </row>
    <row r="8" spans="1:6" ht="19.25" customHeight="1" x14ac:dyDescent="0.15">
      <c r="A8" s="267" t="s">
        <v>660</v>
      </c>
      <c r="B8" s="148" t="s">
        <v>661</v>
      </c>
      <c r="C8" s="309"/>
      <c r="D8" s="309"/>
      <c r="E8" s="309"/>
      <c r="F8" s="309"/>
    </row>
    <row r="9" spans="1:6" ht="19.25" customHeight="1" x14ac:dyDescent="0.15">
      <c r="A9" s="152"/>
      <c r="B9" s="99" t="s">
        <v>662</v>
      </c>
      <c r="C9" s="154"/>
      <c r="D9" s="154"/>
      <c r="E9" s="154"/>
      <c r="F9" s="106" t="str">
        <f>IF(D9=0,"",ROUND(D9*E9,2))</f>
        <v/>
      </c>
    </row>
    <row r="10" spans="1:6" ht="19.25" customHeight="1" x14ac:dyDescent="0.15">
      <c r="A10" s="152"/>
      <c r="B10" s="99" t="s">
        <v>663</v>
      </c>
      <c r="C10" s="102" t="s">
        <v>664</v>
      </c>
      <c r="D10" s="109">
        <v>5</v>
      </c>
      <c r="E10" s="106">
        <v>185</v>
      </c>
      <c r="F10" s="106">
        <f>+E10*D10</f>
        <v>925</v>
      </c>
    </row>
    <row r="11" spans="1:6" ht="13.75" customHeight="1" x14ac:dyDescent="0.15">
      <c r="A11" s="152"/>
      <c r="B11" s="99" t="s">
        <v>665</v>
      </c>
      <c r="C11" s="102" t="s">
        <v>666</v>
      </c>
      <c r="D11" s="109">
        <v>6</v>
      </c>
      <c r="E11" s="106">
        <v>185</v>
      </c>
      <c r="F11" s="106">
        <f t="shared" ref="F11:F28" si="0">+E11*D11</f>
        <v>1110</v>
      </c>
    </row>
    <row r="12" spans="1:6" ht="12.75" customHeight="1" x14ac:dyDescent="0.15">
      <c r="A12" s="152"/>
      <c r="B12" s="99" t="s">
        <v>667</v>
      </c>
      <c r="C12" s="102" t="s">
        <v>668</v>
      </c>
      <c r="D12" s="109">
        <v>140</v>
      </c>
      <c r="E12" s="106">
        <v>450</v>
      </c>
      <c r="F12" s="106">
        <f t="shared" si="0"/>
        <v>63000</v>
      </c>
    </row>
    <row r="13" spans="1:6" ht="14.25" customHeight="1" x14ac:dyDescent="0.15">
      <c r="A13" s="152"/>
      <c r="B13" s="99" t="s">
        <v>669</v>
      </c>
      <c r="C13" s="102" t="s">
        <v>670</v>
      </c>
      <c r="D13" s="109">
        <v>160</v>
      </c>
      <c r="E13" s="106">
        <v>350</v>
      </c>
      <c r="F13" s="106">
        <f t="shared" si="0"/>
        <v>56000</v>
      </c>
    </row>
    <row r="14" spans="1:6" ht="13.5" customHeight="1" x14ac:dyDescent="0.15">
      <c r="A14" s="152"/>
      <c r="B14" s="99" t="s">
        <v>671</v>
      </c>
      <c r="C14" s="102" t="s">
        <v>672</v>
      </c>
      <c r="D14" s="109">
        <v>5</v>
      </c>
      <c r="E14" s="106">
        <v>12000</v>
      </c>
      <c r="F14" s="106">
        <f t="shared" si="0"/>
        <v>60000</v>
      </c>
    </row>
    <row r="15" spans="1:6" ht="14.5" customHeight="1" x14ac:dyDescent="0.15">
      <c r="A15" s="152"/>
      <c r="B15" s="99" t="s">
        <v>673</v>
      </c>
      <c r="C15" s="102" t="s">
        <v>674</v>
      </c>
      <c r="D15" s="109">
        <v>30</v>
      </c>
      <c r="E15" s="106">
        <v>1200</v>
      </c>
      <c r="F15" s="106">
        <f t="shared" si="0"/>
        <v>36000</v>
      </c>
    </row>
    <row r="16" spans="1:6" ht="14" x14ac:dyDescent="0.15">
      <c r="A16" s="152"/>
      <c r="B16" s="99" t="s">
        <v>675</v>
      </c>
      <c r="C16" s="154"/>
      <c r="D16" s="154"/>
      <c r="E16" s="106"/>
      <c r="F16" s="106">
        <f t="shared" si="0"/>
        <v>0</v>
      </c>
    </row>
    <row r="17" spans="1:6" ht="14" x14ac:dyDescent="0.15">
      <c r="A17" s="152"/>
      <c r="B17" s="99" t="s">
        <v>676</v>
      </c>
      <c r="C17" s="154"/>
      <c r="D17" s="154"/>
      <c r="E17" s="106"/>
      <c r="F17" s="106">
        <f t="shared" si="0"/>
        <v>0</v>
      </c>
    </row>
    <row r="18" spans="1:6" ht="14" x14ac:dyDescent="0.15">
      <c r="A18" s="152"/>
      <c r="B18" s="99" t="s">
        <v>677</v>
      </c>
      <c r="C18" s="102" t="s">
        <v>678</v>
      </c>
      <c r="D18" s="109">
        <v>150</v>
      </c>
      <c r="E18" s="106">
        <v>350</v>
      </c>
      <c r="F18" s="106">
        <f t="shared" si="0"/>
        <v>52500</v>
      </c>
    </row>
    <row r="19" spans="1:6" ht="14" x14ac:dyDescent="0.15">
      <c r="A19" s="152"/>
      <c r="B19" s="99" t="s">
        <v>679</v>
      </c>
      <c r="C19" s="102" t="s">
        <v>680</v>
      </c>
      <c r="D19" s="109">
        <v>150</v>
      </c>
      <c r="E19" s="106">
        <v>450</v>
      </c>
      <c r="F19" s="106">
        <f t="shared" si="0"/>
        <v>67500</v>
      </c>
    </row>
    <row r="20" spans="1:6" ht="14" x14ac:dyDescent="0.15">
      <c r="A20" s="152"/>
      <c r="B20" s="99" t="s">
        <v>681</v>
      </c>
      <c r="C20" s="102" t="s">
        <v>682</v>
      </c>
      <c r="D20" s="109">
        <v>100</v>
      </c>
      <c r="E20" s="106">
        <v>650</v>
      </c>
      <c r="F20" s="106">
        <f t="shared" si="0"/>
        <v>65000</v>
      </c>
    </row>
    <row r="21" spans="1:6" ht="14" x14ac:dyDescent="0.15">
      <c r="A21" s="152"/>
      <c r="B21" s="99" t="s">
        <v>683</v>
      </c>
      <c r="C21" s="154"/>
      <c r="D21" s="154"/>
      <c r="E21" s="106"/>
      <c r="F21" s="106">
        <f t="shared" si="0"/>
        <v>0</v>
      </c>
    </row>
    <row r="22" spans="1:6" ht="14" x14ac:dyDescent="0.15">
      <c r="A22" s="152"/>
      <c r="B22" s="99" t="s">
        <v>684</v>
      </c>
      <c r="C22" s="102" t="s">
        <v>685</v>
      </c>
      <c r="D22" s="109">
        <v>400</v>
      </c>
      <c r="E22" s="106">
        <v>250</v>
      </c>
      <c r="F22" s="106">
        <f t="shared" si="0"/>
        <v>100000</v>
      </c>
    </row>
    <row r="23" spans="1:6" ht="20" customHeight="1" x14ac:dyDescent="0.15">
      <c r="A23" s="152"/>
      <c r="B23" s="99" t="s">
        <v>686</v>
      </c>
      <c r="C23" s="102" t="s">
        <v>687</v>
      </c>
      <c r="D23" s="109">
        <v>130</v>
      </c>
      <c r="E23" s="106">
        <v>350</v>
      </c>
      <c r="F23" s="106">
        <f t="shared" si="0"/>
        <v>45500</v>
      </c>
    </row>
    <row r="24" spans="1:6" ht="29.75" customHeight="1" x14ac:dyDescent="0.15">
      <c r="A24" s="152"/>
      <c r="B24" s="99" t="s">
        <v>688</v>
      </c>
      <c r="C24" s="102" t="s">
        <v>689</v>
      </c>
      <c r="D24" s="109">
        <v>150</v>
      </c>
      <c r="E24" s="106">
        <v>450</v>
      </c>
      <c r="F24" s="106">
        <f t="shared" si="0"/>
        <v>67500</v>
      </c>
    </row>
    <row r="25" spans="1:6" ht="29.25" customHeight="1" x14ac:dyDescent="0.15">
      <c r="A25" s="152"/>
      <c r="B25" s="99" t="s">
        <v>690</v>
      </c>
      <c r="C25" s="102" t="s">
        <v>691</v>
      </c>
      <c r="D25" s="109">
        <v>24</v>
      </c>
      <c r="E25" s="106">
        <v>1800</v>
      </c>
      <c r="F25" s="106">
        <f t="shared" si="0"/>
        <v>43200</v>
      </c>
    </row>
    <row r="26" spans="1:6" ht="23.25" customHeight="1" x14ac:dyDescent="0.15">
      <c r="A26" s="152"/>
      <c r="B26" s="99" t="s">
        <v>692</v>
      </c>
      <c r="C26" s="102" t="s">
        <v>693</v>
      </c>
      <c r="D26" s="109">
        <v>24</v>
      </c>
      <c r="E26" s="106">
        <v>2800</v>
      </c>
      <c r="F26" s="106">
        <f t="shared" si="0"/>
        <v>67200</v>
      </c>
    </row>
    <row r="27" spans="1:6" ht="14" x14ac:dyDescent="0.15">
      <c r="A27" s="552" t="s">
        <v>694</v>
      </c>
      <c r="B27" s="553" t="s">
        <v>695</v>
      </c>
      <c r="C27" s="554" t="s">
        <v>696</v>
      </c>
      <c r="D27" s="555">
        <v>5000</v>
      </c>
      <c r="E27" s="556">
        <v>60</v>
      </c>
      <c r="F27" s="556">
        <f t="shared" si="0"/>
        <v>300000</v>
      </c>
    </row>
    <row r="28" spans="1:6" ht="28" x14ac:dyDescent="0.15">
      <c r="A28" s="166" t="s">
        <v>697</v>
      </c>
      <c r="B28" s="99" t="s">
        <v>698</v>
      </c>
      <c r="C28" s="154"/>
      <c r="D28" s="154"/>
      <c r="E28" s="154"/>
      <c r="F28" s="106">
        <f t="shared" si="0"/>
        <v>0</v>
      </c>
    </row>
    <row r="29" spans="1:6" ht="28" x14ac:dyDescent="0.15">
      <c r="A29" s="152"/>
      <c r="B29" s="99" t="s">
        <v>699</v>
      </c>
      <c r="C29" s="102" t="s">
        <v>700</v>
      </c>
      <c r="D29" s="102">
        <v>1</v>
      </c>
      <c r="E29" s="274">
        <v>50000</v>
      </c>
      <c r="F29" s="106">
        <v>50000</v>
      </c>
    </row>
    <row r="30" spans="1:6" ht="29" thickBot="1" x14ac:dyDescent="0.2">
      <c r="A30" s="155"/>
      <c r="B30" s="156" t="s">
        <v>701</v>
      </c>
      <c r="C30" s="157" t="s">
        <v>702</v>
      </c>
      <c r="D30" s="404">
        <v>50000</v>
      </c>
      <c r="E30" s="314">
        <v>0.15</v>
      </c>
      <c r="F30" s="158">
        <f>+E30*D30</f>
        <v>7500</v>
      </c>
    </row>
    <row r="31" spans="1:6" ht="15" thickBot="1" x14ac:dyDescent="0.2">
      <c r="A31" s="179" t="s">
        <v>703</v>
      </c>
      <c r="B31" s="637" t="s">
        <v>704</v>
      </c>
      <c r="C31" s="637"/>
      <c r="D31" s="637"/>
      <c r="E31" s="637"/>
      <c r="F31" s="526">
        <f>SUM(F7:F30)</f>
        <v>2760235</v>
      </c>
    </row>
    <row r="32" spans="1:6" x14ac:dyDescent="0.15">
      <c r="A32" s="113" t="s">
        <v>705</v>
      </c>
    </row>
    <row r="33" spans="1:1" x14ac:dyDescent="0.15">
      <c r="A33" s="113"/>
    </row>
  </sheetData>
  <mergeCells count="3">
    <mergeCell ref="B7:E7"/>
    <mergeCell ref="B31:E31"/>
    <mergeCell ref="A2:E2"/>
  </mergeCells>
  <phoneticPr fontId="2" type="noConversion"/>
  <pageMargins left="0.7" right="0.7" top="0.75" bottom="0.75" header="0.3" footer="0.3"/>
  <pageSetup paperSize="9" scale="7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9"/>
  <sheetViews>
    <sheetView view="pageBreakPreview" topLeftCell="A9" zoomScaleNormal="100" zoomScaleSheetLayoutView="100" workbookViewId="0">
      <selection activeCell="E9" sqref="E9"/>
    </sheetView>
  </sheetViews>
  <sheetFormatPr baseColWidth="10" defaultColWidth="9.3984375" defaultRowHeight="13" x14ac:dyDescent="0.15"/>
  <cols>
    <col min="1" max="1" width="11" style="89" customWidth="1"/>
    <col min="2" max="2" width="73.3984375" style="89" customWidth="1"/>
    <col min="3" max="3" width="10" style="89" customWidth="1"/>
    <col min="4" max="4" width="11" style="89" customWidth="1"/>
    <col min="5" max="5" width="12" style="89" bestFit="1" customWidth="1"/>
    <col min="6" max="6" width="15.1992187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1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thickBot="1" x14ac:dyDescent="0.2">
      <c r="A4" s="300" t="s">
        <v>20</v>
      </c>
      <c r="B4" s="88"/>
      <c r="C4" s="88"/>
      <c r="D4" s="88"/>
      <c r="E4" s="88"/>
      <c r="F4" s="301"/>
    </row>
    <row r="5" spans="1:6" ht="24.75" customHeight="1" thickBot="1" x14ac:dyDescent="0.2">
      <c r="A5" s="92" t="s">
        <v>706</v>
      </c>
      <c r="B5" s="94" t="s">
        <v>707</v>
      </c>
      <c r="C5" s="93" t="s">
        <v>708</v>
      </c>
      <c r="D5" s="93" t="s">
        <v>709</v>
      </c>
      <c r="E5" s="93" t="s">
        <v>710</v>
      </c>
      <c r="F5" s="93" t="s">
        <v>711</v>
      </c>
    </row>
    <row r="6" spans="1:6" ht="24.75" customHeight="1" x14ac:dyDescent="0.15">
      <c r="A6" s="176" t="s">
        <v>712</v>
      </c>
      <c r="B6" s="143" t="s">
        <v>713</v>
      </c>
      <c r="C6" s="177"/>
      <c r="D6" s="177"/>
      <c r="E6" s="177"/>
      <c r="F6" s="177"/>
    </row>
    <row r="7" spans="1:6" ht="20" customHeight="1" x14ac:dyDescent="0.15">
      <c r="A7" s="166" t="s">
        <v>714</v>
      </c>
      <c r="B7" s="99" t="s">
        <v>715</v>
      </c>
      <c r="C7" s="154"/>
      <c r="D7" s="154"/>
      <c r="E7" s="154"/>
      <c r="F7" s="154"/>
    </row>
    <row r="8" spans="1:6" ht="20" customHeight="1" x14ac:dyDescent="0.15">
      <c r="A8" s="152"/>
      <c r="B8" s="99" t="s">
        <v>716</v>
      </c>
      <c r="C8" s="154"/>
      <c r="D8" s="154"/>
      <c r="E8" s="154"/>
      <c r="F8" s="154"/>
    </row>
    <row r="9" spans="1:6" ht="20" customHeight="1" x14ac:dyDescent="0.15">
      <c r="A9" s="152"/>
      <c r="B9" s="99" t="s">
        <v>717</v>
      </c>
      <c r="C9" s="102" t="s">
        <v>718</v>
      </c>
      <c r="D9" s="102">
        <v>36</v>
      </c>
      <c r="E9" s="106">
        <v>20000</v>
      </c>
      <c r="F9" s="106">
        <f>+E9*D9</f>
        <v>720000</v>
      </c>
    </row>
    <row r="10" spans="1:6" ht="20" customHeight="1" x14ac:dyDescent="0.15">
      <c r="A10" s="166" t="s">
        <v>719</v>
      </c>
      <c r="B10" s="99" t="s">
        <v>720</v>
      </c>
      <c r="C10" s="154"/>
      <c r="D10" s="154"/>
      <c r="E10" s="106"/>
      <c r="F10" s="106">
        <f t="shared" ref="F10:F13" si="0">+E10*D10</f>
        <v>0</v>
      </c>
    </row>
    <row r="11" spans="1:6" ht="20" customHeight="1" x14ac:dyDescent="0.15">
      <c r="A11" s="166"/>
      <c r="B11" s="99" t="s">
        <v>721</v>
      </c>
      <c r="C11" s="102" t="s">
        <v>722</v>
      </c>
      <c r="D11" s="109">
        <v>25</v>
      </c>
      <c r="E11" s="106">
        <v>5000</v>
      </c>
      <c r="F11" s="106">
        <f t="shared" si="0"/>
        <v>125000</v>
      </c>
    </row>
    <row r="12" spans="1:6" ht="20" customHeight="1" x14ac:dyDescent="0.15">
      <c r="A12" s="306"/>
      <c r="B12" s="99" t="s">
        <v>723</v>
      </c>
      <c r="C12" s="403" t="s">
        <v>724</v>
      </c>
      <c r="D12" s="109">
        <v>30</v>
      </c>
      <c r="E12" s="106">
        <v>5000</v>
      </c>
      <c r="F12" s="106">
        <f t="shared" si="0"/>
        <v>150000</v>
      </c>
    </row>
    <row r="13" spans="1:6" ht="20" customHeight="1" x14ac:dyDescent="0.15">
      <c r="A13" s="306"/>
      <c r="B13" s="99"/>
      <c r="C13" s="403"/>
      <c r="D13" s="109"/>
      <c r="E13" s="106"/>
      <c r="F13" s="106">
        <f t="shared" si="0"/>
        <v>0</v>
      </c>
    </row>
    <row r="14" spans="1:6" ht="20" customHeight="1" x14ac:dyDescent="0.15">
      <c r="A14" s="306"/>
      <c r="B14" s="99"/>
      <c r="C14" s="403"/>
      <c r="D14" s="109"/>
      <c r="E14" s="106"/>
      <c r="F14" s="106"/>
    </row>
    <row r="15" spans="1:6" ht="20" customHeight="1" x14ac:dyDescent="0.15">
      <c r="A15" s="306"/>
      <c r="B15" s="99"/>
      <c r="C15" s="403"/>
      <c r="D15" s="109"/>
      <c r="E15" s="106"/>
      <c r="F15" s="106"/>
    </row>
    <row r="16" spans="1:6" ht="30.75" customHeight="1" x14ac:dyDescent="0.15">
      <c r="A16" s="306"/>
      <c r="B16" s="99"/>
      <c r="C16" s="403"/>
      <c r="D16" s="109"/>
      <c r="E16" s="106"/>
      <c r="F16" s="106"/>
    </row>
    <row r="17" spans="1:8" ht="21.5" customHeight="1" x14ac:dyDescent="0.2">
      <c r="A17" s="306"/>
      <c r="B17" s="99"/>
      <c r="C17" s="403"/>
      <c r="D17" s="109"/>
      <c r="E17" s="106"/>
      <c r="F17" s="106"/>
      <c r="G17" s="91"/>
      <c r="H17" s="91"/>
    </row>
    <row r="18" spans="1:8" ht="14" x14ac:dyDescent="0.2">
      <c r="A18" s="306"/>
      <c r="B18" s="99"/>
      <c r="C18" s="403"/>
      <c r="D18" s="109"/>
      <c r="E18" s="106"/>
      <c r="F18" s="106"/>
      <c r="G18" s="91"/>
      <c r="H18" s="91"/>
    </row>
    <row r="19" spans="1:8" ht="14" x14ac:dyDescent="0.2">
      <c r="A19" s="306"/>
      <c r="B19" s="99"/>
      <c r="C19" s="403"/>
      <c r="D19" s="109"/>
      <c r="E19" s="106"/>
      <c r="F19" s="106"/>
      <c r="G19" s="91"/>
      <c r="H19" s="91"/>
    </row>
    <row r="20" spans="1:8" ht="14" x14ac:dyDescent="0.2">
      <c r="A20" s="306"/>
      <c r="B20" s="99"/>
      <c r="C20" s="403"/>
      <c r="D20" s="109"/>
      <c r="E20" s="106"/>
      <c r="F20" s="106"/>
      <c r="G20" s="91"/>
      <c r="H20" s="91"/>
    </row>
    <row r="21" spans="1:8" ht="15" thickBot="1" x14ac:dyDescent="0.25">
      <c r="A21" s="155"/>
      <c r="B21" s="156"/>
      <c r="C21" s="157"/>
      <c r="D21" s="157"/>
      <c r="E21" s="158"/>
      <c r="F21" s="158"/>
      <c r="G21" s="91"/>
      <c r="H21" s="91"/>
    </row>
    <row r="22" spans="1:8" ht="15" thickBot="1" x14ac:dyDescent="0.25">
      <c r="A22" s="179" t="s">
        <v>725</v>
      </c>
      <c r="B22" s="637" t="s">
        <v>726</v>
      </c>
      <c r="C22" s="637"/>
      <c r="D22" s="637"/>
      <c r="E22" s="637"/>
      <c r="F22" s="526">
        <f>SUM(F6:F20)</f>
        <v>995000</v>
      </c>
      <c r="G22" s="91"/>
      <c r="H22" s="91"/>
    </row>
    <row r="23" spans="1:8" ht="14" x14ac:dyDescent="0.2">
      <c r="F23" s="91"/>
      <c r="G23" s="91"/>
      <c r="H23" s="91"/>
    </row>
    <row r="24" spans="1:8" ht="14" x14ac:dyDescent="0.2">
      <c r="A24" s="113" t="s">
        <v>727</v>
      </c>
      <c r="F24" s="91"/>
      <c r="G24" s="91"/>
      <c r="H24" s="91"/>
    </row>
    <row r="25" spans="1:8" ht="14" x14ac:dyDescent="0.2">
      <c r="A25" s="113"/>
      <c r="F25" s="91"/>
      <c r="G25" s="91"/>
      <c r="H25" s="91"/>
    </row>
    <row r="26" spans="1:8" ht="14" x14ac:dyDescent="0.2">
      <c r="F26" s="91"/>
      <c r="G26" s="91"/>
      <c r="H26" s="91"/>
    </row>
    <row r="27" spans="1:8" ht="14" x14ac:dyDescent="0.2">
      <c r="F27" s="91"/>
      <c r="G27" s="91"/>
      <c r="H27" s="91"/>
    </row>
    <row r="28" spans="1:8" ht="14" x14ac:dyDescent="0.2">
      <c r="F28" s="91"/>
      <c r="G28" s="91"/>
      <c r="H28" s="91"/>
    </row>
    <row r="29" spans="1:8" ht="14" x14ac:dyDescent="0.2">
      <c r="F29" s="91"/>
      <c r="G29" s="91"/>
      <c r="H29" s="91"/>
    </row>
    <row r="30" spans="1:8" ht="14" x14ac:dyDescent="0.2">
      <c r="F30" s="91"/>
      <c r="G30" s="91"/>
      <c r="H30" s="91"/>
    </row>
    <row r="31" spans="1:8" ht="14" x14ac:dyDescent="0.2">
      <c r="F31" s="91"/>
      <c r="G31" s="91"/>
      <c r="H31" s="91"/>
    </row>
    <row r="32" spans="1:8" ht="14" x14ac:dyDescent="0.2">
      <c r="F32" s="91"/>
      <c r="G32" s="91"/>
      <c r="H32" s="91"/>
    </row>
    <row r="33" spans="6:8" ht="14" x14ac:dyDescent="0.2">
      <c r="F33" s="91"/>
      <c r="G33" s="91"/>
      <c r="H33" s="91"/>
    </row>
    <row r="34" spans="6:8" ht="14" x14ac:dyDescent="0.2">
      <c r="F34" s="91"/>
      <c r="G34" s="91"/>
      <c r="H34" s="91"/>
    </row>
    <row r="35" spans="6:8" ht="14" x14ac:dyDescent="0.2">
      <c r="F35" s="91"/>
    </row>
    <row r="36" spans="6:8" ht="14" x14ac:dyDescent="0.2">
      <c r="F36" s="91"/>
    </row>
    <row r="37" spans="6:8" ht="14" x14ac:dyDescent="0.2">
      <c r="F37" s="91"/>
    </row>
    <row r="38" spans="6:8" ht="14" x14ac:dyDescent="0.2">
      <c r="F38" s="91"/>
    </row>
    <row r="39" spans="6:8" ht="14" x14ac:dyDescent="0.2">
      <c r="F39" s="91"/>
    </row>
  </sheetData>
  <mergeCells count="2">
    <mergeCell ref="B22:E22"/>
    <mergeCell ref="A2:E2"/>
  </mergeCells>
  <phoneticPr fontId="2" type="noConversion"/>
  <pageMargins left="0.7" right="0.7" top="0.75" bottom="0.75" header="0.3" footer="0.3"/>
  <pageSetup paperSize="9" scale="7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2"/>
  <sheetViews>
    <sheetView view="pageBreakPreview" topLeftCell="A5" zoomScaleNormal="100" zoomScaleSheetLayoutView="100" workbookViewId="0">
      <selection activeCell="A8" sqref="A8:F13"/>
    </sheetView>
  </sheetViews>
  <sheetFormatPr baseColWidth="10" defaultColWidth="9.3984375" defaultRowHeight="13" x14ac:dyDescent="0.15"/>
  <cols>
    <col min="1" max="1" width="11" style="89" customWidth="1"/>
    <col min="2" max="2" width="71" style="89" customWidth="1"/>
    <col min="3" max="3" width="10" style="89" customWidth="1"/>
    <col min="4" max="6" width="13.3984375" style="89" customWidth="1"/>
    <col min="7" max="16384" width="9.3984375" style="89"/>
  </cols>
  <sheetData>
    <row r="1" spans="1:6" ht="14" x14ac:dyDescent="0.15">
      <c r="A1" s="87" t="s">
        <v>1761</v>
      </c>
      <c r="B1" s="88"/>
      <c r="C1" s="88"/>
      <c r="D1" s="88"/>
      <c r="E1" s="88"/>
      <c r="F1" s="88"/>
    </row>
    <row r="2" spans="1:6" ht="27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thickBot="1" x14ac:dyDescent="0.2">
      <c r="A4" s="300" t="s">
        <v>20</v>
      </c>
      <c r="B4" s="88"/>
      <c r="C4" s="88"/>
      <c r="D4" s="88"/>
      <c r="E4" s="88"/>
      <c r="F4" s="301"/>
    </row>
    <row r="5" spans="1:6" ht="26.5" customHeight="1" thickBot="1" x14ac:dyDescent="0.2">
      <c r="A5" s="92" t="s">
        <v>728</v>
      </c>
      <c r="B5" s="143" t="s">
        <v>729</v>
      </c>
      <c r="C5" s="93" t="s">
        <v>730</v>
      </c>
      <c r="D5" s="93" t="s">
        <v>731</v>
      </c>
      <c r="E5" s="93" t="s">
        <v>732</v>
      </c>
      <c r="F5" s="93" t="s">
        <v>733</v>
      </c>
    </row>
    <row r="6" spans="1:6" ht="20" customHeight="1" x14ac:dyDescent="0.15">
      <c r="A6" s="176" t="s">
        <v>734</v>
      </c>
      <c r="B6" s="145" t="s">
        <v>735</v>
      </c>
      <c r="C6" s="209"/>
      <c r="D6" s="209"/>
      <c r="E6" s="209"/>
      <c r="F6" s="209"/>
    </row>
    <row r="7" spans="1:6" ht="14" x14ac:dyDescent="0.15">
      <c r="A7" s="166" t="s">
        <v>736</v>
      </c>
      <c r="B7" s="148" t="s">
        <v>737</v>
      </c>
      <c r="C7" s="154"/>
      <c r="D7" s="154"/>
      <c r="E7" s="154"/>
      <c r="F7" s="154"/>
    </row>
    <row r="8" spans="1:6" ht="28" x14ac:dyDescent="0.15">
      <c r="A8" s="561"/>
      <c r="B8" s="553" t="s">
        <v>738</v>
      </c>
      <c r="C8" s="554" t="s">
        <v>739</v>
      </c>
      <c r="D8" s="555">
        <v>2000</v>
      </c>
      <c r="E8" s="556">
        <v>65</v>
      </c>
      <c r="F8" s="556">
        <f>+E8*D8</f>
        <v>130000</v>
      </c>
    </row>
    <row r="9" spans="1:6" ht="28" x14ac:dyDescent="0.15">
      <c r="A9" s="561"/>
      <c r="B9" s="553" t="s">
        <v>740</v>
      </c>
      <c r="C9" s="554" t="s">
        <v>741</v>
      </c>
      <c r="D9" s="555">
        <v>1300</v>
      </c>
      <c r="E9" s="556">
        <v>65</v>
      </c>
      <c r="F9" s="556">
        <f t="shared" ref="F9:F13" si="0">+E9*D9</f>
        <v>84500</v>
      </c>
    </row>
    <row r="10" spans="1:6" ht="14" x14ac:dyDescent="0.15">
      <c r="A10" s="561"/>
      <c r="B10" s="553" t="s">
        <v>742</v>
      </c>
      <c r="C10" s="554" t="s">
        <v>743</v>
      </c>
      <c r="D10" s="555">
        <v>1300</v>
      </c>
      <c r="E10" s="556">
        <v>150</v>
      </c>
      <c r="F10" s="556">
        <f t="shared" si="0"/>
        <v>195000</v>
      </c>
    </row>
    <row r="11" spans="1:6" ht="14" x14ac:dyDescent="0.15">
      <c r="A11" s="561"/>
      <c r="B11" s="553" t="s">
        <v>744</v>
      </c>
      <c r="C11" s="554" t="s">
        <v>745</v>
      </c>
      <c r="D11" s="555">
        <v>12</v>
      </c>
      <c r="E11" s="556">
        <v>12000</v>
      </c>
      <c r="F11" s="556">
        <f t="shared" si="0"/>
        <v>144000</v>
      </c>
    </row>
    <row r="12" spans="1:6" ht="14" x14ac:dyDescent="0.15">
      <c r="A12" s="561"/>
      <c r="B12" s="553" t="s">
        <v>746</v>
      </c>
      <c r="C12" s="554" t="s">
        <v>747</v>
      </c>
      <c r="D12" s="554">
        <v>100</v>
      </c>
      <c r="E12" s="556">
        <v>65</v>
      </c>
      <c r="F12" s="556">
        <f t="shared" si="0"/>
        <v>6500</v>
      </c>
    </row>
    <row r="13" spans="1:6" ht="14" x14ac:dyDescent="0.15">
      <c r="A13" s="602"/>
      <c r="B13" s="553" t="s">
        <v>748</v>
      </c>
      <c r="C13" s="603" t="s">
        <v>749</v>
      </c>
      <c r="D13" s="554">
        <v>3500</v>
      </c>
      <c r="E13" s="604">
        <v>10</v>
      </c>
      <c r="F13" s="556">
        <f t="shared" si="0"/>
        <v>35000</v>
      </c>
    </row>
    <row r="14" spans="1:6" ht="24.75" customHeight="1" x14ac:dyDescent="0.15">
      <c r="A14" s="306"/>
      <c r="B14" s="99"/>
      <c r="C14" s="225"/>
      <c r="D14" s="102"/>
      <c r="E14" s="389"/>
      <c r="F14" s="106"/>
    </row>
    <row r="15" spans="1:6" ht="24.75" customHeight="1" x14ac:dyDescent="0.15">
      <c r="A15" s="306"/>
      <c r="B15" s="99"/>
      <c r="C15" s="225"/>
      <c r="D15" s="102"/>
      <c r="E15" s="389"/>
      <c r="F15" s="106"/>
    </row>
    <row r="16" spans="1:6" ht="24.75" customHeight="1" x14ac:dyDescent="0.15">
      <c r="A16" s="306"/>
      <c r="B16" s="99"/>
      <c r="C16" s="225"/>
      <c r="D16" s="102"/>
      <c r="E16" s="389"/>
      <c r="F16" s="106"/>
    </row>
    <row r="17" spans="1:7" ht="21.5" customHeight="1" x14ac:dyDescent="0.2">
      <c r="A17" s="306"/>
      <c r="B17" s="99"/>
      <c r="C17" s="225"/>
      <c r="D17" s="102"/>
      <c r="E17" s="389"/>
      <c r="F17" s="106"/>
      <c r="G17" s="91"/>
    </row>
    <row r="18" spans="1:7" ht="14" x14ac:dyDescent="0.2">
      <c r="A18" s="306"/>
      <c r="B18" s="99"/>
      <c r="C18" s="225"/>
      <c r="D18" s="102"/>
      <c r="E18" s="389"/>
      <c r="F18" s="106"/>
      <c r="G18" s="91"/>
    </row>
    <row r="19" spans="1:7" ht="14" x14ac:dyDescent="0.2">
      <c r="A19" s="306"/>
      <c r="B19" s="99"/>
      <c r="C19" s="225"/>
      <c r="D19" s="102"/>
      <c r="E19" s="389"/>
      <c r="F19" s="106"/>
      <c r="G19" s="91"/>
    </row>
    <row r="20" spans="1:7" ht="15" thickBot="1" x14ac:dyDescent="0.25">
      <c r="A20" s="390"/>
      <c r="B20" s="156"/>
      <c r="C20" s="391"/>
      <c r="D20" s="157"/>
      <c r="E20" s="392"/>
      <c r="F20" s="158"/>
      <c r="G20" s="91"/>
    </row>
    <row r="21" spans="1:7" ht="15" thickBot="1" x14ac:dyDescent="0.25">
      <c r="A21" s="179" t="s">
        <v>750</v>
      </c>
      <c r="B21" s="637" t="s">
        <v>751</v>
      </c>
      <c r="C21" s="637"/>
      <c r="D21" s="637"/>
      <c r="E21" s="637"/>
      <c r="F21" s="526">
        <f>SUM(F6:F20)</f>
        <v>595000</v>
      </c>
      <c r="G21" s="91"/>
    </row>
    <row r="22" spans="1:7" ht="14" x14ac:dyDescent="0.2">
      <c r="F22" s="91"/>
      <c r="G22" s="91"/>
    </row>
    <row r="23" spans="1:7" ht="14" x14ac:dyDescent="0.2">
      <c r="A23" s="113" t="s">
        <v>752</v>
      </c>
      <c r="F23" s="91"/>
      <c r="G23" s="91"/>
    </row>
    <row r="24" spans="1:7" ht="14" x14ac:dyDescent="0.2">
      <c r="A24" s="113"/>
      <c r="F24" s="91"/>
      <c r="G24" s="91"/>
    </row>
    <row r="25" spans="1:7" ht="14" x14ac:dyDescent="0.2">
      <c r="F25" s="91"/>
      <c r="G25" s="91"/>
    </row>
    <row r="26" spans="1:7" ht="14" x14ac:dyDescent="0.2">
      <c r="F26" s="91"/>
      <c r="G26" s="91"/>
    </row>
    <row r="27" spans="1:7" ht="14" x14ac:dyDescent="0.2">
      <c r="F27" s="91"/>
      <c r="G27" s="91"/>
    </row>
    <row r="28" spans="1:7" ht="14" x14ac:dyDescent="0.2">
      <c r="F28" s="91"/>
      <c r="G28" s="91"/>
    </row>
    <row r="29" spans="1:7" ht="14" x14ac:dyDescent="0.2">
      <c r="F29" s="91"/>
      <c r="G29" s="91"/>
    </row>
    <row r="30" spans="1:7" ht="14" x14ac:dyDescent="0.2">
      <c r="F30" s="91"/>
      <c r="G30" s="91"/>
    </row>
    <row r="31" spans="1:7" ht="14" x14ac:dyDescent="0.2">
      <c r="F31" s="91"/>
      <c r="G31" s="91"/>
    </row>
    <row r="32" spans="1:7" ht="14" x14ac:dyDescent="0.2">
      <c r="F32" s="91"/>
      <c r="G32" s="91"/>
    </row>
    <row r="33" spans="6:7" ht="14" x14ac:dyDescent="0.2">
      <c r="F33" s="91"/>
      <c r="G33" s="91"/>
    </row>
    <row r="34" spans="6:7" ht="14" x14ac:dyDescent="0.2">
      <c r="F34" s="91"/>
      <c r="G34" s="91"/>
    </row>
    <row r="35" spans="6:7" ht="14" x14ac:dyDescent="0.2">
      <c r="F35" s="91"/>
      <c r="G35" s="91"/>
    </row>
    <row r="36" spans="6:7" ht="14" x14ac:dyDescent="0.2">
      <c r="F36" s="91"/>
      <c r="G36" s="91"/>
    </row>
    <row r="37" spans="6:7" ht="14" x14ac:dyDescent="0.2">
      <c r="F37" s="91"/>
      <c r="G37" s="91"/>
    </row>
    <row r="38" spans="6:7" ht="14" x14ac:dyDescent="0.2">
      <c r="F38" s="91"/>
      <c r="G38" s="91"/>
    </row>
    <row r="39" spans="6:7" ht="14" x14ac:dyDescent="0.2">
      <c r="F39" s="91"/>
    </row>
    <row r="40" spans="6:7" ht="14" x14ac:dyDescent="0.2">
      <c r="F40" s="91"/>
    </row>
    <row r="41" spans="6:7" ht="14" x14ac:dyDescent="0.2">
      <c r="F41" s="91"/>
    </row>
    <row r="42" spans="6:7" ht="14" x14ac:dyDescent="0.2">
      <c r="F42" s="91"/>
    </row>
  </sheetData>
  <mergeCells count="2">
    <mergeCell ref="B21:E21"/>
    <mergeCell ref="A2:E2"/>
  </mergeCells>
  <phoneticPr fontId="2" type="noConversion"/>
  <pageMargins left="0.7" right="0.7" top="0.75" bottom="0.75" header="0.3" footer="0.3"/>
  <pageSetup paperSize="9" scale="74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2"/>
  <sheetViews>
    <sheetView view="pageBreakPreview" topLeftCell="A6" zoomScaleNormal="100" zoomScaleSheetLayoutView="100" workbookViewId="0">
      <selection activeCell="A9" sqref="A9:F12"/>
    </sheetView>
  </sheetViews>
  <sheetFormatPr baseColWidth="10" defaultColWidth="9.3984375" defaultRowHeight="13" x14ac:dyDescent="0.15"/>
  <cols>
    <col min="1" max="1" width="11" style="89" customWidth="1"/>
    <col min="2" max="2" width="60.796875" style="89" customWidth="1"/>
    <col min="3" max="3" width="10" style="89" customWidth="1"/>
    <col min="4" max="6" width="13.3984375" style="89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4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thickBot="1" x14ac:dyDescent="0.2">
      <c r="A4" s="300" t="s">
        <v>20</v>
      </c>
      <c r="B4" s="88"/>
      <c r="C4" s="88"/>
      <c r="D4" s="88"/>
      <c r="E4" s="88"/>
      <c r="F4" s="301"/>
    </row>
    <row r="5" spans="1:6" ht="20" customHeight="1" thickBot="1" x14ac:dyDescent="0.2">
      <c r="A5" s="260" t="s">
        <v>803</v>
      </c>
      <c r="B5" s="316" t="s">
        <v>804</v>
      </c>
      <c r="C5" s="317" t="s">
        <v>805</v>
      </c>
      <c r="D5" s="317" t="s">
        <v>806</v>
      </c>
      <c r="E5" s="317" t="s">
        <v>807</v>
      </c>
      <c r="F5" s="317" t="s">
        <v>808</v>
      </c>
    </row>
    <row r="6" spans="1:6" ht="28" x14ac:dyDescent="0.15">
      <c r="A6" s="361" t="s">
        <v>809</v>
      </c>
      <c r="B6" s="362" t="s">
        <v>810</v>
      </c>
      <c r="C6" s="165"/>
      <c r="D6" s="165"/>
      <c r="E6" s="165"/>
      <c r="F6" s="165"/>
    </row>
    <row r="7" spans="1:6" ht="19.25" customHeight="1" x14ac:dyDescent="0.2">
      <c r="A7" s="363"/>
      <c r="B7" s="211"/>
      <c r="C7" s="100"/>
      <c r="D7" s="100"/>
      <c r="E7" s="100"/>
      <c r="F7" s="100"/>
    </row>
    <row r="8" spans="1:6" ht="19.25" customHeight="1" x14ac:dyDescent="0.15">
      <c r="A8" s="195" t="s">
        <v>811</v>
      </c>
      <c r="B8" s="105" t="s">
        <v>812</v>
      </c>
      <c r="C8" s="100"/>
      <c r="D8" s="100"/>
      <c r="E8" s="100"/>
      <c r="F8" s="100"/>
    </row>
    <row r="9" spans="1:6" ht="20" customHeight="1" x14ac:dyDescent="0.15">
      <c r="A9" s="566"/>
      <c r="B9" s="553" t="s">
        <v>813</v>
      </c>
      <c r="C9" s="554" t="s">
        <v>814</v>
      </c>
      <c r="D9" s="555">
        <v>120</v>
      </c>
      <c r="E9" s="575">
        <v>500</v>
      </c>
      <c r="F9" s="556">
        <f>+E9*D9</f>
        <v>60000</v>
      </c>
    </row>
    <row r="10" spans="1:6" ht="15.25" customHeight="1" x14ac:dyDescent="0.15">
      <c r="A10" s="566"/>
      <c r="B10" s="553" t="s">
        <v>815</v>
      </c>
      <c r="C10" s="554" t="s">
        <v>816</v>
      </c>
      <c r="D10" s="555">
        <v>60</v>
      </c>
      <c r="E10" s="575">
        <v>750</v>
      </c>
      <c r="F10" s="556">
        <f t="shared" ref="F10:F25" si="0">+E10*D10</f>
        <v>45000</v>
      </c>
    </row>
    <row r="11" spans="1:6" ht="13" customHeight="1" x14ac:dyDescent="0.15">
      <c r="A11" s="566"/>
      <c r="B11" s="553" t="s">
        <v>817</v>
      </c>
      <c r="C11" s="554" t="s">
        <v>818</v>
      </c>
      <c r="D11" s="555">
        <v>32</v>
      </c>
      <c r="E11" s="575">
        <v>850</v>
      </c>
      <c r="F11" s="556">
        <f t="shared" si="0"/>
        <v>27200</v>
      </c>
    </row>
    <row r="12" spans="1:6" ht="13" customHeight="1" x14ac:dyDescent="0.15">
      <c r="A12" s="566"/>
      <c r="B12" s="553" t="s">
        <v>819</v>
      </c>
      <c r="C12" s="554" t="s">
        <v>820</v>
      </c>
      <c r="D12" s="555">
        <v>16</v>
      </c>
      <c r="E12" s="575">
        <v>950</v>
      </c>
      <c r="F12" s="556">
        <f t="shared" si="0"/>
        <v>15200</v>
      </c>
    </row>
    <row r="13" spans="1:6" ht="13" customHeight="1" x14ac:dyDescent="0.15">
      <c r="A13" s="166" t="s">
        <v>821</v>
      </c>
      <c r="B13" s="99" t="s">
        <v>822</v>
      </c>
      <c r="C13" s="100"/>
      <c r="D13" s="107"/>
      <c r="E13" s="167"/>
      <c r="F13" s="106">
        <f t="shared" si="0"/>
        <v>0</v>
      </c>
    </row>
    <row r="14" spans="1:6" ht="14.5" customHeight="1" x14ac:dyDescent="0.15">
      <c r="A14" s="101"/>
      <c r="B14" s="99" t="s">
        <v>823</v>
      </c>
      <c r="C14" s="100"/>
      <c r="D14" s="107"/>
      <c r="E14" s="167"/>
      <c r="F14" s="106">
        <f t="shared" si="0"/>
        <v>0</v>
      </c>
    </row>
    <row r="15" spans="1:6" ht="20.75" customHeight="1" x14ac:dyDescent="0.15">
      <c r="A15" s="101"/>
      <c r="B15" s="338" t="s">
        <v>824</v>
      </c>
      <c r="C15" s="102" t="s">
        <v>825</v>
      </c>
      <c r="D15" s="109">
        <v>56</v>
      </c>
      <c r="E15" s="167">
        <v>250</v>
      </c>
      <c r="F15" s="106">
        <f t="shared" si="0"/>
        <v>14000</v>
      </c>
    </row>
    <row r="16" spans="1:6" ht="27.25" customHeight="1" x14ac:dyDescent="0.15">
      <c r="A16" s="101"/>
      <c r="B16" s="338" t="s">
        <v>826</v>
      </c>
      <c r="C16" s="102" t="s">
        <v>827</v>
      </c>
      <c r="D16" s="109">
        <v>56</v>
      </c>
      <c r="E16" s="167">
        <v>350</v>
      </c>
      <c r="F16" s="106">
        <f t="shared" si="0"/>
        <v>19600</v>
      </c>
    </row>
    <row r="17" spans="1:6" ht="24.75" customHeight="1" x14ac:dyDescent="0.15">
      <c r="A17" s="101"/>
      <c r="B17" s="338" t="s">
        <v>828</v>
      </c>
      <c r="C17" s="102" t="s">
        <v>829</v>
      </c>
      <c r="D17" s="109">
        <v>56</v>
      </c>
      <c r="E17" s="167">
        <v>450</v>
      </c>
      <c r="F17" s="106">
        <f t="shared" si="0"/>
        <v>25200</v>
      </c>
    </row>
    <row r="18" spans="1:6" ht="12" customHeight="1" x14ac:dyDescent="0.15">
      <c r="A18" s="101"/>
      <c r="B18" s="364" t="s">
        <v>830</v>
      </c>
      <c r="C18" s="110" t="s">
        <v>831</v>
      </c>
      <c r="D18" s="111">
        <v>56</v>
      </c>
      <c r="E18" s="167">
        <v>650</v>
      </c>
      <c r="F18" s="106">
        <f t="shared" si="0"/>
        <v>36400</v>
      </c>
    </row>
    <row r="19" spans="1:6" ht="16.25" customHeight="1" x14ac:dyDescent="0.15">
      <c r="A19" s="166" t="s">
        <v>832</v>
      </c>
      <c r="B19" s="99" t="s">
        <v>833</v>
      </c>
      <c r="C19" s="100"/>
      <c r="D19" s="107"/>
      <c r="E19" s="167"/>
      <c r="F19" s="106">
        <f t="shared" si="0"/>
        <v>0</v>
      </c>
    </row>
    <row r="20" spans="1:6" ht="28" x14ac:dyDescent="0.15">
      <c r="A20" s="101"/>
      <c r="B20" s="105" t="s">
        <v>834</v>
      </c>
      <c r="C20" s="102" t="s">
        <v>835</v>
      </c>
      <c r="D20" s="109">
        <v>100</v>
      </c>
      <c r="E20" s="167">
        <v>1000</v>
      </c>
      <c r="F20" s="106">
        <f t="shared" si="0"/>
        <v>100000</v>
      </c>
    </row>
    <row r="21" spans="1:6" ht="14" x14ac:dyDescent="0.15">
      <c r="A21" s="101"/>
      <c r="B21" s="105" t="s">
        <v>836</v>
      </c>
      <c r="C21" s="102" t="s">
        <v>837</v>
      </c>
      <c r="D21" s="109">
        <v>100</v>
      </c>
      <c r="E21" s="167">
        <v>1000</v>
      </c>
      <c r="F21" s="106">
        <f t="shared" si="0"/>
        <v>100000</v>
      </c>
    </row>
    <row r="22" spans="1:6" ht="14" x14ac:dyDescent="0.15">
      <c r="A22" s="101"/>
      <c r="B22" s="105" t="s">
        <v>838</v>
      </c>
      <c r="C22" s="100"/>
      <c r="D22" s="107"/>
      <c r="E22" s="167"/>
      <c r="F22" s="106">
        <f t="shared" si="0"/>
        <v>0</v>
      </c>
    </row>
    <row r="23" spans="1:6" ht="14" x14ac:dyDescent="0.15">
      <c r="A23" s="365" t="s">
        <v>839</v>
      </c>
      <c r="B23" s="105" t="s">
        <v>840</v>
      </c>
      <c r="C23" s="110" t="s">
        <v>841</v>
      </c>
      <c r="D23" s="111">
        <v>100</v>
      </c>
      <c r="E23" s="167">
        <v>450</v>
      </c>
      <c r="F23" s="106">
        <f t="shared" si="0"/>
        <v>45000</v>
      </c>
    </row>
    <row r="24" spans="1:6" ht="14" x14ac:dyDescent="0.15">
      <c r="A24" s="166" t="s">
        <v>842</v>
      </c>
      <c r="B24" s="99" t="s">
        <v>843</v>
      </c>
      <c r="C24" s="102" t="s">
        <v>844</v>
      </c>
      <c r="D24" s="109">
        <v>20</v>
      </c>
      <c r="E24" s="167">
        <v>65</v>
      </c>
      <c r="F24" s="106">
        <f t="shared" si="0"/>
        <v>1300</v>
      </c>
    </row>
    <row r="25" spans="1:6" ht="14" x14ac:dyDescent="0.15">
      <c r="A25" s="101"/>
      <c r="B25" s="105" t="s">
        <v>845</v>
      </c>
      <c r="C25" s="100"/>
      <c r="D25" s="100"/>
      <c r="E25" s="167"/>
      <c r="F25" s="106">
        <f t="shared" si="0"/>
        <v>0</v>
      </c>
    </row>
    <row r="26" spans="1:6" ht="14" x14ac:dyDescent="0.15">
      <c r="A26" s="366"/>
      <c r="B26" s="367"/>
      <c r="C26" s="368"/>
      <c r="D26" s="369"/>
      <c r="E26" s="370"/>
      <c r="F26" s="371"/>
    </row>
    <row r="27" spans="1:6" x14ac:dyDescent="0.15">
      <c r="A27" s="365"/>
      <c r="B27" s="372"/>
      <c r="C27" s="110"/>
      <c r="D27" s="373"/>
      <c r="E27" s="167"/>
      <c r="F27" s="106"/>
    </row>
    <row r="28" spans="1:6" ht="14" thickBot="1" x14ac:dyDescent="0.2">
      <c r="A28" s="365"/>
      <c r="B28" s="372"/>
      <c r="C28" s="170"/>
      <c r="D28" s="373"/>
      <c r="E28" s="374"/>
      <c r="F28" s="106"/>
    </row>
    <row r="29" spans="1:6" ht="15" thickBot="1" x14ac:dyDescent="0.2">
      <c r="A29" s="260" t="s">
        <v>846</v>
      </c>
      <c r="B29" s="639" t="s">
        <v>847</v>
      </c>
      <c r="C29" s="640"/>
      <c r="D29" s="640"/>
      <c r="E29" s="641"/>
      <c r="F29" s="97">
        <f>SUM(F6:F26)</f>
        <v>488900</v>
      </c>
    </row>
    <row r="31" spans="1:6" x14ac:dyDescent="0.15">
      <c r="A31" s="113" t="s">
        <v>848</v>
      </c>
    </row>
    <row r="32" spans="1:6" x14ac:dyDescent="0.15">
      <c r="A32" s="113"/>
    </row>
  </sheetData>
  <mergeCells count="2">
    <mergeCell ref="B29:E29"/>
    <mergeCell ref="A2:E2"/>
  </mergeCells>
  <phoneticPr fontId="2" type="noConversion"/>
  <pageMargins left="0.7" right="0.7" top="0.75" bottom="0.75" header="0.3" footer="0.3"/>
  <pageSetup paperSize="9" scale="7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34"/>
  <sheetViews>
    <sheetView view="pageBreakPreview" topLeftCell="A13" zoomScaleNormal="100" zoomScaleSheetLayoutView="100" workbookViewId="0">
      <selection activeCell="F29" sqref="F29"/>
    </sheetView>
  </sheetViews>
  <sheetFormatPr baseColWidth="10" defaultColWidth="9.3984375" defaultRowHeight="13" x14ac:dyDescent="0.15"/>
  <cols>
    <col min="1" max="1" width="11" style="89" customWidth="1"/>
    <col min="2" max="2" width="68.59765625" style="89" customWidth="1"/>
    <col min="3" max="3" width="10" style="89" customWidth="1"/>
    <col min="4" max="4" width="11" style="89" customWidth="1"/>
    <col min="5" max="5" width="12.59765625" style="89" customWidth="1"/>
    <col min="6" max="6" width="15.1992187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1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thickBot="1" x14ac:dyDescent="0.2">
      <c r="A4" s="300" t="s">
        <v>20</v>
      </c>
      <c r="B4" s="88"/>
      <c r="C4" s="88"/>
      <c r="D4" s="88"/>
      <c r="E4" s="88"/>
      <c r="F4" s="301"/>
    </row>
    <row r="5" spans="1:6" ht="18.5" customHeight="1" x14ac:dyDescent="0.15">
      <c r="A5" s="350" t="s">
        <v>753</v>
      </c>
      <c r="B5" s="351" t="s">
        <v>754</v>
      </c>
      <c r="C5" s="352" t="s">
        <v>755</v>
      </c>
      <c r="D5" s="351" t="s">
        <v>756</v>
      </c>
      <c r="E5" s="351" t="s">
        <v>757</v>
      </c>
      <c r="F5" s="352" t="s">
        <v>758</v>
      </c>
    </row>
    <row r="6" spans="1:6" ht="19.25" customHeight="1" x14ac:dyDescent="0.15">
      <c r="A6" s="353"/>
      <c r="B6" s="642" t="s">
        <v>759</v>
      </c>
      <c r="C6" s="642"/>
      <c r="D6" s="642"/>
      <c r="E6" s="642"/>
      <c r="F6" s="354">
        <f>+'M4100'!F29</f>
        <v>488900</v>
      </c>
    </row>
    <row r="7" spans="1:6" ht="17" customHeight="1" x14ac:dyDescent="0.15">
      <c r="A7" s="355" t="s">
        <v>760</v>
      </c>
      <c r="B7" s="99" t="s">
        <v>761</v>
      </c>
      <c r="C7" s="154"/>
      <c r="D7" s="154"/>
      <c r="E7" s="106"/>
      <c r="F7" s="106" t="str">
        <f>IF(D7=0,"",ROUND(D7*E7,2))</f>
        <v/>
      </c>
    </row>
    <row r="8" spans="1:6" ht="15.75" customHeight="1" x14ac:dyDescent="0.15">
      <c r="A8" s="355"/>
      <c r="B8" s="99" t="s">
        <v>762</v>
      </c>
      <c r="C8" s="154"/>
      <c r="D8" s="154"/>
      <c r="E8" s="106"/>
      <c r="F8" s="106" t="str">
        <f>IF(D8=0,"",ROUND(D8*E8,2))</f>
        <v/>
      </c>
    </row>
    <row r="9" spans="1:6" ht="13.75" customHeight="1" x14ac:dyDescent="0.15">
      <c r="A9" s="356"/>
      <c r="B9" s="99" t="s">
        <v>763</v>
      </c>
      <c r="C9" s="102" t="s">
        <v>764</v>
      </c>
      <c r="D9" s="109">
        <v>120</v>
      </c>
      <c r="E9" s="106">
        <v>250</v>
      </c>
      <c r="F9" s="106">
        <f>+E9*D9</f>
        <v>30000</v>
      </c>
    </row>
    <row r="10" spans="1:6" ht="17.75" customHeight="1" x14ac:dyDescent="0.15">
      <c r="A10" s="356"/>
      <c r="B10" s="99" t="s">
        <v>765</v>
      </c>
      <c r="C10" s="102" t="s">
        <v>766</v>
      </c>
      <c r="D10" s="109">
        <v>60</v>
      </c>
      <c r="E10" s="106">
        <v>350</v>
      </c>
      <c r="F10" s="106">
        <f t="shared" ref="F10:F27" si="0">+E10*D10</f>
        <v>21000</v>
      </c>
    </row>
    <row r="11" spans="1:6" ht="12" customHeight="1" x14ac:dyDescent="0.15">
      <c r="A11" s="356"/>
      <c r="B11" s="99" t="s">
        <v>767</v>
      </c>
      <c r="C11" s="102" t="s">
        <v>768</v>
      </c>
      <c r="D11" s="102">
        <v>32</v>
      </c>
      <c r="E11" s="106">
        <v>450</v>
      </c>
      <c r="F11" s="106">
        <f t="shared" si="0"/>
        <v>14400</v>
      </c>
    </row>
    <row r="12" spans="1:6" ht="13.75" customHeight="1" x14ac:dyDescent="0.15">
      <c r="A12" s="357" t="s">
        <v>769</v>
      </c>
      <c r="B12" s="148" t="s">
        <v>770</v>
      </c>
      <c r="C12" s="358"/>
      <c r="D12" s="358"/>
      <c r="E12" s="358"/>
      <c r="F12" s="106">
        <f t="shared" si="0"/>
        <v>0</v>
      </c>
    </row>
    <row r="13" spans="1:6" ht="17.75" customHeight="1" x14ac:dyDescent="0.15">
      <c r="A13" s="356"/>
      <c r="B13" s="99" t="s">
        <v>771</v>
      </c>
      <c r="C13" s="102" t="s">
        <v>772</v>
      </c>
      <c r="D13" s="109">
        <v>16</v>
      </c>
      <c r="E13" s="106">
        <v>250</v>
      </c>
      <c r="F13" s="106">
        <f t="shared" si="0"/>
        <v>4000</v>
      </c>
    </row>
    <row r="14" spans="1:6" ht="13.75" customHeight="1" x14ac:dyDescent="0.15">
      <c r="A14" s="356"/>
      <c r="B14" s="99" t="s">
        <v>773</v>
      </c>
      <c r="C14" s="102" t="s">
        <v>774</v>
      </c>
      <c r="D14" s="109">
        <v>56</v>
      </c>
      <c r="E14" s="106">
        <v>350</v>
      </c>
      <c r="F14" s="106">
        <f t="shared" si="0"/>
        <v>19600</v>
      </c>
    </row>
    <row r="15" spans="1:6" ht="14.5" customHeight="1" x14ac:dyDescent="0.15">
      <c r="A15" s="356"/>
      <c r="B15" s="99" t="s">
        <v>775</v>
      </c>
      <c r="C15" s="102" t="s">
        <v>776</v>
      </c>
      <c r="D15" s="109">
        <v>56</v>
      </c>
      <c r="E15" s="106">
        <v>450</v>
      </c>
      <c r="F15" s="106">
        <f t="shared" si="0"/>
        <v>25200</v>
      </c>
    </row>
    <row r="16" spans="1:6" ht="20" customHeight="1" x14ac:dyDescent="0.15">
      <c r="A16" s="355" t="s">
        <v>777</v>
      </c>
      <c r="B16" s="99" t="s">
        <v>778</v>
      </c>
      <c r="C16" s="154"/>
      <c r="D16" s="154"/>
      <c r="E16" s="106"/>
      <c r="F16" s="106">
        <f t="shared" si="0"/>
        <v>0</v>
      </c>
    </row>
    <row r="17" spans="1:6" ht="20" customHeight="1" x14ac:dyDescent="0.15">
      <c r="A17" s="356"/>
      <c r="B17" s="99" t="s">
        <v>779</v>
      </c>
      <c r="C17" s="154"/>
      <c r="D17" s="154"/>
      <c r="E17" s="106"/>
      <c r="F17" s="106">
        <f t="shared" si="0"/>
        <v>0</v>
      </c>
    </row>
    <row r="18" spans="1:6" ht="15" customHeight="1" x14ac:dyDescent="0.15">
      <c r="A18" s="356"/>
      <c r="B18" s="99" t="s">
        <v>780</v>
      </c>
      <c r="C18" s="102" t="s">
        <v>781</v>
      </c>
      <c r="D18" s="109">
        <v>56</v>
      </c>
      <c r="E18" s="106">
        <v>150</v>
      </c>
      <c r="F18" s="106">
        <f t="shared" si="0"/>
        <v>8400</v>
      </c>
    </row>
    <row r="19" spans="1:6" ht="16.25" customHeight="1" x14ac:dyDescent="0.15">
      <c r="A19" s="356"/>
      <c r="B19" s="99" t="s">
        <v>782</v>
      </c>
      <c r="C19" s="102" t="s">
        <v>783</v>
      </c>
      <c r="D19" s="109">
        <v>56</v>
      </c>
      <c r="E19" s="106">
        <v>200</v>
      </c>
      <c r="F19" s="106">
        <f t="shared" si="0"/>
        <v>11200</v>
      </c>
    </row>
    <row r="20" spans="1:6" ht="20" customHeight="1" x14ac:dyDescent="0.15">
      <c r="A20" s="356"/>
      <c r="B20" s="99" t="s">
        <v>784</v>
      </c>
      <c r="C20" s="154"/>
      <c r="D20" s="154"/>
      <c r="E20" s="106"/>
      <c r="F20" s="106">
        <f t="shared" si="0"/>
        <v>0</v>
      </c>
    </row>
    <row r="21" spans="1:6" ht="17.25" customHeight="1" x14ac:dyDescent="0.15">
      <c r="A21" s="356"/>
      <c r="B21" s="99" t="s">
        <v>785</v>
      </c>
      <c r="C21" s="102" t="s">
        <v>786</v>
      </c>
      <c r="D21" s="109">
        <v>100</v>
      </c>
      <c r="E21" s="106">
        <v>250</v>
      </c>
      <c r="F21" s="106">
        <f t="shared" si="0"/>
        <v>25000</v>
      </c>
    </row>
    <row r="22" spans="1:6" ht="18" customHeight="1" x14ac:dyDescent="0.15">
      <c r="A22" s="356"/>
      <c r="B22" s="99" t="s">
        <v>787</v>
      </c>
      <c r="C22" s="102" t="s">
        <v>788</v>
      </c>
      <c r="D22" s="109">
        <v>100</v>
      </c>
      <c r="E22" s="106">
        <v>250</v>
      </c>
      <c r="F22" s="106">
        <f t="shared" si="0"/>
        <v>25000</v>
      </c>
    </row>
    <row r="23" spans="1:6" ht="26.25" customHeight="1" x14ac:dyDescent="0.15">
      <c r="A23" s="356"/>
      <c r="B23" s="99" t="s">
        <v>789</v>
      </c>
      <c r="C23" s="154"/>
      <c r="D23" s="154"/>
      <c r="E23" s="106"/>
      <c r="F23" s="106">
        <f t="shared" si="0"/>
        <v>0</v>
      </c>
    </row>
    <row r="24" spans="1:6" ht="21.5" customHeight="1" x14ac:dyDescent="0.15">
      <c r="A24" s="356"/>
      <c r="B24" s="99" t="s">
        <v>790</v>
      </c>
      <c r="C24" s="102" t="s">
        <v>791</v>
      </c>
      <c r="D24" s="109">
        <v>18</v>
      </c>
      <c r="E24" s="106">
        <v>150</v>
      </c>
      <c r="F24" s="106">
        <f t="shared" si="0"/>
        <v>2700</v>
      </c>
    </row>
    <row r="25" spans="1:6" ht="14" x14ac:dyDescent="0.15">
      <c r="A25" s="356"/>
      <c r="B25" s="99" t="s">
        <v>792</v>
      </c>
      <c r="C25" s="102" t="s">
        <v>793</v>
      </c>
      <c r="D25" s="109">
        <v>18</v>
      </c>
      <c r="E25" s="106">
        <v>150</v>
      </c>
      <c r="F25" s="106">
        <f t="shared" si="0"/>
        <v>2700</v>
      </c>
    </row>
    <row r="26" spans="1:6" ht="14" x14ac:dyDescent="0.15">
      <c r="A26" s="355" t="s">
        <v>794</v>
      </c>
      <c r="B26" s="99" t="s">
        <v>795</v>
      </c>
      <c r="C26" s="102" t="s">
        <v>796</v>
      </c>
      <c r="D26" s="109">
        <v>25</v>
      </c>
      <c r="E26" s="106">
        <v>150</v>
      </c>
      <c r="F26" s="106">
        <f t="shared" si="0"/>
        <v>3750</v>
      </c>
    </row>
    <row r="27" spans="1:6" ht="15" thickBot="1" x14ac:dyDescent="0.2">
      <c r="A27" s="355" t="s">
        <v>797</v>
      </c>
      <c r="B27" s="99" t="s">
        <v>798</v>
      </c>
      <c r="C27" s="102" t="s">
        <v>799</v>
      </c>
      <c r="D27" s="109">
        <v>5</v>
      </c>
      <c r="E27" s="106">
        <v>2500</v>
      </c>
      <c r="F27" s="106">
        <f t="shared" si="0"/>
        <v>12500</v>
      </c>
    </row>
    <row r="28" spans="1:6" ht="15" thickBot="1" x14ac:dyDescent="0.2">
      <c r="A28" s="359" t="s">
        <v>800</v>
      </c>
      <c r="B28" s="643" t="s">
        <v>801</v>
      </c>
      <c r="C28" s="644"/>
      <c r="D28" s="644"/>
      <c r="E28" s="645"/>
      <c r="F28" s="360">
        <f>SUM(F6:F27)</f>
        <v>694350</v>
      </c>
    </row>
    <row r="29" spans="1:6" ht="21" customHeight="1" x14ac:dyDescent="0.15">
      <c r="A29" s="113" t="s">
        <v>802</v>
      </c>
    </row>
    <row r="30" spans="1:6" x14ac:dyDescent="0.15">
      <c r="A30" s="113"/>
    </row>
    <row r="34" spans="1:2" ht="14" x14ac:dyDescent="0.15">
      <c r="A34" s="88"/>
      <c r="B34" s="88"/>
    </row>
  </sheetData>
  <mergeCells count="3">
    <mergeCell ref="B6:E6"/>
    <mergeCell ref="B28:E28"/>
    <mergeCell ref="A2:E2"/>
  </mergeCells>
  <phoneticPr fontId="2" type="noConversion"/>
  <pageMargins left="0.7" right="0.7" top="0.75" bottom="0.75" header="0.3" footer="0.3"/>
  <pageSetup paperSize="9" scale="7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8"/>
  <sheetViews>
    <sheetView view="pageBreakPreview" topLeftCell="A16" zoomScaleNormal="100" zoomScaleSheetLayoutView="100" workbookViewId="0">
      <selection activeCell="F22" sqref="F22"/>
    </sheetView>
  </sheetViews>
  <sheetFormatPr baseColWidth="10" defaultColWidth="9.3984375" defaultRowHeight="13" x14ac:dyDescent="0.15"/>
  <cols>
    <col min="1" max="1" width="11" style="89" customWidth="1"/>
    <col min="2" max="2" width="58.59765625" style="89" customWidth="1"/>
    <col min="3" max="3" width="10" style="89" customWidth="1"/>
    <col min="4" max="4" width="12" style="89" bestFit="1" customWidth="1"/>
    <col min="5" max="5" width="13.59765625" style="89" customWidth="1"/>
    <col min="6" max="6" width="15.1992187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4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ht="15.75" customHeight="1" thickBot="1" x14ac:dyDescent="0.2">
      <c r="A4" s="300" t="s">
        <v>20</v>
      </c>
      <c r="B4" s="88"/>
      <c r="C4" s="88"/>
      <c r="D4" s="88"/>
      <c r="E4" s="88"/>
      <c r="F4" s="301"/>
    </row>
    <row r="5" spans="1:6" ht="20.75" customHeight="1" thickBot="1" x14ac:dyDescent="0.2">
      <c r="A5" s="260" t="s">
        <v>849</v>
      </c>
      <c r="B5" s="317" t="s">
        <v>850</v>
      </c>
      <c r="C5" s="317" t="s">
        <v>851</v>
      </c>
      <c r="D5" s="317" t="s">
        <v>852</v>
      </c>
      <c r="E5" s="317" t="s">
        <v>853</v>
      </c>
      <c r="F5" s="317" t="s">
        <v>854</v>
      </c>
    </row>
    <row r="6" spans="1:6" ht="20.75" customHeight="1" x14ac:dyDescent="0.15">
      <c r="A6" s="144"/>
      <c r="B6" s="635" t="s">
        <v>855</v>
      </c>
      <c r="C6" s="635"/>
      <c r="D6" s="635"/>
      <c r="E6" s="635"/>
      <c r="F6" s="383">
        <f>+'M4100-C'!F28</f>
        <v>694350</v>
      </c>
    </row>
    <row r="7" spans="1:6" ht="28" x14ac:dyDescent="0.15">
      <c r="A7" s="166" t="s">
        <v>856</v>
      </c>
      <c r="B7" s="99" t="s">
        <v>857</v>
      </c>
      <c r="C7" s="102" t="s">
        <v>858</v>
      </c>
      <c r="D7" s="109">
        <v>56</v>
      </c>
      <c r="E7" s="106">
        <v>950</v>
      </c>
      <c r="F7" s="104">
        <f>+E7*D7</f>
        <v>53200</v>
      </c>
    </row>
    <row r="8" spans="1:6" ht="14" x14ac:dyDescent="0.15">
      <c r="A8" s="166" t="s">
        <v>859</v>
      </c>
      <c r="B8" s="99" t="s">
        <v>860</v>
      </c>
      <c r="C8" s="102" t="s">
        <v>861</v>
      </c>
      <c r="D8" s="109">
        <v>20</v>
      </c>
      <c r="E8" s="106">
        <v>350</v>
      </c>
      <c r="F8" s="104">
        <f>+E8*D8</f>
        <v>7000</v>
      </c>
    </row>
    <row r="9" spans="1:6" ht="14" x14ac:dyDescent="0.15">
      <c r="A9" s="166" t="s">
        <v>862</v>
      </c>
      <c r="B9" s="99" t="s">
        <v>863</v>
      </c>
      <c r="C9" s="154"/>
      <c r="D9" s="154"/>
      <c r="E9" s="154"/>
      <c r="F9" s="104"/>
    </row>
    <row r="10" spans="1:6" s="119" customFormat="1" ht="28" x14ac:dyDescent="0.15">
      <c r="A10" s="183"/>
      <c r="B10" s="115" t="s">
        <v>864</v>
      </c>
      <c r="C10" s="116" t="s">
        <v>865</v>
      </c>
      <c r="D10" s="117">
        <v>1</v>
      </c>
      <c r="E10" s="121">
        <v>50000</v>
      </c>
      <c r="F10" s="118">
        <v>50000</v>
      </c>
    </row>
    <row r="11" spans="1:6" s="119" customFormat="1" ht="28" x14ac:dyDescent="0.15">
      <c r="A11" s="183"/>
      <c r="B11" s="115" t="s">
        <v>866</v>
      </c>
      <c r="C11" s="116" t="s">
        <v>867</v>
      </c>
      <c r="D11" s="281">
        <v>50000</v>
      </c>
      <c r="E11" s="284">
        <v>0.15</v>
      </c>
      <c r="F11" s="384">
        <f>+E11*D11</f>
        <v>7500</v>
      </c>
    </row>
    <row r="12" spans="1:6" ht="14" x14ac:dyDescent="0.15">
      <c r="A12" s="166" t="s">
        <v>868</v>
      </c>
      <c r="B12" s="99" t="s">
        <v>869</v>
      </c>
      <c r="C12" s="230"/>
      <c r="D12" s="231"/>
      <c r="E12" s="231"/>
      <c r="F12" s="230"/>
    </row>
    <row r="13" spans="1:6" ht="18" x14ac:dyDescent="0.15">
      <c r="A13" s="152"/>
      <c r="B13" s="99"/>
      <c r="C13" s="102"/>
      <c r="D13" s="102"/>
      <c r="E13" s="102"/>
      <c r="F13" s="375"/>
    </row>
    <row r="14" spans="1:6" s="119" customFormat="1" ht="28" x14ac:dyDescent="0.15">
      <c r="A14" s="183"/>
      <c r="B14" s="115" t="s">
        <v>870</v>
      </c>
      <c r="C14" s="116" t="s">
        <v>871</v>
      </c>
      <c r="D14" s="116">
        <v>1</v>
      </c>
      <c r="E14" s="281">
        <v>80000</v>
      </c>
      <c r="F14" s="118">
        <v>80000</v>
      </c>
    </row>
    <row r="15" spans="1:6" s="119" customFormat="1" ht="14.25" customHeight="1" x14ac:dyDescent="0.15">
      <c r="A15" s="183"/>
      <c r="B15" s="115"/>
      <c r="C15" s="115"/>
      <c r="D15" s="116"/>
      <c r="E15" s="116"/>
      <c r="F15" s="118"/>
    </row>
    <row r="16" spans="1:6" s="119" customFormat="1" ht="40.5" customHeight="1" x14ac:dyDescent="0.15">
      <c r="A16" s="183"/>
      <c r="B16" s="115" t="s">
        <v>872</v>
      </c>
      <c r="C16" s="116" t="s">
        <v>873</v>
      </c>
      <c r="D16" s="281">
        <v>80000</v>
      </c>
      <c r="E16" s="284">
        <v>0.15</v>
      </c>
      <c r="F16" s="118">
        <f>+E16*D16</f>
        <v>12000</v>
      </c>
    </row>
    <row r="17" spans="1:9" ht="40.5" customHeight="1" x14ac:dyDescent="0.15">
      <c r="A17" s="152"/>
      <c r="B17" s="211"/>
      <c r="C17" s="211"/>
      <c r="D17" s="244"/>
      <c r="E17" s="244"/>
      <c r="F17" s="104"/>
    </row>
    <row r="18" spans="1:9" s="119" customFormat="1" ht="42" x14ac:dyDescent="0.2">
      <c r="A18" s="385" t="s">
        <v>874</v>
      </c>
      <c r="B18" s="120" t="s">
        <v>875</v>
      </c>
      <c r="C18" s="128" t="s">
        <v>876</v>
      </c>
      <c r="D18" s="386">
        <v>700000</v>
      </c>
      <c r="E18" s="387">
        <v>0.15</v>
      </c>
      <c r="F18" s="388">
        <f>+E18*D18</f>
        <v>105000</v>
      </c>
      <c r="G18" s="127"/>
      <c r="H18" s="127"/>
      <c r="I18" s="127"/>
    </row>
    <row r="19" spans="1:9" ht="14" x14ac:dyDescent="0.2">
      <c r="A19" s="377"/>
      <c r="B19" s="105"/>
      <c r="C19" s="213"/>
      <c r="D19" s="378"/>
      <c r="E19" s="379"/>
      <c r="F19" s="376"/>
      <c r="G19" s="91"/>
      <c r="H19" s="91"/>
      <c r="I19" s="91"/>
    </row>
    <row r="20" spans="1:9" ht="14" x14ac:dyDescent="0.2">
      <c r="A20" s="377"/>
      <c r="B20" s="105"/>
      <c r="C20" s="213"/>
      <c r="D20" s="378"/>
      <c r="E20" s="379"/>
      <c r="F20" s="376"/>
      <c r="G20" s="91"/>
      <c r="H20" s="91"/>
      <c r="I20" s="91"/>
    </row>
    <row r="21" spans="1:9" ht="15" thickBot="1" x14ac:dyDescent="0.25">
      <c r="A21" s="380"/>
      <c r="B21" s="169"/>
      <c r="C21" s="381"/>
      <c r="D21" s="172"/>
      <c r="E21" s="382"/>
      <c r="F21" s="216"/>
      <c r="G21" s="91"/>
      <c r="H21" s="91"/>
      <c r="I21" s="91"/>
    </row>
    <row r="22" spans="1:9" ht="15" thickBot="1" x14ac:dyDescent="0.25">
      <c r="A22" s="179" t="s">
        <v>877</v>
      </c>
      <c r="B22" s="637" t="s">
        <v>878</v>
      </c>
      <c r="C22" s="637"/>
      <c r="D22" s="637"/>
      <c r="E22" s="637"/>
      <c r="F22" s="527">
        <f>SUM(F6:F21)</f>
        <v>1009050</v>
      </c>
      <c r="G22" s="91"/>
      <c r="H22" s="91"/>
      <c r="I22" s="91"/>
    </row>
    <row r="23" spans="1:9" ht="14" x14ac:dyDescent="0.2">
      <c r="F23" s="91"/>
      <c r="G23" s="91"/>
      <c r="H23" s="91"/>
      <c r="I23" s="91"/>
    </row>
    <row r="24" spans="1:9" ht="14" x14ac:dyDescent="0.2">
      <c r="A24" s="113" t="s">
        <v>879</v>
      </c>
      <c r="F24" s="91"/>
      <c r="G24" s="91"/>
      <c r="H24" s="91"/>
      <c r="I24" s="91"/>
    </row>
    <row r="25" spans="1:9" ht="14" x14ac:dyDescent="0.2">
      <c r="A25" s="113"/>
      <c r="F25" s="91"/>
      <c r="G25" s="91"/>
      <c r="H25" s="91"/>
      <c r="I25" s="91"/>
    </row>
    <row r="26" spans="1:9" ht="14" x14ac:dyDescent="0.2">
      <c r="F26" s="91"/>
      <c r="G26" s="91"/>
      <c r="H26" s="91"/>
      <c r="I26" s="91"/>
    </row>
    <row r="27" spans="1:9" ht="14" x14ac:dyDescent="0.2">
      <c r="F27" s="91"/>
      <c r="G27" s="91"/>
      <c r="H27" s="91"/>
      <c r="I27" s="91"/>
    </row>
    <row r="28" spans="1:9" ht="14" x14ac:dyDescent="0.2">
      <c r="F28" s="91"/>
      <c r="G28" s="91"/>
      <c r="H28" s="91"/>
      <c r="I28" s="91"/>
    </row>
    <row r="29" spans="1:9" ht="14" x14ac:dyDescent="0.2">
      <c r="F29" s="91"/>
      <c r="G29" s="91"/>
      <c r="H29" s="91"/>
      <c r="I29" s="91"/>
    </row>
    <row r="30" spans="1:9" ht="14" x14ac:dyDescent="0.2">
      <c r="F30" s="91"/>
      <c r="G30" s="91"/>
      <c r="H30" s="91"/>
      <c r="I30" s="91"/>
    </row>
    <row r="31" spans="1:9" ht="14" x14ac:dyDescent="0.2">
      <c r="F31" s="91"/>
      <c r="G31" s="91"/>
      <c r="H31" s="91"/>
      <c r="I31" s="91"/>
    </row>
    <row r="32" spans="1:9" ht="14" x14ac:dyDescent="0.2">
      <c r="F32" s="91"/>
      <c r="G32" s="91"/>
      <c r="H32" s="91"/>
      <c r="I32" s="91"/>
    </row>
    <row r="33" spans="6:9" ht="14" x14ac:dyDescent="0.2">
      <c r="F33" s="91"/>
      <c r="G33" s="91"/>
      <c r="H33" s="91"/>
      <c r="I33" s="91"/>
    </row>
    <row r="34" spans="6:9" ht="14" x14ac:dyDescent="0.2">
      <c r="F34" s="91"/>
      <c r="G34" s="91"/>
      <c r="H34" s="91"/>
      <c r="I34" s="91"/>
    </row>
    <row r="35" spans="6:9" ht="14" x14ac:dyDescent="0.2">
      <c r="F35" s="91"/>
    </row>
    <row r="36" spans="6:9" ht="14" x14ac:dyDescent="0.2">
      <c r="F36" s="91"/>
    </row>
    <row r="37" spans="6:9" ht="14" x14ac:dyDescent="0.2">
      <c r="F37" s="91"/>
    </row>
    <row r="38" spans="6:9" ht="14" x14ac:dyDescent="0.2">
      <c r="F38" s="91"/>
    </row>
  </sheetData>
  <mergeCells count="3">
    <mergeCell ref="B6:E6"/>
    <mergeCell ref="B22:E22"/>
    <mergeCell ref="A2:E2"/>
  </mergeCells>
  <phoneticPr fontId="2" type="noConversion"/>
  <pageMargins left="0.7" right="0.7" top="0.75" bottom="0.75" header="0.3" footer="0.3"/>
  <pageSetup paperSize="9" scale="76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0"/>
  <sheetViews>
    <sheetView view="pageBreakPreview" topLeftCell="A22" zoomScaleNormal="100" zoomScaleSheetLayoutView="100" workbookViewId="0">
      <selection activeCell="E10" sqref="E10"/>
    </sheetView>
  </sheetViews>
  <sheetFormatPr baseColWidth="10" defaultColWidth="9.3984375" defaultRowHeight="13" x14ac:dyDescent="0.15"/>
  <cols>
    <col min="1" max="1" width="11" style="89" customWidth="1"/>
    <col min="2" max="2" width="70.3984375" style="89" customWidth="1"/>
    <col min="3" max="3" width="10" style="89" customWidth="1"/>
    <col min="4" max="6" width="15" style="89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4" customHeight="1" x14ac:dyDescent="0.15">
      <c r="A2" s="629" t="s">
        <v>0</v>
      </c>
      <c r="B2" s="629"/>
      <c r="C2" s="629"/>
      <c r="D2" s="629"/>
      <c r="E2" s="629"/>
      <c r="F2" s="88"/>
    </row>
    <row r="3" spans="1:6" ht="15.75" customHeight="1" x14ac:dyDescent="0.15">
      <c r="A3" s="88"/>
      <c r="B3" s="88"/>
      <c r="C3" s="88"/>
      <c r="D3" s="88"/>
      <c r="E3" s="88"/>
      <c r="F3" s="88"/>
    </row>
    <row r="4" spans="1:6" ht="29" customHeight="1" thickBot="1" x14ac:dyDescent="0.2">
      <c r="A4" s="300" t="s">
        <v>20</v>
      </c>
      <c r="B4" s="88"/>
      <c r="C4" s="88"/>
      <c r="D4" s="88"/>
      <c r="E4" s="88"/>
      <c r="F4" s="301"/>
    </row>
    <row r="5" spans="1:6" ht="14.5" customHeight="1" thickBot="1" x14ac:dyDescent="0.2">
      <c r="A5" s="92" t="s">
        <v>880</v>
      </c>
      <c r="B5" s="94" t="s">
        <v>881</v>
      </c>
      <c r="C5" s="93" t="s">
        <v>882</v>
      </c>
      <c r="D5" s="93" t="s">
        <v>883</v>
      </c>
      <c r="E5" s="93" t="s">
        <v>884</v>
      </c>
      <c r="F5" s="93" t="s">
        <v>885</v>
      </c>
    </row>
    <row r="6" spans="1:6" ht="13" customHeight="1" x14ac:dyDescent="0.15">
      <c r="A6" s="176" t="s">
        <v>886</v>
      </c>
      <c r="B6" s="145" t="s">
        <v>887</v>
      </c>
      <c r="C6" s="209"/>
      <c r="D6" s="209"/>
      <c r="E6" s="209"/>
      <c r="F6" s="343"/>
    </row>
    <row r="7" spans="1:6" ht="13" customHeight="1" x14ac:dyDescent="0.15">
      <c r="A7" s="166" t="s">
        <v>888</v>
      </c>
      <c r="B7" s="148" t="s">
        <v>889</v>
      </c>
      <c r="C7" s="154"/>
      <c r="D7" s="154"/>
      <c r="E7" s="154"/>
      <c r="F7" s="291"/>
    </row>
    <row r="8" spans="1:6" ht="14.5" customHeight="1" x14ac:dyDescent="0.15">
      <c r="A8" s="152"/>
      <c r="B8" s="99" t="s">
        <v>890</v>
      </c>
      <c r="C8" s="102" t="s">
        <v>891</v>
      </c>
      <c r="D8" s="109">
        <v>1600</v>
      </c>
      <c r="E8" s="106">
        <v>20</v>
      </c>
      <c r="F8" s="106">
        <f>+E8*D8</f>
        <v>32000</v>
      </c>
    </row>
    <row r="9" spans="1:6" ht="19.25" customHeight="1" x14ac:dyDescent="0.15">
      <c r="A9" s="152"/>
      <c r="B9" s="99" t="s">
        <v>892</v>
      </c>
      <c r="C9" s="154"/>
      <c r="D9" s="154"/>
      <c r="E9" s="106"/>
      <c r="F9" s="106">
        <f t="shared" ref="F9:F26" si="0">+E9*D9</f>
        <v>0</v>
      </c>
    </row>
    <row r="10" spans="1:6" ht="20" customHeight="1" x14ac:dyDescent="0.15">
      <c r="A10" s="152"/>
      <c r="B10" s="99" t="s">
        <v>893</v>
      </c>
      <c r="C10" s="102" t="s">
        <v>894</v>
      </c>
      <c r="D10" s="109">
        <v>700</v>
      </c>
      <c r="E10" s="106">
        <v>150</v>
      </c>
      <c r="F10" s="106">
        <f t="shared" si="0"/>
        <v>105000</v>
      </c>
    </row>
    <row r="11" spans="1:6" ht="20" customHeight="1" x14ac:dyDescent="0.15">
      <c r="A11" s="152"/>
      <c r="B11" s="99" t="s">
        <v>895</v>
      </c>
      <c r="C11" s="102" t="s">
        <v>896</v>
      </c>
      <c r="D11" s="109">
        <v>160</v>
      </c>
      <c r="E11" s="106">
        <v>250</v>
      </c>
      <c r="F11" s="106">
        <f t="shared" si="0"/>
        <v>40000</v>
      </c>
    </row>
    <row r="12" spans="1:6" ht="18.5" customHeight="1" x14ac:dyDescent="0.15">
      <c r="A12" s="152"/>
      <c r="B12" s="99" t="s">
        <v>897</v>
      </c>
      <c r="C12" s="102" t="s">
        <v>898</v>
      </c>
      <c r="D12" s="109">
        <v>80</v>
      </c>
      <c r="E12" s="106">
        <v>350</v>
      </c>
      <c r="F12" s="106">
        <f t="shared" si="0"/>
        <v>28000</v>
      </c>
    </row>
    <row r="13" spans="1:6" ht="20" customHeight="1" x14ac:dyDescent="0.15">
      <c r="A13" s="152"/>
      <c r="B13" s="99" t="s">
        <v>899</v>
      </c>
      <c r="C13" s="102" t="s">
        <v>900</v>
      </c>
      <c r="D13" s="109">
        <v>6</v>
      </c>
      <c r="E13" s="106">
        <v>450</v>
      </c>
      <c r="F13" s="106">
        <f t="shared" si="0"/>
        <v>2700</v>
      </c>
    </row>
    <row r="14" spans="1:6" ht="20" customHeight="1" x14ac:dyDescent="0.15">
      <c r="A14" s="166" t="s">
        <v>901</v>
      </c>
      <c r="B14" s="99" t="s">
        <v>902</v>
      </c>
      <c r="C14" s="154"/>
      <c r="D14" s="154"/>
      <c r="E14" s="106"/>
      <c r="F14" s="106">
        <f t="shared" si="0"/>
        <v>0</v>
      </c>
    </row>
    <row r="15" spans="1:6" ht="19.25" customHeight="1" x14ac:dyDescent="0.15">
      <c r="A15" s="152"/>
      <c r="B15" s="99" t="s">
        <v>903</v>
      </c>
      <c r="C15" s="102" t="s">
        <v>904</v>
      </c>
      <c r="D15" s="109">
        <v>56</v>
      </c>
      <c r="E15" s="106">
        <v>200</v>
      </c>
      <c r="F15" s="106">
        <f t="shared" si="0"/>
        <v>11200</v>
      </c>
    </row>
    <row r="16" spans="1:6" ht="12" customHeight="1" x14ac:dyDescent="0.15">
      <c r="A16" s="152"/>
      <c r="B16" s="99" t="s">
        <v>905</v>
      </c>
      <c r="C16" s="102" t="s">
        <v>906</v>
      </c>
      <c r="D16" s="109">
        <v>56</v>
      </c>
      <c r="E16" s="106">
        <v>200</v>
      </c>
      <c r="F16" s="106">
        <f t="shared" si="0"/>
        <v>11200</v>
      </c>
    </row>
    <row r="17" spans="1:7" ht="28.25" customHeight="1" x14ac:dyDescent="0.15">
      <c r="A17" s="166" t="s">
        <v>907</v>
      </c>
      <c r="B17" s="99" t="s">
        <v>908</v>
      </c>
      <c r="C17" s="154"/>
      <c r="D17" s="154"/>
      <c r="E17" s="106"/>
      <c r="F17" s="106">
        <f t="shared" si="0"/>
        <v>0</v>
      </c>
    </row>
    <row r="18" spans="1:7" ht="20" customHeight="1" x14ac:dyDescent="0.15">
      <c r="A18" s="152"/>
      <c r="B18" s="99" t="s">
        <v>909</v>
      </c>
      <c r="C18" s="102" t="s">
        <v>910</v>
      </c>
      <c r="D18" s="109">
        <v>32</v>
      </c>
      <c r="E18" s="106">
        <v>25</v>
      </c>
      <c r="F18" s="106">
        <f t="shared" si="0"/>
        <v>800</v>
      </c>
    </row>
    <row r="19" spans="1:7" ht="18" customHeight="1" x14ac:dyDescent="0.15">
      <c r="A19" s="152"/>
      <c r="B19" s="99" t="s">
        <v>911</v>
      </c>
      <c r="C19" s="102" t="s">
        <v>912</v>
      </c>
      <c r="D19" s="109">
        <v>32</v>
      </c>
      <c r="E19" s="106">
        <v>25</v>
      </c>
      <c r="F19" s="106">
        <f t="shared" si="0"/>
        <v>800</v>
      </c>
    </row>
    <row r="20" spans="1:7" ht="17.25" customHeight="1" x14ac:dyDescent="0.15">
      <c r="A20" s="318" t="s">
        <v>913</v>
      </c>
      <c r="B20" s="319" t="s">
        <v>914</v>
      </c>
      <c r="C20" s="154"/>
      <c r="D20" s="154"/>
      <c r="E20" s="106"/>
      <c r="F20" s="106">
        <f t="shared" si="0"/>
        <v>0</v>
      </c>
    </row>
    <row r="21" spans="1:7" ht="17.25" customHeight="1" x14ac:dyDescent="0.15">
      <c r="A21" s="166" t="s">
        <v>915</v>
      </c>
      <c r="B21" s="148" t="s">
        <v>916</v>
      </c>
      <c r="C21" s="154"/>
      <c r="D21" s="154"/>
      <c r="E21" s="106"/>
      <c r="F21" s="106">
        <f t="shared" si="0"/>
        <v>0</v>
      </c>
    </row>
    <row r="22" spans="1:7" ht="19.25" customHeight="1" x14ac:dyDescent="0.15">
      <c r="A22" s="152"/>
      <c r="B22" s="99" t="s">
        <v>917</v>
      </c>
      <c r="C22" s="154"/>
      <c r="D22" s="154"/>
      <c r="E22" s="106"/>
      <c r="F22" s="106">
        <f t="shared" si="0"/>
        <v>0</v>
      </c>
    </row>
    <row r="23" spans="1:7" ht="14.5" customHeight="1" x14ac:dyDescent="0.15">
      <c r="A23" s="152"/>
      <c r="B23" s="99" t="s">
        <v>918</v>
      </c>
      <c r="C23" s="102" t="s">
        <v>919</v>
      </c>
      <c r="D23" s="109">
        <v>32</v>
      </c>
      <c r="E23" s="106">
        <v>350</v>
      </c>
      <c r="F23" s="106">
        <f t="shared" si="0"/>
        <v>11200</v>
      </c>
    </row>
    <row r="24" spans="1:7" ht="24.75" customHeight="1" x14ac:dyDescent="0.15">
      <c r="A24" s="152"/>
      <c r="B24" s="99" t="s">
        <v>920</v>
      </c>
      <c r="C24" s="102" t="s">
        <v>921</v>
      </c>
      <c r="D24" s="109">
        <v>16</v>
      </c>
      <c r="E24" s="106">
        <v>450</v>
      </c>
      <c r="F24" s="106">
        <f t="shared" si="0"/>
        <v>7200</v>
      </c>
    </row>
    <row r="25" spans="1:7" ht="21.5" customHeight="1" x14ac:dyDescent="0.2">
      <c r="A25" s="152"/>
      <c r="B25" s="99" t="s">
        <v>922</v>
      </c>
      <c r="C25" s="102" t="s">
        <v>923</v>
      </c>
      <c r="D25" s="109">
        <v>8</v>
      </c>
      <c r="E25" s="106">
        <v>650</v>
      </c>
      <c r="F25" s="106">
        <f t="shared" si="0"/>
        <v>5200</v>
      </c>
      <c r="G25" s="91"/>
    </row>
    <row r="26" spans="1:7" ht="14" x14ac:dyDescent="0.2">
      <c r="A26" s="152"/>
      <c r="B26" s="99" t="s">
        <v>924</v>
      </c>
      <c r="C26" s="154"/>
      <c r="D26" s="154"/>
      <c r="E26" s="154"/>
      <c r="F26" s="106">
        <f t="shared" si="0"/>
        <v>0</v>
      </c>
      <c r="G26" s="91"/>
    </row>
    <row r="27" spans="1:7" s="119" customFormat="1" ht="28" x14ac:dyDescent="0.15">
      <c r="A27" s="183"/>
      <c r="B27" s="115" t="s">
        <v>925</v>
      </c>
      <c r="C27" s="116" t="s">
        <v>926</v>
      </c>
      <c r="D27" s="117">
        <v>1</v>
      </c>
      <c r="E27" s="121">
        <v>50000</v>
      </c>
      <c r="F27" s="121">
        <v>50000</v>
      </c>
    </row>
    <row r="28" spans="1:7" s="119" customFormat="1" ht="29" thickBot="1" x14ac:dyDescent="0.2">
      <c r="A28" s="344"/>
      <c r="B28" s="345" t="s">
        <v>927</v>
      </c>
      <c r="C28" s="346" t="s">
        <v>928</v>
      </c>
      <c r="D28" s="347">
        <v>50000</v>
      </c>
      <c r="E28" s="348">
        <v>0.15</v>
      </c>
      <c r="F28" s="349">
        <f>+E28*D28</f>
        <v>7500</v>
      </c>
    </row>
    <row r="29" spans="1:7" ht="15" thickBot="1" x14ac:dyDescent="0.2">
      <c r="A29" s="263" t="s">
        <v>929</v>
      </c>
      <c r="B29" s="637" t="s">
        <v>930</v>
      </c>
      <c r="C29" s="637"/>
      <c r="D29" s="637"/>
      <c r="E29" s="637"/>
      <c r="F29" s="520">
        <f>SUM(F6:F28)</f>
        <v>312800</v>
      </c>
    </row>
    <row r="30" spans="1:7" ht="14" x14ac:dyDescent="0.15">
      <c r="A30" s="113"/>
      <c r="B30" s="243"/>
      <c r="C30" s="243"/>
      <c r="D30" s="243"/>
      <c r="E30" s="243"/>
      <c r="F30" s="243"/>
    </row>
  </sheetData>
  <mergeCells count="2">
    <mergeCell ref="B29:E29"/>
    <mergeCell ref="A2:E2"/>
  </mergeCells>
  <phoneticPr fontId="2" type="noConversion"/>
  <pageMargins left="0.7" right="0.7" top="0.75" bottom="0.75" header="0.3" footer="0.3"/>
  <pageSetup paperSize="9" scale="6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41"/>
  <sheetViews>
    <sheetView view="pageBreakPreview" topLeftCell="A10" zoomScaleNormal="100" zoomScaleSheetLayoutView="100" workbookViewId="0">
      <selection activeCell="F21" sqref="F21"/>
    </sheetView>
  </sheetViews>
  <sheetFormatPr baseColWidth="10" defaultColWidth="9.3984375" defaultRowHeight="13" x14ac:dyDescent="0.15"/>
  <cols>
    <col min="1" max="1" width="11" style="89" customWidth="1"/>
    <col min="2" max="2" width="56.3984375" style="89" customWidth="1"/>
    <col min="3" max="3" width="10" style="89" customWidth="1"/>
    <col min="4" max="4" width="11" style="89" customWidth="1"/>
    <col min="5" max="5" width="10.59765625" style="336" bestFit="1" customWidth="1"/>
    <col min="6" max="6" width="17.59765625" style="336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334"/>
      <c r="F1" s="334"/>
    </row>
    <row r="2" spans="1:6" ht="21.75" customHeight="1" x14ac:dyDescent="0.15">
      <c r="A2" s="629" t="s">
        <v>0</v>
      </c>
      <c r="B2" s="629"/>
      <c r="C2" s="629"/>
      <c r="D2" s="629"/>
      <c r="E2" s="629"/>
      <c r="F2" s="334"/>
    </row>
    <row r="3" spans="1:6" ht="14" x14ac:dyDescent="0.15">
      <c r="A3" s="88"/>
      <c r="B3" s="88"/>
      <c r="C3" s="88"/>
      <c r="D3" s="88"/>
      <c r="E3" s="334"/>
      <c r="F3" s="334"/>
    </row>
    <row r="4" spans="1:6" ht="15.75" customHeight="1" x14ac:dyDescent="0.15">
      <c r="A4" s="300" t="s">
        <v>20</v>
      </c>
      <c r="B4" s="88"/>
      <c r="C4" s="88"/>
      <c r="D4" s="88"/>
      <c r="E4" s="334"/>
      <c r="F4" s="335"/>
    </row>
    <row r="5" spans="1:6" ht="17.75" customHeight="1" thickBot="1" x14ac:dyDescent="0.2"/>
    <row r="6" spans="1:6" ht="7.5" customHeight="1" thickBot="1" x14ac:dyDescent="0.2">
      <c r="A6" s="92" t="s">
        <v>931</v>
      </c>
      <c r="B6" s="93" t="s">
        <v>932</v>
      </c>
      <c r="C6" s="93" t="s">
        <v>933</v>
      </c>
      <c r="D6" s="93" t="s">
        <v>934</v>
      </c>
      <c r="E6" s="94" t="s">
        <v>935</v>
      </c>
      <c r="F6" s="94" t="s">
        <v>936</v>
      </c>
    </row>
    <row r="7" spans="1:6" ht="17.75" customHeight="1" x14ac:dyDescent="0.15">
      <c r="A7" s="254" t="s">
        <v>937</v>
      </c>
      <c r="B7" s="208" t="s">
        <v>938</v>
      </c>
      <c r="C7" s="330"/>
      <c r="D7" s="330"/>
      <c r="E7" s="337" t="s">
        <v>939</v>
      </c>
      <c r="F7" s="337" t="s">
        <v>940</v>
      </c>
    </row>
    <row r="8" spans="1:6" ht="6.75" customHeight="1" x14ac:dyDescent="0.15">
      <c r="A8" s="331"/>
      <c r="B8" s="211"/>
      <c r="C8" s="272"/>
      <c r="D8" s="272"/>
      <c r="E8" s="338"/>
      <c r="F8" s="338"/>
    </row>
    <row r="9" spans="1:6" ht="25.5" customHeight="1" x14ac:dyDescent="0.15">
      <c r="A9" s="273" t="s">
        <v>941</v>
      </c>
      <c r="B9" s="99" t="s">
        <v>942</v>
      </c>
      <c r="C9" s="272"/>
      <c r="D9" s="272"/>
      <c r="E9" s="338"/>
      <c r="F9" s="338"/>
    </row>
    <row r="10" spans="1:6" ht="25.5" customHeight="1" x14ac:dyDescent="0.15">
      <c r="A10" s="273"/>
      <c r="B10" s="99"/>
      <c r="C10" s="272"/>
      <c r="D10" s="272"/>
      <c r="E10" s="338"/>
      <c r="F10" s="338"/>
    </row>
    <row r="11" spans="1:6" ht="48" customHeight="1" x14ac:dyDescent="0.15">
      <c r="A11" s="273"/>
      <c r="B11" s="99" t="s">
        <v>943</v>
      </c>
      <c r="C11" s="102" t="s">
        <v>944</v>
      </c>
      <c r="D11" s="102" t="s">
        <v>945</v>
      </c>
      <c r="E11" s="339">
        <v>50000</v>
      </c>
      <c r="F11" s="339">
        <v>50000</v>
      </c>
    </row>
    <row r="12" spans="1:6" ht="37" customHeight="1" x14ac:dyDescent="0.15">
      <c r="A12" s="273"/>
      <c r="B12" s="99" t="s">
        <v>946</v>
      </c>
      <c r="C12" s="102" t="s">
        <v>947</v>
      </c>
      <c r="D12" s="274">
        <v>50000</v>
      </c>
      <c r="E12" s="340">
        <v>0.15</v>
      </c>
      <c r="F12" s="339">
        <f>+E12*D12</f>
        <v>7500</v>
      </c>
    </row>
    <row r="13" spans="1:6" ht="37" customHeight="1" x14ac:dyDescent="0.15">
      <c r="A13" s="273"/>
      <c r="B13" s="99"/>
      <c r="C13" s="102"/>
      <c r="D13" s="102"/>
      <c r="E13" s="339"/>
      <c r="F13" s="339"/>
    </row>
    <row r="14" spans="1:6" ht="34.5" customHeight="1" x14ac:dyDescent="0.15">
      <c r="A14" s="273"/>
      <c r="B14" s="99"/>
      <c r="C14" s="102"/>
      <c r="D14" s="102"/>
      <c r="E14" s="339"/>
      <c r="F14" s="339"/>
    </row>
    <row r="15" spans="1:6" ht="39" customHeight="1" x14ac:dyDescent="0.15">
      <c r="A15" s="273"/>
      <c r="B15" s="99"/>
      <c r="C15" s="102"/>
      <c r="D15" s="102"/>
      <c r="E15" s="339"/>
      <c r="F15" s="339"/>
    </row>
    <row r="16" spans="1:6" ht="21.5" customHeight="1" x14ac:dyDescent="0.15">
      <c r="A16" s="273"/>
      <c r="B16" s="99"/>
      <c r="C16" s="102"/>
      <c r="D16" s="102"/>
      <c r="E16" s="338"/>
      <c r="F16" s="338"/>
    </row>
    <row r="17" spans="1:6" x14ac:dyDescent="0.15">
      <c r="A17" s="273"/>
      <c r="B17" s="99"/>
      <c r="C17" s="102"/>
      <c r="D17" s="102"/>
      <c r="E17" s="338"/>
      <c r="F17" s="338"/>
    </row>
    <row r="18" spans="1:6" x14ac:dyDescent="0.15">
      <c r="A18" s="273"/>
      <c r="E18" s="197"/>
      <c r="F18" s="339"/>
    </row>
    <row r="19" spans="1:6" ht="14" thickBot="1" x14ac:dyDescent="0.2">
      <c r="A19" s="332"/>
      <c r="B19" s="156"/>
      <c r="C19" s="333"/>
      <c r="D19" s="333"/>
      <c r="E19" s="341"/>
      <c r="F19" s="341"/>
    </row>
    <row r="20" spans="1:6" ht="15" thickBot="1" x14ac:dyDescent="0.2">
      <c r="A20" s="179" t="s">
        <v>948</v>
      </c>
      <c r="B20" s="637" t="s">
        <v>949</v>
      </c>
      <c r="C20" s="637"/>
      <c r="D20" s="637"/>
      <c r="E20" s="637"/>
      <c r="F20" s="528">
        <f>SUM(F8:F19)</f>
        <v>57500</v>
      </c>
    </row>
    <row r="21" spans="1:6" ht="14" x14ac:dyDescent="0.2">
      <c r="F21" s="342"/>
    </row>
    <row r="22" spans="1:6" ht="14" x14ac:dyDescent="0.2">
      <c r="A22" s="113" t="s">
        <v>950</v>
      </c>
      <c r="F22" s="342"/>
    </row>
    <row r="23" spans="1:6" ht="14" x14ac:dyDescent="0.2">
      <c r="A23" s="113"/>
      <c r="F23" s="342"/>
    </row>
    <row r="24" spans="1:6" ht="14" x14ac:dyDescent="0.2">
      <c r="F24" s="342"/>
    </row>
    <row r="25" spans="1:6" ht="14" x14ac:dyDescent="0.2">
      <c r="F25" s="342"/>
    </row>
    <row r="26" spans="1:6" ht="14" x14ac:dyDescent="0.2">
      <c r="F26" s="342"/>
    </row>
    <row r="27" spans="1:6" ht="14" x14ac:dyDescent="0.2">
      <c r="F27" s="342"/>
    </row>
    <row r="28" spans="1:6" ht="14" x14ac:dyDescent="0.2">
      <c r="F28" s="342"/>
    </row>
    <row r="29" spans="1:6" ht="14" x14ac:dyDescent="0.2">
      <c r="F29" s="342"/>
    </row>
    <row r="30" spans="1:6" ht="14" x14ac:dyDescent="0.2">
      <c r="F30" s="342"/>
    </row>
    <row r="31" spans="1:6" ht="14" x14ac:dyDescent="0.2">
      <c r="F31" s="342"/>
    </row>
    <row r="32" spans="1:6" ht="14" x14ac:dyDescent="0.2">
      <c r="F32" s="342"/>
    </row>
    <row r="33" spans="6:6" ht="14" x14ac:dyDescent="0.2">
      <c r="F33" s="342"/>
    </row>
    <row r="34" spans="6:6" ht="14" x14ac:dyDescent="0.2">
      <c r="F34" s="342"/>
    </row>
    <row r="35" spans="6:6" ht="14" x14ac:dyDescent="0.2">
      <c r="F35" s="342"/>
    </row>
    <row r="36" spans="6:6" ht="14" x14ac:dyDescent="0.2">
      <c r="F36" s="342"/>
    </row>
    <row r="37" spans="6:6" ht="14" x14ac:dyDescent="0.2">
      <c r="F37" s="342"/>
    </row>
    <row r="38" spans="6:6" ht="14" x14ac:dyDescent="0.2">
      <c r="F38" s="342"/>
    </row>
    <row r="39" spans="6:6" ht="14" x14ac:dyDescent="0.2">
      <c r="F39" s="342"/>
    </row>
    <row r="40" spans="6:6" ht="14" x14ac:dyDescent="0.2">
      <c r="F40" s="342"/>
    </row>
    <row r="41" spans="6:6" ht="14" x14ac:dyDescent="0.2">
      <c r="F41" s="342"/>
    </row>
  </sheetData>
  <mergeCells count="2">
    <mergeCell ref="B20:E20"/>
    <mergeCell ref="A2:E2"/>
  </mergeCells>
  <phoneticPr fontId="2" type="noConversion"/>
  <pageMargins left="0.7" right="0.7" top="0.75" bottom="0.75" header="0.3" footer="0.3"/>
  <pageSetup paperSize="9" scale="7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3"/>
  <sheetViews>
    <sheetView view="pageBreakPreview" zoomScaleNormal="100" zoomScaleSheetLayoutView="100" workbookViewId="0">
      <selection activeCell="A9" sqref="A9:F10"/>
    </sheetView>
  </sheetViews>
  <sheetFormatPr baseColWidth="10" defaultColWidth="9.3984375" defaultRowHeight="13" x14ac:dyDescent="0.15"/>
  <cols>
    <col min="1" max="1" width="11" style="89" customWidth="1"/>
    <col min="2" max="2" width="75.3984375" style="89" customWidth="1"/>
    <col min="3" max="6" width="13.59765625" style="89" customWidth="1"/>
    <col min="7" max="7" width="9.3984375" style="89"/>
    <col min="8" max="8" width="10.3984375" style="89" bestFit="1" customWidth="1"/>
    <col min="9" max="16384" width="9.3984375" style="89"/>
  </cols>
  <sheetData>
    <row r="1" spans="1:8" ht="14" x14ac:dyDescent="0.15">
      <c r="A1" s="87" t="s">
        <v>1760</v>
      </c>
      <c r="B1" s="88"/>
      <c r="C1" s="88"/>
      <c r="D1" s="88"/>
      <c r="E1" s="88"/>
      <c r="F1" s="88"/>
    </row>
    <row r="2" spans="1:8" ht="24" customHeight="1" x14ac:dyDescent="0.15">
      <c r="A2" s="629" t="s">
        <v>0</v>
      </c>
      <c r="B2" s="629"/>
      <c r="C2" s="629"/>
      <c r="D2" s="629"/>
      <c r="E2" s="629"/>
      <c r="F2" s="88"/>
    </row>
    <row r="3" spans="1:8" ht="15.75" customHeight="1" x14ac:dyDescent="0.15">
      <c r="A3" s="88"/>
      <c r="B3" s="88"/>
      <c r="C3" s="88"/>
      <c r="D3" s="88"/>
      <c r="E3" s="88"/>
      <c r="F3" s="88"/>
    </row>
    <row r="4" spans="1:8" ht="17.75" customHeight="1" x14ac:dyDescent="0.15">
      <c r="A4" s="300" t="s">
        <v>20</v>
      </c>
      <c r="B4" s="88"/>
      <c r="C4" s="88"/>
      <c r="D4" s="88"/>
      <c r="E4" s="88"/>
      <c r="F4" s="301"/>
    </row>
    <row r="5" spans="1:8" ht="14.5" customHeight="1" thickBot="1" x14ac:dyDescent="0.2">
      <c r="A5" s="87"/>
      <c r="H5" s="315"/>
    </row>
    <row r="6" spans="1:8" ht="13.75" customHeight="1" thickBot="1" x14ac:dyDescent="0.2">
      <c r="A6" s="269" t="s">
        <v>951</v>
      </c>
      <c r="B6" s="316" t="s">
        <v>952</v>
      </c>
      <c r="C6" s="317" t="s">
        <v>953</v>
      </c>
      <c r="D6" s="317" t="s">
        <v>954</v>
      </c>
      <c r="E6" s="317" t="s">
        <v>955</v>
      </c>
      <c r="F6" s="317" t="s">
        <v>956</v>
      </c>
    </row>
    <row r="7" spans="1:8" ht="12" customHeight="1" x14ac:dyDescent="0.15">
      <c r="A7" s="318" t="s">
        <v>957</v>
      </c>
      <c r="B7" s="319" t="s">
        <v>958</v>
      </c>
      <c r="C7" s="153"/>
      <c r="D7" s="153"/>
      <c r="E7" s="153"/>
      <c r="F7" s="153"/>
      <c r="H7" s="315"/>
    </row>
    <row r="8" spans="1:8" ht="16.25" customHeight="1" x14ac:dyDescent="0.15">
      <c r="A8" s="166" t="s">
        <v>959</v>
      </c>
      <c r="B8" s="148" t="s">
        <v>960</v>
      </c>
      <c r="C8" s="153"/>
      <c r="D8" s="153"/>
      <c r="E8" s="153"/>
      <c r="F8" s="153"/>
      <c r="H8" s="315"/>
    </row>
    <row r="9" spans="1:8" ht="21.5" customHeight="1" x14ac:dyDescent="0.15">
      <c r="A9" s="561"/>
      <c r="B9" s="553" t="s">
        <v>961</v>
      </c>
      <c r="C9" s="554" t="s">
        <v>962</v>
      </c>
      <c r="D9" s="555">
        <v>160</v>
      </c>
      <c r="E9" s="556">
        <v>200</v>
      </c>
      <c r="F9" s="556">
        <f>+E9*D9</f>
        <v>32000</v>
      </c>
    </row>
    <row r="10" spans="1:8" ht="20.75" customHeight="1" x14ac:dyDescent="0.15">
      <c r="A10" s="561"/>
      <c r="B10" s="553" t="s">
        <v>963</v>
      </c>
      <c r="C10" s="554" t="s">
        <v>964</v>
      </c>
      <c r="D10" s="555">
        <v>16</v>
      </c>
      <c r="E10" s="556">
        <v>200</v>
      </c>
      <c r="F10" s="556">
        <f t="shared" ref="F10:F31" si="0">+E10*D10</f>
        <v>3200</v>
      </c>
    </row>
    <row r="11" spans="1:8" ht="20" customHeight="1" x14ac:dyDescent="0.15">
      <c r="A11" s="152"/>
      <c r="B11" s="99" t="s">
        <v>965</v>
      </c>
      <c r="C11" s="153"/>
      <c r="D11" s="154"/>
      <c r="E11" s="106"/>
      <c r="F11" s="106">
        <f t="shared" si="0"/>
        <v>0</v>
      </c>
    </row>
    <row r="12" spans="1:8" ht="18.5" customHeight="1" x14ac:dyDescent="0.15">
      <c r="A12" s="166" t="s">
        <v>966</v>
      </c>
      <c r="B12" s="99" t="s">
        <v>967</v>
      </c>
      <c r="C12" s="102" t="s">
        <v>968</v>
      </c>
      <c r="D12" s="109">
        <v>16</v>
      </c>
      <c r="E12" s="106">
        <v>700</v>
      </c>
      <c r="F12" s="106">
        <f t="shared" si="0"/>
        <v>11200</v>
      </c>
    </row>
    <row r="13" spans="1:8" ht="20" customHeight="1" x14ac:dyDescent="0.15">
      <c r="A13" s="166" t="s">
        <v>969</v>
      </c>
      <c r="B13" s="99" t="s">
        <v>970</v>
      </c>
      <c r="C13" s="153"/>
      <c r="D13" s="154"/>
      <c r="E13" s="106"/>
      <c r="F13" s="106">
        <f t="shared" si="0"/>
        <v>0</v>
      </c>
    </row>
    <row r="14" spans="1:8" ht="20.75" customHeight="1" x14ac:dyDescent="0.15">
      <c r="A14" s="152"/>
      <c r="B14" s="99" t="s">
        <v>971</v>
      </c>
      <c r="C14" s="102" t="s">
        <v>972</v>
      </c>
      <c r="D14" s="109">
        <v>80</v>
      </c>
      <c r="E14" s="106">
        <v>250</v>
      </c>
      <c r="F14" s="106">
        <f t="shared" si="0"/>
        <v>20000</v>
      </c>
    </row>
    <row r="15" spans="1:8" ht="26.5" customHeight="1" x14ac:dyDescent="0.15">
      <c r="A15" s="152"/>
      <c r="B15" s="99" t="s">
        <v>973</v>
      </c>
      <c r="C15" s="102" t="s">
        <v>974</v>
      </c>
      <c r="D15" s="109">
        <v>16</v>
      </c>
      <c r="E15" s="106">
        <v>200</v>
      </c>
      <c r="F15" s="106">
        <f t="shared" si="0"/>
        <v>3200</v>
      </c>
    </row>
    <row r="16" spans="1:8" ht="25.75" customHeight="1" x14ac:dyDescent="0.15">
      <c r="A16" s="152"/>
      <c r="B16" s="99" t="s">
        <v>975</v>
      </c>
      <c r="C16" s="102" t="s">
        <v>976</v>
      </c>
      <c r="D16" s="109">
        <v>3</v>
      </c>
      <c r="E16" s="106">
        <v>200</v>
      </c>
      <c r="F16" s="106">
        <f t="shared" si="0"/>
        <v>600</v>
      </c>
    </row>
    <row r="17" spans="1:6" ht="19.25" customHeight="1" x14ac:dyDescent="0.15">
      <c r="A17" s="166" t="s">
        <v>977</v>
      </c>
      <c r="B17" s="99" t="s">
        <v>978</v>
      </c>
      <c r="C17" s="153"/>
      <c r="D17" s="154"/>
      <c r="E17" s="106"/>
      <c r="F17" s="106">
        <f t="shared" si="0"/>
        <v>0</v>
      </c>
    </row>
    <row r="18" spans="1:6" ht="14" x14ac:dyDescent="0.15">
      <c r="A18" s="152"/>
      <c r="B18" s="99" t="s">
        <v>979</v>
      </c>
      <c r="C18" s="102" t="s">
        <v>980</v>
      </c>
      <c r="D18" s="109">
        <v>3</v>
      </c>
      <c r="E18" s="106">
        <v>550</v>
      </c>
      <c r="F18" s="106">
        <f t="shared" si="0"/>
        <v>1650</v>
      </c>
    </row>
    <row r="19" spans="1:6" ht="28" x14ac:dyDescent="0.15">
      <c r="A19" s="152"/>
      <c r="B19" s="99" t="s">
        <v>981</v>
      </c>
      <c r="C19" s="102" t="s">
        <v>982</v>
      </c>
      <c r="D19" s="109">
        <v>5</v>
      </c>
      <c r="E19" s="106">
        <v>2500</v>
      </c>
      <c r="F19" s="106">
        <f t="shared" si="0"/>
        <v>12500</v>
      </c>
    </row>
    <row r="20" spans="1:6" ht="28" x14ac:dyDescent="0.15">
      <c r="A20" s="152"/>
      <c r="B20" s="99" t="s">
        <v>983</v>
      </c>
      <c r="C20" s="102" t="s">
        <v>984</v>
      </c>
      <c r="D20" s="109">
        <v>5</v>
      </c>
      <c r="E20" s="106">
        <v>2500</v>
      </c>
      <c r="F20" s="106">
        <f t="shared" si="0"/>
        <v>12500</v>
      </c>
    </row>
    <row r="21" spans="1:6" ht="14" x14ac:dyDescent="0.15">
      <c r="A21" s="166" t="s">
        <v>985</v>
      </c>
      <c r="B21" s="99" t="s">
        <v>986</v>
      </c>
      <c r="C21" s="102" t="s">
        <v>987</v>
      </c>
      <c r="D21" s="109">
        <v>80</v>
      </c>
      <c r="E21" s="106">
        <v>80</v>
      </c>
      <c r="F21" s="106">
        <f t="shared" si="0"/>
        <v>6400</v>
      </c>
    </row>
    <row r="22" spans="1:6" ht="28" x14ac:dyDescent="0.15">
      <c r="A22" s="166" t="s">
        <v>988</v>
      </c>
      <c r="B22" s="99" t="s">
        <v>989</v>
      </c>
      <c r="C22" s="153"/>
      <c r="D22" s="154"/>
      <c r="E22" s="106"/>
      <c r="F22" s="106">
        <f t="shared" si="0"/>
        <v>0</v>
      </c>
    </row>
    <row r="23" spans="1:6" ht="14" x14ac:dyDescent="0.15">
      <c r="A23" s="152"/>
      <c r="B23" s="99" t="s">
        <v>990</v>
      </c>
      <c r="C23" s="153"/>
      <c r="D23" s="154"/>
      <c r="E23" s="106"/>
      <c r="F23" s="106">
        <f t="shared" si="0"/>
        <v>0</v>
      </c>
    </row>
    <row r="24" spans="1:6" ht="14" x14ac:dyDescent="0.15">
      <c r="A24" s="561"/>
      <c r="B24" s="553" t="s">
        <v>991</v>
      </c>
      <c r="C24" s="554" t="s">
        <v>992</v>
      </c>
      <c r="D24" s="555">
        <v>1600</v>
      </c>
      <c r="E24" s="556">
        <v>75</v>
      </c>
      <c r="F24" s="556">
        <f t="shared" si="0"/>
        <v>120000</v>
      </c>
    </row>
    <row r="25" spans="1:6" ht="14" x14ac:dyDescent="0.15">
      <c r="A25" s="152"/>
      <c r="B25" s="99" t="s">
        <v>993</v>
      </c>
      <c r="C25" s="102" t="s">
        <v>994</v>
      </c>
      <c r="D25" s="109">
        <v>32</v>
      </c>
      <c r="E25" s="106">
        <v>250</v>
      </c>
      <c r="F25" s="106">
        <f t="shared" si="0"/>
        <v>8000</v>
      </c>
    </row>
    <row r="26" spans="1:6" ht="14" x14ac:dyDescent="0.15">
      <c r="A26" s="152"/>
      <c r="B26" s="99" t="s">
        <v>995</v>
      </c>
      <c r="C26" s="153"/>
      <c r="D26" s="154"/>
      <c r="E26" s="106"/>
      <c r="F26" s="106">
        <f t="shared" si="0"/>
        <v>0</v>
      </c>
    </row>
    <row r="27" spans="1:6" ht="14" x14ac:dyDescent="0.15">
      <c r="A27" s="152"/>
      <c r="B27" s="99" t="s">
        <v>996</v>
      </c>
      <c r="C27" s="102" t="s">
        <v>997</v>
      </c>
      <c r="D27" s="109">
        <v>16</v>
      </c>
      <c r="E27" s="106">
        <v>220</v>
      </c>
      <c r="F27" s="106">
        <f t="shared" si="0"/>
        <v>3520</v>
      </c>
    </row>
    <row r="28" spans="1:6" ht="14" x14ac:dyDescent="0.15">
      <c r="A28" s="152"/>
      <c r="B28" s="99" t="s">
        <v>998</v>
      </c>
      <c r="C28" s="102" t="s">
        <v>999</v>
      </c>
      <c r="D28" s="109">
        <v>4</v>
      </c>
      <c r="E28" s="106">
        <v>220</v>
      </c>
      <c r="F28" s="106">
        <f t="shared" si="0"/>
        <v>880</v>
      </c>
    </row>
    <row r="29" spans="1:6" ht="14" x14ac:dyDescent="0.15">
      <c r="A29" s="152"/>
      <c r="B29" s="99" t="s">
        <v>1000</v>
      </c>
      <c r="C29" s="153"/>
      <c r="D29" s="154"/>
      <c r="E29" s="106"/>
      <c r="F29" s="106">
        <f t="shared" si="0"/>
        <v>0</v>
      </c>
    </row>
    <row r="30" spans="1:6" ht="14" x14ac:dyDescent="0.15">
      <c r="A30" s="152"/>
      <c r="B30" s="99" t="s">
        <v>1001</v>
      </c>
      <c r="C30" s="102" t="s">
        <v>1002</v>
      </c>
      <c r="D30" s="109">
        <v>6</v>
      </c>
      <c r="E30" s="106">
        <v>220</v>
      </c>
      <c r="F30" s="106">
        <f t="shared" si="0"/>
        <v>1320</v>
      </c>
    </row>
    <row r="31" spans="1:6" ht="15" thickBot="1" x14ac:dyDescent="0.2">
      <c r="A31" s="155"/>
      <c r="B31" s="156" t="s">
        <v>1003</v>
      </c>
      <c r="C31" s="157" t="s">
        <v>1004</v>
      </c>
      <c r="D31" s="320">
        <v>3</v>
      </c>
      <c r="E31" s="158">
        <v>220</v>
      </c>
      <c r="F31" s="106">
        <f t="shared" si="0"/>
        <v>660</v>
      </c>
    </row>
    <row r="32" spans="1:6" ht="15" thickBot="1" x14ac:dyDescent="0.2">
      <c r="A32" s="260" t="s">
        <v>1005</v>
      </c>
      <c r="B32" s="628" t="s">
        <v>1006</v>
      </c>
      <c r="C32" s="628"/>
      <c r="D32" s="628"/>
      <c r="E32" s="628"/>
      <c r="F32" s="97">
        <f>SUM(F7:F31)</f>
        <v>237630</v>
      </c>
    </row>
    <row r="33" spans="1:1" x14ac:dyDescent="0.15">
      <c r="A33" s="113"/>
    </row>
  </sheetData>
  <mergeCells count="2">
    <mergeCell ref="B32:E32"/>
    <mergeCell ref="A2:E2"/>
  </mergeCells>
  <phoneticPr fontId="2" type="noConversion"/>
  <pageMargins left="0.7" right="0.7" top="0.75" bottom="0.75" header="0.3" footer="0.3"/>
  <pageSetup paperSize="9" scale="6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35"/>
  <sheetViews>
    <sheetView view="pageBreakPreview" topLeftCell="A21" zoomScaleNormal="100" zoomScaleSheetLayoutView="100" workbookViewId="0">
      <selection activeCell="E21" sqref="E21"/>
    </sheetView>
  </sheetViews>
  <sheetFormatPr baseColWidth="10" defaultColWidth="9.3984375" defaultRowHeight="13" x14ac:dyDescent="0.15"/>
  <cols>
    <col min="1" max="1" width="11" style="89" customWidth="1"/>
    <col min="2" max="2" width="71.3984375" style="89" customWidth="1"/>
    <col min="3" max="3" width="10" style="89" customWidth="1"/>
    <col min="4" max="5" width="11" style="89" customWidth="1"/>
    <col min="6" max="6" width="15.19921875" style="133" bestFit="1" customWidth="1"/>
    <col min="7" max="16384" width="9.3984375" style="89"/>
  </cols>
  <sheetData>
    <row r="1" spans="1:6" ht="14" x14ac:dyDescent="0.15">
      <c r="A1" s="87" t="s">
        <v>1761</v>
      </c>
      <c r="B1" s="88"/>
      <c r="C1" s="88"/>
      <c r="D1" s="88"/>
      <c r="E1" s="88"/>
      <c r="F1" s="131"/>
    </row>
    <row r="2" spans="1:6" ht="23.25" customHeight="1" x14ac:dyDescent="0.15">
      <c r="A2" s="629" t="s">
        <v>0</v>
      </c>
      <c r="B2" s="629"/>
      <c r="C2" s="629"/>
      <c r="D2" s="629"/>
      <c r="E2" s="629"/>
      <c r="F2" s="131"/>
    </row>
    <row r="3" spans="1:6" ht="15.75" customHeight="1" x14ac:dyDescent="0.15">
      <c r="A3" s="88"/>
      <c r="B3" s="88"/>
      <c r="C3" s="88"/>
      <c r="D3" s="88"/>
      <c r="E3" s="88"/>
      <c r="F3" s="131"/>
    </row>
    <row r="4" spans="1:6" ht="28.25" customHeight="1" x14ac:dyDescent="0.15">
      <c r="A4" s="300" t="s">
        <v>20</v>
      </c>
      <c r="B4" s="88"/>
      <c r="C4" s="88"/>
      <c r="D4" s="88"/>
      <c r="E4" s="88"/>
      <c r="F4" s="325"/>
    </row>
    <row r="5" spans="1:6" ht="15.25" customHeight="1" thickBot="1" x14ac:dyDescent="0.2"/>
    <row r="6" spans="1:6" ht="16.25" customHeight="1" thickBot="1" x14ac:dyDescent="0.2">
      <c r="A6" s="142" t="s">
        <v>1007</v>
      </c>
      <c r="B6" s="94" t="s">
        <v>1008</v>
      </c>
      <c r="C6" s="93" t="s">
        <v>1009</v>
      </c>
      <c r="D6" s="93" t="s">
        <v>1010</v>
      </c>
      <c r="E6" s="93" t="s">
        <v>1011</v>
      </c>
      <c r="F6" s="234" t="s">
        <v>1012</v>
      </c>
    </row>
    <row r="7" spans="1:6" ht="17" customHeight="1" x14ac:dyDescent="0.15">
      <c r="A7" s="321"/>
      <c r="B7" s="635" t="s">
        <v>1013</v>
      </c>
      <c r="C7" s="635"/>
      <c r="D7" s="635"/>
      <c r="E7" s="635"/>
      <c r="F7" s="326">
        <f>+'M4400'!F32</f>
        <v>237630</v>
      </c>
    </row>
    <row r="8" spans="1:6" ht="14.5" customHeight="1" x14ac:dyDescent="0.2">
      <c r="A8" s="322"/>
      <c r="B8" s="148" t="s">
        <v>1014</v>
      </c>
      <c r="C8" s="323"/>
      <c r="D8" s="323"/>
      <c r="E8" s="323"/>
      <c r="F8" s="327">
        <f>+E8*D8</f>
        <v>0</v>
      </c>
    </row>
    <row r="9" spans="1:6" ht="16.25" customHeight="1" x14ac:dyDescent="0.15">
      <c r="A9" s="101"/>
      <c r="B9" s="99" t="s">
        <v>1015</v>
      </c>
      <c r="C9" s="220" t="s">
        <v>1016</v>
      </c>
      <c r="D9" s="221">
        <v>56</v>
      </c>
      <c r="E9" s="219">
        <v>650</v>
      </c>
      <c r="F9" s="328">
        <f>+E9*D9</f>
        <v>36400</v>
      </c>
    </row>
    <row r="10" spans="1:6" ht="19.25" customHeight="1" x14ac:dyDescent="0.15">
      <c r="A10" s="101"/>
      <c r="B10" s="105" t="s">
        <v>1017</v>
      </c>
      <c r="C10" s="220" t="s">
        <v>1018</v>
      </c>
      <c r="D10" s="221">
        <v>3</v>
      </c>
      <c r="E10" s="219">
        <v>650</v>
      </c>
      <c r="F10" s="328">
        <f t="shared" ref="F10:F33" si="0">+E10*D10</f>
        <v>1950</v>
      </c>
    </row>
    <row r="11" spans="1:6" ht="18.5" customHeight="1" x14ac:dyDescent="0.2">
      <c r="A11" s="101"/>
      <c r="B11" s="99" t="s">
        <v>1019</v>
      </c>
      <c r="C11" s="218"/>
      <c r="D11" s="218"/>
      <c r="E11" s="219"/>
      <c r="F11" s="328">
        <f t="shared" si="0"/>
        <v>0</v>
      </c>
    </row>
    <row r="12" spans="1:6" ht="12" customHeight="1" x14ac:dyDescent="0.15">
      <c r="A12" s="101"/>
      <c r="B12" s="99" t="s">
        <v>1020</v>
      </c>
      <c r="C12" s="220" t="s">
        <v>1021</v>
      </c>
      <c r="D12" s="221">
        <v>150</v>
      </c>
      <c r="E12" s="219">
        <v>150</v>
      </c>
      <c r="F12" s="328">
        <f t="shared" si="0"/>
        <v>22500</v>
      </c>
    </row>
    <row r="13" spans="1:6" ht="15.25" customHeight="1" x14ac:dyDescent="0.15">
      <c r="A13" s="101"/>
      <c r="B13" s="99" t="s">
        <v>1022</v>
      </c>
      <c r="C13" s="220" t="s">
        <v>1023</v>
      </c>
      <c r="D13" s="221">
        <v>25</v>
      </c>
      <c r="E13" s="219">
        <v>150</v>
      </c>
      <c r="F13" s="328">
        <f t="shared" si="0"/>
        <v>3750</v>
      </c>
    </row>
    <row r="14" spans="1:6" ht="18.5" customHeight="1" x14ac:dyDescent="0.2">
      <c r="A14" s="98" t="s">
        <v>1024</v>
      </c>
      <c r="B14" s="99" t="s">
        <v>1025</v>
      </c>
      <c r="C14" s="218"/>
      <c r="D14" s="218"/>
      <c r="E14" s="219"/>
      <c r="F14" s="328">
        <f t="shared" si="0"/>
        <v>0</v>
      </c>
    </row>
    <row r="15" spans="1:6" ht="15.25" customHeight="1" x14ac:dyDescent="0.15">
      <c r="A15" s="566"/>
      <c r="B15" s="553" t="s">
        <v>1026</v>
      </c>
      <c r="C15" s="544" t="s">
        <v>1027</v>
      </c>
      <c r="D15" s="545">
        <v>240</v>
      </c>
      <c r="E15" s="546">
        <v>200</v>
      </c>
      <c r="F15" s="562">
        <f t="shared" si="0"/>
        <v>48000</v>
      </c>
    </row>
    <row r="16" spans="1:6" ht="17" customHeight="1" x14ac:dyDescent="0.2">
      <c r="A16" s="566"/>
      <c r="B16" s="567" t="s">
        <v>1028</v>
      </c>
      <c r="C16" s="551"/>
      <c r="D16" s="551"/>
      <c r="E16" s="546"/>
      <c r="F16" s="562">
        <f t="shared" si="0"/>
        <v>0</v>
      </c>
    </row>
    <row r="17" spans="1:6" ht="17" customHeight="1" x14ac:dyDescent="0.2">
      <c r="A17" s="574" t="s">
        <v>1029</v>
      </c>
      <c r="B17" s="567" t="s">
        <v>1030</v>
      </c>
      <c r="C17" s="551"/>
      <c r="D17" s="551"/>
      <c r="E17" s="546"/>
      <c r="F17" s="562">
        <f t="shared" si="0"/>
        <v>0</v>
      </c>
    </row>
    <row r="18" spans="1:6" ht="14.5" customHeight="1" x14ac:dyDescent="0.2">
      <c r="A18" s="566"/>
      <c r="B18" s="553" t="s">
        <v>1031</v>
      </c>
      <c r="C18" s="551"/>
      <c r="D18" s="551"/>
      <c r="E18" s="546"/>
      <c r="F18" s="562">
        <f t="shared" si="0"/>
        <v>0</v>
      </c>
    </row>
    <row r="19" spans="1:6" ht="16.25" customHeight="1" x14ac:dyDescent="0.15">
      <c r="A19" s="566"/>
      <c r="B19" s="553" t="s">
        <v>1032</v>
      </c>
      <c r="C19" s="544" t="s">
        <v>1033</v>
      </c>
      <c r="D19" s="545">
        <v>1200</v>
      </c>
      <c r="E19" s="546">
        <v>200</v>
      </c>
      <c r="F19" s="562">
        <f t="shared" si="0"/>
        <v>240000</v>
      </c>
    </row>
    <row r="20" spans="1:6" ht="19.25" customHeight="1" x14ac:dyDescent="0.15">
      <c r="A20" s="566"/>
      <c r="B20" s="553" t="s">
        <v>1034</v>
      </c>
      <c r="C20" s="544" t="s">
        <v>1035</v>
      </c>
      <c r="D20" s="545">
        <v>24</v>
      </c>
      <c r="E20" s="546">
        <v>200</v>
      </c>
      <c r="F20" s="562">
        <f t="shared" si="0"/>
        <v>4800</v>
      </c>
    </row>
    <row r="21" spans="1:6" ht="17" customHeight="1" x14ac:dyDescent="0.2">
      <c r="A21" s="101"/>
      <c r="B21" s="99" t="s">
        <v>1036</v>
      </c>
      <c r="C21" s="218"/>
      <c r="D21" s="218"/>
      <c r="E21" s="219"/>
      <c r="F21" s="328">
        <f t="shared" si="0"/>
        <v>0</v>
      </c>
    </row>
    <row r="22" spans="1:6" ht="13.75" customHeight="1" x14ac:dyDescent="0.15">
      <c r="A22" s="101"/>
      <c r="B22" s="99" t="s">
        <v>1037</v>
      </c>
      <c r="C22" s="220" t="s">
        <v>1038</v>
      </c>
      <c r="D22" s="221">
        <v>24</v>
      </c>
      <c r="E22" s="219">
        <v>700</v>
      </c>
      <c r="F22" s="328">
        <f t="shared" si="0"/>
        <v>16800</v>
      </c>
    </row>
    <row r="23" spans="1:6" ht="16.25" customHeight="1" x14ac:dyDescent="0.15">
      <c r="A23" s="101"/>
      <c r="B23" s="99" t="s">
        <v>1039</v>
      </c>
      <c r="C23" s="220" t="s">
        <v>1040</v>
      </c>
      <c r="D23" s="221">
        <v>2</v>
      </c>
      <c r="E23" s="219">
        <v>700</v>
      </c>
      <c r="F23" s="328">
        <f t="shared" si="0"/>
        <v>1400</v>
      </c>
    </row>
    <row r="24" spans="1:6" ht="17" customHeight="1" x14ac:dyDescent="0.15">
      <c r="A24" s="101"/>
      <c r="B24" s="99" t="s">
        <v>1041</v>
      </c>
      <c r="C24" s="220" t="s">
        <v>1042</v>
      </c>
      <c r="D24" s="221">
        <v>250</v>
      </c>
      <c r="E24" s="219">
        <v>250</v>
      </c>
      <c r="F24" s="328">
        <f t="shared" si="0"/>
        <v>62500</v>
      </c>
    </row>
    <row r="25" spans="1:6" ht="15.25" customHeight="1" x14ac:dyDescent="0.2">
      <c r="A25" s="101"/>
      <c r="B25" s="99" t="s">
        <v>1043</v>
      </c>
      <c r="C25" s="218"/>
      <c r="D25" s="218"/>
      <c r="E25" s="219"/>
      <c r="F25" s="328">
        <f t="shared" si="0"/>
        <v>0</v>
      </c>
    </row>
    <row r="26" spans="1:6" ht="17" customHeight="1" x14ac:dyDescent="0.15">
      <c r="A26" s="101"/>
      <c r="B26" s="99" t="s">
        <v>1044</v>
      </c>
      <c r="C26" s="220" t="s">
        <v>1045</v>
      </c>
      <c r="D26" s="221">
        <v>8</v>
      </c>
      <c r="E26" s="219">
        <v>350</v>
      </c>
      <c r="F26" s="328">
        <f t="shared" si="0"/>
        <v>2800</v>
      </c>
    </row>
    <row r="27" spans="1:6" ht="17" customHeight="1" x14ac:dyDescent="0.15">
      <c r="A27" s="101"/>
      <c r="B27" s="105" t="s">
        <v>1046</v>
      </c>
      <c r="C27" s="220" t="s">
        <v>1047</v>
      </c>
      <c r="D27" s="221">
        <v>8</v>
      </c>
      <c r="E27" s="219">
        <v>350</v>
      </c>
      <c r="F27" s="328">
        <f t="shared" si="0"/>
        <v>2800</v>
      </c>
    </row>
    <row r="28" spans="1:6" ht="14.5" customHeight="1" x14ac:dyDescent="0.2">
      <c r="A28" s="101"/>
      <c r="B28" s="99" t="s">
        <v>1048</v>
      </c>
      <c r="C28" s="218"/>
      <c r="D28" s="218"/>
      <c r="E28" s="219"/>
      <c r="F28" s="328">
        <f t="shared" si="0"/>
        <v>0</v>
      </c>
    </row>
    <row r="29" spans="1:6" ht="18.75" customHeight="1" x14ac:dyDescent="0.15">
      <c r="A29" s="101"/>
      <c r="B29" s="99" t="s">
        <v>1049</v>
      </c>
      <c r="C29" s="220" t="s">
        <v>1050</v>
      </c>
      <c r="D29" s="221">
        <v>300</v>
      </c>
      <c r="E29" s="219">
        <v>50</v>
      </c>
      <c r="F29" s="328">
        <f t="shared" si="0"/>
        <v>15000</v>
      </c>
    </row>
    <row r="30" spans="1:6" ht="21" customHeight="1" x14ac:dyDescent="0.15">
      <c r="A30" s="101"/>
      <c r="B30" s="99" t="s">
        <v>1051</v>
      </c>
      <c r="C30" s="220" t="s">
        <v>1052</v>
      </c>
      <c r="D30" s="221">
        <v>56</v>
      </c>
      <c r="E30" s="219">
        <v>50</v>
      </c>
      <c r="F30" s="328">
        <f t="shared" si="0"/>
        <v>2800</v>
      </c>
    </row>
    <row r="31" spans="1:6" ht="14" x14ac:dyDescent="0.2">
      <c r="A31" s="98" t="s">
        <v>1053</v>
      </c>
      <c r="B31" s="99" t="s">
        <v>1054</v>
      </c>
      <c r="C31" s="218"/>
      <c r="D31" s="218"/>
      <c r="E31" s="219"/>
      <c r="F31" s="328">
        <f t="shared" si="0"/>
        <v>0</v>
      </c>
    </row>
    <row r="32" spans="1:6" ht="14" x14ac:dyDescent="0.15">
      <c r="A32" s="101"/>
      <c r="B32" s="99" t="s">
        <v>1055</v>
      </c>
      <c r="C32" s="220" t="s">
        <v>1056</v>
      </c>
      <c r="D32" s="221">
        <v>480</v>
      </c>
      <c r="E32" s="219">
        <v>80</v>
      </c>
      <c r="F32" s="328">
        <f t="shared" si="0"/>
        <v>38400</v>
      </c>
    </row>
    <row r="33" spans="1:6" ht="15" thickBot="1" x14ac:dyDescent="0.2">
      <c r="A33" s="101"/>
      <c r="B33" s="105" t="s">
        <v>1057</v>
      </c>
      <c r="C33" s="220" t="s">
        <v>1058</v>
      </c>
      <c r="D33" s="221">
        <v>480</v>
      </c>
      <c r="E33" s="219">
        <v>80</v>
      </c>
      <c r="F33" s="328">
        <f t="shared" si="0"/>
        <v>38400</v>
      </c>
    </row>
    <row r="34" spans="1:6" ht="15" thickBot="1" x14ac:dyDescent="0.2">
      <c r="A34" s="324" t="s">
        <v>1059</v>
      </c>
      <c r="B34" s="646" t="s">
        <v>1060</v>
      </c>
      <c r="C34" s="646"/>
      <c r="D34" s="646"/>
      <c r="E34" s="646"/>
      <c r="F34" s="329">
        <f>SUM(F7:F33)</f>
        <v>775930</v>
      </c>
    </row>
    <row r="35" spans="1:6" x14ac:dyDescent="0.15">
      <c r="A35" s="113"/>
    </row>
  </sheetData>
  <mergeCells count="3">
    <mergeCell ref="B7:E7"/>
    <mergeCell ref="B34:E34"/>
    <mergeCell ref="A2:E2"/>
  </mergeCells>
  <phoneticPr fontId="2" type="noConversion"/>
  <pageMargins left="0.7" right="0.7" top="0.75" bottom="0.75" header="0.3" footer="0.3"/>
  <pageSetup paperSize="9" scale="71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31"/>
  <sheetViews>
    <sheetView view="pageBreakPreview" topLeftCell="A12" zoomScaleNormal="100" zoomScaleSheetLayoutView="100" workbookViewId="0">
      <selection activeCell="A19" sqref="A19:F19"/>
    </sheetView>
  </sheetViews>
  <sheetFormatPr baseColWidth="10" defaultColWidth="9.3984375" defaultRowHeight="13" x14ac:dyDescent="0.15"/>
  <cols>
    <col min="1" max="1" width="9" style="89" customWidth="1"/>
    <col min="2" max="2" width="68.3984375" style="89" customWidth="1"/>
    <col min="3" max="3" width="10" style="89" customWidth="1"/>
    <col min="4" max="5" width="12" style="89" bestFit="1" customWidth="1"/>
    <col min="6" max="6" width="15.1992187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7" customHeight="1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s="88" customFormat="1" ht="15.75" customHeight="1" x14ac:dyDescent="0.15">
      <c r="A4" s="300" t="s">
        <v>20</v>
      </c>
      <c r="F4" s="301"/>
    </row>
    <row r="5" spans="1:6" s="88" customFormat="1" ht="15" customHeight="1" thickBot="1" x14ac:dyDescent="0.2">
      <c r="A5" s="89"/>
      <c r="B5" s="89"/>
      <c r="C5" s="89"/>
      <c r="D5" s="89"/>
      <c r="E5" s="89"/>
      <c r="F5" s="89"/>
    </row>
    <row r="6" spans="1:6" s="88" customFormat="1" ht="24" customHeight="1" thickBot="1" x14ac:dyDescent="0.2">
      <c r="A6" s="92" t="s">
        <v>1061</v>
      </c>
      <c r="B6" s="94" t="s">
        <v>1062</v>
      </c>
      <c r="C6" s="93" t="s">
        <v>1063</v>
      </c>
      <c r="D6" s="93" t="s">
        <v>1064</v>
      </c>
      <c r="E6" s="93" t="s">
        <v>1065</v>
      </c>
      <c r="F6" s="93" t="s">
        <v>1066</v>
      </c>
    </row>
    <row r="7" spans="1:6" s="88" customFormat="1" ht="24" customHeight="1" x14ac:dyDescent="0.15">
      <c r="A7" s="144"/>
      <c r="B7" s="635" t="s">
        <v>1067</v>
      </c>
      <c r="C7" s="635"/>
      <c r="D7" s="635"/>
      <c r="E7" s="635"/>
      <c r="F7" s="146">
        <f>+'M4400-C'!F34</f>
        <v>775930</v>
      </c>
    </row>
    <row r="8" spans="1:6" s="88" customFormat="1" ht="27" customHeight="1" x14ac:dyDescent="0.15">
      <c r="A8" s="147"/>
      <c r="B8" s="148" t="s">
        <v>1068</v>
      </c>
      <c r="C8" s="309"/>
      <c r="D8" s="309"/>
      <c r="E8" s="309"/>
      <c r="F8" s="106" t="str">
        <f>IF(D8=0,"",ROUND(D8*E8,2))</f>
        <v/>
      </c>
    </row>
    <row r="9" spans="1:6" s="88" customFormat="1" ht="17" customHeight="1" x14ac:dyDescent="0.15">
      <c r="A9" s="152"/>
      <c r="B9" s="99" t="s">
        <v>1069</v>
      </c>
      <c r="C9" s="102" t="s">
        <v>1070</v>
      </c>
      <c r="D9" s="109">
        <v>9</v>
      </c>
      <c r="E9" s="167">
        <v>650</v>
      </c>
      <c r="F9" s="106">
        <f>+E9*D9</f>
        <v>5850</v>
      </c>
    </row>
    <row r="10" spans="1:6" s="88" customFormat="1" ht="23.25" customHeight="1" x14ac:dyDescent="0.15">
      <c r="A10" s="152"/>
      <c r="B10" s="99" t="s">
        <v>1071</v>
      </c>
      <c r="C10" s="102" t="s">
        <v>1072</v>
      </c>
      <c r="D10" s="109">
        <v>3</v>
      </c>
      <c r="E10" s="167">
        <v>650</v>
      </c>
      <c r="F10" s="106">
        <f t="shared" ref="F10:F24" si="0">+E10*D10</f>
        <v>1950</v>
      </c>
    </row>
    <row r="11" spans="1:6" s="88" customFormat="1" ht="23.25" customHeight="1" x14ac:dyDescent="0.15">
      <c r="A11" s="152"/>
      <c r="B11" s="99" t="s">
        <v>1073</v>
      </c>
      <c r="C11" s="153"/>
      <c r="D11" s="154"/>
      <c r="E11" s="167"/>
      <c r="F11" s="106">
        <f t="shared" si="0"/>
        <v>0</v>
      </c>
    </row>
    <row r="12" spans="1:6" s="88" customFormat="1" ht="19.25" customHeight="1" x14ac:dyDescent="0.15">
      <c r="A12" s="152"/>
      <c r="B12" s="99" t="s">
        <v>1074</v>
      </c>
      <c r="C12" s="102" t="s">
        <v>1075</v>
      </c>
      <c r="D12" s="109">
        <v>9</v>
      </c>
      <c r="E12" s="167">
        <v>2500</v>
      </c>
      <c r="F12" s="106">
        <f t="shared" si="0"/>
        <v>22500</v>
      </c>
    </row>
    <row r="13" spans="1:6" s="88" customFormat="1" ht="19.25" customHeight="1" x14ac:dyDescent="0.15">
      <c r="A13" s="152"/>
      <c r="B13" s="99" t="s">
        <v>1076</v>
      </c>
      <c r="C13" s="102" t="s">
        <v>1077</v>
      </c>
      <c r="D13" s="109">
        <v>3</v>
      </c>
      <c r="E13" s="167">
        <v>2500</v>
      </c>
      <c r="F13" s="106">
        <f t="shared" si="0"/>
        <v>7500</v>
      </c>
    </row>
    <row r="14" spans="1:6" s="88" customFormat="1" ht="19.25" customHeight="1" x14ac:dyDescent="0.15">
      <c r="A14" s="152"/>
      <c r="B14" s="99" t="s">
        <v>1078</v>
      </c>
      <c r="C14" s="153"/>
      <c r="D14" s="154"/>
      <c r="E14" s="167"/>
      <c r="F14" s="106">
        <f t="shared" si="0"/>
        <v>0</v>
      </c>
    </row>
    <row r="15" spans="1:6" s="88" customFormat="1" ht="20" customHeight="1" x14ac:dyDescent="0.15">
      <c r="A15" s="152"/>
      <c r="B15" s="99" t="s">
        <v>1079</v>
      </c>
      <c r="C15" s="102" t="s">
        <v>1080</v>
      </c>
      <c r="D15" s="109">
        <v>6</v>
      </c>
      <c r="E15" s="167">
        <v>2500</v>
      </c>
      <c r="F15" s="106">
        <f t="shared" si="0"/>
        <v>15000</v>
      </c>
    </row>
    <row r="16" spans="1:6" s="88" customFormat="1" ht="20.75" customHeight="1" x14ac:dyDescent="0.15">
      <c r="A16" s="152"/>
      <c r="B16" s="99" t="s">
        <v>1081</v>
      </c>
      <c r="C16" s="102" t="s">
        <v>1082</v>
      </c>
      <c r="D16" s="109">
        <v>3</v>
      </c>
      <c r="E16" s="167">
        <v>2500</v>
      </c>
      <c r="F16" s="106">
        <f t="shared" si="0"/>
        <v>7500</v>
      </c>
    </row>
    <row r="17" spans="1:6" s="88" customFormat="1" ht="24" customHeight="1" x14ac:dyDescent="0.15">
      <c r="A17" s="98" t="s">
        <v>1083</v>
      </c>
      <c r="B17" s="99" t="s">
        <v>1084</v>
      </c>
      <c r="C17" s="102" t="s">
        <v>1085</v>
      </c>
      <c r="D17" s="109">
        <v>26</v>
      </c>
      <c r="E17" s="167">
        <v>950</v>
      </c>
      <c r="F17" s="106">
        <f t="shared" si="0"/>
        <v>24700</v>
      </c>
    </row>
    <row r="18" spans="1:6" s="88" customFormat="1" ht="24" customHeight="1" x14ac:dyDescent="0.15">
      <c r="A18" s="98" t="s">
        <v>1086</v>
      </c>
      <c r="B18" s="99" t="s">
        <v>1087</v>
      </c>
      <c r="C18" s="102" t="s">
        <v>1088</v>
      </c>
      <c r="D18" s="109">
        <v>6</v>
      </c>
      <c r="E18" s="167">
        <v>2800</v>
      </c>
      <c r="F18" s="106">
        <f t="shared" si="0"/>
        <v>16800</v>
      </c>
    </row>
    <row r="19" spans="1:6" s="88" customFormat="1" ht="24" customHeight="1" x14ac:dyDescent="0.15">
      <c r="A19" s="571" t="s">
        <v>1089</v>
      </c>
      <c r="B19" s="553" t="s">
        <v>1090</v>
      </c>
      <c r="C19" s="554" t="s">
        <v>1091</v>
      </c>
      <c r="D19" s="555">
        <v>800</v>
      </c>
      <c r="E19" s="575">
        <v>200</v>
      </c>
      <c r="F19" s="556">
        <f t="shared" si="0"/>
        <v>160000</v>
      </c>
    </row>
    <row r="20" spans="1:6" s="88" customFormat="1" ht="25.5" customHeight="1" x14ac:dyDescent="0.15">
      <c r="A20" s="98" t="s">
        <v>1092</v>
      </c>
      <c r="B20" s="99" t="s">
        <v>1093</v>
      </c>
      <c r="C20" s="153"/>
      <c r="D20" s="154"/>
      <c r="E20" s="153"/>
      <c r="F20" s="106">
        <f t="shared" si="0"/>
        <v>0</v>
      </c>
    </row>
    <row r="21" spans="1:6" s="119" customFormat="1" ht="28" x14ac:dyDescent="0.15">
      <c r="A21" s="183"/>
      <c r="B21" s="115" t="s">
        <v>1094</v>
      </c>
      <c r="C21" s="116" t="s">
        <v>1095</v>
      </c>
      <c r="D21" s="117">
        <v>1</v>
      </c>
      <c r="E21" s="121">
        <v>50000</v>
      </c>
      <c r="F21" s="106">
        <f t="shared" si="0"/>
        <v>50000</v>
      </c>
    </row>
    <row r="22" spans="1:6" s="119" customFormat="1" ht="28" x14ac:dyDescent="0.15">
      <c r="A22" s="183"/>
      <c r="B22" s="115" t="s">
        <v>1096</v>
      </c>
      <c r="C22" s="116" t="s">
        <v>1097</v>
      </c>
      <c r="D22" s="121">
        <v>50000</v>
      </c>
      <c r="E22" s="284">
        <v>0.15</v>
      </c>
      <c r="F22" s="106">
        <f t="shared" si="0"/>
        <v>7500</v>
      </c>
    </row>
    <row r="23" spans="1:6" ht="14" x14ac:dyDescent="0.15">
      <c r="A23" s="152"/>
      <c r="B23" s="214"/>
      <c r="C23" s="102"/>
      <c r="D23" s="311"/>
      <c r="E23" s="275"/>
      <c r="F23" s="106">
        <f t="shared" si="0"/>
        <v>0</v>
      </c>
    </row>
    <row r="24" spans="1:6" ht="15" thickBot="1" x14ac:dyDescent="0.2">
      <c r="A24" s="155"/>
      <c r="B24" s="312"/>
      <c r="C24" s="157"/>
      <c r="D24" s="313"/>
      <c r="E24" s="314"/>
      <c r="F24" s="106">
        <f t="shared" si="0"/>
        <v>0</v>
      </c>
    </row>
    <row r="25" spans="1:6" ht="15" thickBot="1" x14ac:dyDescent="0.2">
      <c r="A25" s="260" t="s">
        <v>1098</v>
      </c>
      <c r="B25" s="628" t="s">
        <v>1099</v>
      </c>
      <c r="C25" s="628"/>
      <c r="D25" s="628"/>
      <c r="E25" s="628"/>
      <c r="F25" s="97">
        <f>SUM(F7:F24)</f>
        <v>1095230</v>
      </c>
    </row>
    <row r="26" spans="1:6" ht="14" x14ac:dyDescent="0.2">
      <c r="A26" s="113"/>
      <c r="F26" s="91"/>
    </row>
    <row r="27" spans="1:6" ht="14" x14ac:dyDescent="0.2">
      <c r="F27" s="91"/>
    </row>
    <row r="28" spans="1:6" ht="14" x14ac:dyDescent="0.2">
      <c r="F28" s="91"/>
    </row>
    <row r="29" spans="1:6" ht="14" x14ac:dyDescent="0.2">
      <c r="F29" s="91"/>
    </row>
    <row r="30" spans="1:6" ht="14" x14ac:dyDescent="0.2">
      <c r="F30" s="91"/>
    </row>
    <row r="31" spans="1:6" ht="14" x14ac:dyDescent="0.2">
      <c r="F31" s="91"/>
    </row>
  </sheetData>
  <mergeCells count="3">
    <mergeCell ref="B7:E7"/>
    <mergeCell ref="B25:E25"/>
    <mergeCell ref="A2:E2"/>
  </mergeCells>
  <phoneticPr fontId="2" type="noConversion"/>
  <pageMargins left="0.7" right="0.7" top="0.75" bottom="0.75" header="0.3" footer="0.3"/>
  <pageSetup paperSize="9" scale="7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9"/>
  <sheetViews>
    <sheetView view="pageBreakPreview" topLeftCell="A6" zoomScaleNormal="100" zoomScaleSheetLayoutView="100" workbookViewId="0">
      <selection activeCell="H15" sqref="H15"/>
    </sheetView>
  </sheetViews>
  <sheetFormatPr baseColWidth="10" defaultColWidth="9.3984375" defaultRowHeight="13" x14ac:dyDescent="0.15"/>
  <cols>
    <col min="1" max="1" width="11" style="89" customWidth="1"/>
    <col min="2" max="2" width="70.796875" style="89" customWidth="1"/>
    <col min="3" max="3" width="10" style="89" customWidth="1"/>
    <col min="4" max="4" width="11" style="89" customWidth="1"/>
    <col min="5" max="5" width="10" style="89" customWidth="1"/>
    <col min="6" max="6" width="15.19921875" style="89" bestFit="1" customWidth="1"/>
    <col min="7" max="16384" width="9.3984375" style="89"/>
  </cols>
  <sheetData>
    <row r="1" spans="1:8" ht="14" x14ac:dyDescent="0.15">
      <c r="A1" s="87" t="s">
        <v>1760</v>
      </c>
      <c r="B1" s="88"/>
      <c r="C1" s="88"/>
      <c r="D1" s="88"/>
      <c r="E1" s="88"/>
      <c r="F1" s="88"/>
    </row>
    <row r="2" spans="1:8" ht="26.25" customHeight="1" x14ac:dyDescent="0.15">
      <c r="A2" s="629" t="s">
        <v>0</v>
      </c>
      <c r="B2" s="629"/>
      <c r="C2" s="629"/>
      <c r="D2" s="629"/>
      <c r="E2" s="629"/>
      <c r="F2" s="88"/>
    </row>
    <row r="3" spans="1:8" ht="15.75" customHeight="1" x14ac:dyDescent="0.15">
      <c r="A3" s="88"/>
      <c r="B3" s="88"/>
      <c r="C3" s="88"/>
      <c r="D3" s="88"/>
      <c r="E3" s="88"/>
      <c r="F3" s="88"/>
    </row>
    <row r="4" spans="1:8" ht="24.75" customHeight="1" thickBot="1" x14ac:dyDescent="0.2">
      <c r="A4" s="300" t="s">
        <v>20</v>
      </c>
      <c r="B4" s="88"/>
      <c r="C4" s="88"/>
      <c r="D4" s="88"/>
      <c r="E4" s="88"/>
      <c r="F4" s="301"/>
    </row>
    <row r="5" spans="1:8" ht="25.5" customHeight="1" thickBot="1" x14ac:dyDescent="0.25">
      <c r="A5" s="292"/>
      <c r="B5" s="94" t="s">
        <v>1100</v>
      </c>
      <c r="C5" s="93" t="s">
        <v>1101</v>
      </c>
      <c r="D5" s="93" t="s">
        <v>1102</v>
      </c>
      <c r="E5" s="93" t="s">
        <v>1103</v>
      </c>
      <c r="F5" s="93" t="s">
        <v>1104</v>
      </c>
    </row>
    <row r="6" spans="1:8" ht="27" customHeight="1" thickBot="1" x14ac:dyDescent="0.2">
      <c r="A6" s="260" t="s">
        <v>1105</v>
      </c>
      <c r="B6" s="628" t="s">
        <v>1106</v>
      </c>
      <c r="C6" s="628"/>
      <c r="D6" s="628"/>
      <c r="E6" s="639"/>
      <c r="F6" s="302">
        <f>+'M4400-C1'!F25</f>
        <v>1095230</v>
      </c>
    </row>
    <row r="7" spans="1:8" ht="27" customHeight="1" x14ac:dyDescent="0.15">
      <c r="A7" s="152"/>
      <c r="B7" s="211"/>
      <c r="C7" s="211"/>
      <c r="D7" s="211"/>
      <c r="E7" s="211"/>
      <c r="F7" s="153"/>
    </row>
    <row r="8" spans="1:8" ht="27" customHeight="1" x14ac:dyDescent="0.15">
      <c r="A8" s="166" t="s">
        <v>1107</v>
      </c>
      <c r="B8" s="303" t="s">
        <v>1108</v>
      </c>
      <c r="C8" s="99" t="s">
        <v>1109</v>
      </c>
      <c r="D8" s="102">
        <v>80</v>
      </c>
      <c r="E8" s="167">
        <v>120</v>
      </c>
      <c r="F8" s="106">
        <f>+E8*D8</f>
        <v>9600</v>
      </c>
    </row>
    <row r="9" spans="1:8" ht="27" customHeight="1" x14ac:dyDescent="0.15">
      <c r="A9" s="166" t="s">
        <v>1110</v>
      </c>
      <c r="B9" s="99" t="s">
        <v>1111</v>
      </c>
      <c r="C9" s="99" t="s">
        <v>1112</v>
      </c>
      <c r="D9" s="102">
        <v>80</v>
      </c>
      <c r="E9" s="167">
        <v>180</v>
      </c>
      <c r="F9" s="106">
        <f t="shared" ref="F9:F11" si="0">+E9*D9</f>
        <v>14400</v>
      </c>
    </row>
    <row r="10" spans="1:8" ht="27" customHeight="1" x14ac:dyDescent="0.15">
      <c r="A10" s="304" t="s">
        <v>1113</v>
      </c>
      <c r="B10" s="99" t="s">
        <v>1114</v>
      </c>
      <c r="C10" s="99" t="s">
        <v>1115</v>
      </c>
      <c r="D10" s="102">
        <v>50</v>
      </c>
      <c r="E10" s="167">
        <v>350</v>
      </c>
      <c r="F10" s="106">
        <f t="shared" si="0"/>
        <v>17500</v>
      </c>
    </row>
    <row r="11" spans="1:8" ht="27" customHeight="1" x14ac:dyDescent="0.15">
      <c r="B11" s="99"/>
      <c r="C11" s="214"/>
      <c r="D11" s="99"/>
      <c r="E11" s="305"/>
      <c r="F11" s="106">
        <f t="shared" si="0"/>
        <v>0</v>
      </c>
    </row>
    <row r="12" spans="1:8" ht="33" customHeight="1" x14ac:dyDescent="0.15">
      <c r="B12" s="99"/>
      <c r="C12" s="214"/>
      <c r="D12" s="99"/>
      <c r="E12" s="305"/>
      <c r="F12" s="106"/>
    </row>
    <row r="13" spans="1:8" ht="33" customHeight="1" x14ac:dyDescent="0.15">
      <c r="A13" s="306"/>
      <c r="B13" s="99"/>
      <c r="C13" s="214"/>
      <c r="D13" s="99"/>
      <c r="E13" s="305"/>
      <c r="F13" s="106"/>
    </row>
    <row r="14" spans="1:8" ht="33" customHeight="1" x14ac:dyDescent="0.15">
      <c r="A14" s="306"/>
      <c r="B14" s="99"/>
      <c r="C14" s="214"/>
      <c r="D14" s="99"/>
      <c r="E14" s="305"/>
      <c r="F14" s="106"/>
    </row>
    <row r="15" spans="1:8" ht="33" customHeight="1" x14ac:dyDescent="0.15">
      <c r="A15" s="306"/>
      <c r="B15" s="99"/>
      <c r="C15" s="214"/>
      <c r="D15" s="99"/>
      <c r="E15" s="305"/>
      <c r="F15" s="106"/>
    </row>
    <row r="16" spans="1:8" ht="24.75" customHeight="1" x14ac:dyDescent="0.2">
      <c r="A16" s="306"/>
      <c r="B16" s="99" t="s">
        <v>1116</v>
      </c>
      <c r="C16" s="225" t="s">
        <v>1117</v>
      </c>
      <c r="D16" s="99"/>
      <c r="E16" s="307"/>
      <c r="F16" s="106" t="str">
        <f>IF(D16=0,"",ROUND(D16*E16,2))</f>
        <v/>
      </c>
      <c r="G16" s="91"/>
      <c r="H16" s="91"/>
    </row>
    <row r="17" spans="1:8" ht="14" x14ac:dyDescent="0.2">
      <c r="A17" s="306"/>
      <c r="B17" s="99"/>
      <c r="C17" s="225"/>
      <c r="D17" s="99"/>
      <c r="E17" s="307"/>
      <c r="F17" s="106"/>
      <c r="G17" s="91"/>
      <c r="H17" s="91"/>
    </row>
    <row r="18" spans="1:8" ht="14" x14ac:dyDescent="0.2">
      <c r="A18" s="306"/>
      <c r="B18" s="99"/>
      <c r="C18" s="225"/>
      <c r="D18" s="99"/>
      <c r="E18" s="307"/>
      <c r="F18" s="106"/>
      <c r="G18" s="91"/>
      <c r="H18" s="91"/>
    </row>
    <row r="19" spans="1:8" ht="15" thickBot="1" x14ac:dyDescent="0.25">
      <c r="A19" s="155"/>
      <c r="B19" s="156"/>
      <c r="C19" s="157"/>
      <c r="D19" s="156"/>
      <c r="E19" s="308"/>
      <c r="F19" s="158"/>
      <c r="G19" s="91"/>
      <c r="H19" s="91"/>
    </row>
    <row r="20" spans="1:8" ht="15" thickBot="1" x14ac:dyDescent="0.25">
      <c r="A20" s="260" t="s">
        <v>1118</v>
      </c>
      <c r="B20" s="628" t="s">
        <v>1119</v>
      </c>
      <c r="C20" s="628"/>
      <c r="D20" s="628"/>
      <c r="E20" s="628"/>
      <c r="F20" s="516">
        <f>SUM(F6:F19)</f>
        <v>1136730</v>
      </c>
      <c r="G20" s="91"/>
      <c r="H20" s="91"/>
    </row>
    <row r="21" spans="1:8" ht="14" x14ac:dyDescent="0.2">
      <c r="A21" s="113" t="s">
        <v>1120</v>
      </c>
      <c r="F21" s="91"/>
      <c r="G21" s="91"/>
      <c r="H21" s="91"/>
    </row>
    <row r="22" spans="1:8" ht="14" x14ac:dyDescent="0.2">
      <c r="A22" s="113"/>
      <c r="F22" s="91"/>
      <c r="G22" s="91"/>
      <c r="H22" s="91"/>
    </row>
    <row r="23" spans="1:8" ht="14" x14ac:dyDescent="0.2">
      <c r="F23" s="91"/>
      <c r="G23" s="91"/>
      <c r="H23" s="91"/>
    </row>
    <row r="24" spans="1:8" ht="14" x14ac:dyDescent="0.2">
      <c r="F24" s="91"/>
      <c r="G24" s="91"/>
      <c r="H24" s="91"/>
    </row>
    <row r="25" spans="1:8" ht="14" x14ac:dyDescent="0.2">
      <c r="F25" s="91"/>
      <c r="G25" s="91"/>
      <c r="H25" s="91"/>
    </row>
    <row r="26" spans="1:8" ht="14" x14ac:dyDescent="0.2">
      <c r="F26" s="91"/>
      <c r="G26" s="91"/>
      <c r="H26" s="91"/>
    </row>
    <row r="27" spans="1:8" ht="14" x14ac:dyDescent="0.2">
      <c r="F27" s="91"/>
      <c r="G27" s="91"/>
      <c r="H27" s="91"/>
    </row>
    <row r="28" spans="1:8" ht="14" x14ac:dyDescent="0.2">
      <c r="F28" s="91"/>
      <c r="G28" s="91"/>
      <c r="H28" s="91"/>
    </row>
    <row r="29" spans="1:8" ht="14" x14ac:dyDescent="0.2">
      <c r="F29" s="91"/>
      <c r="G29" s="91"/>
      <c r="H29" s="91"/>
    </row>
    <row r="30" spans="1:8" ht="14" x14ac:dyDescent="0.2">
      <c r="F30" s="91"/>
      <c r="G30" s="91"/>
      <c r="H30" s="91"/>
    </row>
    <row r="31" spans="1:8" ht="14" x14ac:dyDescent="0.2">
      <c r="F31" s="91"/>
      <c r="G31" s="91"/>
      <c r="H31" s="91"/>
    </row>
    <row r="32" spans="1:8" ht="14" x14ac:dyDescent="0.2">
      <c r="F32" s="91"/>
      <c r="G32" s="91"/>
      <c r="H32" s="91"/>
    </row>
    <row r="33" spans="6:8" ht="14" x14ac:dyDescent="0.2">
      <c r="F33" s="91"/>
      <c r="G33" s="91"/>
      <c r="H33" s="91"/>
    </row>
    <row r="34" spans="6:8" ht="14" x14ac:dyDescent="0.2">
      <c r="F34" s="91"/>
      <c r="G34" s="91"/>
      <c r="H34" s="91"/>
    </row>
    <row r="35" spans="6:8" ht="14" x14ac:dyDescent="0.2">
      <c r="F35" s="91"/>
      <c r="G35" s="91"/>
      <c r="H35" s="91"/>
    </row>
    <row r="36" spans="6:8" ht="14" x14ac:dyDescent="0.2">
      <c r="F36" s="91"/>
    </row>
    <row r="37" spans="6:8" ht="14" x14ac:dyDescent="0.2">
      <c r="F37" s="91"/>
    </row>
    <row r="38" spans="6:8" ht="14" x14ac:dyDescent="0.2">
      <c r="F38" s="91"/>
    </row>
    <row r="39" spans="6:8" ht="14" x14ac:dyDescent="0.2">
      <c r="F39" s="91"/>
    </row>
  </sheetData>
  <mergeCells count="3">
    <mergeCell ref="B6:E6"/>
    <mergeCell ref="B20:E20"/>
    <mergeCell ref="A2:E2"/>
  </mergeCells>
  <phoneticPr fontId="2" type="noConversion"/>
  <pageMargins left="0.7" right="0.7" top="0.75" bottom="0.75" header="0.3" footer="0.3"/>
  <pageSetup paperSize="9" scale="7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32"/>
  <sheetViews>
    <sheetView view="pageBreakPreview" topLeftCell="A4" zoomScaleNormal="100" zoomScaleSheetLayoutView="100" workbookViewId="0">
      <selection activeCell="F15" sqref="F15"/>
    </sheetView>
  </sheetViews>
  <sheetFormatPr baseColWidth="10" defaultColWidth="9.3984375" defaultRowHeight="13" x14ac:dyDescent="0.15"/>
  <cols>
    <col min="1" max="1" width="11" style="89" customWidth="1"/>
    <col min="2" max="2" width="74.796875" style="89" customWidth="1"/>
    <col min="3" max="5" width="10" style="89" customWidth="1"/>
    <col min="6" max="6" width="13" style="89" customWidth="1"/>
    <col min="7" max="16384" width="9.3984375" style="89"/>
  </cols>
  <sheetData>
    <row r="1" spans="1:7" ht="14" x14ac:dyDescent="0.15">
      <c r="A1" s="87" t="s">
        <v>1760</v>
      </c>
      <c r="B1" s="88"/>
      <c r="C1" s="88"/>
      <c r="D1" s="88"/>
      <c r="E1" s="88"/>
      <c r="F1" s="88"/>
    </row>
    <row r="2" spans="1:7" ht="21" customHeight="1" x14ac:dyDescent="0.15">
      <c r="A2" s="629" t="s">
        <v>0</v>
      </c>
      <c r="B2" s="629"/>
      <c r="C2" s="629"/>
      <c r="D2" s="629"/>
      <c r="E2" s="629"/>
      <c r="F2" s="88"/>
    </row>
    <row r="3" spans="1:7" ht="15.75" customHeight="1" x14ac:dyDescent="0.15">
      <c r="A3" s="88"/>
      <c r="B3" s="88"/>
      <c r="C3" s="88"/>
      <c r="D3" s="88"/>
      <c r="E3" s="88"/>
      <c r="F3" s="88"/>
    </row>
    <row r="4" spans="1:7" ht="17.75" customHeight="1" thickBot="1" x14ac:dyDescent="0.25">
      <c r="A4" s="90" t="s">
        <v>1121</v>
      </c>
      <c r="B4" s="91"/>
      <c r="C4" s="91"/>
      <c r="D4" s="91"/>
      <c r="E4" s="91"/>
      <c r="F4" s="91"/>
    </row>
    <row r="5" spans="1:7" ht="19.25" customHeight="1" thickBot="1" x14ac:dyDescent="0.25">
      <c r="A5" s="292"/>
      <c r="B5" s="293" t="s">
        <v>1122</v>
      </c>
      <c r="C5" s="217" t="s">
        <v>1123</v>
      </c>
      <c r="D5" s="217" t="s">
        <v>1124</v>
      </c>
      <c r="E5" s="217" t="s">
        <v>1125</v>
      </c>
      <c r="F5" s="217" t="s">
        <v>1126</v>
      </c>
    </row>
    <row r="6" spans="1:7" ht="25.5" customHeight="1" x14ac:dyDescent="0.2">
      <c r="A6" s="294" t="s">
        <v>1127</v>
      </c>
      <c r="B6" s="164" t="s">
        <v>1128</v>
      </c>
      <c r="C6" s="256"/>
      <c r="D6" s="256"/>
      <c r="E6" s="256"/>
      <c r="F6" s="256"/>
    </row>
    <row r="7" spans="1:7" ht="18.5" customHeight="1" x14ac:dyDescent="0.2">
      <c r="A7" s="295" t="s">
        <v>1129</v>
      </c>
      <c r="B7" s="296" t="s">
        <v>1130</v>
      </c>
      <c r="C7" s="257"/>
      <c r="D7" s="257"/>
      <c r="E7" s="257"/>
      <c r="F7" s="257"/>
    </row>
    <row r="8" spans="1:7" ht="14" x14ac:dyDescent="0.15">
      <c r="A8" s="259" t="s">
        <v>1131</v>
      </c>
      <c r="B8" s="223" t="s">
        <v>1132</v>
      </c>
      <c r="C8" s="220" t="s">
        <v>1133</v>
      </c>
      <c r="D8" s="221">
        <v>16</v>
      </c>
      <c r="E8" s="219">
        <v>650</v>
      </c>
      <c r="F8" s="219">
        <f>+E8*D8</f>
        <v>10400</v>
      </c>
    </row>
    <row r="9" spans="1:7" ht="15" x14ac:dyDescent="0.2">
      <c r="A9" s="249"/>
      <c r="B9" s="223" t="s">
        <v>1134</v>
      </c>
      <c r="C9" s="220" t="s">
        <v>1135</v>
      </c>
      <c r="D9" s="221">
        <v>16</v>
      </c>
      <c r="E9" s="219">
        <v>650</v>
      </c>
      <c r="F9" s="219">
        <f t="shared" ref="F9:F13" si="0">+E9*D9</f>
        <v>10400</v>
      </c>
    </row>
    <row r="10" spans="1:7" ht="22.5" customHeight="1" x14ac:dyDescent="0.2">
      <c r="A10" s="249"/>
      <c r="B10" s="223" t="s">
        <v>1136</v>
      </c>
      <c r="C10" s="257"/>
      <c r="D10" s="218"/>
      <c r="E10" s="219"/>
      <c r="F10" s="219">
        <f t="shared" si="0"/>
        <v>0</v>
      </c>
      <c r="G10" s="91"/>
    </row>
    <row r="11" spans="1:7" ht="15" x14ac:dyDescent="0.2">
      <c r="A11" s="259" t="s">
        <v>1137</v>
      </c>
      <c r="B11" s="223" t="s">
        <v>1138</v>
      </c>
      <c r="C11" s="220" t="s">
        <v>1139</v>
      </c>
      <c r="D11" s="221">
        <v>16</v>
      </c>
      <c r="E11" s="219">
        <v>350</v>
      </c>
      <c r="F11" s="219">
        <f t="shared" si="0"/>
        <v>5600</v>
      </c>
      <c r="G11" s="91"/>
    </row>
    <row r="12" spans="1:7" ht="15" x14ac:dyDescent="0.2">
      <c r="A12" s="249"/>
      <c r="B12" s="223" t="s">
        <v>1140</v>
      </c>
      <c r="C12" s="220" t="s">
        <v>1141</v>
      </c>
      <c r="D12" s="221">
        <v>16</v>
      </c>
      <c r="E12" s="219">
        <v>350</v>
      </c>
      <c r="F12" s="219">
        <f t="shared" si="0"/>
        <v>5600</v>
      </c>
      <c r="G12" s="91"/>
    </row>
    <row r="13" spans="1:7" ht="15" thickBot="1" x14ac:dyDescent="0.25">
      <c r="A13" s="215" t="s">
        <v>1142</v>
      </c>
      <c r="B13" s="169" t="s">
        <v>1143</v>
      </c>
      <c r="C13" s="170" t="s">
        <v>1144</v>
      </c>
      <c r="D13" s="297">
        <v>32</v>
      </c>
      <c r="E13" s="172">
        <v>250</v>
      </c>
      <c r="F13" s="219">
        <f t="shared" si="0"/>
        <v>8000</v>
      </c>
      <c r="G13" s="91"/>
    </row>
    <row r="14" spans="1:7" ht="16" thickBot="1" x14ac:dyDescent="0.25">
      <c r="A14" s="298" t="s">
        <v>1145</v>
      </c>
      <c r="B14" s="634" t="s">
        <v>1146</v>
      </c>
      <c r="C14" s="634"/>
      <c r="D14" s="634"/>
      <c r="E14" s="634"/>
      <c r="F14" s="517">
        <f>SUM(F8:F13)</f>
        <v>40000</v>
      </c>
      <c r="G14" s="91"/>
    </row>
    <row r="15" spans="1:7" ht="14" x14ac:dyDescent="0.2">
      <c r="A15" s="299"/>
      <c r="B15" s="91"/>
      <c r="C15" s="91"/>
      <c r="D15" s="91"/>
      <c r="E15" s="91"/>
      <c r="F15" s="91"/>
      <c r="G15" s="91"/>
    </row>
    <row r="16" spans="1:7" ht="14" x14ac:dyDescent="0.2">
      <c r="A16" s="113" t="s">
        <v>1147</v>
      </c>
      <c r="F16" s="91"/>
      <c r="G16" s="91"/>
    </row>
    <row r="17" spans="1:7" ht="14" x14ac:dyDescent="0.2">
      <c r="A17" s="113"/>
      <c r="F17" s="91"/>
      <c r="G17" s="91"/>
    </row>
    <row r="18" spans="1:7" ht="14" x14ac:dyDescent="0.2">
      <c r="F18" s="91"/>
      <c r="G18" s="91"/>
    </row>
    <row r="19" spans="1:7" ht="14" x14ac:dyDescent="0.2">
      <c r="F19" s="91"/>
      <c r="G19" s="91"/>
    </row>
    <row r="20" spans="1:7" ht="14" x14ac:dyDescent="0.2">
      <c r="F20" s="91"/>
      <c r="G20" s="91"/>
    </row>
    <row r="21" spans="1:7" ht="14" x14ac:dyDescent="0.2">
      <c r="F21" s="91"/>
      <c r="G21" s="91"/>
    </row>
    <row r="22" spans="1:7" ht="14" x14ac:dyDescent="0.2">
      <c r="F22" s="91"/>
      <c r="G22" s="91"/>
    </row>
    <row r="23" spans="1:7" ht="14" x14ac:dyDescent="0.2">
      <c r="F23" s="91"/>
      <c r="G23" s="91"/>
    </row>
    <row r="24" spans="1:7" ht="14" x14ac:dyDescent="0.2">
      <c r="F24" s="91"/>
      <c r="G24" s="91"/>
    </row>
    <row r="25" spans="1:7" ht="14" x14ac:dyDescent="0.2">
      <c r="F25" s="91"/>
      <c r="G25" s="91"/>
    </row>
    <row r="26" spans="1:7" ht="14" x14ac:dyDescent="0.2">
      <c r="F26" s="91"/>
      <c r="G26" s="91"/>
    </row>
    <row r="27" spans="1:7" ht="14" x14ac:dyDescent="0.2">
      <c r="F27" s="91"/>
      <c r="G27" s="91"/>
    </row>
    <row r="28" spans="1:7" ht="14" x14ac:dyDescent="0.2">
      <c r="F28" s="91"/>
      <c r="G28" s="91"/>
    </row>
    <row r="29" spans="1:7" ht="14" x14ac:dyDescent="0.2">
      <c r="F29" s="91"/>
    </row>
    <row r="30" spans="1:7" ht="14" x14ac:dyDescent="0.2">
      <c r="F30" s="91"/>
    </row>
    <row r="31" spans="1:7" ht="14" x14ac:dyDescent="0.2">
      <c r="F31" s="91"/>
    </row>
    <row r="32" spans="1:7" ht="14" x14ac:dyDescent="0.2">
      <c r="F32" s="91"/>
    </row>
  </sheetData>
  <mergeCells count="2">
    <mergeCell ref="B14:E14"/>
    <mergeCell ref="A2:E2"/>
  </mergeCells>
  <phoneticPr fontId="2" type="noConversion"/>
  <pageMargins left="0.7" right="0.7" top="0.75" bottom="0.75" header="0.3" footer="0.3"/>
  <pageSetup paperSize="9" scale="76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9"/>
  <sheetViews>
    <sheetView view="pageBreakPreview" topLeftCell="A2" zoomScaleNormal="100" zoomScaleSheetLayoutView="100" workbookViewId="0">
      <selection activeCell="M10" sqref="M10"/>
    </sheetView>
  </sheetViews>
  <sheetFormatPr baseColWidth="10" defaultColWidth="9.3984375" defaultRowHeight="13" x14ac:dyDescent="0.15"/>
  <cols>
    <col min="1" max="1" width="11" style="89" customWidth="1"/>
    <col min="2" max="2" width="59" style="89" customWidth="1"/>
    <col min="3" max="3" width="6.19921875" style="89" bestFit="1" customWidth="1"/>
    <col min="4" max="5" width="11.796875" style="89" bestFit="1" customWidth="1"/>
    <col min="6" max="6" width="13.3984375" style="89" bestFit="1" customWidth="1"/>
    <col min="7" max="16384" width="9.3984375" style="89"/>
  </cols>
  <sheetData>
    <row r="1" spans="1:7" ht="14" x14ac:dyDescent="0.15">
      <c r="A1" s="87" t="s">
        <v>1761</v>
      </c>
      <c r="B1" s="88"/>
      <c r="C1" s="88"/>
      <c r="D1" s="88"/>
      <c r="E1" s="88"/>
      <c r="F1" s="88"/>
    </row>
    <row r="2" spans="1:7" ht="22.5" customHeight="1" x14ac:dyDescent="0.15">
      <c r="A2" s="629" t="s">
        <v>0</v>
      </c>
      <c r="B2" s="629"/>
      <c r="C2" s="629"/>
      <c r="D2" s="629"/>
      <c r="E2" s="629"/>
      <c r="F2" s="88"/>
    </row>
    <row r="3" spans="1:7" ht="15.75" customHeight="1" x14ac:dyDescent="0.15">
      <c r="A3" s="88"/>
      <c r="B3" s="88"/>
      <c r="C3" s="88"/>
      <c r="D3" s="88"/>
      <c r="E3" s="88"/>
      <c r="F3" s="88"/>
    </row>
    <row r="4" spans="1:7" ht="19.5" customHeight="1" thickBot="1" x14ac:dyDescent="0.25">
      <c r="A4" s="90" t="s">
        <v>20</v>
      </c>
      <c r="B4" s="91"/>
      <c r="C4" s="91"/>
      <c r="D4" s="91"/>
      <c r="E4" s="91"/>
      <c r="F4" s="91"/>
    </row>
    <row r="5" spans="1:7" ht="32.25" customHeight="1" thickBot="1" x14ac:dyDescent="0.25">
      <c r="A5" s="287"/>
      <c r="B5" s="93" t="s">
        <v>1148</v>
      </c>
      <c r="C5" s="93" t="s">
        <v>1149</v>
      </c>
      <c r="D5" s="93" t="s">
        <v>1150</v>
      </c>
      <c r="E5" s="93" t="s">
        <v>1151</v>
      </c>
      <c r="F5" s="93" t="s">
        <v>1152</v>
      </c>
    </row>
    <row r="6" spans="1:7" ht="32.25" customHeight="1" x14ac:dyDescent="0.15">
      <c r="A6" s="288" t="s">
        <v>1153</v>
      </c>
      <c r="B6" s="164" t="s">
        <v>1154</v>
      </c>
      <c r="C6" s="165"/>
      <c r="D6" s="165"/>
      <c r="E6" s="165"/>
      <c r="F6" s="289"/>
    </row>
    <row r="7" spans="1:7" ht="32.25" customHeight="1" x14ac:dyDescent="0.15">
      <c r="A7" s="290" t="s">
        <v>1155</v>
      </c>
      <c r="B7" s="148" t="s">
        <v>1156</v>
      </c>
      <c r="C7" s="154"/>
      <c r="D7" s="154"/>
      <c r="E7" s="154"/>
      <c r="F7" s="291"/>
    </row>
    <row r="8" spans="1:7" ht="21.5" customHeight="1" x14ac:dyDescent="0.2">
      <c r="A8" s="166" t="s">
        <v>1157</v>
      </c>
      <c r="B8" s="99" t="s">
        <v>1158</v>
      </c>
      <c r="C8" s="102" t="s">
        <v>1159</v>
      </c>
      <c r="D8" s="109">
        <v>80</v>
      </c>
      <c r="E8" s="106">
        <v>100</v>
      </c>
      <c r="F8" s="106">
        <f>+E8*D8</f>
        <v>8000</v>
      </c>
      <c r="G8" s="91"/>
    </row>
    <row r="9" spans="1:7" ht="14" x14ac:dyDescent="0.2">
      <c r="A9" s="152"/>
      <c r="B9" s="99" t="s">
        <v>1160</v>
      </c>
      <c r="C9" s="154"/>
      <c r="D9" s="154"/>
      <c r="E9" s="154"/>
      <c r="F9" s="154"/>
      <c r="G9" s="91"/>
    </row>
    <row r="10" spans="1:7" s="119" customFormat="1" ht="28" x14ac:dyDescent="0.2">
      <c r="A10" s="180" t="s">
        <v>1161</v>
      </c>
      <c r="B10" s="115" t="s">
        <v>1162</v>
      </c>
      <c r="C10" s="116" t="s">
        <v>1163</v>
      </c>
      <c r="D10" s="117">
        <v>1</v>
      </c>
      <c r="E10" s="281">
        <v>100000</v>
      </c>
      <c r="F10" s="281">
        <v>100000</v>
      </c>
      <c r="G10" s="127"/>
    </row>
    <row r="11" spans="1:7" s="119" customFormat="1" ht="29" thickBot="1" x14ac:dyDescent="0.25">
      <c r="A11" s="185"/>
      <c r="B11" s="186" t="s">
        <v>1164</v>
      </c>
      <c r="C11" s="187" t="s">
        <v>1165</v>
      </c>
      <c r="D11" s="188">
        <v>100000</v>
      </c>
      <c r="E11" s="194">
        <v>0.15</v>
      </c>
      <c r="F11" s="188">
        <f>+E11*D11</f>
        <v>15000</v>
      </c>
      <c r="G11" s="127"/>
    </row>
    <row r="12" spans="1:7" ht="15" thickBot="1" x14ac:dyDescent="0.25">
      <c r="A12" s="179" t="s">
        <v>1166</v>
      </c>
      <c r="B12" s="637" t="s">
        <v>1167</v>
      </c>
      <c r="C12" s="637"/>
      <c r="D12" s="637"/>
      <c r="E12" s="637"/>
      <c r="F12" s="526">
        <f>SUM(F7:F11)</f>
        <v>123000</v>
      </c>
      <c r="G12" s="91"/>
    </row>
    <row r="13" spans="1:7" ht="14" x14ac:dyDescent="0.2">
      <c r="F13" s="91"/>
      <c r="G13" s="91"/>
    </row>
    <row r="14" spans="1:7" ht="14" x14ac:dyDescent="0.2">
      <c r="A14" s="113" t="s">
        <v>1168</v>
      </c>
      <c r="F14" s="91"/>
      <c r="G14" s="91"/>
    </row>
    <row r="15" spans="1:7" ht="14" x14ac:dyDescent="0.2">
      <c r="A15" s="113"/>
      <c r="F15" s="91"/>
      <c r="G15" s="91"/>
    </row>
    <row r="16" spans="1:7" ht="14" x14ac:dyDescent="0.2">
      <c r="F16" s="91"/>
      <c r="G16" s="91"/>
    </row>
    <row r="17" spans="6:7" ht="14" x14ac:dyDescent="0.2">
      <c r="F17" s="91"/>
      <c r="G17" s="91"/>
    </row>
    <row r="18" spans="6:7" ht="14" x14ac:dyDescent="0.2">
      <c r="F18" s="91"/>
      <c r="G18" s="91"/>
    </row>
    <row r="19" spans="6:7" ht="14" x14ac:dyDescent="0.2">
      <c r="F19" s="91"/>
      <c r="G19" s="91"/>
    </row>
    <row r="20" spans="6:7" ht="14" x14ac:dyDescent="0.2">
      <c r="F20" s="91"/>
      <c r="G20" s="91"/>
    </row>
    <row r="21" spans="6:7" ht="14" x14ac:dyDescent="0.2">
      <c r="F21" s="91"/>
      <c r="G21" s="91"/>
    </row>
    <row r="22" spans="6:7" ht="14" x14ac:dyDescent="0.2">
      <c r="F22" s="91"/>
      <c r="G22" s="91"/>
    </row>
    <row r="23" spans="6:7" ht="14" x14ac:dyDescent="0.2">
      <c r="F23" s="91"/>
      <c r="G23" s="91"/>
    </row>
    <row r="24" spans="6:7" ht="14" x14ac:dyDescent="0.2">
      <c r="F24" s="91"/>
      <c r="G24" s="91"/>
    </row>
    <row r="25" spans="6:7" ht="14" x14ac:dyDescent="0.2">
      <c r="F25" s="91"/>
      <c r="G25" s="91"/>
    </row>
    <row r="26" spans="6:7" ht="14" x14ac:dyDescent="0.2">
      <c r="F26" s="91"/>
    </row>
    <row r="27" spans="6:7" ht="14" x14ac:dyDescent="0.2">
      <c r="F27" s="91"/>
    </row>
    <row r="28" spans="6:7" ht="14" x14ac:dyDescent="0.2">
      <c r="F28" s="91"/>
    </row>
    <row r="29" spans="6:7" ht="14" x14ac:dyDescent="0.2">
      <c r="F29" s="91"/>
    </row>
  </sheetData>
  <mergeCells count="2">
    <mergeCell ref="B12:E12"/>
    <mergeCell ref="A2:E2"/>
  </mergeCells>
  <phoneticPr fontId="2" type="noConversion"/>
  <pageMargins left="0.7" right="0.7" top="0.75" bottom="0.75" header="0.3" footer="0.3"/>
  <pageSetup paperSize="9" scale="7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30"/>
  <sheetViews>
    <sheetView view="pageBreakPreview" topLeftCell="A3" zoomScaleNormal="100" zoomScaleSheetLayoutView="100" workbookViewId="0">
      <selection activeCell="J14" sqref="J14"/>
    </sheetView>
  </sheetViews>
  <sheetFormatPr baseColWidth="10" defaultColWidth="9.3984375" defaultRowHeight="13" x14ac:dyDescent="0.15"/>
  <cols>
    <col min="1" max="1" width="11" style="89" customWidth="1"/>
    <col min="2" max="2" width="67.3984375" style="89" customWidth="1"/>
    <col min="3" max="3" width="10.3984375" style="89" bestFit="1" customWidth="1"/>
    <col min="4" max="4" width="12" style="89" bestFit="1" customWidth="1"/>
    <col min="5" max="5" width="10.59765625" style="89" bestFit="1" customWidth="1"/>
    <col min="6" max="6" width="12" style="133" bestFit="1" customWidth="1"/>
    <col min="7" max="16384" width="9.3984375" style="89"/>
  </cols>
  <sheetData>
    <row r="1" spans="1:7" ht="14" x14ac:dyDescent="0.15">
      <c r="A1" s="87" t="s">
        <v>1760</v>
      </c>
      <c r="B1" s="88"/>
      <c r="C1" s="88"/>
      <c r="D1" s="88"/>
      <c r="E1" s="88"/>
      <c r="F1" s="131"/>
    </row>
    <row r="2" spans="1:7" ht="24" customHeight="1" x14ac:dyDescent="0.15">
      <c r="A2" s="629" t="s">
        <v>0</v>
      </c>
      <c r="B2" s="629"/>
      <c r="C2" s="629"/>
      <c r="D2" s="629"/>
      <c r="E2" s="629"/>
      <c r="F2" s="131"/>
    </row>
    <row r="3" spans="1:7" ht="15.75" customHeight="1" x14ac:dyDescent="0.15">
      <c r="A3" s="88"/>
      <c r="B3" s="88"/>
      <c r="C3" s="88"/>
      <c r="D3" s="88"/>
      <c r="E3" s="88"/>
      <c r="F3" s="131"/>
    </row>
    <row r="4" spans="1:7" ht="13.5" customHeight="1" thickBot="1" x14ac:dyDescent="0.25">
      <c r="A4" s="90" t="s">
        <v>20</v>
      </c>
      <c r="B4" s="91"/>
      <c r="C4" s="91"/>
      <c r="D4" s="91"/>
      <c r="E4" s="91"/>
      <c r="F4" s="132"/>
    </row>
    <row r="5" spans="1:7" ht="17.75" customHeight="1" thickBot="1" x14ac:dyDescent="0.2">
      <c r="A5" s="92" t="s">
        <v>1169</v>
      </c>
      <c r="B5" s="94" t="s">
        <v>1170</v>
      </c>
      <c r="C5" s="93" t="s">
        <v>1171</v>
      </c>
      <c r="D5" s="93" t="s">
        <v>1172</v>
      </c>
      <c r="E5" s="93" t="s">
        <v>1173</v>
      </c>
      <c r="F5" s="234" t="s">
        <v>1174</v>
      </c>
    </row>
    <row r="6" spans="1:7" ht="17.75" customHeight="1" x14ac:dyDescent="0.15">
      <c r="A6" s="254" t="s">
        <v>1175</v>
      </c>
      <c r="B6" s="143" t="s">
        <v>1176</v>
      </c>
      <c r="C6" s="270" t="s">
        <v>1177</v>
      </c>
      <c r="D6" s="270" t="s">
        <v>1178</v>
      </c>
      <c r="E6" s="270" t="s">
        <v>1179</v>
      </c>
      <c r="F6" s="278" t="s">
        <v>1180</v>
      </c>
    </row>
    <row r="7" spans="1:7" ht="6.75" customHeight="1" x14ac:dyDescent="0.15">
      <c r="A7" s="271"/>
      <c r="B7" s="211"/>
      <c r="C7" s="272"/>
      <c r="D7" s="272"/>
      <c r="E7" s="272"/>
      <c r="F7" s="140"/>
    </row>
    <row r="8" spans="1:7" ht="22.5" customHeight="1" x14ac:dyDescent="0.15">
      <c r="A8" s="273" t="s">
        <v>1181</v>
      </c>
      <c r="B8" s="99" t="s">
        <v>1182</v>
      </c>
      <c r="C8" s="102"/>
      <c r="D8" s="102"/>
      <c r="E8" s="102"/>
      <c r="F8" s="237"/>
    </row>
    <row r="9" spans="1:7" ht="6" customHeight="1" x14ac:dyDescent="0.15">
      <c r="A9" s="273"/>
      <c r="B9" s="99"/>
      <c r="C9" s="102"/>
      <c r="D9" s="102"/>
      <c r="E9" s="102"/>
      <c r="F9" s="237"/>
    </row>
    <row r="10" spans="1:7" s="119" customFormat="1" ht="21" customHeight="1" x14ac:dyDescent="0.15">
      <c r="A10" s="280"/>
      <c r="B10" s="115" t="s">
        <v>1183</v>
      </c>
      <c r="C10" s="116" t="s">
        <v>1184</v>
      </c>
      <c r="D10" s="116">
        <v>1</v>
      </c>
      <c r="E10" s="281">
        <v>50000</v>
      </c>
      <c r="F10" s="282">
        <v>50000</v>
      </c>
    </row>
    <row r="11" spans="1:7" s="119" customFormat="1" ht="7.5" customHeight="1" x14ac:dyDescent="0.15">
      <c r="A11" s="280"/>
      <c r="B11" s="115"/>
      <c r="C11" s="116"/>
      <c r="D11" s="116"/>
      <c r="E11" s="116"/>
      <c r="F11" s="282"/>
    </row>
    <row r="12" spans="1:7" s="119" customFormat="1" ht="21" customHeight="1" x14ac:dyDescent="0.15">
      <c r="A12" s="280"/>
      <c r="B12" s="115" t="s">
        <v>1185</v>
      </c>
      <c r="C12" s="116" t="s">
        <v>1186</v>
      </c>
      <c r="D12" s="281">
        <v>50000</v>
      </c>
      <c r="E12" s="283">
        <v>0.15</v>
      </c>
      <c r="F12" s="282">
        <f>+E12*D12</f>
        <v>7500</v>
      </c>
    </row>
    <row r="13" spans="1:7" s="119" customFormat="1" ht="8.25" customHeight="1" x14ac:dyDescent="0.15">
      <c r="A13" s="280"/>
      <c r="B13" s="115"/>
      <c r="C13" s="116"/>
      <c r="D13" s="116"/>
      <c r="E13" s="284"/>
      <c r="F13" s="282"/>
    </row>
    <row r="14" spans="1:7" s="119" customFormat="1" ht="14" x14ac:dyDescent="0.15">
      <c r="A14" s="280"/>
      <c r="B14" s="115" t="s">
        <v>1187</v>
      </c>
      <c r="C14" s="116"/>
      <c r="D14" s="116"/>
      <c r="E14" s="116"/>
      <c r="F14" s="282"/>
    </row>
    <row r="15" spans="1:7" s="119" customFormat="1" x14ac:dyDescent="0.15">
      <c r="A15" s="280"/>
      <c r="B15" s="115"/>
      <c r="C15" s="116"/>
      <c r="D15" s="116"/>
      <c r="E15" s="116"/>
      <c r="F15" s="282"/>
    </row>
    <row r="16" spans="1:7" s="119" customFormat="1" ht="21.5" customHeight="1" x14ac:dyDescent="0.2">
      <c r="A16" s="280"/>
      <c r="B16" s="115" t="s">
        <v>1188</v>
      </c>
      <c r="C16" s="116" t="s">
        <v>1189</v>
      </c>
      <c r="D16" s="116">
        <v>1</v>
      </c>
      <c r="E16" s="281">
        <v>2000</v>
      </c>
      <c r="F16" s="282">
        <v>2000</v>
      </c>
      <c r="G16" s="127"/>
    </row>
    <row r="17" spans="1:7" s="119" customFormat="1" ht="14" x14ac:dyDescent="0.2">
      <c r="A17" s="280"/>
      <c r="B17" s="285"/>
      <c r="C17" s="116"/>
      <c r="D17" s="116"/>
      <c r="E17" s="116"/>
      <c r="F17" s="282"/>
      <c r="G17" s="127"/>
    </row>
    <row r="18" spans="1:7" s="119" customFormat="1" ht="29" thickBot="1" x14ac:dyDescent="0.25">
      <c r="A18" s="286" t="s">
        <v>1190</v>
      </c>
      <c r="B18" s="115" t="s">
        <v>1191</v>
      </c>
      <c r="C18" s="116" t="s">
        <v>1192</v>
      </c>
      <c r="D18" s="281">
        <v>2000</v>
      </c>
      <c r="E18" s="284">
        <v>0.15</v>
      </c>
      <c r="F18" s="282">
        <f>+E18*D18</f>
        <v>300</v>
      </c>
      <c r="G18" s="127"/>
    </row>
    <row r="19" spans="1:7" ht="15" thickBot="1" x14ac:dyDescent="0.25">
      <c r="A19" s="276"/>
      <c r="B19" s="169" t="s">
        <v>1193</v>
      </c>
      <c r="C19" s="277"/>
      <c r="D19" s="277"/>
      <c r="E19" s="277"/>
      <c r="F19" s="279"/>
      <c r="G19" s="91"/>
    </row>
    <row r="20" spans="1:7" ht="15" thickBot="1" x14ac:dyDescent="0.25">
      <c r="A20" s="179" t="s">
        <v>1194</v>
      </c>
      <c r="B20" s="637" t="s">
        <v>1195</v>
      </c>
      <c r="C20" s="637"/>
      <c r="D20" s="637"/>
      <c r="E20" s="637"/>
      <c r="F20" s="529">
        <f>SUM(F7:F19)</f>
        <v>59800</v>
      </c>
      <c r="G20" s="91"/>
    </row>
    <row r="21" spans="1:7" ht="14" x14ac:dyDescent="0.2">
      <c r="F21" s="132"/>
      <c r="G21" s="91"/>
    </row>
    <row r="22" spans="1:7" ht="14" x14ac:dyDescent="0.2">
      <c r="A22" s="113" t="s">
        <v>1196</v>
      </c>
      <c r="F22" s="132"/>
      <c r="G22" s="91"/>
    </row>
    <row r="23" spans="1:7" ht="14" x14ac:dyDescent="0.2">
      <c r="A23" s="113"/>
      <c r="F23" s="132"/>
      <c r="G23" s="91"/>
    </row>
    <row r="24" spans="1:7" ht="14" x14ac:dyDescent="0.2">
      <c r="F24" s="132"/>
      <c r="G24" s="91"/>
    </row>
    <row r="25" spans="1:7" ht="14" x14ac:dyDescent="0.2">
      <c r="F25" s="132"/>
      <c r="G25" s="91"/>
    </row>
    <row r="26" spans="1:7" ht="14" x14ac:dyDescent="0.2">
      <c r="F26" s="132"/>
      <c r="G26" s="91"/>
    </row>
    <row r="27" spans="1:7" ht="14" x14ac:dyDescent="0.2">
      <c r="F27" s="132"/>
    </row>
    <row r="28" spans="1:7" ht="14" x14ac:dyDescent="0.2">
      <c r="F28" s="132"/>
    </row>
    <row r="29" spans="1:7" ht="14" x14ac:dyDescent="0.2">
      <c r="F29" s="132"/>
    </row>
    <row r="30" spans="1:7" ht="14" x14ac:dyDescent="0.2">
      <c r="F30" s="132"/>
    </row>
  </sheetData>
  <mergeCells count="2">
    <mergeCell ref="B20:E20"/>
    <mergeCell ref="A2:E2"/>
  </mergeCells>
  <phoneticPr fontId="2" type="noConversion"/>
  <pageMargins left="0.7" right="0.7" top="0.75" bottom="0.75" header="0.3" footer="0.3"/>
  <pageSetup paperSize="9" scale="74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31"/>
  <sheetViews>
    <sheetView view="pageBreakPreview" topLeftCell="A16" zoomScaleNormal="100" zoomScaleSheetLayoutView="100" workbookViewId="0">
      <selection activeCell="F31" sqref="F31"/>
    </sheetView>
  </sheetViews>
  <sheetFormatPr baseColWidth="10" defaultColWidth="9.3984375" defaultRowHeight="13" x14ac:dyDescent="0.15"/>
  <cols>
    <col min="1" max="1" width="11" style="89" customWidth="1"/>
    <col min="2" max="2" width="73.3984375" style="89" customWidth="1"/>
    <col min="3" max="3" width="10" style="89" customWidth="1"/>
    <col min="4" max="4" width="9" style="89" customWidth="1"/>
    <col min="5" max="5" width="10.796875" style="89" bestFit="1" customWidth="1"/>
    <col min="6" max="6" width="13.398437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4.75" customHeight="1" x14ac:dyDescent="0.15">
      <c r="A2" s="629" t="s">
        <v>0</v>
      </c>
      <c r="B2" s="629"/>
      <c r="C2" s="629"/>
      <c r="D2" s="629"/>
      <c r="E2" s="629"/>
      <c r="F2" s="88"/>
    </row>
    <row r="3" spans="1:6" ht="15" customHeight="1" x14ac:dyDescent="0.15">
      <c r="A3" s="88"/>
      <c r="B3" s="88"/>
      <c r="C3" s="88"/>
      <c r="D3" s="88"/>
      <c r="E3" s="88"/>
      <c r="F3" s="88"/>
    </row>
    <row r="4" spans="1:6" ht="17.75" customHeight="1" x14ac:dyDescent="0.2">
      <c r="A4" s="90" t="s">
        <v>20</v>
      </c>
      <c r="B4" s="91"/>
      <c r="C4" s="91"/>
      <c r="D4" s="91"/>
      <c r="E4" s="91"/>
      <c r="F4" s="91"/>
    </row>
    <row r="5" spans="1:6" ht="14.5" customHeight="1" thickBot="1" x14ac:dyDescent="0.2"/>
    <row r="6" spans="1:6" ht="13" customHeight="1" thickBot="1" x14ac:dyDescent="0.2">
      <c r="A6" s="176" t="s">
        <v>1197</v>
      </c>
      <c r="B6" s="94" t="s">
        <v>1198</v>
      </c>
      <c r="C6" s="93" t="s">
        <v>1199</v>
      </c>
      <c r="D6" s="93" t="s">
        <v>1200</v>
      </c>
      <c r="E6" s="93" t="s">
        <v>1201</v>
      </c>
      <c r="F6" s="93" t="s">
        <v>1202</v>
      </c>
    </row>
    <row r="7" spans="1:6" ht="14.5" customHeight="1" x14ac:dyDescent="0.15">
      <c r="A7" s="163" t="s">
        <v>1203</v>
      </c>
      <c r="B7" s="164" t="s">
        <v>1204</v>
      </c>
      <c r="C7" s="165"/>
      <c r="D7" s="165"/>
      <c r="E7" s="165"/>
      <c r="F7" s="165"/>
    </row>
    <row r="8" spans="1:6" ht="20" customHeight="1" x14ac:dyDescent="0.15">
      <c r="A8" s="166" t="s">
        <v>1205</v>
      </c>
      <c r="B8" s="148" t="s">
        <v>1206</v>
      </c>
      <c r="C8" s="153"/>
      <c r="D8" s="153"/>
      <c r="E8" s="153"/>
      <c r="F8" s="106" t="str">
        <f>IF(D8=0,"",ROUND(D8*E8,2))</f>
        <v/>
      </c>
    </row>
    <row r="9" spans="1:6" ht="20" customHeight="1" x14ac:dyDescent="0.15">
      <c r="A9" s="152"/>
      <c r="B9" s="99" t="s">
        <v>1207</v>
      </c>
      <c r="C9" s="153"/>
      <c r="D9" s="153"/>
      <c r="E9" s="153"/>
      <c r="F9" s="106"/>
    </row>
    <row r="10" spans="1:6" ht="24.75" customHeight="1" x14ac:dyDescent="0.15">
      <c r="A10" s="152"/>
      <c r="B10" s="99" t="s">
        <v>1208</v>
      </c>
      <c r="C10" s="102" t="s">
        <v>1209</v>
      </c>
      <c r="D10" s="109">
        <v>24</v>
      </c>
      <c r="E10" s="106">
        <v>450</v>
      </c>
      <c r="F10" s="106">
        <f>+E10*D10</f>
        <v>10800</v>
      </c>
    </row>
    <row r="11" spans="1:6" ht="19.25" customHeight="1" x14ac:dyDescent="0.15">
      <c r="A11" s="152"/>
      <c r="B11" s="99" t="s">
        <v>1210</v>
      </c>
      <c r="C11" s="102" t="s">
        <v>1211</v>
      </c>
      <c r="D11" s="109">
        <v>24</v>
      </c>
      <c r="E11" s="106">
        <v>450</v>
      </c>
      <c r="F11" s="106">
        <f t="shared" ref="F11:F29" si="0">+E11*D11</f>
        <v>10800</v>
      </c>
    </row>
    <row r="12" spans="1:6" ht="20" customHeight="1" x14ac:dyDescent="0.15">
      <c r="A12" s="152"/>
      <c r="B12" s="99" t="s">
        <v>1212</v>
      </c>
      <c r="C12" s="102" t="s">
        <v>1213</v>
      </c>
      <c r="D12" s="109">
        <v>56</v>
      </c>
      <c r="E12" s="106">
        <v>450</v>
      </c>
      <c r="F12" s="106">
        <f t="shared" si="0"/>
        <v>25200</v>
      </c>
    </row>
    <row r="13" spans="1:6" ht="19.25" customHeight="1" x14ac:dyDescent="0.15">
      <c r="A13" s="152"/>
      <c r="B13" s="99" t="s">
        <v>1214</v>
      </c>
      <c r="C13" s="102" t="s">
        <v>1215</v>
      </c>
      <c r="D13" s="109">
        <v>56</v>
      </c>
      <c r="E13" s="106">
        <v>450</v>
      </c>
      <c r="F13" s="106">
        <f t="shared" si="0"/>
        <v>25200</v>
      </c>
    </row>
    <row r="14" spans="1:6" ht="13" customHeight="1" x14ac:dyDescent="0.15">
      <c r="A14" s="152"/>
      <c r="B14" s="99" t="s">
        <v>1216</v>
      </c>
      <c r="C14" s="102" t="s">
        <v>1217</v>
      </c>
      <c r="D14" s="109">
        <v>56</v>
      </c>
      <c r="E14" s="106">
        <v>450</v>
      </c>
      <c r="F14" s="106">
        <f t="shared" si="0"/>
        <v>25200</v>
      </c>
    </row>
    <row r="15" spans="1:6" ht="13" customHeight="1" x14ac:dyDescent="0.15">
      <c r="A15" s="166" t="s">
        <v>1218</v>
      </c>
      <c r="B15" s="99" t="s">
        <v>1219</v>
      </c>
      <c r="C15" s="153"/>
      <c r="D15" s="154"/>
      <c r="E15" s="106"/>
      <c r="F15" s="106">
        <f t="shared" si="0"/>
        <v>0</v>
      </c>
    </row>
    <row r="16" spans="1:6" ht="14.5" customHeight="1" x14ac:dyDescent="0.15">
      <c r="A16" s="152"/>
      <c r="B16" s="99" t="s">
        <v>1220</v>
      </c>
      <c r="C16" s="102" t="s">
        <v>1221</v>
      </c>
      <c r="D16" s="109">
        <v>16</v>
      </c>
      <c r="E16" s="106">
        <v>900</v>
      </c>
      <c r="F16" s="106">
        <f t="shared" si="0"/>
        <v>14400</v>
      </c>
    </row>
    <row r="17" spans="1:6" ht="19.25" customHeight="1" x14ac:dyDescent="0.15">
      <c r="A17" s="152"/>
      <c r="B17" s="99" t="s">
        <v>1222</v>
      </c>
      <c r="C17" s="102" t="s">
        <v>1223</v>
      </c>
      <c r="D17" s="109">
        <v>16</v>
      </c>
      <c r="E17" s="106">
        <v>900</v>
      </c>
      <c r="F17" s="106">
        <f t="shared" si="0"/>
        <v>14400</v>
      </c>
    </row>
    <row r="18" spans="1:6" ht="19.25" customHeight="1" x14ac:dyDescent="0.15">
      <c r="A18" s="152"/>
      <c r="B18" s="99" t="s">
        <v>1224</v>
      </c>
      <c r="C18" s="153"/>
      <c r="D18" s="154"/>
      <c r="E18" s="106"/>
      <c r="F18" s="106">
        <f t="shared" si="0"/>
        <v>0</v>
      </c>
    </row>
    <row r="19" spans="1:6" ht="20" customHeight="1" x14ac:dyDescent="0.15">
      <c r="A19" s="152"/>
      <c r="B19" s="99" t="s">
        <v>1225</v>
      </c>
      <c r="C19" s="102" t="s">
        <v>1226</v>
      </c>
      <c r="D19" s="109">
        <v>16</v>
      </c>
      <c r="E19" s="106">
        <v>650</v>
      </c>
      <c r="F19" s="106">
        <f t="shared" si="0"/>
        <v>10400</v>
      </c>
    </row>
    <row r="20" spans="1:6" ht="19.25" customHeight="1" x14ac:dyDescent="0.15">
      <c r="A20" s="152"/>
      <c r="B20" s="99" t="s">
        <v>1227</v>
      </c>
      <c r="C20" s="102" t="s">
        <v>1228</v>
      </c>
      <c r="D20" s="109">
        <v>16</v>
      </c>
      <c r="E20" s="106">
        <v>650</v>
      </c>
      <c r="F20" s="106">
        <f t="shared" si="0"/>
        <v>10400</v>
      </c>
    </row>
    <row r="21" spans="1:6" ht="20" customHeight="1" x14ac:dyDescent="0.15">
      <c r="A21" s="152"/>
      <c r="B21" s="99" t="s">
        <v>1229</v>
      </c>
      <c r="C21" s="102" t="s">
        <v>1230</v>
      </c>
      <c r="D21" s="109">
        <v>140</v>
      </c>
      <c r="E21" s="106">
        <v>45</v>
      </c>
      <c r="F21" s="106">
        <f t="shared" si="0"/>
        <v>6300</v>
      </c>
    </row>
    <row r="22" spans="1:6" ht="25.75" customHeight="1" x14ac:dyDescent="0.15">
      <c r="A22" s="166" t="s">
        <v>1231</v>
      </c>
      <c r="B22" s="99" t="s">
        <v>1232</v>
      </c>
      <c r="C22" s="153"/>
      <c r="D22" s="154"/>
      <c r="E22" s="106"/>
      <c r="F22" s="106">
        <f t="shared" si="0"/>
        <v>0</v>
      </c>
    </row>
    <row r="23" spans="1:6" ht="19.25" customHeight="1" x14ac:dyDescent="0.15">
      <c r="A23" s="152"/>
      <c r="B23" s="99" t="s">
        <v>1233</v>
      </c>
      <c r="C23" s="102" t="s">
        <v>1234</v>
      </c>
      <c r="D23" s="109">
        <v>16</v>
      </c>
      <c r="E23" s="106">
        <v>950</v>
      </c>
      <c r="F23" s="106">
        <f t="shared" si="0"/>
        <v>15200</v>
      </c>
    </row>
    <row r="24" spans="1:6" ht="27" customHeight="1" x14ac:dyDescent="0.15">
      <c r="A24" s="152"/>
      <c r="B24" s="99" t="s">
        <v>1235</v>
      </c>
      <c r="C24" s="102" t="s">
        <v>1236</v>
      </c>
      <c r="D24" s="109">
        <v>16</v>
      </c>
      <c r="E24" s="106">
        <v>950</v>
      </c>
      <c r="F24" s="106">
        <f t="shared" si="0"/>
        <v>15200</v>
      </c>
    </row>
    <row r="25" spans="1:6" ht="24" customHeight="1" x14ac:dyDescent="0.15">
      <c r="A25" s="166" t="s">
        <v>1237</v>
      </c>
      <c r="B25" s="99" t="s">
        <v>1238</v>
      </c>
      <c r="C25" s="153"/>
      <c r="D25" s="154"/>
      <c r="E25" s="106"/>
      <c r="F25" s="106">
        <f t="shared" si="0"/>
        <v>0</v>
      </c>
    </row>
    <row r="26" spans="1:6" ht="21.5" customHeight="1" x14ac:dyDescent="0.15">
      <c r="A26" s="152"/>
      <c r="B26" s="99" t="s">
        <v>1239</v>
      </c>
      <c r="C26" s="102" t="s">
        <v>1240</v>
      </c>
      <c r="D26" s="109">
        <v>48</v>
      </c>
      <c r="E26" s="106">
        <v>2600</v>
      </c>
      <c r="F26" s="106">
        <f t="shared" si="0"/>
        <v>124800</v>
      </c>
    </row>
    <row r="27" spans="1:6" ht="14" x14ac:dyDescent="0.15">
      <c r="A27" s="152"/>
      <c r="B27" s="99" t="s">
        <v>1241</v>
      </c>
      <c r="C27" s="102" t="s">
        <v>1242</v>
      </c>
      <c r="D27" s="109">
        <v>48</v>
      </c>
      <c r="E27" s="106">
        <v>300</v>
      </c>
      <c r="F27" s="106">
        <f t="shared" si="0"/>
        <v>14400</v>
      </c>
    </row>
    <row r="28" spans="1:6" ht="14" x14ac:dyDescent="0.15">
      <c r="A28" s="152"/>
      <c r="B28" s="99" t="s">
        <v>1243</v>
      </c>
      <c r="C28" s="102" t="s">
        <v>1244</v>
      </c>
      <c r="D28" s="109">
        <v>48</v>
      </c>
      <c r="E28" s="106">
        <v>320</v>
      </c>
      <c r="F28" s="106">
        <f t="shared" si="0"/>
        <v>15360</v>
      </c>
    </row>
    <row r="29" spans="1:6" ht="29" thickBot="1" x14ac:dyDescent="0.2">
      <c r="A29" s="155"/>
      <c r="B29" s="156" t="s">
        <v>1245</v>
      </c>
      <c r="C29" s="157" t="s">
        <v>1246</v>
      </c>
      <c r="D29" s="157">
        <v>48</v>
      </c>
      <c r="E29" s="158">
        <v>320</v>
      </c>
      <c r="F29" s="106">
        <f t="shared" si="0"/>
        <v>15360</v>
      </c>
    </row>
    <row r="30" spans="1:6" ht="15" thickBot="1" x14ac:dyDescent="0.2">
      <c r="A30" s="269" t="s">
        <v>1247</v>
      </c>
      <c r="B30" s="628" t="s">
        <v>1248</v>
      </c>
      <c r="C30" s="628"/>
      <c r="D30" s="628"/>
      <c r="E30" s="628"/>
      <c r="F30" s="97">
        <f>SUM(F8:F29)</f>
        <v>353420</v>
      </c>
    </row>
    <row r="31" spans="1:6" x14ac:dyDescent="0.15">
      <c r="A31" s="113"/>
    </row>
  </sheetData>
  <mergeCells count="2">
    <mergeCell ref="B30:E30"/>
    <mergeCell ref="A2:E2"/>
  </mergeCells>
  <phoneticPr fontId="2" type="noConversion"/>
  <pageMargins left="0.7" right="0.7" top="0.75" bottom="0.75" header="0.3" footer="0.3"/>
  <pageSetup paperSize="9" scale="7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34"/>
  <sheetViews>
    <sheetView view="pageBreakPreview" zoomScaleNormal="100" zoomScaleSheetLayoutView="100" workbookViewId="0">
      <selection activeCell="F14" sqref="F14"/>
    </sheetView>
  </sheetViews>
  <sheetFormatPr baseColWidth="10" defaultColWidth="9.3984375" defaultRowHeight="13" x14ac:dyDescent="0.15"/>
  <cols>
    <col min="1" max="1" width="11" style="89" customWidth="1"/>
    <col min="2" max="2" width="70" style="89" customWidth="1"/>
    <col min="3" max="3" width="10" style="89" customWidth="1"/>
    <col min="4" max="4" width="11" style="89" customWidth="1"/>
    <col min="5" max="5" width="10.796875" style="89" bestFit="1" customWidth="1"/>
    <col min="6" max="6" width="13.3984375" style="89" bestFit="1" customWidth="1"/>
    <col min="7" max="16384" width="9.3984375" style="89"/>
  </cols>
  <sheetData>
    <row r="1" spans="1:7" ht="14" x14ac:dyDescent="0.15">
      <c r="A1" s="87" t="s">
        <v>1760</v>
      </c>
      <c r="B1" s="88"/>
      <c r="C1" s="88"/>
      <c r="D1" s="88"/>
      <c r="E1" s="88"/>
      <c r="F1" s="88"/>
    </row>
    <row r="2" spans="1:7" ht="21.75" customHeight="1" x14ac:dyDescent="0.15">
      <c r="A2" s="629" t="s">
        <v>0</v>
      </c>
      <c r="B2" s="629"/>
      <c r="C2" s="629"/>
      <c r="D2" s="629"/>
      <c r="E2" s="629"/>
      <c r="F2" s="88"/>
    </row>
    <row r="3" spans="1:7" ht="12.75" customHeight="1" x14ac:dyDescent="0.15">
      <c r="A3" s="88"/>
      <c r="B3" s="88"/>
      <c r="C3" s="88"/>
      <c r="D3" s="88"/>
      <c r="E3" s="88"/>
      <c r="F3" s="88"/>
    </row>
    <row r="4" spans="1:7" ht="18.75" customHeight="1" thickBot="1" x14ac:dyDescent="0.25">
      <c r="A4" s="90" t="s">
        <v>20</v>
      </c>
      <c r="B4" s="91"/>
      <c r="C4" s="91"/>
      <c r="D4" s="91"/>
      <c r="E4" s="91"/>
      <c r="F4" s="91"/>
    </row>
    <row r="5" spans="1:7" s="91" customFormat="1" ht="21" customHeight="1" thickBot="1" x14ac:dyDescent="0.25">
      <c r="A5" s="176" t="s">
        <v>1249</v>
      </c>
      <c r="B5" s="94" t="s">
        <v>1250</v>
      </c>
      <c r="C5" s="93" t="s">
        <v>1251</v>
      </c>
      <c r="D5" s="93" t="s">
        <v>1252</v>
      </c>
      <c r="E5" s="93" t="s">
        <v>1253</v>
      </c>
      <c r="F5" s="93" t="s">
        <v>1254</v>
      </c>
    </row>
    <row r="6" spans="1:7" s="91" customFormat="1" ht="23.25" customHeight="1" x14ac:dyDescent="0.2">
      <c r="A6" s="266"/>
      <c r="B6" s="635" t="s">
        <v>1255</v>
      </c>
      <c r="C6" s="635"/>
      <c r="D6" s="635"/>
      <c r="E6" s="635"/>
      <c r="F6" s="146">
        <f>+'M5100'!F30</f>
        <v>353420</v>
      </c>
    </row>
    <row r="7" spans="1:7" s="91" customFormat="1" ht="21" customHeight="1" x14ac:dyDescent="0.2">
      <c r="A7" s="267" t="s">
        <v>1256</v>
      </c>
      <c r="B7" s="148" t="s">
        <v>1257</v>
      </c>
      <c r="C7" s="149" t="s">
        <v>1258</v>
      </c>
      <c r="D7" s="150">
        <v>20</v>
      </c>
      <c r="E7" s="151">
        <v>2600</v>
      </c>
      <c r="F7" s="106">
        <f>+E7*D7</f>
        <v>52000</v>
      </c>
    </row>
    <row r="8" spans="1:7" s="91" customFormat="1" ht="14" x14ac:dyDescent="0.2">
      <c r="A8" s="166" t="s">
        <v>1259</v>
      </c>
      <c r="B8" s="99" t="s">
        <v>1260</v>
      </c>
      <c r="C8" s="102" t="s">
        <v>1261</v>
      </c>
      <c r="D8" s="109">
        <v>50</v>
      </c>
      <c r="E8" s="106">
        <v>2600</v>
      </c>
      <c r="F8" s="106">
        <f>+E8*D8</f>
        <v>130000</v>
      </c>
    </row>
    <row r="9" spans="1:7" s="91" customFormat="1" ht="14" x14ac:dyDescent="0.2">
      <c r="A9" s="166" t="s">
        <v>1262</v>
      </c>
      <c r="B9" s="99" t="s">
        <v>1263</v>
      </c>
      <c r="C9" s="154"/>
      <c r="D9" s="154"/>
      <c r="E9" s="106"/>
      <c r="F9" s="106">
        <f t="shared" ref="F9:F13" si="0">+E9*D9</f>
        <v>0</v>
      </c>
    </row>
    <row r="10" spans="1:7" s="91" customFormat="1" ht="25.5" customHeight="1" x14ac:dyDescent="0.2">
      <c r="A10" s="166"/>
      <c r="B10" s="99" t="s">
        <v>1264</v>
      </c>
      <c r="C10" s="154"/>
      <c r="D10" s="154"/>
      <c r="E10" s="106"/>
      <c r="F10" s="106">
        <f t="shared" si="0"/>
        <v>0</v>
      </c>
    </row>
    <row r="11" spans="1:7" s="91" customFormat="1" ht="14" x14ac:dyDescent="0.2">
      <c r="A11" s="152"/>
      <c r="B11" s="99" t="s">
        <v>1265</v>
      </c>
      <c r="C11" s="102" t="s">
        <v>1266</v>
      </c>
      <c r="D11" s="109">
        <v>15</v>
      </c>
      <c r="E11" s="106">
        <v>25</v>
      </c>
      <c r="F11" s="106">
        <f t="shared" si="0"/>
        <v>375</v>
      </c>
    </row>
    <row r="12" spans="1:7" s="91" customFormat="1" ht="14" x14ac:dyDescent="0.2">
      <c r="A12" s="152"/>
      <c r="B12" s="99" t="s">
        <v>1267</v>
      </c>
      <c r="C12" s="102" t="s">
        <v>1268</v>
      </c>
      <c r="D12" s="109">
        <v>15</v>
      </c>
      <c r="E12" s="106">
        <v>25</v>
      </c>
      <c r="F12" s="106">
        <f t="shared" si="0"/>
        <v>375</v>
      </c>
    </row>
    <row r="13" spans="1:7" s="91" customFormat="1" ht="15" thickBot="1" x14ac:dyDescent="0.25">
      <c r="A13" s="168"/>
      <c r="B13" s="169" t="s">
        <v>1269</v>
      </c>
      <c r="C13" s="170" t="s">
        <v>1270</v>
      </c>
      <c r="D13" s="170">
        <v>15</v>
      </c>
      <c r="E13" s="172">
        <v>25</v>
      </c>
      <c r="F13" s="106">
        <f t="shared" si="0"/>
        <v>375</v>
      </c>
    </row>
    <row r="14" spans="1:7" ht="15" thickBot="1" x14ac:dyDescent="0.25">
      <c r="A14" s="263" t="s">
        <v>1271</v>
      </c>
      <c r="B14" s="637" t="s">
        <v>1272</v>
      </c>
      <c r="C14" s="637"/>
      <c r="D14" s="637"/>
      <c r="E14" s="637"/>
      <c r="F14" s="526">
        <f>SUM(F6:F13)</f>
        <v>536545</v>
      </c>
      <c r="G14" s="91"/>
    </row>
    <row r="15" spans="1:7" ht="14" x14ac:dyDescent="0.2">
      <c r="A15" s="88"/>
      <c r="B15" s="88"/>
      <c r="C15" s="88"/>
      <c r="D15" s="88"/>
      <c r="E15" s="88"/>
      <c r="F15" s="88"/>
      <c r="G15" s="91"/>
    </row>
    <row r="16" spans="1:7" ht="14" x14ac:dyDescent="0.2">
      <c r="A16" s="268" t="s">
        <v>1273</v>
      </c>
      <c r="B16" s="88"/>
      <c r="C16" s="88"/>
      <c r="D16" s="88"/>
      <c r="E16" s="88"/>
      <c r="F16" s="88"/>
      <c r="G16" s="91"/>
    </row>
    <row r="17" spans="1:7" ht="14" x14ac:dyDescent="0.2">
      <c r="A17" s="113"/>
      <c r="B17" s="88"/>
      <c r="C17" s="88"/>
      <c r="D17" s="88"/>
      <c r="E17" s="88"/>
      <c r="F17" s="88"/>
      <c r="G17" s="91"/>
    </row>
    <row r="18" spans="1:7" ht="14" x14ac:dyDescent="0.2">
      <c r="F18" s="91"/>
      <c r="G18" s="91"/>
    </row>
    <row r="19" spans="1:7" ht="14" x14ac:dyDescent="0.2">
      <c r="F19" s="91"/>
      <c r="G19" s="91"/>
    </row>
    <row r="20" spans="1:7" ht="14" x14ac:dyDescent="0.2">
      <c r="F20" s="91"/>
      <c r="G20" s="91"/>
    </row>
    <row r="21" spans="1:7" ht="14" x14ac:dyDescent="0.2">
      <c r="F21" s="91"/>
      <c r="G21" s="91"/>
    </row>
    <row r="22" spans="1:7" ht="14" x14ac:dyDescent="0.2">
      <c r="F22" s="91"/>
      <c r="G22" s="91"/>
    </row>
    <row r="23" spans="1:7" ht="14" x14ac:dyDescent="0.2">
      <c r="F23" s="91"/>
      <c r="G23" s="91"/>
    </row>
    <row r="24" spans="1:7" ht="14" x14ac:dyDescent="0.2">
      <c r="F24" s="91"/>
      <c r="G24" s="91"/>
    </row>
    <row r="25" spans="1:7" ht="14" x14ac:dyDescent="0.2">
      <c r="F25" s="91"/>
      <c r="G25" s="91"/>
    </row>
    <row r="26" spans="1:7" ht="14" x14ac:dyDescent="0.2">
      <c r="F26" s="91"/>
      <c r="G26" s="91"/>
    </row>
    <row r="27" spans="1:7" ht="14" x14ac:dyDescent="0.2">
      <c r="F27" s="91"/>
      <c r="G27" s="91"/>
    </row>
    <row r="28" spans="1:7" ht="14" x14ac:dyDescent="0.2">
      <c r="F28" s="91"/>
      <c r="G28" s="91"/>
    </row>
    <row r="29" spans="1:7" ht="14" x14ac:dyDescent="0.2">
      <c r="F29" s="91"/>
      <c r="G29" s="91"/>
    </row>
    <row r="30" spans="1:7" ht="14" x14ac:dyDescent="0.2">
      <c r="F30" s="91"/>
      <c r="G30" s="91"/>
    </row>
    <row r="31" spans="1:7" ht="14" x14ac:dyDescent="0.2">
      <c r="F31" s="91"/>
    </row>
    <row r="32" spans="1:7" ht="14" x14ac:dyDescent="0.2">
      <c r="F32" s="91"/>
    </row>
    <row r="33" spans="6:6" ht="14" x14ac:dyDescent="0.2">
      <c r="F33" s="91"/>
    </row>
    <row r="34" spans="6:6" ht="14" x14ac:dyDescent="0.2">
      <c r="F34" s="91"/>
    </row>
  </sheetData>
  <mergeCells count="3">
    <mergeCell ref="B6:E6"/>
    <mergeCell ref="B14:E14"/>
    <mergeCell ref="A2:E2"/>
  </mergeCells>
  <phoneticPr fontId="2" type="noConversion"/>
  <pageMargins left="0.7" right="0.7" top="0.75" bottom="0.75" header="0.3" footer="0.3"/>
  <pageSetup paperSize="9" scale="77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47"/>
  <sheetViews>
    <sheetView view="pageBreakPreview" topLeftCell="A13" zoomScaleNormal="100" zoomScaleSheetLayoutView="100" workbookViewId="0">
      <selection activeCell="F21" sqref="F21"/>
    </sheetView>
  </sheetViews>
  <sheetFormatPr baseColWidth="10" defaultColWidth="9.3984375" defaultRowHeight="13" x14ac:dyDescent="0.15"/>
  <cols>
    <col min="1" max="1" width="13" style="89" customWidth="1"/>
    <col min="2" max="2" width="64.59765625" style="89" customWidth="1"/>
    <col min="3" max="3" width="10" style="89" customWidth="1"/>
    <col min="4" max="6" width="13" style="89" customWidth="1"/>
    <col min="7" max="16384" width="9.3984375" style="89"/>
  </cols>
  <sheetData>
    <row r="1" spans="1:7" ht="14" x14ac:dyDescent="0.15">
      <c r="A1" s="87" t="s">
        <v>1760</v>
      </c>
      <c r="B1" s="88"/>
      <c r="C1" s="88"/>
      <c r="D1" s="88"/>
      <c r="E1" s="88"/>
      <c r="F1" s="88"/>
    </row>
    <row r="2" spans="1:7" ht="21" customHeight="1" x14ac:dyDescent="0.15">
      <c r="A2" s="629" t="s">
        <v>0</v>
      </c>
      <c r="B2" s="629"/>
      <c r="C2" s="629"/>
      <c r="D2" s="629"/>
      <c r="E2" s="629"/>
      <c r="F2" s="88"/>
    </row>
    <row r="3" spans="1:7" ht="14" x14ac:dyDescent="0.15">
      <c r="A3" s="88"/>
      <c r="B3" s="88"/>
      <c r="C3" s="88"/>
      <c r="D3" s="88"/>
      <c r="E3" s="88"/>
      <c r="F3" s="88"/>
    </row>
    <row r="4" spans="1:7" ht="15.75" customHeight="1" x14ac:dyDescent="0.2">
      <c r="A4" s="90" t="s">
        <v>20</v>
      </c>
      <c r="B4" s="91"/>
      <c r="C4" s="91"/>
      <c r="D4" s="91"/>
      <c r="E4" s="91"/>
      <c r="F4" s="91"/>
    </row>
    <row r="5" spans="1:7" ht="20.75" customHeight="1" thickBot="1" x14ac:dyDescent="0.25">
      <c r="A5" s="210"/>
      <c r="B5" s="91"/>
      <c r="C5" s="91"/>
      <c r="D5" s="91"/>
      <c r="E5" s="91"/>
      <c r="F5" s="91"/>
    </row>
    <row r="6" spans="1:7" ht="20" customHeight="1" thickBot="1" x14ac:dyDescent="0.2">
      <c r="A6" s="176" t="s">
        <v>1274</v>
      </c>
      <c r="B6" s="94" t="s">
        <v>1275</v>
      </c>
      <c r="C6" s="93" t="s">
        <v>1276</v>
      </c>
      <c r="D6" s="93" t="s">
        <v>1277</v>
      </c>
      <c r="E6" s="93" t="s">
        <v>1278</v>
      </c>
      <c r="F6" s="93" t="s">
        <v>1279</v>
      </c>
    </row>
    <row r="7" spans="1:7" ht="19.25" customHeight="1" x14ac:dyDescent="0.15">
      <c r="A7" s="254" t="s">
        <v>1280</v>
      </c>
      <c r="B7" s="208" t="s">
        <v>1281</v>
      </c>
      <c r="C7" s="177"/>
      <c r="D7" s="177"/>
      <c r="E7" s="177"/>
      <c r="F7" s="262" t="str">
        <f>IF(D7=0,"",ROUND(D7*E7,2))</f>
        <v/>
      </c>
    </row>
    <row r="8" spans="1:7" ht="20.75" customHeight="1" x14ac:dyDescent="0.15">
      <c r="A8" s="166" t="s">
        <v>1282</v>
      </c>
      <c r="B8" s="99" t="s">
        <v>1283</v>
      </c>
      <c r="C8" s="153"/>
      <c r="D8" s="153"/>
      <c r="E8" s="153"/>
      <c r="F8" s="106"/>
    </row>
    <row r="9" spans="1:7" ht="22.5" customHeight="1" x14ac:dyDescent="0.15">
      <c r="A9" s="152"/>
      <c r="B9" s="99" t="s">
        <v>1284</v>
      </c>
      <c r="C9" s="102" t="s">
        <v>1285</v>
      </c>
      <c r="D9" s="109">
        <v>16</v>
      </c>
      <c r="E9" s="106">
        <v>250</v>
      </c>
      <c r="F9" s="106">
        <f>+E9*D9</f>
        <v>4000</v>
      </c>
    </row>
    <row r="10" spans="1:7" ht="25.5" customHeight="1" x14ac:dyDescent="0.15">
      <c r="A10" s="152"/>
      <c r="B10" s="99" t="s">
        <v>1286</v>
      </c>
      <c r="C10" s="102" t="s">
        <v>1287</v>
      </c>
      <c r="D10" s="109">
        <v>56</v>
      </c>
      <c r="E10" s="106">
        <v>250</v>
      </c>
      <c r="F10" s="106">
        <f t="shared" ref="F10:F19" si="0">+E10*D10</f>
        <v>14000</v>
      </c>
    </row>
    <row r="11" spans="1:7" ht="23.25" customHeight="1" x14ac:dyDescent="0.15">
      <c r="A11" s="166" t="s">
        <v>1288</v>
      </c>
      <c r="B11" s="99" t="s">
        <v>1289</v>
      </c>
      <c r="C11" s="102" t="s">
        <v>1290</v>
      </c>
      <c r="D11" s="109">
        <v>56</v>
      </c>
      <c r="E11" s="106">
        <v>65</v>
      </c>
      <c r="F11" s="106">
        <f t="shared" si="0"/>
        <v>3640</v>
      </c>
    </row>
    <row r="12" spans="1:7" ht="24" customHeight="1" x14ac:dyDescent="0.15">
      <c r="A12" s="166" t="s">
        <v>1291</v>
      </c>
      <c r="B12" s="99" t="s">
        <v>1292</v>
      </c>
      <c r="C12" s="154"/>
      <c r="D12" s="154"/>
      <c r="E12" s="106"/>
      <c r="F12" s="106">
        <f t="shared" si="0"/>
        <v>0</v>
      </c>
    </row>
    <row r="13" spans="1:7" ht="21" customHeight="1" x14ac:dyDescent="0.15">
      <c r="A13" s="152"/>
      <c r="B13" s="99" t="s">
        <v>1293</v>
      </c>
      <c r="C13" s="102" t="s">
        <v>1294</v>
      </c>
      <c r="D13" s="109">
        <v>16</v>
      </c>
      <c r="E13" s="106">
        <v>2500</v>
      </c>
      <c r="F13" s="106">
        <f t="shared" si="0"/>
        <v>40000</v>
      </c>
    </row>
    <row r="14" spans="1:7" ht="24.75" customHeight="1" x14ac:dyDescent="0.15">
      <c r="A14" s="152"/>
      <c r="B14" s="99" t="s">
        <v>1295</v>
      </c>
      <c r="C14" s="154"/>
      <c r="D14" s="154"/>
      <c r="E14" s="106"/>
      <c r="F14" s="106">
        <f t="shared" si="0"/>
        <v>0</v>
      </c>
    </row>
    <row r="15" spans="1:7" ht="84.75" customHeight="1" x14ac:dyDescent="0.15">
      <c r="A15" s="152"/>
      <c r="B15" s="99" t="s">
        <v>1296</v>
      </c>
      <c r="C15" s="102" t="s">
        <v>1297</v>
      </c>
      <c r="D15" s="109">
        <v>16</v>
      </c>
      <c r="E15" s="106">
        <v>2500</v>
      </c>
      <c r="F15" s="106">
        <f t="shared" si="0"/>
        <v>40000</v>
      </c>
    </row>
    <row r="16" spans="1:7" ht="27" customHeight="1" x14ac:dyDescent="0.2">
      <c r="A16" s="152"/>
      <c r="B16" s="99" t="s">
        <v>1298</v>
      </c>
      <c r="C16" s="154"/>
      <c r="D16" s="154"/>
      <c r="E16" s="106"/>
      <c r="F16" s="106">
        <f t="shared" si="0"/>
        <v>0</v>
      </c>
      <c r="G16" s="91"/>
    </row>
    <row r="17" spans="1:7" ht="14" x14ac:dyDescent="0.2">
      <c r="A17" s="152"/>
      <c r="B17" s="99" t="s">
        <v>1299</v>
      </c>
      <c r="C17" s="154"/>
      <c r="D17" s="154"/>
      <c r="E17" s="106"/>
      <c r="F17" s="106">
        <f t="shared" si="0"/>
        <v>0</v>
      </c>
      <c r="G17" s="91"/>
    </row>
    <row r="18" spans="1:7" ht="14" x14ac:dyDescent="0.2">
      <c r="A18" s="166" t="s">
        <v>1300</v>
      </c>
      <c r="B18" s="99" t="s">
        <v>1301</v>
      </c>
      <c r="C18" s="102" t="s">
        <v>1302</v>
      </c>
      <c r="D18" s="109">
        <v>24</v>
      </c>
      <c r="E18" s="106">
        <v>2500</v>
      </c>
      <c r="F18" s="106">
        <f t="shared" si="0"/>
        <v>60000</v>
      </c>
      <c r="G18" s="91"/>
    </row>
    <row r="19" spans="1:7" ht="15.75" customHeight="1" thickBot="1" x14ac:dyDescent="0.25">
      <c r="A19" s="198" t="s">
        <v>1303</v>
      </c>
      <c r="B19" s="169" t="s">
        <v>1304</v>
      </c>
      <c r="C19" s="170" t="s">
        <v>1305</v>
      </c>
      <c r="D19" s="170">
        <v>100</v>
      </c>
      <c r="E19" s="172">
        <v>45</v>
      </c>
      <c r="F19" s="106">
        <f t="shared" si="0"/>
        <v>4500</v>
      </c>
      <c r="G19" s="91"/>
    </row>
    <row r="20" spans="1:7" ht="15" thickBot="1" x14ac:dyDescent="0.25">
      <c r="A20" s="263" t="s">
        <v>1306</v>
      </c>
      <c r="B20" s="637" t="s">
        <v>1307</v>
      </c>
      <c r="C20" s="637"/>
      <c r="D20" s="637"/>
      <c r="E20" s="637"/>
      <c r="F20" s="526">
        <f>SUM(F7:F19)</f>
        <v>166140</v>
      </c>
      <c r="G20" s="91"/>
    </row>
    <row r="21" spans="1:7" ht="14" x14ac:dyDescent="0.2">
      <c r="A21" s="210"/>
      <c r="B21" s="91"/>
      <c r="C21" s="91"/>
      <c r="D21" s="91"/>
      <c r="E21" s="91"/>
      <c r="F21" s="91"/>
      <c r="G21" s="91"/>
    </row>
    <row r="22" spans="1:7" ht="14" x14ac:dyDescent="0.2">
      <c r="A22" s="264" t="s">
        <v>1308</v>
      </c>
      <c r="B22" s="91"/>
      <c r="C22" s="91"/>
      <c r="D22" s="91"/>
      <c r="E22" s="91"/>
      <c r="F22" s="91"/>
      <c r="G22" s="91"/>
    </row>
    <row r="23" spans="1:7" ht="15" thickBot="1" x14ac:dyDescent="0.25">
      <c r="A23" s="113"/>
      <c r="B23" s="265"/>
      <c r="C23" s="265"/>
      <c r="D23" s="265"/>
      <c r="E23" s="265"/>
      <c r="F23" s="265"/>
      <c r="G23" s="91"/>
    </row>
    <row r="24" spans="1:7" ht="14" x14ac:dyDescent="0.2">
      <c r="F24" s="91"/>
      <c r="G24" s="91"/>
    </row>
    <row r="25" spans="1:7" ht="14" x14ac:dyDescent="0.2">
      <c r="F25" s="91"/>
      <c r="G25" s="91"/>
    </row>
    <row r="26" spans="1:7" ht="14" x14ac:dyDescent="0.2">
      <c r="F26" s="91"/>
      <c r="G26" s="91"/>
    </row>
    <row r="27" spans="1:7" ht="14" x14ac:dyDescent="0.2">
      <c r="F27" s="91"/>
      <c r="G27" s="91"/>
    </row>
    <row r="28" spans="1:7" ht="14" x14ac:dyDescent="0.2">
      <c r="F28" s="91"/>
      <c r="G28" s="91"/>
    </row>
    <row r="29" spans="1:7" ht="14" x14ac:dyDescent="0.2">
      <c r="F29" s="91"/>
      <c r="G29" s="91"/>
    </row>
    <row r="30" spans="1:7" ht="14" x14ac:dyDescent="0.2">
      <c r="F30" s="91"/>
      <c r="G30" s="91"/>
    </row>
    <row r="31" spans="1:7" ht="14" x14ac:dyDescent="0.2">
      <c r="F31" s="91"/>
      <c r="G31" s="91"/>
    </row>
    <row r="32" spans="1:7" ht="14" x14ac:dyDescent="0.2">
      <c r="F32" s="91"/>
      <c r="G32" s="91"/>
    </row>
    <row r="33" spans="6:7" ht="14" x14ac:dyDescent="0.2">
      <c r="F33" s="91"/>
      <c r="G33" s="91"/>
    </row>
    <row r="34" spans="6:7" ht="14" x14ac:dyDescent="0.2">
      <c r="F34" s="91"/>
      <c r="G34" s="91"/>
    </row>
    <row r="35" spans="6:7" ht="14" x14ac:dyDescent="0.2">
      <c r="F35" s="91"/>
      <c r="G35" s="91"/>
    </row>
    <row r="36" spans="6:7" ht="14" x14ac:dyDescent="0.2">
      <c r="F36" s="91"/>
      <c r="G36" s="91"/>
    </row>
    <row r="37" spans="6:7" ht="14" x14ac:dyDescent="0.2">
      <c r="F37" s="91"/>
      <c r="G37" s="91"/>
    </row>
    <row r="38" spans="6:7" ht="14" x14ac:dyDescent="0.2">
      <c r="F38" s="91"/>
      <c r="G38" s="91"/>
    </row>
    <row r="39" spans="6:7" ht="14" x14ac:dyDescent="0.2">
      <c r="F39" s="91"/>
      <c r="G39" s="91"/>
    </row>
    <row r="40" spans="6:7" ht="14" x14ac:dyDescent="0.2">
      <c r="F40" s="91"/>
      <c r="G40" s="91"/>
    </row>
    <row r="41" spans="6:7" ht="14" x14ac:dyDescent="0.2">
      <c r="F41" s="91"/>
      <c r="G41" s="91"/>
    </row>
    <row r="42" spans="6:7" ht="14" x14ac:dyDescent="0.2">
      <c r="F42" s="91"/>
      <c r="G42" s="91"/>
    </row>
    <row r="43" spans="6:7" ht="14" x14ac:dyDescent="0.2">
      <c r="F43" s="91"/>
      <c r="G43" s="91"/>
    </row>
    <row r="44" spans="6:7" ht="14" x14ac:dyDescent="0.2">
      <c r="F44" s="91"/>
    </row>
    <row r="45" spans="6:7" ht="14" x14ac:dyDescent="0.2">
      <c r="F45" s="91"/>
    </row>
    <row r="46" spans="6:7" ht="14" x14ac:dyDescent="0.2">
      <c r="F46" s="91"/>
    </row>
    <row r="47" spans="6:7" ht="14" x14ac:dyDescent="0.2">
      <c r="F47" s="91"/>
    </row>
  </sheetData>
  <mergeCells count="2">
    <mergeCell ref="B20:E20"/>
    <mergeCell ref="A2:E2"/>
  </mergeCells>
  <phoneticPr fontId="2" type="noConversion"/>
  <pageMargins left="0.7" right="0.7" top="0.75" bottom="0.75" header="0.3" footer="0.3"/>
  <pageSetup paperSize="9" scale="72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9"/>
  <sheetViews>
    <sheetView view="pageBreakPreview" topLeftCell="A9" zoomScaleNormal="100" zoomScaleSheetLayoutView="100" workbookViewId="0">
      <selection activeCell="F26" sqref="F26"/>
    </sheetView>
  </sheetViews>
  <sheetFormatPr baseColWidth="10" defaultColWidth="9.3984375" defaultRowHeight="13" x14ac:dyDescent="0.15"/>
  <cols>
    <col min="1" max="1" width="10" style="89" customWidth="1"/>
    <col min="2" max="2" width="69.59765625" style="89" customWidth="1"/>
    <col min="3" max="3" width="10" style="89" customWidth="1"/>
    <col min="4" max="4" width="12" style="89" bestFit="1" customWidth="1"/>
    <col min="5" max="5" width="12" style="133" bestFit="1" customWidth="1"/>
    <col min="6" max="6" width="15.19921875" style="133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131"/>
      <c r="F1" s="131"/>
    </row>
    <row r="2" spans="1:6" ht="21.75" customHeight="1" x14ac:dyDescent="0.15">
      <c r="A2" s="629" t="s">
        <v>0</v>
      </c>
      <c r="B2" s="629"/>
      <c r="C2" s="629"/>
      <c r="D2" s="629"/>
      <c r="E2" s="629"/>
      <c r="F2" s="131"/>
    </row>
    <row r="3" spans="1:6" ht="15.75" customHeight="1" x14ac:dyDescent="0.15">
      <c r="A3" s="88"/>
      <c r="B3" s="88"/>
      <c r="C3" s="88"/>
      <c r="D3" s="88"/>
      <c r="E3" s="131"/>
      <c r="F3" s="131"/>
    </row>
    <row r="4" spans="1:6" ht="21" customHeight="1" x14ac:dyDescent="0.2">
      <c r="A4" s="90" t="s">
        <v>20</v>
      </c>
      <c r="B4" s="91"/>
      <c r="C4" s="91"/>
      <c r="D4" s="91"/>
      <c r="E4" s="132"/>
      <c r="F4" s="132"/>
    </row>
    <row r="5" spans="1:6" ht="16.25" customHeight="1" thickBot="1" x14ac:dyDescent="0.2"/>
    <row r="6" spans="1:6" ht="21.5" customHeight="1" thickBot="1" x14ac:dyDescent="0.2">
      <c r="A6" s="254" t="s">
        <v>1309</v>
      </c>
      <c r="B6" s="93" t="s">
        <v>1310</v>
      </c>
      <c r="C6" s="93" t="s">
        <v>1311</v>
      </c>
      <c r="D6" s="93" t="s">
        <v>1312</v>
      </c>
      <c r="E6" s="234" t="s">
        <v>1313</v>
      </c>
      <c r="F6" s="234" t="s">
        <v>1314</v>
      </c>
    </row>
    <row r="7" spans="1:6" ht="25.75" customHeight="1" x14ac:dyDescent="0.2">
      <c r="A7" s="163" t="s">
        <v>1315</v>
      </c>
      <c r="B7" s="255" t="s">
        <v>1316</v>
      </c>
      <c r="C7" s="256"/>
      <c r="D7" s="256"/>
      <c r="E7" s="261"/>
      <c r="F7" s="261"/>
    </row>
    <row r="8" spans="1:6" ht="20" customHeight="1" x14ac:dyDescent="0.2">
      <c r="A8" s="249"/>
      <c r="B8" s="223" t="s">
        <v>1317</v>
      </c>
      <c r="C8" s="257"/>
      <c r="D8" s="153"/>
      <c r="E8" s="236"/>
      <c r="F8" s="236"/>
    </row>
    <row r="9" spans="1:6" ht="30.5" customHeight="1" x14ac:dyDescent="0.2">
      <c r="A9" s="195" t="s">
        <v>1318</v>
      </c>
      <c r="B9" s="223" t="s">
        <v>1319</v>
      </c>
      <c r="C9" s="257"/>
      <c r="D9" s="153"/>
      <c r="E9" s="236"/>
      <c r="F9" s="236">
        <f>+E9*D9</f>
        <v>0</v>
      </c>
    </row>
    <row r="10" spans="1:6" ht="25.75" customHeight="1" x14ac:dyDescent="0.2">
      <c r="A10" s="249"/>
      <c r="B10" s="223" t="s">
        <v>1320</v>
      </c>
      <c r="C10" s="257"/>
      <c r="D10" s="153"/>
      <c r="E10" s="237"/>
      <c r="F10" s="236">
        <f t="shared" ref="F10:F25" si="0">+E10*D10</f>
        <v>0</v>
      </c>
    </row>
    <row r="11" spans="1:6" ht="20" customHeight="1" x14ac:dyDescent="0.2">
      <c r="A11" s="249"/>
      <c r="B11" s="223" t="s">
        <v>1321</v>
      </c>
      <c r="C11" s="102" t="s">
        <v>1322</v>
      </c>
      <c r="D11" s="178">
        <v>12</v>
      </c>
      <c r="E11" s="237">
        <v>35000</v>
      </c>
      <c r="F11" s="236">
        <f t="shared" si="0"/>
        <v>420000</v>
      </c>
    </row>
    <row r="12" spans="1:6" ht="24.75" customHeight="1" x14ac:dyDescent="0.2">
      <c r="A12" s="249"/>
      <c r="B12" s="223" t="s">
        <v>1323</v>
      </c>
      <c r="C12" s="153"/>
      <c r="D12" s="258"/>
      <c r="E12" s="237"/>
      <c r="F12" s="236">
        <f t="shared" si="0"/>
        <v>0</v>
      </c>
    </row>
    <row r="13" spans="1:6" ht="20" customHeight="1" x14ac:dyDescent="0.2">
      <c r="A13" s="249"/>
      <c r="B13" s="223" t="s">
        <v>1324</v>
      </c>
      <c r="C13" s="102" t="s">
        <v>1325</v>
      </c>
      <c r="D13" s="178">
        <v>14</v>
      </c>
      <c r="E13" s="237">
        <f>+E11</f>
        <v>35000</v>
      </c>
      <c r="F13" s="236">
        <f t="shared" si="0"/>
        <v>490000</v>
      </c>
    </row>
    <row r="14" spans="1:6" ht="24.75" customHeight="1" x14ac:dyDescent="0.15">
      <c r="A14" s="195" t="s">
        <v>1326</v>
      </c>
      <c r="B14" s="223" t="s">
        <v>1327</v>
      </c>
      <c r="C14" s="153"/>
      <c r="D14" s="258"/>
      <c r="E14" s="237"/>
      <c r="F14" s="236">
        <f t="shared" si="0"/>
        <v>0</v>
      </c>
    </row>
    <row r="15" spans="1:6" ht="19.25" customHeight="1" x14ac:dyDescent="0.2">
      <c r="A15" s="249"/>
      <c r="B15" s="223" t="s">
        <v>1328</v>
      </c>
      <c r="C15" s="153"/>
      <c r="D15" s="258"/>
      <c r="E15" s="237"/>
      <c r="F15" s="236">
        <f t="shared" si="0"/>
        <v>0</v>
      </c>
    </row>
    <row r="16" spans="1:6" ht="28.25" customHeight="1" x14ac:dyDescent="0.2">
      <c r="A16" s="249"/>
      <c r="B16" s="223" t="s">
        <v>1329</v>
      </c>
      <c r="C16" s="102" t="s">
        <v>1330</v>
      </c>
      <c r="D16" s="178">
        <v>8</v>
      </c>
      <c r="E16" s="237">
        <f>+E13</f>
        <v>35000</v>
      </c>
      <c r="F16" s="236">
        <f t="shared" si="0"/>
        <v>280000</v>
      </c>
    </row>
    <row r="17" spans="1:7" ht="25.75" customHeight="1" x14ac:dyDescent="0.2">
      <c r="A17" s="249"/>
      <c r="B17" s="223" t="s">
        <v>1331</v>
      </c>
      <c r="C17" s="153"/>
      <c r="D17" s="258"/>
      <c r="E17" s="237"/>
      <c r="F17" s="236">
        <f t="shared" si="0"/>
        <v>0</v>
      </c>
    </row>
    <row r="18" spans="1:7" ht="15" x14ac:dyDescent="0.2">
      <c r="A18" s="249"/>
      <c r="B18" s="223" t="s">
        <v>1332</v>
      </c>
      <c r="C18" s="102" t="s">
        <v>1333</v>
      </c>
      <c r="D18" s="178">
        <v>12</v>
      </c>
      <c r="E18" s="237">
        <f>+E16</f>
        <v>35000</v>
      </c>
      <c r="F18" s="236">
        <f t="shared" si="0"/>
        <v>420000</v>
      </c>
    </row>
    <row r="19" spans="1:7" ht="28" x14ac:dyDescent="0.15">
      <c r="A19" s="259" t="s">
        <v>1334</v>
      </c>
      <c r="B19" s="223" t="s">
        <v>1335</v>
      </c>
      <c r="C19" s="153"/>
      <c r="D19" s="258"/>
      <c r="E19" s="237"/>
      <c r="F19" s="236">
        <f t="shared" si="0"/>
        <v>0</v>
      </c>
    </row>
    <row r="20" spans="1:7" ht="29" x14ac:dyDescent="0.2">
      <c r="A20" s="542"/>
      <c r="B20" s="543" t="s">
        <v>1336</v>
      </c>
      <c r="C20" s="568"/>
      <c r="D20" s="569"/>
      <c r="E20" s="564"/>
      <c r="F20" s="565">
        <f t="shared" si="0"/>
        <v>0</v>
      </c>
    </row>
    <row r="21" spans="1:7" ht="15" x14ac:dyDescent="0.2">
      <c r="A21" s="542"/>
      <c r="B21" s="543" t="s">
        <v>1337</v>
      </c>
      <c r="C21" s="554" t="s">
        <v>1338</v>
      </c>
      <c r="D21" s="563">
        <v>24</v>
      </c>
      <c r="E21" s="564">
        <v>7500</v>
      </c>
      <c r="F21" s="565">
        <f>+E21*D21</f>
        <v>180000</v>
      </c>
    </row>
    <row r="22" spans="1:7" ht="29" x14ac:dyDescent="0.2">
      <c r="A22" s="549" t="s">
        <v>1339</v>
      </c>
      <c r="B22" s="543" t="s">
        <v>1340</v>
      </c>
      <c r="C22" s="568"/>
      <c r="D22" s="569"/>
      <c r="E22" s="564"/>
      <c r="F22" s="565">
        <f t="shared" si="0"/>
        <v>0</v>
      </c>
      <c r="G22" s="91"/>
    </row>
    <row r="23" spans="1:7" ht="15" x14ac:dyDescent="0.2">
      <c r="A23" s="249"/>
      <c r="B23" s="223" t="s">
        <v>1341</v>
      </c>
      <c r="C23" s="102" t="s">
        <v>1342</v>
      </c>
      <c r="D23" s="178">
        <v>120000</v>
      </c>
      <c r="E23" s="237">
        <v>0.8</v>
      </c>
      <c r="F23" s="236">
        <f t="shared" si="0"/>
        <v>96000</v>
      </c>
      <c r="G23" s="91"/>
    </row>
    <row r="24" spans="1:7" ht="15" x14ac:dyDescent="0.2">
      <c r="A24" s="249"/>
      <c r="B24" s="223" t="s">
        <v>1343</v>
      </c>
      <c r="C24" s="102" t="s">
        <v>1344</v>
      </c>
      <c r="D24" s="178">
        <v>200</v>
      </c>
      <c r="E24" s="237">
        <v>800</v>
      </c>
      <c r="F24" s="236">
        <f t="shared" si="0"/>
        <v>160000</v>
      </c>
      <c r="G24" s="91"/>
    </row>
    <row r="25" spans="1:7" ht="29" thickBot="1" x14ac:dyDescent="0.25">
      <c r="A25" s="566"/>
      <c r="B25" s="567" t="s">
        <v>1345</v>
      </c>
      <c r="C25" s="554" t="s">
        <v>1346</v>
      </c>
      <c r="D25" s="563">
        <v>130</v>
      </c>
      <c r="E25" s="564">
        <v>800</v>
      </c>
      <c r="F25" s="565">
        <f t="shared" si="0"/>
        <v>104000</v>
      </c>
      <c r="G25" s="91"/>
    </row>
    <row r="26" spans="1:7" ht="15" thickBot="1" x14ac:dyDescent="0.2">
      <c r="A26" s="260" t="s">
        <v>1347</v>
      </c>
      <c r="B26" s="628" t="s">
        <v>1348</v>
      </c>
      <c r="C26" s="628"/>
      <c r="D26" s="628"/>
      <c r="E26" s="628"/>
      <c r="F26" s="530">
        <f>SUM(F8:F25)</f>
        <v>2150000</v>
      </c>
    </row>
    <row r="27" spans="1:7" ht="14" x14ac:dyDescent="0.2">
      <c r="A27" s="113"/>
      <c r="F27" s="132"/>
    </row>
    <row r="28" spans="1:7" ht="14" x14ac:dyDescent="0.2">
      <c r="F28" s="132"/>
    </row>
    <row r="29" spans="1:7" ht="14" x14ac:dyDescent="0.2">
      <c r="F29" s="132"/>
    </row>
  </sheetData>
  <mergeCells count="2">
    <mergeCell ref="B26:E26"/>
    <mergeCell ref="A2:E2"/>
  </mergeCells>
  <phoneticPr fontId="2" type="noConversion"/>
  <pageMargins left="0.7" right="0.7" top="0.75" bottom="0.75" header="0.3" footer="0.3"/>
  <pageSetup paperSize="9" scale="72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47"/>
  <sheetViews>
    <sheetView view="pageBreakPreview" topLeftCell="A6" zoomScaleNormal="100" zoomScaleSheetLayoutView="100" workbookViewId="0">
      <selection activeCell="A26" sqref="A26:F26"/>
    </sheetView>
  </sheetViews>
  <sheetFormatPr baseColWidth="10" defaultColWidth="9.3984375" defaultRowHeight="13" x14ac:dyDescent="0.15"/>
  <cols>
    <col min="1" max="1" width="10" style="89" customWidth="1"/>
    <col min="2" max="2" width="64.3984375" style="89" customWidth="1"/>
    <col min="3" max="3" width="9" style="89" customWidth="1"/>
    <col min="4" max="4" width="14.796875" style="89" customWidth="1"/>
    <col min="5" max="5" width="12" style="89" bestFit="1" customWidth="1"/>
    <col min="6" max="6" width="15.1992187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14" x14ac:dyDescent="0.15">
      <c r="A2" s="629" t="s">
        <v>0</v>
      </c>
      <c r="B2" s="629"/>
      <c r="C2" s="629"/>
      <c r="D2" s="629"/>
      <c r="E2" s="629"/>
      <c r="F2" s="88"/>
    </row>
    <row r="3" spans="1:6" ht="14" x14ac:dyDescent="0.15">
      <c r="A3" s="88"/>
      <c r="B3" s="88"/>
      <c r="C3" s="88"/>
      <c r="D3" s="88"/>
      <c r="E3" s="88"/>
      <c r="F3" s="88"/>
    </row>
    <row r="4" spans="1:6" s="88" customFormat="1" ht="14" x14ac:dyDescent="0.2">
      <c r="A4" s="90" t="s">
        <v>20</v>
      </c>
      <c r="B4" s="91"/>
      <c r="C4" s="91"/>
      <c r="D4" s="91"/>
      <c r="E4" s="91"/>
      <c r="F4" s="91"/>
    </row>
    <row r="5" spans="1:6" s="88" customFormat="1" ht="15" thickBot="1" x14ac:dyDescent="0.2"/>
    <row r="6" spans="1:6" s="88" customFormat="1" ht="15" thickBot="1" x14ac:dyDescent="0.2">
      <c r="A6" s="92" t="s">
        <v>1349</v>
      </c>
      <c r="B6" s="93" t="s">
        <v>1350</v>
      </c>
      <c r="C6" s="93" t="s">
        <v>1351</v>
      </c>
      <c r="D6" s="93" t="s">
        <v>1352</v>
      </c>
      <c r="E6" s="93" t="s">
        <v>1353</v>
      </c>
      <c r="F6" s="93" t="s">
        <v>1354</v>
      </c>
    </row>
    <row r="7" spans="1:6" s="88" customFormat="1" ht="14" x14ac:dyDescent="0.2">
      <c r="A7" s="246"/>
      <c r="B7" s="145" t="s">
        <v>1355</v>
      </c>
      <c r="C7" s="177"/>
      <c r="D7" s="177"/>
      <c r="E7" s="177"/>
      <c r="F7" s="247"/>
    </row>
    <row r="8" spans="1:6" s="88" customFormat="1" ht="14" x14ac:dyDescent="0.15">
      <c r="A8" s="248" t="s">
        <v>1356</v>
      </c>
      <c r="B8" s="196" t="s">
        <v>1357</v>
      </c>
      <c r="C8" s="153"/>
      <c r="D8" s="153"/>
      <c r="E8" s="153"/>
      <c r="F8" s="153"/>
    </row>
    <row r="9" spans="1:6" s="88" customFormat="1" ht="28" x14ac:dyDescent="0.15">
      <c r="A9" s="195" t="s">
        <v>1358</v>
      </c>
      <c r="B9" s="148" t="s">
        <v>1359</v>
      </c>
      <c r="C9" s="153"/>
      <c r="D9" s="153"/>
      <c r="E9" s="153"/>
      <c r="F9" s="153"/>
    </row>
    <row r="10" spans="1:6" s="88" customFormat="1" ht="14" x14ac:dyDescent="0.2">
      <c r="A10" s="249"/>
      <c r="B10" s="99" t="s">
        <v>1360</v>
      </c>
      <c r="C10" s="153"/>
      <c r="D10" s="153"/>
      <c r="E10" s="153"/>
      <c r="F10" s="153"/>
    </row>
    <row r="11" spans="1:6" s="88" customFormat="1" ht="28" x14ac:dyDescent="0.2">
      <c r="A11" s="542"/>
      <c r="B11" s="553" t="s">
        <v>1361</v>
      </c>
      <c r="C11" s="554" t="s">
        <v>1362</v>
      </c>
      <c r="D11" s="555">
        <v>12</v>
      </c>
      <c r="E11" s="556">
        <v>12000</v>
      </c>
      <c r="F11" s="556">
        <f>+E11*D11</f>
        <v>144000</v>
      </c>
    </row>
    <row r="12" spans="1:6" s="88" customFormat="1" ht="14" x14ac:dyDescent="0.2">
      <c r="A12" s="542"/>
      <c r="B12" s="553" t="s">
        <v>1363</v>
      </c>
      <c r="C12" s="576"/>
      <c r="D12" s="576"/>
      <c r="E12" s="556"/>
      <c r="F12" s="556">
        <f t="shared" ref="F12:F26" si="0">+E12*D12</f>
        <v>0</v>
      </c>
    </row>
    <row r="13" spans="1:6" s="88" customFormat="1" ht="14" x14ac:dyDescent="0.2">
      <c r="A13" s="542"/>
      <c r="B13" s="568"/>
      <c r="C13" s="554" t="s">
        <v>1364</v>
      </c>
      <c r="D13" s="555">
        <v>12</v>
      </c>
      <c r="E13" s="556">
        <v>12000</v>
      </c>
      <c r="F13" s="556">
        <f t="shared" si="0"/>
        <v>144000</v>
      </c>
    </row>
    <row r="14" spans="1:6" s="88" customFormat="1" ht="14" x14ac:dyDescent="0.2">
      <c r="A14" s="542"/>
      <c r="B14" s="553" t="s">
        <v>1365</v>
      </c>
      <c r="C14" s="576"/>
      <c r="D14" s="576"/>
      <c r="E14" s="556"/>
      <c r="F14" s="556">
        <f t="shared" si="0"/>
        <v>0</v>
      </c>
    </row>
    <row r="15" spans="1:6" s="88" customFormat="1" ht="14" x14ac:dyDescent="0.2">
      <c r="A15" s="249"/>
      <c r="B15" s="99" t="s">
        <v>1366</v>
      </c>
      <c r="C15" s="154"/>
      <c r="D15" s="154"/>
      <c r="E15" s="106"/>
      <c r="F15" s="106">
        <f t="shared" si="0"/>
        <v>0</v>
      </c>
    </row>
    <row r="16" spans="1:6" s="88" customFormat="1" ht="28" x14ac:dyDescent="0.15">
      <c r="A16" s="195" t="s">
        <v>1367</v>
      </c>
      <c r="B16" s="99" t="s">
        <v>1368</v>
      </c>
      <c r="C16" s="154"/>
      <c r="D16" s="154"/>
      <c r="E16" s="106"/>
      <c r="F16" s="106">
        <f t="shared" si="0"/>
        <v>0</v>
      </c>
    </row>
    <row r="17" spans="1:7" s="88" customFormat="1" ht="14" x14ac:dyDescent="0.2">
      <c r="A17" s="249"/>
      <c r="B17" s="99" t="s">
        <v>1369</v>
      </c>
      <c r="C17" s="102" t="s">
        <v>1370</v>
      </c>
      <c r="D17" s="109">
        <v>70</v>
      </c>
      <c r="E17" s="106">
        <v>0.8</v>
      </c>
      <c r="F17" s="106">
        <f t="shared" si="0"/>
        <v>56</v>
      </c>
    </row>
    <row r="18" spans="1:7" s="88" customFormat="1" ht="14" x14ac:dyDescent="0.2">
      <c r="A18" s="542"/>
      <c r="B18" s="553" t="s">
        <v>1371</v>
      </c>
      <c r="C18" s="554" t="s">
        <v>1372</v>
      </c>
      <c r="D18" s="555">
        <v>12</v>
      </c>
      <c r="E18" s="556">
        <v>5000</v>
      </c>
      <c r="F18" s="556">
        <f t="shared" si="0"/>
        <v>60000</v>
      </c>
    </row>
    <row r="19" spans="1:7" s="88" customFormat="1" ht="14" x14ac:dyDescent="0.2">
      <c r="A19" s="542"/>
      <c r="B19" s="553" t="s">
        <v>1373</v>
      </c>
      <c r="C19" s="554" t="s">
        <v>1374</v>
      </c>
      <c r="D19" s="555">
        <v>40</v>
      </c>
      <c r="E19" s="556">
        <v>3000</v>
      </c>
      <c r="F19" s="556">
        <f t="shared" si="0"/>
        <v>120000</v>
      </c>
    </row>
    <row r="20" spans="1:7" s="88" customFormat="1" ht="14" x14ac:dyDescent="0.2">
      <c r="A20" s="542"/>
      <c r="B20" s="553" t="s">
        <v>1375</v>
      </c>
      <c r="C20" s="554" t="s">
        <v>1376</v>
      </c>
      <c r="D20" s="555">
        <v>40</v>
      </c>
      <c r="E20" s="556">
        <v>3000</v>
      </c>
      <c r="F20" s="556">
        <f t="shared" si="0"/>
        <v>120000</v>
      </c>
    </row>
    <row r="21" spans="1:7" s="88" customFormat="1" ht="14" x14ac:dyDescent="0.2">
      <c r="A21" s="249"/>
      <c r="B21" s="99" t="s">
        <v>1377</v>
      </c>
      <c r="C21" s="102" t="s">
        <v>1378</v>
      </c>
      <c r="D21" s="109">
        <v>500</v>
      </c>
      <c r="E21" s="106">
        <v>0.8</v>
      </c>
      <c r="F21" s="106">
        <f t="shared" si="0"/>
        <v>400</v>
      </c>
    </row>
    <row r="22" spans="1:7" s="88" customFormat="1" ht="14" x14ac:dyDescent="0.2">
      <c r="A22" s="249"/>
      <c r="B22" s="99" t="s">
        <v>1379</v>
      </c>
      <c r="C22" s="102" t="s">
        <v>1380</v>
      </c>
      <c r="D22" s="109">
        <v>500</v>
      </c>
      <c r="E22" s="106">
        <v>15</v>
      </c>
      <c r="F22" s="106">
        <f t="shared" si="0"/>
        <v>7500</v>
      </c>
    </row>
    <row r="23" spans="1:7" s="88" customFormat="1" ht="14" x14ac:dyDescent="0.2">
      <c r="A23" s="249"/>
      <c r="B23" s="99" t="s">
        <v>1381</v>
      </c>
      <c r="C23" s="154"/>
      <c r="D23" s="154"/>
      <c r="E23" s="106"/>
      <c r="F23" s="106">
        <f t="shared" si="0"/>
        <v>0</v>
      </c>
    </row>
    <row r="24" spans="1:7" s="88" customFormat="1" ht="28" x14ac:dyDescent="0.2">
      <c r="A24" s="542"/>
      <c r="B24" s="553" t="s">
        <v>1382</v>
      </c>
      <c r="C24" s="554" t="s">
        <v>1383</v>
      </c>
      <c r="D24" s="554">
        <v>12</v>
      </c>
      <c r="E24" s="556">
        <v>12000</v>
      </c>
      <c r="F24" s="556">
        <f t="shared" si="0"/>
        <v>144000</v>
      </c>
    </row>
    <row r="25" spans="1:7" s="88" customFormat="1" ht="14" x14ac:dyDescent="0.2">
      <c r="A25" s="249"/>
      <c r="B25" s="99" t="s">
        <v>1384</v>
      </c>
      <c r="C25" s="154"/>
      <c r="D25" s="154"/>
      <c r="E25" s="106"/>
      <c r="F25" s="106">
        <f t="shared" si="0"/>
        <v>0</v>
      </c>
    </row>
    <row r="26" spans="1:7" ht="29" thickBot="1" x14ac:dyDescent="0.25">
      <c r="A26" s="577"/>
      <c r="B26" s="578" t="s">
        <v>1385</v>
      </c>
      <c r="C26" s="579" t="s">
        <v>1386</v>
      </c>
      <c r="D26" s="579">
        <v>12</v>
      </c>
      <c r="E26" s="580">
        <v>12000</v>
      </c>
      <c r="F26" s="556">
        <f t="shared" si="0"/>
        <v>144000</v>
      </c>
      <c r="G26" s="91"/>
    </row>
    <row r="27" spans="1:7" ht="15" thickBot="1" x14ac:dyDescent="0.25">
      <c r="A27" s="250"/>
      <c r="B27" s="637" t="s">
        <v>1387</v>
      </c>
      <c r="C27" s="637"/>
      <c r="D27" s="637"/>
      <c r="E27" s="637"/>
      <c r="F27" s="160">
        <f>SUM(F7:F26)</f>
        <v>883956</v>
      </c>
      <c r="G27" s="91"/>
    </row>
    <row r="28" spans="1:7" ht="14" x14ac:dyDescent="0.2">
      <c r="A28" s="251"/>
      <c r="B28" s="252"/>
      <c r="C28" s="252"/>
      <c r="D28" s="252"/>
      <c r="E28" s="252"/>
      <c r="F28" s="253"/>
      <c r="G28" s="91"/>
    </row>
    <row r="29" spans="1:7" ht="14" x14ac:dyDescent="0.2">
      <c r="A29" s="113"/>
      <c r="B29" s="88"/>
      <c r="C29" s="88"/>
      <c r="D29" s="88"/>
      <c r="E29" s="88"/>
      <c r="F29" s="88"/>
      <c r="G29" s="91"/>
    </row>
    <row r="30" spans="1:7" ht="14" x14ac:dyDescent="0.2">
      <c r="F30" s="91"/>
      <c r="G30" s="91"/>
    </row>
    <row r="31" spans="1:7" ht="14" x14ac:dyDescent="0.2">
      <c r="F31" s="91"/>
      <c r="G31" s="91"/>
    </row>
    <row r="32" spans="1:7" ht="14" x14ac:dyDescent="0.2">
      <c r="F32" s="91"/>
      <c r="G32" s="91"/>
    </row>
    <row r="33" spans="6:7" ht="14" x14ac:dyDescent="0.2">
      <c r="F33" s="91"/>
      <c r="G33" s="91"/>
    </row>
    <row r="34" spans="6:7" ht="14" x14ac:dyDescent="0.2">
      <c r="F34" s="91"/>
      <c r="G34" s="91"/>
    </row>
    <row r="35" spans="6:7" ht="14" x14ac:dyDescent="0.2">
      <c r="F35" s="91"/>
      <c r="G35" s="91"/>
    </row>
    <row r="36" spans="6:7" ht="14" x14ac:dyDescent="0.2">
      <c r="F36" s="91"/>
      <c r="G36" s="91"/>
    </row>
    <row r="37" spans="6:7" ht="14" x14ac:dyDescent="0.2">
      <c r="F37" s="91"/>
      <c r="G37" s="91"/>
    </row>
    <row r="38" spans="6:7" ht="14" x14ac:dyDescent="0.2">
      <c r="F38" s="91"/>
      <c r="G38" s="91"/>
    </row>
    <row r="39" spans="6:7" ht="14" x14ac:dyDescent="0.2">
      <c r="F39" s="91"/>
      <c r="G39" s="91"/>
    </row>
    <row r="40" spans="6:7" ht="14" x14ac:dyDescent="0.2">
      <c r="F40" s="91"/>
      <c r="G40" s="91"/>
    </row>
    <row r="41" spans="6:7" ht="14" x14ac:dyDescent="0.2">
      <c r="F41" s="91"/>
      <c r="G41" s="91"/>
    </row>
    <row r="42" spans="6:7" ht="14" x14ac:dyDescent="0.2">
      <c r="F42" s="91"/>
      <c r="G42" s="91"/>
    </row>
    <row r="43" spans="6:7" ht="14" x14ac:dyDescent="0.2">
      <c r="F43" s="91"/>
      <c r="G43" s="91"/>
    </row>
    <row r="44" spans="6:7" ht="14" x14ac:dyDescent="0.2">
      <c r="F44" s="91"/>
    </row>
    <row r="45" spans="6:7" ht="14" x14ac:dyDescent="0.2">
      <c r="F45" s="91"/>
    </row>
    <row r="46" spans="6:7" ht="14" x14ac:dyDescent="0.2">
      <c r="F46" s="91"/>
    </row>
    <row r="47" spans="6:7" ht="14" x14ac:dyDescent="0.2">
      <c r="F47" s="91"/>
    </row>
  </sheetData>
  <mergeCells count="2">
    <mergeCell ref="B27:E27"/>
    <mergeCell ref="A2:E2"/>
  </mergeCells>
  <phoneticPr fontId="2" type="noConversion"/>
  <pageMargins left="0.7" right="0.7" top="0.75" bottom="0.75" header="0.3" footer="0.3"/>
  <pageSetup paperSize="9" scale="75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33"/>
  <sheetViews>
    <sheetView view="pageBreakPreview" topLeftCell="A8" zoomScaleNormal="100" zoomScaleSheetLayoutView="100" workbookViewId="0">
      <selection activeCell="E17" sqref="E17"/>
    </sheetView>
  </sheetViews>
  <sheetFormatPr baseColWidth="10" defaultColWidth="9.3984375" defaultRowHeight="13" x14ac:dyDescent="0.15"/>
  <cols>
    <col min="1" max="1" width="10" style="89" customWidth="1"/>
    <col min="2" max="2" width="65.59765625" style="89" customWidth="1"/>
    <col min="3" max="3" width="10" style="89" customWidth="1"/>
    <col min="4" max="5" width="14" style="89" customWidth="1"/>
    <col min="6" max="6" width="15.19921875" style="89" bestFit="1" customWidth="1"/>
    <col min="7" max="16384" width="9.3984375" style="89"/>
  </cols>
  <sheetData>
    <row r="1" spans="1:8" ht="14" x14ac:dyDescent="0.15">
      <c r="A1" s="87" t="s">
        <v>1760</v>
      </c>
      <c r="B1" s="88"/>
      <c r="C1" s="88"/>
      <c r="D1" s="88"/>
      <c r="E1" s="88"/>
      <c r="F1" s="88"/>
    </row>
    <row r="2" spans="1:8" ht="24" customHeight="1" x14ac:dyDescent="0.15">
      <c r="A2" s="629" t="s">
        <v>0</v>
      </c>
      <c r="B2" s="629"/>
      <c r="C2" s="629"/>
      <c r="D2" s="629"/>
      <c r="E2" s="629"/>
      <c r="F2" s="88"/>
    </row>
    <row r="3" spans="1:8" ht="14" x14ac:dyDescent="0.15">
      <c r="A3" s="88"/>
      <c r="B3" s="88"/>
      <c r="C3" s="88"/>
      <c r="D3" s="88"/>
      <c r="E3" s="88"/>
      <c r="F3" s="88"/>
    </row>
    <row r="4" spans="1:8" ht="14" x14ac:dyDescent="0.2">
      <c r="A4" s="90" t="s">
        <v>20</v>
      </c>
      <c r="B4" s="91"/>
      <c r="C4" s="91"/>
      <c r="D4" s="91"/>
      <c r="E4" s="91"/>
      <c r="F4" s="91"/>
    </row>
    <row r="5" spans="1:8" ht="14.25" customHeight="1" x14ac:dyDescent="0.15">
      <c r="A5" s="238" t="s">
        <v>1388</v>
      </c>
      <c r="B5" s="239" t="s">
        <v>1389</v>
      </c>
      <c r="C5" s="238" t="s">
        <v>1390</v>
      </c>
      <c r="D5" s="238" t="s">
        <v>1391</v>
      </c>
      <c r="E5" s="238" t="s">
        <v>1392</v>
      </c>
      <c r="F5" s="238" t="s">
        <v>1393</v>
      </c>
    </row>
    <row r="6" spans="1:8" ht="18.75" customHeight="1" x14ac:dyDescent="0.15">
      <c r="A6" s="192"/>
      <c r="B6" s="647" t="s">
        <v>1394</v>
      </c>
      <c r="C6" s="647"/>
      <c r="D6" s="647"/>
      <c r="E6" s="647"/>
      <c r="F6" s="241">
        <f>+'M6200'!F27</f>
        <v>883956</v>
      </c>
    </row>
    <row r="7" spans="1:8" ht="6.75" customHeight="1" x14ac:dyDescent="0.15">
      <c r="A7" s="192"/>
      <c r="B7" s="240"/>
      <c r="C7" s="240"/>
      <c r="D7" s="240"/>
      <c r="E7" s="240"/>
      <c r="F7" s="192"/>
    </row>
    <row r="8" spans="1:8" ht="42" x14ac:dyDescent="0.15">
      <c r="A8" s="100"/>
      <c r="B8" s="99" t="s">
        <v>1395</v>
      </c>
      <c r="C8" s="99"/>
      <c r="D8" s="99"/>
      <c r="E8" s="211"/>
      <c r="F8" s="100"/>
    </row>
    <row r="9" spans="1:8" ht="14" x14ac:dyDescent="0.15">
      <c r="A9" s="100"/>
      <c r="B9" s="99"/>
      <c r="C9" s="99"/>
      <c r="D9" s="99"/>
      <c r="E9" s="211"/>
      <c r="F9" s="100"/>
    </row>
    <row r="10" spans="1:8" ht="14" x14ac:dyDescent="0.15">
      <c r="A10" s="100"/>
      <c r="B10" s="99" t="s">
        <v>1396</v>
      </c>
      <c r="C10" s="99"/>
      <c r="D10" s="99"/>
      <c r="E10" s="211"/>
      <c r="F10" s="100"/>
    </row>
    <row r="11" spans="1:8" ht="14" x14ac:dyDescent="0.15">
      <c r="A11" s="100"/>
      <c r="B11" s="99"/>
      <c r="C11" s="99"/>
      <c r="D11" s="99"/>
      <c r="E11" s="211"/>
      <c r="F11" s="100"/>
    </row>
    <row r="12" spans="1:8" ht="28" x14ac:dyDescent="0.15">
      <c r="A12" s="581"/>
      <c r="B12" s="553" t="s">
        <v>1397</v>
      </c>
      <c r="C12" s="554" t="s">
        <v>1398</v>
      </c>
      <c r="D12" s="554">
        <v>12</v>
      </c>
      <c r="E12" s="556">
        <v>4000</v>
      </c>
      <c r="F12" s="556">
        <f>+E12*D12</f>
        <v>48000</v>
      </c>
    </row>
    <row r="13" spans="1:8" ht="14" x14ac:dyDescent="0.15">
      <c r="A13" s="581"/>
      <c r="B13" s="553"/>
      <c r="C13" s="554"/>
      <c r="D13" s="554"/>
      <c r="E13" s="582"/>
      <c r="F13" s="556">
        <f t="shared" ref="F13:F17" si="0">+E13*D13</f>
        <v>0</v>
      </c>
    </row>
    <row r="14" spans="1:8" ht="29.25" customHeight="1" x14ac:dyDescent="0.15">
      <c r="A14" s="581"/>
      <c r="B14" s="553" t="s">
        <v>1399</v>
      </c>
      <c r="C14" s="554"/>
      <c r="D14" s="554"/>
      <c r="E14" s="582"/>
      <c r="F14" s="556">
        <f t="shared" si="0"/>
        <v>0</v>
      </c>
    </row>
    <row r="15" spans="1:8" ht="21.5" customHeight="1" x14ac:dyDescent="0.2">
      <c r="A15" s="581"/>
      <c r="B15" s="583"/>
      <c r="C15" s="584"/>
      <c r="D15" s="584"/>
      <c r="E15" s="582"/>
      <c r="F15" s="556">
        <f t="shared" si="0"/>
        <v>0</v>
      </c>
      <c r="G15" s="91"/>
      <c r="H15" s="91"/>
    </row>
    <row r="16" spans="1:8" ht="28" x14ac:dyDescent="0.2">
      <c r="A16" s="581"/>
      <c r="B16" s="553" t="s">
        <v>1400</v>
      </c>
      <c r="C16" s="554" t="s">
        <v>1401</v>
      </c>
      <c r="D16" s="554">
        <v>12</v>
      </c>
      <c r="E16" s="585">
        <v>4000</v>
      </c>
      <c r="F16" s="556">
        <f t="shared" si="0"/>
        <v>48000</v>
      </c>
      <c r="G16" s="91"/>
      <c r="H16" s="91"/>
    </row>
    <row r="17" spans="1:8" ht="14" x14ac:dyDescent="0.2">
      <c r="A17" s="100"/>
      <c r="B17" s="99"/>
      <c r="C17" s="102"/>
      <c r="D17" s="102"/>
      <c r="E17" s="242"/>
      <c r="F17" s="106">
        <f t="shared" si="0"/>
        <v>0</v>
      </c>
      <c r="G17" s="91"/>
      <c r="H17" s="91"/>
    </row>
    <row r="18" spans="1:8" ht="15" thickBot="1" x14ac:dyDescent="0.25">
      <c r="A18" s="100"/>
      <c r="B18" s="99"/>
      <c r="C18" s="102"/>
      <c r="D18" s="102"/>
      <c r="E18" s="242"/>
      <c r="F18" s="106"/>
      <c r="G18" s="91"/>
      <c r="H18" s="91"/>
    </row>
    <row r="19" spans="1:8" ht="15" thickBot="1" x14ac:dyDescent="0.25">
      <c r="A19" s="245" t="s">
        <v>1402</v>
      </c>
      <c r="B19" s="628" t="s">
        <v>1403</v>
      </c>
      <c r="C19" s="628"/>
      <c r="D19" s="628"/>
      <c r="E19" s="628"/>
      <c r="F19" s="516">
        <f>SUM(F6:F18)</f>
        <v>979956</v>
      </c>
      <c r="G19" s="91"/>
      <c r="H19" s="91"/>
    </row>
    <row r="20" spans="1:8" ht="14" x14ac:dyDescent="0.2">
      <c r="F20" s="91"/>
      <c r="G20" s="91"/>
      <c r="H20" s="91"/>
    </row>
    <row r="21" spans="1:8" ht="14" x14ac:dyDescent="0.2">
      <c r="A21" s="113" t="s">
        <v>1404</v>
      </c>
      <c r="F21" s="91"/>
      <c r="G21" s="91"/>
      <c r="H21" s="91"/>
    </row>
    <row r="22" spans="1:8" ht="14" x14ac:dyDescent="0.2">
      <c r="A22" s="113"/>
      <c r="F22" s="91"/>
      <c r="G22" s="91"/>
      <c r="H22" s="91"/>
    </row>
    <row r="23" spans="1:8" ht="14" x14ac:dyDescent="0.2">
      <c r="F23" s="91"/>
      <c r="G23" s="91"/>
      <c r="H23" s="91"/>
    </row>
    <row r="24" spans="1:8" ht="14" x14ac:dyDescent="0.2">
      <c r="F24" s="91"/>
      <c r="G24" s="91"/>
      <c r="H24" s="91"/>
    </row>
    <row r="25" spans="1:8" ht="14" x14ac:dyDescent="0.2">
      <c r="F25" s="91"/>
      <c r="G25" s="91"/>
      <c r="H25" s="91"/>
    </row>
    <row r="26" spans="1:8" ht="14" x14ac:dyDescent="0.2">
      <c r="F26" s="91"/>
      <c r="G26" s="91"/>
      <c r="H26" s="91"/>
    </row>
    <row r="27" spans="1:8" ht="14" x14ac:dyDescent="0.2">
      <c r="F27" s="91"/>
      <c r="G27" s="91"/>
      <c r="H27" s="91"/>
    </row>
    <row r="28" spans="1:8" ht="14" x14ac:dyDescent="0.2">
      <c r="F28" s="91"/>
      <c r="G28" s="91"/>
      <c r="H28" s="91"/>
    </row>
    <row r="29" spans="1:8" ht="14" x14ac:dyDescent="0.2">
      <c r="F29" s="91"/>
      <c r="G29" s="91"/>
      <c r="H29" s="91"/>
    </row>
    <row r="30" spans="1:8" ht="14" x14ac:dyDescent="0.2">
      <c r="F30" s="91"/>
    </row>
    <row r="31" spans="1:8" ht="14" x14ac:dyDescent="0.2">
      <c r="F31" s="91"/>
    </row>
    <row r="32" spans="1:8" ht="14" x14ac:dyDescent="0.2">
      <c r="F32" s="91"/>
    </row>
    <row r="33" spans="6:6" ht="14" x14ac:dyDescent="0.2">
      <c r="F33" s="91"/>
    </row>
  </sheetData>
  <mergeCells count="3">
    <mergeCell ref="B6:E6"/>
    <mergeCell ref="B19:E19"/>
    <mergeCell ref="A2:E2"/>
  </mergeCells>
  <phoneticPr fontId="2" type="noConversion"/>
  <pageMargins left="0.7" right="0.7" top="0.75" bottom="0.75" header="0.3" footer="0.3"/>
  <pageSetup paperSize="9" scale="76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9"/>
  <sheetViews>
    <sheetView view="pageBreakPreview" topLeftCell="A10" zoomScaleNormal="100" zoomScaleSheetLayoutView="100" workbookViewId="0">
      <selection activeCell="A11" sqref="A11:F11"/>
    </sheetView>
  </sheetViews>
  <sheetFormatPr baseColWidth="10" defaultColWidth="9.3984375" defaultRowHeight="13" x14ac:dyDescent="0.15"/>
  <cols>
    <col min="1" max="1" width="10" style="89" customWidth="1"/>
    <col min="2" max="2" width="63.3984375" style="89" customWidth="1"/>
    <col min="3" max="3" width="10" style="224" customWidth="1"/>
    <col min="4" max="5" width="14.59765625" style="224" customWidth="1"/>
    <col min="6" max="6" width="14.59765625" style="233" customWidth="1"/>
    <col min="7" max="16384" width="9.3984375" style="89"/>
  </cols>
  <sheetData>
    <row r="1" spans="1:6" ht="16.5" customHeight="1" x14ac:dyDescent="0.15">
      <c r="A1" s="87" t="s">
        <v>1761</v>
      </c>
      <c r="B1" s="88"/>
      <c r="C1" s="88"/>
      <c r="D1" s="88"/>
      <c r="E1" s="88"/>
      <c r="F1" s="131"/>
    </row>
    <row r="2" spans="1:6" ht="25.5" customHeight="1" x14ac:dyDescent="0.15">
      <c r="A2" s="629" t="s">
        <v>0</v>
      </c>
      <c r="B2" s="629"/>
      <c r="C2" s="629"/>
      <c r="D2" s="629"/>
      <c r="E2" s="629"/>
      <c r="F2" s="131"/>
    </row>
    <row r="3" spans="1:6" ht="14" x14ac:dyDescent="0.15">
      <c r="A3" s="88"/>
      <c r="B3" s="88"/>
      <c r="C3" s="88"/>
      <c r="D3" s="88"/>
      <c r="E3" s="88"/>
      <c r="F3" s="131"/>
    </row>
    <row r="4" spans="1:6" ht="15.75" customHeight="1" x14ac:dyDescent="0.2">
      <c r="A4" s="90" t="s">
        <v>20</v>
      </c>
      <c r="B4" s="91"/>
      <c r="C4" s="88"/>
      <c r="D4" s="88"/>
      <c r="E4" s="88"/>
      <c r="F4" s="131"/>
    </row>
    <row r="5" spans="1:6" ht="16.5" customHeight="1" thickBot="1" x14ac:dyDescent="0.2"/>
    <row r="6" spans="1:6" ht="18.5" customHeight="1" thickBot="1" x14ac:dyDescent="0.2">
      <c r="A6" s="176" t="s">
        <v>1405</v>
      </c>
      <c r="B6" s="94" t="s">
        <v>1406</v>
      </c>
      <c r="C6" s="93" t="s">
        <v>1407</v>
      </c>
      <c r="D6" s="93" t="s">
        <v>1408</v>
      </c>
      <c r="E6" s="93" t="s">
        <v>1409</v>
      </c>
      <c r="F6" s="234" t="s">
        <v>1410</v>
      </c>
    </row>
    <row r="7" spans="1:6" ht="25.75" customHeight="1" x14ac:dyDescent="0.15">
      <c r="A7" s="176" t="s">
        <v>1411</v>
      </c>
      <c r="B7" s="208" t="s">
        <v>1412</v>
      </c>
      <c r="C7" s="209"/>
      <c r="D7" s="209"/>
      <c r="E7" s="209"/>
      <c r="F7" s="235"/>
    </row>
    <row r="8" spans="1:6" ht="14" x14ac:dyDescent="0.2">
      <c r="A8" s="210"/>
      <c r="B8" s="211"/>
      <c r="C8" s="154"/>
      <c r="D8" s="154"/>
      <c r="E8" s="154"/>
      <c r="F8" s="236"/>
    </row>
    <row r="9" spans="1:6" ht="28" x14ac:dyDescent="0.15">
      <c r="A9" s="195" t="s">
        <v>1413</v>
      </c>
      <c r="B9" s="99" t="s">
        <v>1414</v>
      </c>
      <c r="C9" s="154"/>
      <c r="D9" s="154"/>
      <c r="E9" s="154"/>
      <c r="F9" s="236">
        <f>+E9*D9</f>
        <v>0</v>
      </c>
    </row>
    <row r="10" spans="1:6" ht="14" x14ac:dyDescent="0.15">
      <c r="A10" s="101"/>
      <c r="B10" s="99" t="s">
        <v>1415</v>
      </c>
      <c r="C10" s="154"/>
      <c r="D10" s="154"/>
      <c r="E10" s="154"/>
      <c r="F10" s="236">
        <f t="shared" ref="F10:F23" si="0">+E10*D10</f>
        <v>0</v>
      </c>
    </row>
    <row r="11" spans="1:6" ht="28" x14ac:dyDescent="0.15">
      <c r="A11" s="566"/>
      <c r="B11" s="553" t="s">
        <v>1416</v>
      </c>
      <c r="C11" s="554" t="s">
        <v>1417</v>
      </c>
      <c r="D11" s="554">
        <v>4</v>
      </c>
      <c r="E11" s="570">
        <v>12500</v>
      </c>
      <c r="F11" s="565">
        <f t="shared" si="0"/>
        <v>50000</v>
      </c>
    </row>
    <row r="12" spans="1:6" ht="14" x14ac:dyDescent="0.15">
      <c r="A12" s="166" t="s">
        <v>1418</v>
      </c>
      <c r="B12" s="99" t="s">
        <v>1419</v>
      </c>
      <c r="C12" s="154"/>
      <c r="D12" s="154"/>
      <c r="E12" s="104"/>
      <c r="F12" s="236">
        <f t="shared" si="0"/>
        <v>0</v>
      </c>
    </row>
    <row r="13" spans="1:6" ht="14" x14ac:dyDescent="0.15">
      <c r="A13" s="566"/>
      <c r="B13" s="553" t="s">
        <v>1420</v>
      </c>
      <c r="C13" s="554" t="s">
        <v>1421</v>
      </c>
      <c r="D13" s="555">
        <v>6000</v>
      </c>
      <c r="E13" s="570">
        <v>70</v>
      </c>
      <c r="F13" s="565">
        <f t="shared" si="0"/>
        <v>420000</v>
      </c>
    </row>
    <row r="14" spans="1:6" ht="14" x14ac:dyDescent="0.15">
      <c r="A14" s="566"/>
      <c r="B14" s="553" t="s">
        <v>1422</v>
      </c>
      <c r="C14" s="554" t="s">
        <v>1423</v>
      </c>
      <c r="D14" s="555">
        <v>300</v>
      </c>
      <c r="E14" s="570">
        <v>250</v>
      </c>
      <c r="F14" s="565">
        <f t="shared" si="0"/>
        <v>75000</v>
      </c>
    </row>
    <row r="15" spans="1:6" ht="14" x14ac:dyDescent="0.15">
      <c r="A15" s="101"/>
      <c r="B15" s="99" t="s">
        <v>1424</v>
      </c>
      <c r="C15" s="102" t="s">
        <v>1425</v>
      </c>
      <c r="D15" s="109">
        <v>32</v>
      </c>
      <c r="E15" s="104">
        <v>1100</v>
      </c>
      <c r="F15" s="236">
        <f t="shared" si="0"/>
        <v>35200</v>
      </c>
    </row>
    <row r="16" spans="1:6" ht="14" x14ac:dyDescent="0.15">
      <c r="A16" s="101"/>
      <c r="B16" s="99" t="s">
        <v>1426</v>
      </c>
      <c r="C16" s="102" t="s">
        <v>1427</v>
      </c>
      <c r="D16" s="109">
        <v>6</v>
      </c>
      <c r="E16" s="104">
        <v>3000</v>
      </c>
      <c r="F16" s="236">
        <f t="shared" si="0"/>
        <v>18000</v>
      </c>
    </row>
    <row r="17" spans="1:8" ht="14" x14ac:dyDescent="0.15">
      <c r="A17" s="212"/>
      <c r="B17" s="105" t="s">
        <v>1428</v>
      </c>
      <c r="C17" s="225" t="s">
        <v>1429</v>
      </c>
      <c r="D17" s="102">
        <v>2</v>
      </c>
      <c r="E17" s="226">
        <v>3500</v>
      </c>
      <c r="F17" s="236">
        <f t="shared" si="0"/>
        <v>7000</v>
      </c>
    </row>
    <row r="18" spans="1:8" ht="15" x14ac:dyDescent="0.15">
      <c r="A18" s="212" t="s">
        <v>1430</v>
      </c>
      <c r="B18" s="99" t="s">
        <v>1431</v>
      </c>
      <c r="C18" s="214"/>
      <c r="D18" s="102"/>
      <c r="E18" s="227"/>
      <c r="F18" s="236">
        <f t="shared" si="0"/>
        <v>0</v>
      </c>
    </row>
    <row r="19" spans="1:8" ht="14" x14ac:dyDescent="0.15">
      <c r="A19" s="101"/>
      <c r="B19" s="99"/>
      <c r="C19" s="99"/>
      <c r="D19" s="102"/>
      <c r="E19" s="229"/>
      <c r="F19" s="236">
        <f t="shared" si="0"/>
        <v>0</v>
      </c>
    </row>
    <row r="20" spans="1:8" ht="26.25" customHeight="1" x14ac:dyDescent="0.2">
      <c r="A20" s="101"/>
      <c r="B20" s="99" t="s">
        <v>1432</v>
      </c>
      <c r="C20" s="99"/>
      <c r="D20" s="102"/>
      <c r="E20" s="229"/>
      <c r="F20" s="236">
        <f t="shared" si="0"/>
        <v>0</v>
      </c>
      <c r="G20" s="91"/>
      <c r="H20" s="91"/>
    </row>
    <row r="21" spans="1:8" ht="28" x14ac:dyDescent="0.2">
      <c r="A21" s="101"/>
      <c r="B21" s="99" t="s">
        <v>1433</v>
      </c>
      <c r="C21" s="102" t="s">
        <v>1434</v>
      </c>
      <c r="D21" s="102">
        <v>1</v>
      </c>
      <c r="E21" s="104">
        <v>45000</v>
      </c>
      <c r="F21" s="236">
        <f t="shared" si="0"/>
        <v>45000</v>
      </c>
      <c r="G21" s="91"/>
      <c r="H21" s="91"/>
    </row>
    <row r="22" spans="1:8" ht="14" x14ac:dyDescent="0.2">
      <c r="A22" s="101"/>
      <c r="B22" s="91"/>
      <c r="C22" s="230"/>
      <c r="D22" s="231"/>
      <c r="E22" s="229"/>
      <c r="F22" s="236">
        <f t="shared" si="0"/>
        <v>0</v>
      </c>
      <c r="G22" s="91"/>
      <c r="H22" s="91"/>
    </row>
    <row r="23" spans="1:8" ht="29" thickBot="1" x14ac:dyDescent="0.25">
      <c r="A23" s="215" t="s">
        <v>1435</v>
      </c>
      <c r="B23" s="169" t="s">
        <v>1436</v>
      </c>
      <c r="C23" s="157" t="s">
        <v>1437</v>
      </c>
      <c r="D23" s="157">
        <v>2</v>
      </c>
      <c r="E23" s="232">
        <v>20000</v>
      </c>
      <c r="F23" s="236">
        <f t="shared" si="0"/>
        <v>40000</v>
      </c>
      <c r="G23" s="91"/>
      <c r="H23" s="91"/>
    </row>
    <row r="24" spans="1:8" ht="15" thickBot="1" x14ac:dyDescent="0.25">
      <c r="A24" s="168"/>
      <c r="B24" s="637" t="s">
        <v>1438</v>
      </c>
      <c r="C24" s="637"/>
      <c r="D24" s="637"/>
      <c r="E24" s="637"/>
      <c r="F24" s="529">
        <f>SUM(F8:F23)</f>
        <v>690200</v>
      </c>
      <c r="G24" s="91"/>
      <c r="H24" s="91"/>
    </row>
    <row r="25" spans="1:8" ht="14" x14ac:dyDescent="0.2">
      <c r="A25" s="113" t="s">
        <v>1439</v>
      </c>
      <c r="F25" s="131"/>
      <c r="G25" s="91"/>
      <c r="H25" s="91"/>
    </row>
    <row r="26" spans="1:8" ht="14" x14ac:dyDescent="0.2">
      <c r="A26" s="113"/>
      <c r="F26" s="131"/>
      <c r="G26" s="91"/>
      <c r="H26" s="91"/>
    </row>
    <row r="27" spans="1:8" ht="14" x14ac:dyDescent="0.2">
      <c r="F27" s="131"/>
      <c r="G27" s="91"/>
      <c r="H27" s="91"/>
    </row>
    <row r="28" spans="1:8" ht="14" x14ac:dyDescent="0.2">
      <c r="F28" s="131"/>
      <c r="G28" s="91"/>
      <c r="H28" s="91"/>
    </row>
    <row r="29" spans="1:8" ht="14" x14ac:dyDescent="0.2">
      <c r="F29" s="131"/>
      <c r="G29" s="91"/>
      <c r="H29" s="91"/>
    </row>
    <row r="30" spans="1:8" ht="14" x14ac:dyDescent="0.2">
      <c r="F30" s="131"/>
      <c r="G30" s="91"/>
      <c r="H30" s="91"/>
    </row>
    <row r="31" spans="1:8" ht="14" x14ac:dyDescent="0.2">
      <c r="F31" s="131"/>
      <c r="G31" s="91"/>
      <c r="H31" s="91"/>
    </row>
    <row r="32" spans="1:8" ht="14" x14ac:dyDescent="0.2">
      <c r="F32" s="131"/>
      <c r="G32" s="91"/>
      <c r="H32" s="91"/>
    </row>
    <row r="33" spans="6:8" ht="14" x14ac:dyDescent="0.2">
      <c r="F33" s="131"/>
      <c r="G33" s="91"/>
      <c r="H33" s="91"/>
    </row>
    <row r="34" spans="6:8" ht="14" x14ac:dyDescent="0.2">
      <c r="F34" s="131"/>
      <c r="G34" s="91"/>
      <c r="H34" s="91"/>
    </row>
    <row r="35" spans="6:8" ht="14" x14ac:dyDescent="0.2">
      <c r="F35" s="131"/>
      <c r="G35" s="91"/>
      <c r="H35" s="91"/>
    </row>
    <row r="36" spans="6:8" ht="14" x14ac:dyDescent="0.15">
      <c r="F36" s="131"/>
    </row>
    <row r="37" spans="6:8" ht="14" x14ac:dyDescent="0.15">
      <c r="F37" s="131"/>
    </row>
    <row r="38" spans="6:8" ht="14" x14ac:dyDescent="0.15">
      <c r="F38" s="131"/>
    </row>
    <row r="39" spans="6:8" ht="14" x14ac:dyDescent="0.15">
      <c r="F39" s="131"/>
    </row>
  </sheetData>
  <mergeCells count="2">
    <mergeCell ref="B24:E24"/>
    <mergeCell ref="A2:E2"/>
  </mergeCells>
  <phoneticPr fontId="2" type="noConversion"/>
  <pageMargins left="0.7" right="0.7" top="0.75" bottom="0.75" header="0.3" footer="0.3"/>
  <pageSetup paperSize="9" scale="76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31"/>
  <sheetViews>
    <sheetView view="pageBreakPreview" topLeftCell="A5" zoomScaleNormal="100" zoomScaleSheetLayoutView="100" workbookViewId="0">
      <selection activeCell="E10" sqref="E10"/>
    </sheetView>
  </sheetViews>
  <sheetFormatPr baseColWidth="10" defaultColWidth="9.3984375" defaultRowHeight="13" x14ac:dyDescent="0.15"/>
  <cols>
    <col min="1" max="1" width="11" style="89" customWidth="1"/>
    <col min="2" max="2" width="72.796875" style="89" customWidth="1"/>
    <col min="3" max="3" width="10" style="89" customWidth="1"/>
    <col min="4" max="4" width="14.3984375" style="89" customWidth="1"/>
    <col min="5" max="5" width="13.3984375" style="133" customWidth="1"/>
    <col min="6" max="6" width="15.19921875" style="133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131"/>
      <c r="F1" s="131"/>
    </row>
    <row r="2" spans="1:6" ht="26.25" customHeight="1" x14ac:dyDescent="0.15">
      <c r="A2" s="629" t="s">
        <v>0</v>
      </c>
      <c r="B2" s="629"/>
      <c r="C2" s="629"/>
      <c r="D2" s="629"/>
      <c r="E2" s="629"/>
      <c r="F2" s="131"/>
    </row>
    <row r="3" spans="1:6" ht="14" x14ac:dyDescent="0.15">
      <c r="A3" s="88"/>
      <c r="B3" s="88"/>
      <c r="C3" s="88"/>
      <c r="D3" s="88"/>
      <c r="E3" s="131"/>
      <c r="F3" s="131"/>
    </row>
    <row r="4" spans="1:6" ht="15.75" customHeight="1" x14ac:dyDescent="0.2">
      <c r="A4" s="90" t="s">
        <v>20</v>
      </c>
      <c r="B4" s="91"/>
      <c r="C4" s="91"/>
      <c r="D4" s="91"/>
      <c r="E4" s="132"/>
      <c r="F4" s="132"/>
    </row>
    <row r="5" spans="1:6" ht="13.5" customHeight="1" thickBot="1" x14ac:dyDescent="0.2">
      <c r="A5" s="87"/>
    </row>
    <row r="6" spans="1:6" ht="20" customHeight="1" thickBot="1" x14ac:dyDescent="0.2">
      <c r="A6" s="92" t="s">
        <v>1440</v>
      </c>
      <c r="B6" s="93" t="s">
        <v>1441</v>
      </c>
      <c r="C6" s="93" t="s">
        <v>1442</v>
      </c>
      <c r="D6" s="93" t="s">
        <v>1443</v>
      </c>
      <c r="E6" s="201" t="s">
        <v>1444</v>
      </c>
      <c r="F6" s="134" t="s">
        <v>1445</v>
      </c>
    </row>
    <row r="7" spans="1:6" ht="19.25" customHeight="1" x14ac:dyDescent="0.15">
      <c r="A7" s="650" t="s">
        <v>1446</v>
      </c>
      <c r="B7" s="164" t="s">
        <v>1447</v>
      </c>
      <c r="C7" s="652"/>
      <c r="D7" s="652"/>
      <c r="E7" s="648"/>
      <c r="F7" s="648"/>
    </row>
    <row r="8" spans="1:6" ht="19.25" customHeight="1" x14ac:dyDescent="0.15">
      <c r="A8" s="651"/>
      <c r="B8" s="196" t="s">
        <v>1448</v>
      </c>
      <c r="C8" s="653"/>
      <c r="D8" s="653"/>
      <c r="E8" s="649"/>
      <c r="F8" s="649"/>
    </row>
    <row r="9" spans="1:6" ht="20" customHeight="1" x14ac:dyDescent="0.15">
      <c r="A9" s="166" t="s">
        <v>1449</v>
      </c>
      <c r="B9" s="148" t="s">
        <v>1450</v>
      </c>
      <c r="C9" s="153"/>
      <c r="D9" s="153"/>
      <c r="E9" s="202"/>
      <c r="F9" s="202">
        <f>+E9*D9</f>
        <v>0</v>
      </c>
    </row>
    <row r="10" spans="1:6" ht="19.25" customHeight="1" x14ac:dyDescent="0.15">
      <c r="A10" s="561"/>
      <c r="B10" s="553" t="s">
        <v>1451</v>
      </c>
      <c r="C10" s="554" t="s">
        <v>1452</v>
      </c>
      <c r="D10" s="555">
        <v>500</v>
      </c>
      <c r="E10" s="586">
        <v>250</v>
      </c>
      <c r="F10" s="587">
        <f t="shared" ref="F10:F24" si="0">+E10*D10</f>
        <v>125000</v>
      </c>
    </row>
    <row r="11" spans="1:6" ht="24" customHeight="1" x14ac:dyDescent="0.15">
      <c r="A11" s="561"/>
      <c r="B11" s="553" t="s">
        <v>1453</v>
      </c>
      <c r="C11" s="554" t="s">
        <v>1454</v>
      </c>
      <c r="D11" s="555">
        <v>56</v>
      </c>
      <c r="E11" s="586">
        <v>250</v>
      </c>
      <c r="F11" s="587">
        <f t="shared" si="0"/>
        <v>14000</v>
      </c>
    </row>
    <row r="12" spans="1:6" ht="19.25" customHeight="1" x14ac:dyDescent="0.15">
      <c r="A12" s="561"/>
      <c r="B12" s="553" t="s">
        <v>1455</v>
      </c>
      <c r="C12" s="554" t="s">
        <v>1456</v>
      </c>
      <c r="D12" s="555">
        <v>240</v>
      </c>
      <c r="E12" s="586">
        <v>250</v>
      </c>
      <c r="F12" s="587">
        <f t="shared" si="0"/>
        <v>60000</v>
      </c>
    </row>
    <row r="13" spans="1:6" ht="20.75" customHeight="1" x14ac:dyDescent="0.15">
      <c r="A13" s="166" t="s">
        <v>1457</v>
      </c>
      <c r="B13" s="99" t="s">
        <v>1458</v>
      </c>
      <c r="C13" s="154"/>
      <c r="D13" s="154"/>
      <c r="E13" s="203"/>
      <c r="F13" s="202">
        <f t="shared" si="0"/>
        <v>0</v>
      </c>
    </row>
    <row r="14" spans="1:6" ht="20" customHeight="1" x14ac:dyDescent="0.15">
      <c r="A14" s="152"/>
      <c r="B14" s="99" t="s">
        <v>1459</v>
      </c>
      <c r="C14" s="154"/>
      <c r="D14" s="154"/>
      <c r="E14" s="203"/>
      <c r="F14" s="202">
        <f t="shared" si="0"/>
        <v>0</v>
      </c>
    </row>
    <row r="15" spans="1:6" ht="18.5" customHeight="1" x14ac:dyDescent="0.15">
      <c r="A15" s="152"/>
      <c r="B15" s="99" t="s">
        <v>1460</v>
      </c>
      <c r="C15" s="102" t="s">
        <v>1461</v>
      </c>
      <c r="D15" s="109">
        <v>1</v>
      </c>
      <c r="E15" s="203">
        <v>5000</v>
      </c>
      <c r="F15" s="202">
        <f t="shared" si="0"/>
        <v>5000</v>
      </c>
    </row>
    <row r="16" spans="1:6" ht="19.25" customHeight="1" x14ac:dyDescent="0.15">
      <c r="A16" s="166" t="s">
        <v>1462</v>
      </c>
      <c r="B16" s="99" t="s">
        <v>1463</v>
      </c>
      <c r="C16" s="102" t="s">
        <v>1464</v>
      </c>
      <c r="D16" s="109">
        <v>240</v>
      </c>
      <c r="E16" s="203">
        <v>65</v>
      </c>
      <c r="F16" s="202">
        <f t="shared" si="0"/>
        <v>15600</v>
      </c>
    </row>
    <row r="17" spans="1:7" ht="20.75" customHeight="1" x14ac:dyDescent="0.15">
      <c r="A17" s="166" t="s">
        <v>1465</v>
      </c>
      <c r="B17" s="99" t="s">
        <v>1466</v>
      </c>
      <c r="C17" s="154"/>
      <c r="D17" s="154"/>
      <c r="E17" s="203"/>
      <c r="F17" s="202">
        <f t="shared" si="0"/>
        <v>0</v>
      </c>
    </row>
    <row r="18" spans="1:7" ht="26.5" customHeight="1" x14ac:dyDescent="0.15">
      <c r="A18" s="561"/>
      <c r="B18" s="553" t="s">
        <v>1467</v>
      </c>
      <c r="C18" s="554" t="s">
        <v>1468</v>
      </c>
      <c r="D18" s="555">
        <v>160</v>
      </c>
      <c r="E18" s="586">
        <v>800</v>
      </c>
      <c r="F18" s="587">
        <f t="shared" si="0"/>
        <v>128000</v>
      </c>
    </row>
    <row r="19" spans="1:7" ht="19.25" customHeight="1" x14ac:dyDescent="0.15">
      <c r="A19" s="561"/>
      <c r="B19" s="553" t="s">
        <v>1469</v>
      </c>
      <c r="C19" s="554" t="s">
        <v>1470</v>
      </c>
      <c r="D19" s="555">
        <v>160</v>
      </c>
      <c r="E19" s="586">
        <v>800</v>
      </c>
      <c r="F19" s="587">
        <f t="shared" si="0"/>
        <v>128000</v>
      </c>
    </row>
    <row r="20" spans="1:7" ht="39" customHeight="1" x14ac:dyDescent="0.15">
      <c r="A20" s="166" t="s">
        <v>1471</v>
      </c>
      <c r="B20" s="99" t="s">
        <v>1472</v>
      </c>
      <c r="C20" s="154"/>
      <c r="D20" s="154"/>
      <c r="E20" s="204"/>
      <c r="F20" s="202">
        <f t="shared" si="0"/>
        <v>0</v>
      </c>
    </row>
    <row r="21" spans="1:7" s="119" customFormat="1" ht="21.5" customHeight="1" x14ac:dyDescent="0.2">
      <c r="A21" s="183"/>
      <c r="B21" s="115" t="s">
        <v>1473</v>
      </c>
      <c r="C21" s="116" t="s">
        <v>1474</v>
      </c>
      <c r="D21" s="117">
        <v>1</v>
      </c>
      <c r="E21" s="205">
        <v>50000</v>
      </c>
      <c r="F21" s="202">
        <f t="shared" si="0"/>
        <v>50000</v>
      </c>
      <c r="G21" s="127"/>
    </row>
    <row r="22" spans="1:7" s="119" customFormat="1" ht="28" x14ac:dyDescent="0.2">
      <c r="A22" s="183"/>
      <c r="B22" s="115" t="s">
        <v>1475</v>
      </c>
      <c r="C22" s="116" t="s">
        <v>1476</v>
      </c>
      <c r="D22" s="199">
        <v>50000</v>
      </c>
      <c r="E22" s="207">
        <v>0.15</v>
      </c>
      <c r="F22" s="202">
        <f t="shared" si="0"/>
        <v>7500</v>
      </c>
      <c r="G22" s="127"/>
    </row>
    <row r="23" spans="1:7" ht="14" x14ac:dyDescent="0.2">
      <c r="A23" s="166" t="s">
        <v>1477</v>
      </c>
      <c r="B23" s="99" t="s">
        <v>1478</v>
      </c>
      <c r="C23" s="102" t="s">
        <v>1479</v>
      </c>
      <c r="D23" s="109">
        <v>80</v>
      </c>
      <c r="E23" s="203">
        <v>65</v>
      </c>
      <c r="F23" s="202">
        <f t="shared" si="0"/>
        <v>5200</v>
      </c>
      <c r="G23" s="91"/>
    </row>
    <row r="24" spans="1:7" ht="15" thickBot="1" x14ac:dyDescent="0.25">
      <c r="A24" s="198" t="s">
        <v>1480</v>
      </c>
      <c r="B24" s="169" t="s">
        <v>1481</v>
      </c>
      <c r="C24" s="170" t="s">
        <v>1482</v>
      </c>
      <c r="D24" s="170">
        <v>80</v>
      </c>
      <c r="E24" s="206">
        <v>500</v>
      </c>
      <c r="F24" s="202">
        <f t="shared" si="0"/>
        <v>40000</v>
      </c>
      <c r="G24" s="91"/>
    </row>
    <row r="25" spans="1:7" ht="15" thickBot="1" x14ac:dyDescent="0.25">
      <c r="A25" s="179" t="s">
        <v>1483</v>
      </c>
      <c r="B25" s="637" t="s">
        <v>1484</v>
      </c>
      <c r="C25" s="637"/>
      <c r="D25" s="637"/>
      <c r="E25" s="637"/>
      <c r="F25" s="529">
        <f>SUM(F7:F24)</f>
        <v>578300</v>
      </c>
      <c r="G25" s="91"/>
    </row>
    <row r="26" spans="1:7" ht="14" x14ac:dyDescent="0.2">
      <c r="F26" s="132"/>
      <c r="G26" s="91"/>
    </row>
    <row r="27" spans="1:7" ht="14" x14ac:dyDescent="0.2">
      <c r="A27" s="113" t="s">
        <v>1485</v>
      </c>
      <c r="F27" s="132"/>
      <c r="G27" s="91"/>
    </row>
    <row r="28" spans="1:7" ht="14" x14ac:dyDescent="0.2">
      <c r="A28" s="113"/>
      <c r="F28" s="132"/>
    </row>
    <row r="29" spans="1:7" ht="14" x14ac:dyDescent="0.2">
      <c r="F29" s="132"/>
    </row>
    <row r="30" spans="1:7" ht="14" x14ac:dyDescent="0.2">
      <c r="F30" s="132"/>
    </row>
    <row r="31" spans="1:7" ht="14" x14ac:dyDescent="0.2">
      <c r="F31" s="132"/>
    </row>
  </sheetData>
  <mergeCells count="7">
    <mergeCell ref="A2:E2"/>
    <mergeCell ref="F7:F8"/>
    <mergeCell ref="B25:E25"/>
    <mergeCell ref="A7:A8"/>
    <mergeCell ref="C7:C8"/>
    <mergeCell ref="D7:D8"/>
    <mergeCell ref="E7:E8"/>
  </mergeCells>
  <phoneticPr fontId="2" type="noConversion"/>
  <pageMargins left="0.7" right="0.7" top="0.75" bottom="0.75" header="0.3" footer="0.3"/>
  <pageSetup paperSize="9" scale="6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31"/>
  <sheetViews>
    <sheetView view="pageBreakPreview" topLeftCell="A5" zoomScaleNormal="100" zoomScaleSheetLayoutView="100" workbookViewId="0">
      <selection activeCell="E9" sqref="E9"/>
    </sheetView>
  </sheetViews>
  <sheetFormatPr baseColWidth="10" defaultColWidth="9.3984375" defaultRowHeight="13" x14ac:dyDescent="0.15"/>
  <cols>
    <col min="1" max="1" width="10" style="89" customWidth="1"/>
    <col min="2" max="2" width="54.3984375" style="89" customWidth="1"/>
    <col min="3" max="3" width="10" style="89" customWidth="1"/>
    <col min="4" max="4" width="11" style="89" customWidth="1"/>
    <col min="5" max="5" width="16.3984375" style="89" customWidth="1"/>
    <col min="6" max="6" width="15.19921875" style="89" bestFit="1" customWidth="1"/>
    <col min="7" max="16384" width="9.3984375" style="89"/>
  </cols>
  <sheetData>
    <row r="1" spans="1:8" ht="14" x14ac:dyDescent="0.15">
      <c r="A1" s="87" t="s">
        <v>1760</v>
      </c>
      <c r="B1" s="88"/>
      <c r="C1" s="88"/>
      <c r="D1" s="88"/>
      <c r="E1" s="88"/>
      <c r="F1" s="88"/>
    </row>
    <row r="2" spans="1:8" ht="24.75" customHeight="1" x14ac:dyDescent="0.15">
      <c r="A2" s="629" t="s">
        <v>0</v>
      </c>
      <c r="B2" s="629"/>
      <c r="C2" s="629"/>
      <c r="D2" s="629"/>
      <c r="E2" s="629"/>
      <c r="F2" s="88"/>
    </row>
    <row r="3" spans="1:8" ht="14" x14ac:dyDescent="0.15">
      <c r="A3" s="88"/>
      <c r="B3" s="88"/>
      <c r="C3" s="88"/>
      <c r="D3" s="88"/>
      <c r="E3" s="88"/>
      <c r="F3" s="88"/>
    </row>
    <row r="4" spans="1:8" ht="15.75" customHeight="1" thickBot="1" x14ac:dyDescent="0.25">
      <c r="A4" s="90" t="s">
        <v>20</v>
      </c>
      <c r="B4" s="91"/>
      <c r="C4" s="91"/>
      <c r="D4" s="91"/>
      <c r="E4" s="91"/>
      <c r="F4" s="91"/>
    </row>
    <row r="5" spans="1:8" ht="27.75" customHeight="1" thickBot="1" x14ac:dyDescent="0.2">
      <c r="A5" s="92" t="s">
        <v>1486</v>
      </c>
      <c r="B5" s="94" t="s">
        <v>1487</v>
      </c>
      <c r="C5" s="93" t="s">
        <v>1488</v>
      </c>
      <c r="D5" s="93" t="s">
        <v>1489</v>
      </c>
      <c r="E5" s="93" t="s">
        <v>1490</v>
      </c>
      <c r="F5" s="93" t="s">
        <v>1491</v>
      </c>
    </row>
    <row r="6" spans="1:8" ht="27.75" customHeight="1" x14ac:dyDescent="0.15">
      <c r="A6" s="163" t="s">
        <v>1492</v>
      </c>
      <c r="B6" s="164" t="s">
        <v>1493</v>
      </c>
      <c r="C6" s="165"/>
      <c r="D6" s="165"/>
      <c r="E6" s="165"/>
      <c r="F6" s="165"/>
    </row>
    <row r="7" spans="1:8" ht="27.75" customHeight="1" x14ac:dyDescent="0.2">
      <c r="A7" s="195" t="s">
        <v>1494</v>
      </c>
      <c r="B7" s="148" t="s">
        <v>1495</v>
      </c>
      <c r="C7" s="100"/>
      <c r="D7" s="100"/>
      <c r="E7" s="100"/>
      <c r="F7" s="100"/>
      <c r="G7" s="91"/>
      <c r="H7" s="91"/>
    </row>
    <row r="8" spans="1:8" ht="27.75" customHeight="1" x14ac:dyDescent="0.2">
      <c r="A8" s="566"/>
      <c r="B8" s="553" t="s">
        <v>1496</v>
      </c>
      <c r="C8" s="554" t="s">
        <v>1497</v>
      </c>
      <c r="D8" s="555">
        <v>36</v>
      </c>
      <c r="E8" s="556">
        <v>5000</v>
      </c>
      <c r="F8" s="556">
        <f>+E8*D8</f>
        <v>180000</v>
      </c>
      <c r="G8" s="91"/>
      <c r="H8" s="91"/>
    </row>
    <row r="9" spans="1:8" ht="14" x14ac:dyDescent="0.2">
      <c r="A9" s="566"/>
      <c r="B9" s="553" t="s">
        <v>1498</v>
      </c>
      <c r="C9" s="554" t="s">
        <v>1499</v>
      </c>
      <c r="D9" s="555">
        <v>36</v>
      </c>
      <c r="E9" s="556">
        <v>15000</v>
      </c>
      <c r="F9" s="556">
        <f t="shared" ref="F9:F10" si="0">+E9*D9</f>
        <v>540000</v>
      </c>
      <c r="G9" s="91"/>
      <c r="H9" s="91"/>
    </row>
    <row r="10" spans="1:8" ht="15" thickBot="1" x14ac:dyDescent="0.25">
      <c r="A10" s="588"/>
      <c r="B10" s="589" t="s">
        <v>1500</v>
      </c>
      <c r="C10" s="590" t="s">
        <v>1501</v>
      </c>
      <c r="D10" s="591">
        <v>20000</v>
      </c>
      <c r="E10" s="592">
        <v>18</v>
      </c>
      <c r="F10" s="556">
        <f t="shared" si="0"/>
        <v>360000</v>
      </c>
      <c r="G10" s="91"/>
      <c r="H10" s="91"/>
    </row>
    <row r="11" spans="1:8" ht="15" thickBot="1" x14ac:dyDescent="0.25">
      <c r="A11" s="179" t="s">
        <v>1502</v>
      </c>
      <c r="B11" s="637" t="s">
        <v>1503</v>
      </c>
      <c r="C11" s="637"/>
      <c r="D11" s="637"/>
      <c r="E11" s="637"/>
      <c r="F11" s="526">
        <f>SUM(F8:F10)</f>
        <v>1080000</v>
      </c>
      <c r="G11" s="91"/>
      <c r="H11" s="91"/>
    </row>
    <row r="12" spans="1:8" ht="14" x14ac:dyDescent="0.2">
      <c r="F12" s="91"/>
      <c r="G12" s="91"/>
      <c r="H12" s="91"/>
    </row>
    <row r="13" spans="1:8" ht="14" x14ac:dyDescent="0.2">
      <c r="A13" s="113" t="s">
        <v>1504</v>
      </c>
      <c r="F13" s="91"/>
      <c r="G13" s="91"/>
      <c r="H13" s="91"/>
    </row>
    <row r="14" spans="1:8" ht="14" x14ac:dyDescent="0.2">
      <c r="A14" s="113"/>
      <c r="F14" s="91"/>
      <c r="G14" s="91"/>
      <c r="H14" s="91"/>
    </row>
    <row r="15" spans="1:8" ht="14" x14ac:dyDescent="0.2">
      <c r="F15" s="91"/>
      <c r="G15" s="91"/>
      <c r="H15" s="91"/>
    </row>
    <row r="16" spans="1:8" ht="14" x14ac:dyDescent="0.2">
      <c r="F16" s="91"/>
      <c r="G16" s="91"/>
      <c r="H16" s="91"/>
    </row>
    <row r="17" spans="6:8" ht="14" x14ac:dyDescent="0.2">
      <c r="F17" s="91"/>
      <c r="G17" s="91"/>
      <c r="H17" s="91"/>
    </row>
    <row r="18" spans="6:8" ht="14" x14ac:dyDescent="0.2">
      <c r="F18" s="91"/>
      <c r="G18" s="91"/>
      <c r="H18" s="91"/>
    </row>
    <row r="19" spans="6:8" ht="14" x14ac:dyDescent="0.2">
      <c r="F19" s="91"/>
      <c r="G19" s="91"/>
      <c r="H19" s="91"/>
    </row>
    <row r="20" spans="6:8" ht="14" x14ac:dyDescent="0.2">
      <c r="F20" s="91"/>
      <c r="G20" s="91"/>
      <c r="H20" s="91"/>
    </row>
    <row r="21" spans="6:8" ht="14" x14ac:dyDescent="0.2">
      <c r="F21" s="91"/>
      <c r="G21" s="91"/>
      <c r="H21" s="91"/>
    </row>
    <row r="22" spans="6:8" ht="14" x14ac:dyDescent="0.2">
      <c r="F22" s="91"/>
      <c r="G22" s="91"/>
      <c r="H22" s="91"/>
    </row>
    <row r="23" spans="6:8" ht="14" x14ac:dyDescent="0.2">
      <c r="F23" s="91"/>
      <c r="G23" s="91"/>
      <c r="H23" s="91"/>
    </row>
    <row r="24" spans="6:8" ht="14" x14ac:dyDescent="0.2">
      <c r="F24" s="91"/>
      <c r="G24" s="91"/>
      <c r="H24" s="91"/>
    </row>
    <row r="25" spans="6:8" ht="14" x14ac:dyDescent="0.2">
      <c r="F25" s="91"/>
      <c r="G25" s="91"/>
      <c r="H25" s="91"/>
    </row>
    <row r="26" spans="6:8" ht="14" x14ac:dyDescent="0.2">
      <c r="F26" s="91"/>
      <c r="G26" s="91"/>
      <c r="H26" s="91"/>
    </row>
    <row r="27" spans="6:8" ht="14" x14ac:dyDescent="0.2">
      <c r="F27" s="91"/>
      <c r="G27" s="91"/>
      <c r="H27" s="91"/>
    </row>
    <row r="28" spans="6:8" ht="14" x14ac:dyDescent="0.2">
      <c r="F28" s="91"/>
    </row>
    <row r="29" spans="6:8" ht="14" x14ac:dyDescent="0.2">
      <c r="F29" s="91"/>
    </row>
    <row r="30" spans="6:8" ht="14" x14ac:dyDescent="0.2">
      <c r="F30" s="91"/>
    </row>
    <row r="31" spans="6:8" ht="14" x14ac:dyDescent="0.2">
      <c r="F31" s="91"/>
    </row>
  </sheetData>
  <mergeCells count="2">
    <mergeCell ref="B11:E11"/>
    <mergeCell ref="A2:E2"/>
  </mergeCells>
  <phoneticPr fontId="2" type="noConversion"/>
  <pageMargins left="0.7" right="0.7" top="0.75" bottom="0.75" header="0.3" footer="0.3"/>
  <pageSetup paperSize="9" scale="7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33"/>
  <sheetViews>
    <sheetView view="pageBreakPreview" topLeftCell="A4" zoomScaleNormal="100" zoomScaleSheetLayoutView="100" workbookViewId="0">
      <selection activeCell="E12" sqref="E12"/>
    </sheetView>
  </sheetViews>
  <sheetFormatPr baseColWidth="10" defaultColWidth="9.3984375" defaultRowHeight="13" x14ac:dyDescent="0.15"/>
  <cols>
    <col min="1" max="1" width="10" style="89" customWidth="1"/>
    <col min="2" max="2" width="74.19921875" style="89" customWidth="1"/>
    <col min="3" max="3" width="10" style="89" customWidth="1"/>
    <col min="4" max="5" width="13.3984375" style="89" customWidth="1"/>
    <col min="6" max="6" width="17.3984375" style="89" customWidth="1"/>
    <col min="7" max="16384" width="9.3984375" style="89"/>
  </cols>
  <sheetData>
    <row r="1" spans="1:7" ht="14" x14ac:dyDescent="0.15">
      <c r="A1" s="87" t="s">
        <v>1760</v>
      </c>
      <c r="B1" s="88"/>
      <c r="C1" s="88"/>
      <c r="D1" s="88"/>
      <c r="E1" s="88"/>
      <c r="F1" s="88"/>
    </row>
    <row r="2" spans="1:7" ht="24" customHeight="1" x14ac:dyDescent="0.15">
      <c r="A2" s="629" t="s">
        <v>0</v>
      </c>
      <c r="B2" s="629"/>
      <c r="C2" s="629"/>
      <c r="D2" s="629"/>
      <c r="E2" s="629"/>
      <c r="F2" s="88"/>
    </row>
    <row r="3" spans="1:7" ht="14" x14ac:dyDescent="0.15">
      <c r="A3" s="88"/>
      <c r="B3" s="88"/>
      <c r="C3" s="88"/>
      <c r="D3" s="88"/>
      <c r="E3" s="88"/>
      <c r="F3" s="88"/>
    </row>
    <row r="4" spans="1:7" ht="15.75" customHeight="1" x14ac:dyDescent="0.2">
      <c r="A4" s="90" t="s">
        <v>20</v>
      </c>
      <c r="B4" s="91"/>
      <c r="C4" s="91"/>
      <c r="D4" s="91"/>
      <c r="E4" s="91"/>
      <c r="F4" s="91"/>
    </row>
    <row r="5" spans="1:7" ht="20" customHeight="1" thickBot="1" x14ac:dyDescent="0.2"/>
    <row r="6" spans="1:7" ht="19.25" customHeight="1" thickBot="1" x14ac:dyDescent="0.2">
      <c r="A6" s="92" t="s">
        <v>1505</v>
      </c>
      <c r="B6" s="94" t="s">
        <v>1506</v>
      </c>
      <c r="C6" s="93" t="s">
        <v>1507</v>
      </c>
      <c r="D6" s="93" t="s">
        <v>1508</v>
      </c>
      <c r="E6" s="93" t="s">
        <v>1509</v>
      </c>
      <c r="F6" s="93" t="s">
        <v>1510</v>
      </c>
    </row>
    <row r="7" spans="1:7" ht="19.25" customHeight="1" x14ac:dyDescent="0.15">
      <c r="A7" s="654" t="s">
        <v>1511</v>
      </c>
      <c r="B7" s="164" t="s">
        <v>1512</v>
      </c>
      <c r="C7" s="652"/>
      <c r="D7" s="652"/>
      <c r="E7" s="652"/>
      <c r="F7" s="652"/>
    </row>
    <row r="8" spans="1:7" ht="18.5" customHeight="1" x14ac:dyDescent="0.15">
      <c r="A8" s="655"/>
      <c r="B8" s="148" t="s">
        <v>1513</v>
      </c>
      <c r="C8" s="653"/>
      <c r="D8" s="653"/>
      <c r="E8" s="653"/>
      <c r="F8" s="653"/>
    </row>
    <row r="9" spans="1:7" ht="20" customHeight="1" x14ac:dyDescent="0.15">
      <c r="A9" s="101"/>
      <c r="B9" s="99" t="s">
        <v>1514</v>
      </c>
      <c r="C9" s="102" t="s">
        <v>1515</v>
      </c>
      <c r="D9" s="109">
        <v>80</v>
      </c>
      <c r="E9" s="167">
        <v>1200</v>
      </c>
      <c r="F9" s="106">
        <f>+E9*D9</f>
        <v>96000</v>
      </c>
    </row>
    <row r="10" spans="1:7" ht="20.75" customHeight="1" x14ac:dyDescent="0.15">
      <c r="A10" s="101"/>
      <c r="B10" s="99" t="s">
        <v>1516</v>
      </c>
      <c r="C10" s="102" t="s">
        <v>1517</v>
      </c>
      <c r="D10" s="109">
        <v>10</v>
      </c>
      <c r="E10" s="167">
        <v>1100</v>
      </c>
      <c r="F10" s="106">
        <f t="shared" ref="F10:F13" si="0">+E10*D10</f>
        <v>11000</v>
      </c>
    </row>
    <row r="11" spans="1:7" ht="32.25" customHeight="1" x14ac:dyDescent="0.15">
      <c r="A11" s="101"/>
      <c r="B11" s="99" t="s">
        <v>1518</v>
      </c>
      <c r="C11" s="102" t="s">
        <v>1519</v>
      </c>
      <c r="D11" s="109">
        <v>30</v>
      </c>
      <c r="E11" s="167">
        <v>1100</v>
      </c>
      <c r="F11" s="106">
        <f t="shared" si="0"/>
        <v>33000</v>
      </c>
    </row>
    <row r="12" spans="1:7" ht="21.5" customHeight="1" x14ac:dyDescent="0.2">
      <c r="A12" s="101"/>
      <c r="B12" s="99" t="s">
        <v>1520</v>
      </c>
      <c r="C12" s="102" t="s">
        <v>1521</v>
      </c>
      <c r="D12" s="109">
        <v>80</v>
      </c>
      <c r="E12" s="167">
        <f>+E11</f>
        <v>1100</v>
      </c>
      <c r="F12" s="106">
        <f t="shared" si="0"/>
        <v>88000</v>
      </c>
      <c r="G12" s="91"/>
    </row>
    <row r="13" spans="1:7" ht="28" x14ac:dyDescent="0.2">
      <c r="A13" s="98" t="s">
        <v>1522</v>
      </c>
      <c r="B13" s="99" t="s">
        <v>1523</v>
      </c>
      <c r="C13" s="100"/>
      <c r="D13" s="107"/>
      <c r="E13" s="193"/>
      <c r="F13" s="106">
        <f t="shared" si="0"/>
        <v>0</v>
      </c>
      <c r="G13" s="91"/>
    </row>
    <row r="14" spans="1:7" s="119" customFormat="1" ht="28" x14ac:dyDescent="0.2">
      <c r="A14" s="114"/>
      <c r="B14" s="115" t="s">
        <v>1524</v>
      </c>
      <c r="C14" s="116" t="s">
        <v>1525</v>
      </c>
      <c r="D14" s="117">
        <v>1</v>
      </c>
      <c r="E14" s="121">
        <v>50000</v>
      </c>
      <c r="F14" s="121">
        <v>50000</v>
      </c>
      <c r="G14" s="127"/>
    </row>
    <row r="15" spans="1:7" s="119" customFormat="1" ht="29" thickBot="1" x14ac:dyDescent="0.25">
      <c r="A15" s="185"/>
      <c r="B15" s="186" t="s">
        <v>1526</v>
      </c>
      <c r="C15" s="187" t="s">
        <v>1527</v>
      </c>
      <c r="D15" s="188">
        <v>50000</v>
      </c>
      <c r="E15" s="194">
        <v>0.15</v>
      </c>
      <c r="F15" s="190">
        <f>+E15*D15</f>
        <v>7500</v>
      </c>
      <c r="G15" s="127"/>
    </row>
    <row r="16" spans="1:7" ht="15" thickBot="1" x14ac:dyDescent="0.25">
      <c r="A16" s="179" t="s">
        <v>1528</v>
      </c>
      <c r="B16" s="637" t="s">
        <v>1529</v>
      </c>
      <c r="C16" s="637"/>
      <c r="D16" s="637"/>
      <c r="E16" s="637"/>
      <c r="F16" s="526">
        <f>SUM(F9:F15)</f>
        <v>285500</v>
      </c>
      <c r="G16" s="91"/>
    </row>
    <row r="17" spans="1:7" ht="14" x14ac:dyDescent="0.2">
      <c r="F17" s="91"/>
      <c r="G17" s="91"/>
    </row>
    <row r="18" spans="1:7" ht="14" x14ac:dyDescent="0.2">
      <c r="A18" s="113" t="s">
        <v>1530</v>
      </c>
      <c r="F18" s="91"/>
      <c r="G18" s="91"/>
    </row>
    <row r="19" spans="1:7" ht="14" x14ac:dyDescent="0.2">
      <c r="A19" s="113"/>
      <c r="F19" s="91"/>
      <c r="G19" s="91"/>
    </row>
    <row r="20" spans="1:7" ht="14" x14ac:dyDescent="0.2">
      <c r="F20" s="91"/>
      <c r="G20" s="91"/>
    </row>
    <row r="21" spans="1:7" ht="14" x14ac:dyDescent="0.2">
      <c r="F21" s="91"/>
      <c r="G21" s="91"/>
    </row>
    <row r="22" spans="1:7" ht="14" x14ac:dyDescent="0.2">
      <c r="F22" s="91"/>
      <c r="G22" s="91"/>
    </row>
    <row r="23" spans="1:7" ht="14" x14ac:dyDescent="0.2">
      <c r="F23" s="91"/>
      <c r="G23" s="91"/>
    </row>
    <row r="24" spans="1:7" ht="14" x14ac:dyDescent="0.2">
      <c r="F24" s="91"/>
      <c r="G24" s="91"/>
    </row>
    <row r="25" spans="1:7" ht="14" x14ac:dyDescent="0.2">
      <c r="F25" s="91"/>
      <c r="G25" s="91"/>
    </row>
    <row r="26" spans="1:7" ht="14" x14ac:dyDescent="0.2">
      <c r="F26" s="91"/>
      <c r="G26" s="91"/>
    </row>
    <row r="27" spans="1:7" ht="14" x14ac:dyDescent="0.2">
      <c r="F27" s="91"/>
      <c r="G27" s="91"/>
    </row>
    <row r="28" spans="1:7" ht="14" x14ac:dyDescent="0.2">
      <c r="F28" s="91"/>
      <c r="G28" s="91"/>
    </row>
    <row r="29" spans="1:7" ht="14" x14ac:dyDescent="0.2">
      <c r="F29" s="91"/>
      <c r="G29" s="91"/>
    </row>
    <row r="30" spans="1:7" ht="14" x14ac:dyDescent="0.2">
      <c r="F30" s="91"/>
    </row>
    <row r="31" spans="1:7" ht="14" x14ac:dyDescent="0.2">
      <c r="F31" s="91"/>
    </row>
    <row r="32" spans="1:7" ht="14" x14ac:dyDescent="0.2">
      <c r="F32" s="91"/>
    </row>
    <row r="33" spans="6:6" ht="14" x14ac:dyDescent="0.2">
      <c r="F33" s="91"/>
    </row>
  </sheetData>
  <mergeCells count="7">
    <mergeCell ref="A2:E2"/>
    <mergeCell ref="F7:F8"/>
    <mergeCell ref="B16:E16"/>
    <mergeCell ref="A7:A8"/>
    <mergeCell ref="C7:C8"/>
    <mergeCell ref="D7:D8"/>
    <mergeCell ref="E7:E8"/>
  </mergeCells>
  <phoneticPr fontId="2" type="noConversion"/>
  <pageMargins left="0.7" right="0.7" top="0.75" bottom="0.75" header="0.3" footer="0.3"/>
  <pageSetup paperSize="9" scale="7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31"/>
  <sheetViews>
    <sheetView view="pageBreakPreview" zoomScaleNormal="100" zoomScaleSheetLayoutView="100" workbookViewId="0">
      <selection activeCell="F12" sqref="F12"/>
    </sheetView>
  </sheetViews>
  <sheetFormatPr baseColWidth="10" defaultColWidth="9.3984375" defaultRowHeight="13" x14ac:dyDescent="0.15"/>
  <cols>
    <col min="1" max="1" width="10" style="89" customWidth="1"/>
    <col min="2" max="2" width="54.59765625" style="89" customWidth="1"/>
    <col min="3" max="3" width="10" style="89" customWidth="1"/>
    <col min="4" max="4" width="11" style="89" customWidth="1"/>
    <col min="5" max="5" width="15.3984375" style="89" customWidth="1"/>
    <col min="6" max="6" width="13" style="89" customWidth="1"/>
    <col min="7" max="16384" width="9.3984375" style="89"/>
  </cols>
  <sheetData>
    <row r="1" spans="1:7" ht="14" x14ac:dyDescent="0.15">
      <c r="A1" s="87" t="s">
        <v>1760</v>
      </c>
      <c r="B1" s="88"/>
      <c r="C1" s="88"/>
      <c r="D1" s="88"/>
      <c r="E1" s="88"/>
      <c r="F1" s="88"/>
    </row>
    <row r="2" spans="1:7" ht="19.5" customHeight="1" x14ac:dyDescent="0.15">
      <c r="A2" s="629" t="s">
        <v>0</v>
      </c>
      <c r="B2" s="629"/>
      <c r="C2" s="629"/>
      <c r="D2" s="629"/>
      <c r="E2" s="629"/>
      <c r="F2" s="88"/>
    </row>
    <row r="3" spans="1:7" ht="14" x14ac:dyDescent="0.15">
      <c r="A3" s="88"/>
      <c r="B3" s="88"/>
      <c r="C3" s="88"/>
      <c r="D3" s="88"/>
      <c r="E3" s="88"/>
      <c r="F3" s="88"/>
    </row>
    <row r="4" spans="1:7" ht="15.75" customHeight="1" x14ac:dyDescent="0.2">
      <c r="A4" s="90" t="s">
        <v>20</v>
      </c>
      <c r="B4" s="91"/>
      <c r="C4" s="91"/>
      <c r="D4" s="91"/>
      <c r="E4" s="91"/>
      <c r="F4" s="91"/>
    </row>
    <row r="5" spans="1:7" ht="20.75" customHeight="1" thickBot="1" x14ac:dyDescent="0.2"/>
    <row r="6" spans="1:7" ht="45.75" customHeight="1" thickBot="1" x14ac:dyDescent="0.2">
      <c r="A6" s="92" t="s">
        <v>1531</v>
      </c>
      <c r="B6" s="93" t="s">
        <v>1532</v>
      </c>
      <c r="C6" s="93" t="s">
        <v>1533</v>
      </c>
      <c r="D6" s="93" t="s">
        <v>1534</v>
      </c>
      <c r="E6" s="93" t="s">
        <v>1535</v>
      </c>
      <c r="F6" s="93" t="s">
        <v>1536</v>
      </c>
    </row>
    <row r="7" spans="1:7" ht="26.25" customHeight="1" x14ac:dyDescent="0.2">
      <c r="A7" s="176" t="s">
        <v>1537</v>
      </c>
      <c r="B7" s="145" t="s">
        <v>1538</v>
      </c>
      <c r="C7" s="177"/>
      <c r="D7" s="177"/>
      <c r="E7" s="177"/>
      <c r="F7" s="177"/>
      <c r="G7" s="91"/>
    </row>
    <row r="8" spans="1:7" s="119" customFormat="1" ht="14" x14ac:dyDescent="0.2">
      <c r="A8" s="180" t="s">
        <v>1539</v>
      </c>
      <c r="B8" s="181" t="s">
        <v>1540</v>
      </c>
      <c r="C8" s="182"/>
      <c r="D8" s="182"/>
      <c r="E8" s="182"/>
      <c r="F8" s="182"/>
      <c r="G8" s="127"/>
    </row>
    <row r="9" spans="1:7" s="119" customFormat="1" ht="28" x14ac:dyDescent="0.2">
      <c r="A9" s="183"/>
      <c r="B9" s="115" t="s">
        <v>1541</v>
      </c>
      <c r="C9" s="116" t="s">
        <v>1542</v>
      </c>
      <c r="D9" s="184">
        <v>1</v>
      </c>
      <c r="E9" s="121">
        <v>50000</v>
      </c>
      <c r="F9" s="121">
        <v>50000</v>
      </c>
      <c r="G9" s="127"/>
    </row>
    <row r="10" spans="1:7" s="119" customFormat="1" ht="29" thickBot="1" x14ac:dyDescent="0.25">
      <c r="A10" s="185"/>
      <c r="B10" s="186" t="s">
        <v>1543</v>
      </c>
      <c r="C10" s="187" t="s">
        <v>1544</v>
      </c>
      <c r="D10" s="188">
        <v>50000</v>
      </c>
      <c r="E10" s="189">
        <v>0.15</v>
      </c>
      <c r="F10" s="190">
        <f>+E10*D10</f>
        <v>7500</v>
      </c>
      <c r="G10" s="127"/>
    </row>
    <row r="11" spans="1:7" ht="15" thickBot="1" x14ac:dyDescent="0.25">
      <c r="A11" s="179" t="s">
        <v>1545</v>
      </c>
      <c r="B11" s="637" t="s">
        <v>1546</v>
      </c>
      <c r="C11" s="637"/>
      <c r="D11" s="637"/>
      <c r="E11" s="637"/>
      <c r="F11" s="526">
        <f>SUM(F9:F10)</f>
        <v>57500</v>
      </c>
      <c r="G11" s="91"/>
    </row>
    <row r="12" spans="1:7" ht="14" x14ac:dyDescent="0.2">
      <c r="F12" s="91"/>
      <c r="G12" s="91"/>
    </row>
    <row r="13" spans="1:7" ht="14" x14ac:dyDescent="0.2">
      <c r="A13" s="113" t="s">
        <v>1547</v>
      </c>
      <c r="F13" s="91"/>
      <c r="G13" s="91"/>
    </row>
    <row r="14" spans="1:7" ht="14" x14ac:dyDescent="0.2">
      <c r="A14" s="113"/>
      <c r="F14" s="91"/>
      <c r="G14" s="91"/>
    </row>
    <row r="15" spans="1:7" ht="14" x14ac:dyDescent="0.2">
      <c r="F15" s="91"/>
      <c r="G15" s="91"/>
    </row>
    <row r="16" spans="1:7" ht="14" x14ac:dyDescent="0.2">
      <c r="F16" s="91"/>
      <c r="G16" s="91"/>
    </row>
    <row r="17" spans="6:7" ht="14" x14ac:dyDescent="0.2">
      <c r="F17" s="91"/>
      <c r="G17" s="91"/>
    </row>
    <row r="18" spans="6:7" ht="14" x14ac:dyDescent="0.2">
      <c r="F18" s="91"/>
      <c r="G18" s="91"/>
    </row>
    <row r="19" spans="6:7" ht="14" x14ac:dyDescent="0.2">
      <c r="F19" s="91"/>
      <c r="G19" s="91"/>
    </row>
    <row r="20" spans="6:7" ht="14" x14ac:dyDescent="0.2">
      <c r="F20" s="91"/>
      <c r="G20" s="91"/>
    </row>
    <row r="21" spans="6:7" ht="14" x14ac:dyDescent="0.2">
      <c r="F21" s="91"/>
      <c r="G21" s="91"/>
    </row>
    <row r="22" spans="6:7" ht="14" x14ac:dyDescent="0.2">
      <c r="F22" s="91"/>
      <c r="G22" s="91"/>
    </row>
    <row r="23" spans="6:7" ht="14" x14ac:dyDescent="0.2">
      <c r="F23" s="91"/>
      <c r="G23" s="91"/>
    </row>
    <row r="24" spans="6:7" ht="14" x14ac:dyDescent="0.2">
      <c r="F24" s="91"/>
      <c r="G24" s="91"/>
    </row>
    <row r="25" spans="6:7" ht="14" x14ac:dyDescent="0.2">
      <c r="F25" s="91"/>
      <c r="G25" s="91"/>
    </row>
    <row r="26" spans="6:7" ht="14" x14ac:dyDescent="0.2">
      <c r="F26" s="91"/>
      <c r="G26" s="91"/>
    </row>
    <row r="27" spans="6:7" ht="14" x14ac:dyDescent="0.2">
      <c r="F27" s="91"/>
      <c r="G27" s="91"/>
    </row>
    <row r="28" spans="6:7" ht="14" x14ac:dyDescent="0.2">
      <c r="F28" s="91"/>
    </row>
    <row r="29" spans="6:7" ht="14" x14ac:dyDescent="0.2">
      <c r="F29" s="91"/>
    </row>
    <row r="30" spans="6:7" ht="14" x14ac:dyDescent="0.2">
      <c r="F30" s="91"/>
    </row>
    <row r="31" spans="6:7" ht="14" x14ac:dyDescent="0.2">
      <c r="F31" s="91"/>
    </row>
  </sheetData>
  <mergeCells count="2">
    <mergeCell ref="B11:E11"/>
    <mergeCell ref="A2:E2"/>
  </mergeCells>
  <phoneticPr fontId="2" type="noConversion"/>
  <pageMargins left="0.7" right="0.7" top="0.75" bottom="0.75" header="0.3" footer="0.3"/>
  <pageSetup paperSize="9" scale="85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37"/>
  <sheetViews>
    <sheetView view="pageBreakPreview" topLeftCell="A21" zoomScaleNormal="100" zoomScaleSheetLayoutView="100" workbookViewId="0">
      <selection activeCell="F36" sqref="F36"/>
    </sheetView>
  </sheetViews>
  <sheetFormatPr baseColWidth="10" defaultColWidth="9.3984375" defaultRowHeight="13" x14ac:dyDescent="0.15"/>
  <cols>
    <col min="1" max="1" width="11" style="89" customWidth="1"/>
    <col min="2" max="2" width="68" style="89" customWidth="1"/>
    <col min="3" max="3" width="10" style="89" customWidth="1"/>
    <col min="4" max="4" width="11" style="89" customWidth="1"/>
    <col min="5" max="5" width="10.796875" style="89" bestFit="1" customWidth="1"/>
    <col min="6" max="6" width="13.3984375" style="89" bestFit="1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88"/>
    </row>
    <row r="2" spans="1:6" ht="23.25" customHeight="1" x14ac:dyDescent="0.15">
      <c r="A2" s="629" t="s">
        <v>0</v>
      </c>
      <c r="B2" s="629"/>
      <c r="C2" s="629"/>
      <c r="D2" s="629"/>
      <c r="E2" s="629"/>
      <c r="F2" s="88"/>
    </row>
    <row r="3" spans="1:6" ht="13.5" customHeight="1" x14ac:dyDescent="0.15">
      <c r="A3" s="88"/>
      <c r="B3" s="88"/>
      <c r="C3" s="88"/>
      <c r="D3" s="88"/>
      <c r="E3" s="88"/>
      <c r="F3" s="88"/>
    </row>
    <row r="4" spans="1:6" ht="15.75" customHeight="1" thickBot="1" x14ac:dyDescent="0.25">
      <c r="A4" s="90" t="s">
        <v>20</v>
      </c>
      <c r="B4" s="91"/>
      <c r="C4" s="91"/>
      <c r="D4" s="91"/>
      <c r="E4" s="91"/>
      <c r="F4" s="91"/>
    </row>
    <row r="5" spans="1:6" ht="19.25" customHeight="1" thickBot="1" x14ac:dyDescent="0.2">
      <c r="A5" s="92" t="s">
        <v>1548</v>
      </c>
      <c r="B5" s="94" t="s">
        <v>1549</v>
      </c>
      <c r="C5" s="93" t="s">
        <v>1550</v>
      </c>
      <c r="D5" s="93" t="s">
        <v>1551</v>
      </c>
      <c r="E5" s="93" t="s">
        <v>1552</v>
      </c>
      <c r="F5" s="93" t="s">
        <v>1553</v>
      </c>
    </row>
    <row r="6" spans="1:6" ht="19.25" customHeight="1" x14ac:dyDescent="0.15">
      <c r="A6" s="163" t="s">
        <v>1554</v>
      </c>
      <c r="B6" s="164" t="s">
        <v>1555</v>
      </c>
      <c r="C6" s="165"/>
      <c r="D6" s="165"/>
      <c r="E6" s="165"/>
      <c r="F6" s="165"/>
    </row>
    <row r="7" spans="1:6" ht="19.25" customHeight="1" x14ac:dyDescent="0.15">
      <c r="A7" s="166" t="s">
        <v>1556</v>
      </c>
      <c r="B7" s="148" t="s">
        <v>1557</v>
      </c>
      <c r="C7" s="153"/>
      <c r="D7" s="153"/>
      <c r="E7" s="153"/>
      <c r="F7" s="153"/>
    </row>
    <row r="8" spans="1:6" ht="19.25" customHeight="1" x14ac:dyDescent="0.15">
      <c r="A8" s="152"/>
      <c r="B8" s="99" t="s">
        <v>1558</v>
      </c>
      <c r="C8" s="102" t="s">
        <v>1559</v>
      </c>
      <c r="D8" s="109">
        <v>160</v>
      </c>
      <c r="E8" s="167">
        <v>32</v>
      </c>
      <c r="F8" s="106">
        <f>+E8*D8</f>
        <v>5120</v>
      </c>
    </row>
    <row r="9" spans="1:6" ht="19.25" customHeight="1" x14ac:dyDescent="0.15">
      <c r="A9" s="152"/>
      <c r="B9" s="99" t="s">
        <v>1560</v>
      </c>
      <c r="C9" s="102" t="s">
        <v>1561</v>
      </c>
      <c r="D9" s="109">
        <v>160</v>
      </c>
      <c r="E9" s="167">
        <v>72</v>
      </c>
      <c r="F9" s="106">
        <f t="shared" ref="F9:F34" si="0">+E9*D9</f>
        <v>11520</v>
      </c>
    </row>
    <row r="10" spans="1:6" ht="15.75" customHeight="1" x14ac:dyDescent="0.15">
      <c r="A10" s="152"/>
      <c r="B10" s="99" t="s">
        <v>1562</v>
      </c>
      <c r="C10" s="102" t="s">
        <v>1563</v>
      </c>
      <c r="D10" s="109">
        <v>160</v>
      </c>
      <c r="E10" s="167">
        <v>150</v>
      </c>
      <c r="F10" s="106">
        <f t="shared" si="0"/>
        <v>24000</v>
      </c>
    </row>
    <row r="11" spans="1:6" ht="14" x14ac:dyDescent="0.15">
      <c r="A11" s="152"/>
      <c r="B11" s="99" t="s">
        <v>1564</v>
      </c>
      <c r="C11" s="102" t="s">
        <v>1565</v>
      </c>
      <c r="D11" s="109">
        <v>50</v>
      </c>
      <c r="E11" s="167">
        <v>150</v>
      </c>
      <c r="F11" s="106">
        <f t="shared" si="0"/>
        <v>7500</v>
      </c>
    </row>
    <row r="12" spans="1:6" ht="14" x14ac:dyDescent="0.15">
      <c r="A12" s="152"/>
      <c r="B12" s="99" t="s">
        <v>1566</v>
      </c>
      <c r="C12" s="102" t="s">
        <v>1567</v>
      </c>
      <c r="D12" s="109">
        <v>400</v>
      </c>
      <c r="E12" s="167">
        <v>65</v>
      </c>
      <c r="F12" s="106">
        <f t="shared" si="0"/>
        <v>26000</v>
      </c>
    </row>
    <row r="13" spans="1:6" ht="13.75" customHeight="1" x14ac:dyDescent="0.15">
      <c r="A13" s="152"/>
      <c r="B13" s="99" t="s">
        <v>1568</v>
      </c>
      <c r="C13" s="102" t="s">
        <v>1569</v>
      </c>
      <c r="D13" s="109">
        <v>5</v>
      </c>
      <c r="E13" s="167">
        <v>500</v>
      </c>
      <c r="F13" s="106">
        <f t="shared" si="0"/>
        <v>2500</v>
      </c>
    </row>
    <row r="14" spans="1:6" ht="13" customHeight="1" x14ac:dyDescent="0.15">
      <c r="A14" s="152"/>
      <c r="B14" s="99" t="s">
        <v>1570</v>
      </c>
      <c r="C14" s="102" t="s">
        <v>1571</v>
      </c>
      <c r="D14" s="109">
        <v>80</v>
      </c>
      <c r="E14" s="167">
        <v>50</v>
      </c>
      <c r="F14" s="106">
        <f t="shared" si="0"/>
        <v>4000</v>
      </c>
    </row>
    <row r="15" spans="1:6" ht="13" customHeight="1" x14ac:dyDescent="0.15">
      <c r="A15" s="166" t="s">
        <v>1572</v>
      </c>
      <c r="B15" s="99" t="s">
        <v>1573</v>
      </c>
      <c r="C15" s="153"/>
      <c r="D15" s="154"/>
      <c r="E15" s="167"/>
      <c r="F15" s="106">
        <f t="shared" si="0"/>
        <v>0</v>
      </c>
    </row>
    <row r="16" spans="1:6" ht="13" customHeight="1" x14ac:dyDescent="0.15">
      <c r="A16" s="152"/>
      <c r="B16" s="99" t="s">
        <v>1574</v>
      </c>
      <c r="C16" s="153"/>
      <c r="D16" s="154"/>
      <c r="E16" s="167"/>
      <c r="F16" s="106">
        <f t="shared" si="0"/>
        <v>0</v>
      </c>
    </row>
    <row r="17" spans="1:6" ht="13" customHeight="1" x14ac:dyDescent="0.15">
      <c r="A17" s="152"/>
      <c r="B17" s="99" t="s">
        <v>1575</v>
      </c>
      <c r="C17" s="102" t="s">
        <v>1576</v>
      </c>
      <c r="D17" s="109">
        <v>40</v>
      </c>
      <c r="E17" s="167">
        <f>1.5*E8</f>
        <v>48</v>
      </c>
      <c r="F17" s="106">
        <f t="shared" si="0"/>
        <v>1920</v>
      </c>
    </row>
    <row r="18" spans="1:6" ht="13.5" customHeight="1" x14ac:dyDescent="0.15">
      <c r="A18" s="152"/>
      <c r="B18" s="99" t="s">
        <v>1577</v>
      </c>
      <c r="C18" s="102" t="s">
        <v>1578</v>
      </c>
      <c r="D18" s="109">
        <v>40</v>
      </c>
      <c r="E18" s="167">
        <f t="shared" ref="E18:E21" si="1">1.5*E9</f>
        <v>108</v>
      </c>
      <c r="F18" s="106">
        <f t="shared" si="0"/>
        <v>4320</v>
      </c>
    </row>
    <row r="19" spans="1:6" ht="13.75" customHeight="1" x14ac:dyDescent="0.15">
      <c r="A19" s="152"/>
      <c r="B19" s="99" t="s">
        <v>1579</v>
      </c>
      <c r="C19" s="102" t="s">
        <v>1580</v>
      </c>
      <c r="D19" s="109">
        <v>40</v>
      </c>
      <c r="E19" s="167">
        <f t="shared" si="1"/>
        <v>225</v>
      </c>
      <c r="F19" s="106">
        <f t="shared" si="0"/>
        <v>9000</v>
      </c>
    </row>
    <row r="20" spans="1:6" ht="13" customHeight="1" x14ac:dyDescent="0.15">
      <c r="A20" s="152"/>
      <c r="B20" s="99" t="s">
        <v>1581</v>
      </c>
      <c r="C20" s="102" t="s">
        <v>1582</v>
      </c>
      <c r="D20" s="109">
        <v>40</v>
      </c>
      <c r="E20" s="167">
        <f t="shared" si="1"/>
        <v>225</v>
      </c>
      <c r="F20" s="106">
        <f t="shared" si="0"/>
        <v>9000</v>
      </c>
    </row>
    <row r="21" spans="1:6" ht="13" customHeight="1" x14ac:dyDescent="0.15">
      <c r="A21" s="152"/>
      <c r="B21" s="99" t="s">
        <v>1583</v>
      </c>
      <c r="C21" s="102" t="s">
        <v>1584</v>
      </c>
      <c r="D21" s="109">
        <v>80</v>
      </c>
      <c r="E21" s="167">
        <f t="shared" si="1"/>
        <v>97.5</v>
      </c>
      <c r="F21" s="106">
        <f t="shared" si="0"/>
        <v>7800</v>
      </c>
    </row>
    <row r="22" spans="1:6" ht="13" customHeight="1" x14ac:dyDescent="0.15">
      <c r="A22" s="152"/>
      <c r="B22" s="99" t="s">
        <v>1585</v>
      </c>
      <c r="C22" s="153"/>
      <c r="D22" s="154"/>
      <c r="E22" s="167"/>
      <c r="F22" s="106">
        <f t="shared" si="0"/>
        <v>0</v>
      </c>
    </row>
    <row r="23" spans="1:6" ht="13" customHeight="1" x14ac:dyDescent="0.15">
      <c r="A23" s="152"/>
      <c r="B23" s="99" t="s">
        <v>1586</v>
      </c>
      <c r="C23" s="102" t="s">
        <v>1587</v>
      </c>
      <c r="D23" s="109">
        <v>30</v>
      </c>
      <c r="E23" s="167">
        <f>2*E8</f>
        <v>64</v>
      </c>
      <c r="F23" s="106">
        <f t="shared" si="0"/>
        <v>1920</v>
      </c>
    </row>
    <row r="24" spans="1:6" ht="13.5" customHeight="1" x14ac:dyDescent="0.15">
      <c r="A24" s="152"/>
      <c r="B24" s="99" t="s">
        <v>1588</v>
      </c>
      <c r="C24" s="102" t="s">
        <v>1589</v>
      </c>
      <c r="D24" s="109">
        <v>30</v>
      </c>
      <c r="E24" s="167">
        <f t="shared" ref="E24:E27" si="2">2*E9</f>
        <v>144</v>
      </c>
      <c r="F24" s="106">
        <f t="shared" si="0"/>
        <v>4320</v>
      </c>
    </row>
    <row r="25" spans="1:6" ht="14.25" customHeight="1" x14ac:dyDescent="0.15">
      <c r="A25" s="152"/>
      <c r="B25" s="99" t="s">
        <v>1590</v>
      </c>
      <c r="C25" s="102" t="s">
        <v>1591</v>
      </c>
      <c r="D25" s="109">
        <v>30</v>
      </c>
      <c r="E25" s="167">
        <f t="shared" si="2"/>
        <v>300</v>
      </c>
      <c r="F25" s="106">
        <f t="shared" si="0"/>
        <v>9000</v>
      </c>
    </row>
    <row r="26" spans="1:6" ht="13" customHeight="1" x14ac:dyDescent="0.15">
      <c r="A26" s="152"/>
      <c r="B26" s="99" t="s">
        <v>1592</v>
      </c>
      <c r="C26" s="102" t="s">
        <v>1593</v>
      </c>
      <c r="D26" s="109">
        <v>30</v>
      </c>
      <c r="E26" s="167">
        <f t="shared" si="2"/>
        <v>300</v>
      </c>
      <c r="F26" s="106">
        <f t="shared" si="0"/>
        <v>9000</v>
      </c>
    </row>
    <row r="27" spans="1:6" ht="14.5" customHeight="1" x14ac:dyDescent="0.15">
      <c r="A27" s="152"/>
      <c r="B27" s="99" t="s">
        <v>1594</v>
      </c>
      <c r="C27" s="102" t="s">
        <v>1595</v>
      </c>
      <c r="D27" s="109">
        <v>30</v>
      </c>
      <c r="E27" s="167">
        <f t="shared" si="2"/>
        <v>130</v>
      </c>
      <c r="F27" s="106">
        <f t="shared" si="0"/>
        <v>3900</v>
      </c>
    </row>
    <row r="28" spans="1:6" ht="19.25" customHeight="1" x14ac:dyDescent="0.15">
      <c r="A28" s="166" t="s">
        <v>1596</v>
      </c>
      <c r="B28" s="99" t="s">
        <v>1597</v>
      </c>
      <c r="C28" s="153"/>
      <c r="D28" s="154"/>
      <c r="E28" s="167"/>
      <c r="F28" s="106">
        <f t="shared" si="0"/>
        <v>0</v>
      </c>
    </row>
    <row r="29" spans="1:6" ht="19.25" customHeight="1" x14ac:dyDescent="0.15">
      <c r="A29" s="152"/>
      <c r="B29" s="99" t="s">
        <v>1598</v>
      </c>
      <c r="C29" s="153"/>
      <c r="D29" s="154"/>
      <c r="E29" s="167"/>
      <c r="F29" s="106">
        <f t="shared" si="0"/>
        <v>0</v>
      </c>
    </row>
    <row r="30" spans="1:6" ht="17.25" customHeight="1" x14ac:dyDescent="0.15">
      <c r="A30" s="152"/>
      <c r="B30" s="99" t="s">
        <v>1599</v>
      </c>
      <c r="C30" s="102" t="s">
        <v>1600</v>
      </c>
      <c r="D30" s="109">
        <v>5</v>
      </c>
      <c r="E30" s="167">
        <v>650</v>
      </c>
      <c r="F30" s="106">
        <f t="shared" si="0"/>
        <v>3250</v>
      </c>
    </row>
    <row r="31" spans="1:6" ht="21.5" customHeight="1" x14ac:dyDescent="0.15">
      <c r="A31" s="152"/>
      <c r="B31" s="99" t="s">
        <v>1601</v>
      </c>
      <c r="C31" s="102" t="s">
        <v>1602</v>
      </c>
      <c r="D31" s="109">
        <v>5</v>
      </c>
      <c r="E31" s="167">
        <v>850</v>
      </c>
      <c r="F31" s="106">
        <f t="shared" si="0"/>
        <v>4250</v>
      </c>
    </row>
    <row r="32" spans="1:6" ht="12" customHeight="1" x14ac:dyDescent="0.15">
      <c r="A32" s="152"/>
      <c r="B32" s="99" t="s">
        <v>1603</v>
      </c>
      <c r="C32" s="102" t="s">
        <v>1604</v>
      </c>
      <c r="D32" s="109">
        <v>5</v>
      </c>
      <c r="E32" s="167">
        <v>850</v>
      </c>
      <c r="F32" s="106">
        <f t="shared" si="0"/>
        <v>4250</v>
      </c>
    </row>
    <row r="33" spans="1:6" ht="14" x14ac:dyDescent="0.15">
      <c r="A33" s="152"/>
      <c r="B33" s="99" t="s">
        <v>1605</v>
      </c>
      <c r="C33" s="102" t="s">
        <v>1606</v>
      </c>
      <c r="D33" s="109">
        <v>5</v>
      </c>
      <c r="E33" s="167">
        <v>1200</v>
      </c>
      <c r="F33" s="106">
        <f t="shared" si="0"/>
        <v>6000</v>
      </c>
    </row>
    <row r="34" spans="1:6" ht="15" thickBot="1" x14ac:dyDescent="0.2">
      <c r="A34" s="168"/>
      <c r="B34" s="169" t="s">
        <v>1607</v>
      </c>
      <c r="C34" s="170" t="s">
        <v>1608</v>
      </c>
      <c r="D34" s="170">
        <v>5</v>
      </c>
      <c r="E34" s="171">
        <v>650</v>
      </c>
      <c r="F34" s="106">
        <f t="shared" si="0"/>
        <v>3250</v>
      </c>
    </row>
    <row r="35" spans="1:6" ht="15" thickBot="1" x14ac:dyDescent="0.2">
      <c r="A35" s="168"/>
      <c r="B35" s="637" t="s">
        <v>1609</v>
      </c>
      <c r="C35" s="637"/>
      <c r="D35" s="637"/>
      <c r="E35" s="637"/>
      <c r="F35" s="160">
        <f>SUM(F8:F34)</f>
        <v>161820</v>
      </c>
    </row>
    <row r="36" spans="1:6" ht="14" x14ac:dyDescent="0.15">
      <c r="A36" s="173"/>
      <c r="B36" s="174"/>
      <c r="C36" s="174"/>
      <c r="D36" s="174"/>
      <c r="E36" s="174"/>
      <c r="F36" s="175"/>
    </row>
    <row r="37" spans="1:6" x14ac:dyDescent="0.15">
      <c r="A37" s="113"/>
    </row>
  </sheetData>
  <mergeCells count="2">
    <mergeCell ref="B35:E35"/>
    <mergeCell ref="A2:E2"/>
  </mergeCells>
  <phoneticPr fontId="2" type="noConversion"/>
  <pageMargins left="0.7" right="0.7" top="0.75" bottom="0.75" header="0.3" footer="0.3"/>
  <pageSetup paperSize="9" scale="78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33"/>
  <sheetViews>
    <sheetView view="pageBreakPreview" topLeftCell="A19" zoomScaleNormal="100" zoomScaleSheetLayoutView="100" workbookViewId="0">
      <selection activeCell="F33" sqref="F33"/>
    </sheetView>
  </sheetViews>
  <sheetFormatPr baseColWidth="10" defaultColWidth="9.3984375" defaultRowHeight="14" x14ac:dyDescent="0.2"/>
  <cols>
    <col min="1" max="1" width="10" style="89" customWidth="1"/>
    <col min="2" max="2" width="68" style="89" customWidth="1"/>
    <col min="3" max="3" width="13.3984375" style="89" customWidth="1"/>
    <col min="4" max="4" width="13.3984375" style="162" customWidth="1"/>
    <col min="5" max="6" width="13.3984375" style="89" customWidth="1"/>
    <col min="7" max="16384" width="9.3984375" style="89"/>
  </cols>
  <sheetData>
    <row r="1" spans="1:6" x14ac:dyDescent="0.15">
      <c r="A1" s="87" t="s">
        <v>1760</v>
      </c>
      <c r="B1" s="88"/>
      <c r="C1" s="88"/>
      <c r="D1" s="88"/>
      <c r="E1" s="88"/>
      <c r="F1" s="88"/>
    </row>
    <row r="2" spans="1:6" ht="24" customHeight="1" x14ac:dyDescent="0.15">
      <c r="A2" s="629" t="s">
        <v>0</v>
      </c>
      <c r="B2" s="629"/>
      <c r="C2" s="629"/>
      <c r="D2" s="629"/>
      <c r="E2" s="629"/>
      <c r="F2" s="88"/>
    </row>
    <row r="3" spans="1:6" ht="12.75" customHeight="1" x14ac:dyDescent="0.15">
      <c r="A3" s="88"/>
      <c r="B3" s="88"/>
      <c r="C3" s="88"/>
      <c r="D3" s="88"/>
      <c r="E3" s="88"/>
      <c r="F3" s="88"/>
    </row>
    <row r="4" spans="1:6" ht="20.75" customHeight="1" thickBot="1" x14ac:dyDescent="0.25">
      <c r="A4" s="90" t="s">
        <v>20</v>
      </c>
      <c r="B4" s="91"/>
      <c r="C4" s="91"/>
      <c r="D4" s="91"/>
      <c r="E4" s="91"/>
      <c r="F4" s="91"/>
    </row>
    <row r="5" spans="1:6" ht="16.5" customHeight="1" thickBot="1" x14ac:dyDescent="0.2">
      <c r="A5" s="142" t="s">
        <v>1610</v>
      </c>
      <c r="B5" s="143" t="s">
        <v>1611</v>
      </c>
      <c r="C5" s="93" t="s">
        <v>1612</v>
      </c>
      <c r="D5" s="93" t="s">
        <v>1613</v>
      </c>
      <c r="E5" s="93" t="s">
        <v>1614</v>
      </c>
      <c r="F5" s="93" t="s">
        <v>1615</v>
      </c>
    </row>
    <row r="6" spans="1:6" ht="13.75" customHeight="1" x14ac:dyDescent="0.15">
      <c r="A6" s="144"/>
      <c r="B6" s="635" t="s">
        <v>1616</v>
      </c>
      <c r="C6" s="635"/>
      <c r="D6" s="635"/>
      <c r="E6" s="635"/>
      <c r="F6" s="146">
        <f>+'M9100'!F35</f>
        <v>161820</v>
      </c>
    </row>
    <row r="7" spans="1:6" ht="11.25" customHeight="1" x14ac:dyDescent="0.15">
      <c r="A7" s="147"/>
      <c r="B7" s="148" t="s">
        <v>1617</v>
      </c>
      <c r="C7" s="149" t="s">
        <v>1618</v>
      </c>
      <c r="D7" s="150">
        <v>6</v>
      </c>
      <c r="E7" s="151">
        <v>650</v>
      </c>
      <c r="F7" s="106">
        <f>+E7*D7</f>
        <v>3900</v>
      </c>
    </row>
    <row r="8" spans="1:6" ht="19.25" customHeight="1" x14ac:dyDescent="0.15">
      <c r="A8" s="152"/>
      <c r="B8" s="99" t="s">
        <v>1619</v>
      </c>
      <c r="C8" s="102" t="s">
        <v>1620</v>
      </c>
      <c r="D8" s="109">
        <v>80</v>
      </c>
      <c r="E8" s="106">
        <v>650</v>
      </c>
      <c r="F8" s="106">
        <f>+E8*D8</f>
        <v>52000</v>
      </c>
    </row>
    <row r="9" spans="1:6" ht="15.25" customHeight="1" x14ac:dyDescent="0.15">
      <c r="A9" s="152"/>
      <c r="B9" s="99" t="s">
        <v>1621</v>
      </c>
      <c r="C9" s="102" t="s">
        <v>1622</v>
      </c>
      <c r="D9" s="109">
        <v>8</v>
      </c>
      <c r="E9" s="106">
        <v>750</v>
      </c>
      <c r="F9" s="106">
        <f t="shared" ref="F9:F31" si="0">+E9*D9</f>
        <v>6000</v>
      </c>
    </row>
    <row r="10" spans="1:6" ht="12.75" customHeight="1" x14ac:dyDescent="0.15">
      <c r="A10" s="152"/>
      <c r="B10" s="99" t="s">
        <v>1623</v>
      </c>
      <c r="C10" s="102" t="s">
        <v>1624</v>
      </c>
      <c r="D10" s="109">
        <v>8</v>
      </c>
      <c r="E10" s="106">
        <v>650</v>
      </c>
      <c r="F10" s="106">
        <f t="shared" si="0"/>
        <v>5200</v>
      </c>
    </row>
    <row r="11" spans="1:6" ht="26.5" customHeight="1" x14ac:dyDescent="0.15">
      <c r="A11" s="152"/>
      <c r="B11" s="99" t="s">
        <v>1625</v>
      </c>
      <c r="C11" s="153"/>
      <c r="D11" s="154"/>
      <c r="E11" s="106"/>
      <c r="F11" s="106">
        <f t="shared" si="0"/>
        <v>0</v>
      </c>
    </row>
    <row r="12" spans="1:6" ht="13.75" customHeight="1" x14ac:dyDescent="0.15">
      <c r="A12" s="152"/>
      <c r="B12" s="99" t="s">
        <v>1626</v>
      </c>
      <c r="C12" s="102" t="s">
        <v>1627</v>
      </c>
      <c r="D12" s="109">
        <v>8</v>
      </c>
      <c r="E12" s="106">
        <v>350</v>
      </c>
      <c r="F12" s="106">
        <f t="shared" si="0"/>
        <v>2800</v>
      </c>
    </row>
    <row r="13" spans="1:6" ht="12.75" customHeight="1" x14ac:dyDescent="0.15">
      <c r="A13" s="152"/>
      <c r="B13" s="99" t="s">
        <v>1628</v>
      </c>
      <c r="C13" s="102" t="s">
        <v>1629</v>
      </c>
      <c r="D13" s="109">
        <v>8</v>
      </c>
      <c r="E13" s="106">
        <v>250</v>
      </c>
      <c r="F13" s="106">
        <f t="shared" si="0"/>
        <v>2000</v>
      </c>
    </row>
    <row r="14" spans="1:6" ht="22.5" customHeight="1" x14ac:dyDescent="0.15">
      <c r="A14" s="152"/>
      <c r="B14" s="99" t="s">
        <v>1630</v>
      </c>
      <c r="C14" s="153"/>
      <c r="D14" s="154"/>
      <c r="E14" s="106"/>
      <c r="F14" s="106">
        <f t="shared" si="0"/>
        <v>0</v>
      </c>
    </row>
    <row r="15" spans="1:6" ht="19.25" customHeight="1" x14ac:dyDescent="0.15">
      <c r="A15" s="152"/>
      <c r="B15" s="99" t="s">
        <v>1631</v>
      </c>
      <c r="C15" s="102" t="s">
        <v>1632</v>
      </c>
      <c r="D15" s="109">
        <v>8</v>
      </c>
      <c r="E15" s="106">
        <v>250</v>
      </c>
      <c r="F15" s="106">
        <f t="shared" si="0"/>
        <v>2000</v>
      </c>
    </row>
    <row r="16" spans="1:6" ht="19.25" customHeight="1" x14ac:dyDescent="0.15">
      <c r="A16" s="152"/>
      <c r="B16" s="99" t="s">
        <v>1633</v>
      </c>
      <c r="C16" s="102" t="s">
        <v>1634</v>
      </c>
      <c r="D16" s="109">
        <v>8</v>
      </c>
      <c r="E16" s="106">
        <v>250</v>
      </c>
      <c r="F16" s="106">
        <f t="shared" si="0"/>
        <v>2000</v>
      </c>
    </row>
    <row r="17" spans="1:6" ht="19.25" customHeight="1" x14ac:dyDescent="0.15">
      <c r="A17" s="152"/>
      <c r="B17" s="99" t="s">
        <v>1635</v>
      </c>
      <c r="C17" s="153"/>
      <c r="D17" s="154"/>
      <c r="E17" s="106"/>
      <c r="F17" s="106">
        <f t="shared" si="0"/>
        <v>0</v>
      </c>
    </row>
    <row r="18" spans="1:6" ht="19.25" customHeight="1" x14ac:dyDescent="0.15">
      <c r="A18" s="152"/>
      <c r="B18" s="99" t="s">
        <v>1636</v>
      </c>
      <c r="C18" s="102" t="s">
        <v>1637</v>
      </c>
      <c r="D18" s="109">
        <v>8</v>
      </c>
      <c r="E18" s="106">
        <v>150</v>
      </c>
      <c r="F18" s="106">
        <f t="shared" si="0"/>
        <v>1200</v>
      </c>
    </row>
    <row r="19" spans="1:6" ht="19.25" customHeight="1" x14ac:dyDescent="0.15">
      <c r="A19" s="152"/>
      <c r="B19" s="99" t="s">
        <v>1638</v>
      </c>
      <c r="C19" s="102" t="s">
        <v>1639</v>
      </c>
      <c r="D19" s="109">
        <v>8</v>
      </c>
      <c r="E19" s="106">
        <v>550</v>
      </c>
      <c r="F19" s="106">
        <f t="shared" si="0"/>
        <v>4400</v>
      </c>
    </row>
    <row r="20" spans="1:6" ht="15.25" customHeight="1" x14ac:dyDescent="0.15">
      <c r="A20" s="152"/>
      <c r="B20" s="99" t="s">
        <v>1640</v>
      </c>
      <c r="C20" s="102" t="s">
        <v>1641</v>
      </c>
      <c r="D20" s="109">
        <v>8</v>
      </c>
      <c r="E20" s="106">
        <v>650</v>
      </c>
      <c r="F20" s="106">
        <f t="shared" si="0"/>
        <v>5200</v>
      </c>
    </row>
    <row r="21" spans="1:6" ht="12" customHeight="1" x14ac:dyDescent="0.15">
      <c r="A21" s="152"/>
      <c r="B21" s="99" t="s">
        <v>1642</v>
      </c>
      <c r="C21" s="102" t="s">
        <v>1643</v>
      </c>
      <c r="D21" s="109">
        <v>10</v>
      </c>
      <c r="E21" s="106">
        <v>250</v>
      </c>
      <c r="F21" s="106">
        <f t="shared" si="0"/>
        <v>2500</v>
      </c>
    </row>
    <row r="22" spans="1:6" ht="19.25" customHeight="1" x14ac:dyDescent="0.15">
      <c r="A22" s="152"/>
      <c r="B22" s="99" t="s">
        <v>1644</v>
      </c>
      <c r="C22" s="102" t="s">
        <v>1645</v>
      </c>
      <c r="D22" s="109">
        <v>3</v>
      </c>
      <c r="E22" s="106">
        <v>1500</v>
      </c>
      <c r="F22" s="106">
        <f t="shared" si="0"/>
        <v>4500</v>
      </c>
    </row>
    <row r="23" spans="1:6" ht="19.25" customHeight="1" x14ac:dyDescent="0.15">
      <c r="A23" s="152"/>
      <c r="B23" s="99" t="s">
        <v>1646</v>
      </c>
      <c r="C23" s="102" t="s">
        <v>1647</v>
      </c>
      <c r="D23" s="109">
        <v>8</v>
      </c>
      <c r="E23" s="106">
        <v>350</v>
      </c>
      <c r="F23" s="106">
        <f t="shared" si="0"/>
        <v>2800</v>
      </c>
    </row>
    <row r="24" spans="1:6" ht="19.25" customHeight="1" x14ac:dyDescent="0.15">
      <c r="A24" s="152"/>
      <c r="B24" s="99" t="s">
        <v>1648</v>
      </c>
      <c r="C24" s="102" t="s">
        <v>1649</v>
      </c>
      <c r="D24" s="109">
        <v>1</v>
      </c>
      <c r="E24" s="106">
        <v>15000</v>
      </c>
      <c r="F24" s="106">
        <f t="shared" si="0"/>
        <v>15000</v>
      </c>
    </row>
    <row r="25" spans="1:6" ht="19.25" customHeight="1" x14ac:dyDescent="0.15">
      <c r="A25" s="152"/>
      <c r="B25" s="99" t="s">
        <v>1650</v>
      </c>
      <c r="C25" s="153"/>
      <c r="D25" s="154"/>
      <c r="E25" s="106"/>
      <c r="F25" s="106">
        <f t="shared" si="0"/>
        <v>0</v>
      </c>
    </row>
    <row r="26" spans="1:6" ht="19.25" customHeight="1" x14ac:dyDescent="0.15">
      <c r="A26" s="152"/>
      <c r="B26" s="99" t="s">
        <v>1651</v>
      </c>
      <c r="C26" s="102" t="s">
        <v>1652</v>
      </c>
      <c r="D26" s="109">
        <v>1</v>
      </c>
      <c r="E26" s="106">
        <v>25000</v>
      </c>
      <c r="F26" s="106">
        <f t="shared" si="0"/>
        <v>25000</v>
      </c>
    </row>
    <row r="27" spans="1:6" ht="19.5" customHeight="1" x14ac:dyDescent="0.15">
      <c r="A27" s="152"/>
      <c r="B27" s="99" t="s">
        <v>1653</v>
      </c>
      <c r="C27" s="102" t="s">
        <v>1654</v>
      </c>
      <c r="D27" s="109">
        <v>6</v>
      </c>
      <c r="E27" s="106">
        <v>750</v>
      </c>
      <c r="F27" s="106">
        <f t="shared" si="0"/>
        <v>4500</v>
      </c>
    </row>
    <row r="28" spans="1:6" ht="21.5" customHeight="1" x14ac:dyDescent="0.15">
      <c r="A28" s="152"/>
      <c r="B28" s="99" t="s">
        <v>1655</v>
      </c>
      <c r="C28" s="102" t="s">
        <v>1656</v>
      </c>
      <c r="D28" s="109">
        <v>6</v>
      </c>
      <c r="E28" s="106">
        <v>850</v>
      </c>
      <c r="F28" s="106">
        <f t="shared" si="0"/>
        <v>5100</v>
      </c>
    </row>
    <row r="29" spans="1:6" x14ac:dyDescent="0.15">
      <c r="A29" s="152"/>
      <c r="B29" s="99" t="s">
        <v>1657</v>
      </c>
      <c r="C29" s="102" t="s">
        <v>1658</v>
      </c>
      <c r="D29" s="109">
        <v>6</v>
      </c>
      <c r="E29" s="106">
        <v>1200</v>
      </c>
      <c r="F29" s="106">
        <f t="shared" si="0"/>
        <v>7200</v>
      </c>
    </row>
    <row r="30" spans="1:6" x14ac:dyDescent="0.15">
      <c r="A30" s="152"/>
      <c r="B30" s="99" t="s">
        <v>1659</v>
      </c>
      <c r="C30" s="102" t="s">
        <v>1660</v>
      </c>
      <c r="D30" s="109">
        <v>6</v>
      </c>
      <c r="E30" s="106">
        <v>650</v>
      </c>
      <c r="F30" s="106">
        <f t="shared" si="0"/>
        <v>3900</v>
      </c>
    </row>
    <row r="31" spans="1:6" ht="15" thickBot="1" x14ac:dyDescent="0.2">
      <c r="A31" s="155"/>
      <c r="B31" s="156" t="s">
        <v>1661</v>
      </c>
      <c r="C31" s="157" t="s">
        <v>1662</v>
      </c>
      <c r="D31" s="157" t="s">
        <v>1663</v>
      </c>
      <c r="E31" s="158">
        <v>550</v>
      </c>
      <c r="F31" s="106">
        <f t="shared" si="0"/>
        <v>11000</v>
      </c>
    </row>
    <row r="32" spans="1:6" ht="15" thickBot="1" x14ac:dyDescent="0.2">
      <c r="A32" s="159" t="s">
        <v>1664</v>
      </c>
      <c r="B32" s="637" t="s">
        <v>1665</v>
      </c>
      <c r="C32" s="637"/>
      <c r="D32" s="637"/>
      <c r="E32" s="637"/>
      <c r="F32" s="160">
        <f>SUM(F6:F31)</f>
        <v>330020</v>
      </c>
    </row>
    <row r="33" spans="1:6" x14ac:dyDescent="0.15">
      <c r="A33" s="113"/>
      <c r="B33" s="88"/>
      <c r="C33" s="88"/>
      <c r="D33" s="161"/>
      <c r="E33" s="88"/>
      <c r="F33" s="88"/>
    </row>
  </sheetData>
  <mergeCells count="3">
    <mergeCell ref="B6:E6"/>
    <mergeCell ref="B32:E32"/>
    <mergeCell ref="A2:E2"/>
  </mergeCells>
  <phoneticPr fontId="2" type="noConversion"/>
  <pageMargins left="0.7" right="0.7" top="0.75" bottom="0.75" header="0.3" footer="0.3"/>
  <pageSetup paperSize="9" scale="6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33"/>
  <sheetViews>
    <sheetView view="pageBreakPreview" topLeftCell="A11" zoomScaleNormal="100" zoomScaleSheetLayoutView="100" workbookViewId="0">
      <selection activeCell="A13" sqref="A13:F17"/>
    </sheetView>
  </sheetViews>
  <sheetFormatPr baseColWidth="10" defaultColWidth="9.3984375" defaultRowHeight="13" x14ac:dyDescent="0.15"/>
  <cols>
    <col min="1" max="1" width="11" style="89" customWidth="1"/>
    <col min="2" max="2" width="56.19921875" style="89" customWidth="1"/>
    <col min="3" max="4" width="14.59765625" style="89" customWidth="1"/>
    <col min="5" max="5" width="13.796875" style="89" customWidth="1"/>
    <col min="6" max="6" width="14.59765625" style="133" customWidth="1"/>
    <col min="7" max="16384" width="9.3984375" style="89"/>
  </cols>
  <sheetData>
    <row r="1" spans="1:6" ht="14" x14ac:dyDescent="0.15">
      <c r="A1" s="87" t="s">
        <v>1760</v>
      </c>
      <c r="B1" s="88"/>
      <c r="C1" s="88"/>
      <c r="D1" s="88"/>
      <c r="E1" s="88"/>
      <c r="F1" s="131"/>
    </row>
    <row r="2" spans="1:6" ht="23.25" customHeight="1" x14ac:dyDescent="0.15">
      <c r="A2" s="629" t="s">
        <v>0</v>
      </c>
      <c r="B2" s="629"/>
      <c r="C2" s="629"/>
      <c r="D2" s="629"/>
      <c r="E2" s="629"/>
      <c r="F2" s="131"/>
    </row>
    <row r="3" spans="1:6" ht="14" x14ac:dyDescent="0.15">
      <c r="A3" s="88"/>
      <c r="B3" s="88"/>
      <c r="C3" s="88"/>
      <c r="D3" s="88"/>
      <c r="E3" s="88"/>
      <c r="F3" s="131"/>
    </row>
    <row r="4" spans="1:6" ht="15.75" customHeight="1" x14ac:dyDescent="0.2">
      <c r="A4" s="90" t="s">
        <v>20</v>
      </c>
      <c r="B4" s="91"/>
      <c r="C4" s="91"/>
      <c r="D4" s="91"/>
      <c r="E4" s="91"/>
      <c r="F4" s="132"/>
    </row>
    <row r="5" spans="1:6" ht="12.75" customHeight="1" thickBot="1" x14ac:dyDescent="0.2"/>
    <row r="6" spans="1:6" ht="25.75" customHeight="1" thickBot="1" x14ac:dyDescent="0.2">
      <c r="A6" s="92" t="s">
        <v>1666</v>
      </c>
      <c r="B6" s="93" t="s">
        <v>1667</v>
      </c>
      <c r="C6" s="93" t="s">
        <v>1668</v>
      </c>
      <c r="D6" s="93" t="s">
        <v>1669</v>
      </c>
      <c r="E6" s="93" t="s">
        <v>1670</v>
      </c>
      <c r="F6" s="134" t="s">
        <v>1671</v>
      </c>
    </row>
    <row r="7" spans="1:6" ht="19.25" customHeight="1" thickBot="1" x14ac:dyDescent="0.2">
      <c r="A7" s="95"/>
      <c r="B7" s="628" t="s">
        <v>1672</v>
      </c>
      <c r="C7" s="628"/>
      <c r="D7" s="628"/>
      <c r="E7" s="628"/>
      <c r="F7" s="135">
        <f>+'M9100-C'!F32</f>
        <v>330020</v>
      </c>
    </row>
    <row r="8" spans="1:6" ht="15.25" customHeight="1" x14ac:dyDescent="0.15">
      <c r="A8" s="98" t="s">
        <v>1673</v>
      </c>
      <c r="B8" s="99" t="s">
        <v>1674</v>
      </c>
      <c r="C8" s="100"/>
      <c r="D8" s="100"/>
      <c r="E8" s="100"/>
      <c r="F8" s="136"/>
    </row>
    <row r="9" spans="1:6" s="119" customFormat="1" ht="13" customHeight="1" x14ac:dyDescent="0.15">
      <c r="A9" s="114"/>
      <c r="B9" s="115" t="s">
        <v>1675</v>
      </c>
      <c r="C9" s="116" t="s">
        <v>1676</v>
      </c>
      <c r="D9" s="117">
        <v>1</v>
      </c>
      <c r="E9" s="118">
        <v>500000</v>
      </c>
      <c r="F9" s="137">
        <v>500000</v>
      </c>
    </row>
    <row r="10" spans="1:6" s="119" customFormat="1" ht="14.5" customHeight="1" x14ac:dyDescent="0.15">
      <c r="A10" s="114"/>
      <c r="B10" s="120" t="s">
        <v>1677</v>
      </c>
      <c r="C10" s="116" t="s">
        <v>1678</v>
      </c>
      <c r="D10" s="121">
        <v>500000</v>
      </c>
      <c r="E10" s="122">
        <v>0.15</v>
      </c>
      <c r="F10" s="137">
        <f>+E10*D10</f>
        <v>75000</v>
      </c>
    </row>
    <row r="11" spans="1:6" s="119" customFormat="1" ht="20" customHeight="1" x14ac:dyDescent="0.15">
      <c r="A11" s="123" t="s">
        <v>1679</v>
      </c>
      <c r="B11" s="115" t="s">
        <v>1680</v>
      </c>
      <c r="C11" s="124"/>
      <c r="D11" s="125"/>
      <c r="E11" s="126"/>
      <c r="F11" s="138"/>
    </row>
    <row r="12" spans="1:6" ht="25.75" customHeight="1" x14ac:dyDescent="0.15">
      <c r="A12" s="101"/>
      <c r="B12" s="99" t="s">
        <v>1681</v>
      </c>
      <c r="C12" s="100"/>
      <c r="D12" s="107"/>
      <c r="E12" s="108"/>
      <c r="F12" s="139">
        <f t="shared" ref="F12:F17" si="0">+E12*D12</f>
        <v>0</v>
      </c>
    </row>
    <row r="13" spans="1:6" ht="19.25" customHeight="1" x14ac:dyDescent="0.15">
      <c r="A13" s="566"/>
      <c r="B13" s="553" t="s">
        <v>1682</v>
      </c>
      <c r="C13" s="554" t="s">
        <v>1683</v>
      </c>
      <c r="D13" s="555">
        <v>1</v>
      </c>
      <c r="E13" s="570">
        <v>35000</v>
      </c>
      <c r="F13" s="601">
        <f t="shared" si="0"/>
        <v>35000</v>
      </c>
    </row>
    <row r="14" spans="1:6" ht="20" customHeight="1" x14ac:dyDescent="0.15">
      <c r="A14" s="566"/>
      <c r="B14" s="567" t="s">
        <v>1684</v>
      </c>
      <c r="C14" s="595" t="s">
        <v>1685</v>
      </c>
      <c r="D14" s="596">
        <v>1</v>
      </c>
      <c r="E14" s="570">
        <f>+E13</f>
        <v>35000</v>
      </c>
      <c r="F14" s="601">
        <f t="shared" si="0"/>
        <v>35000</v>
      </c>
    </row>
    <row r="15" spans="1:6" ht="20.75" customHeight="1" x14ac:dyDescent="0.15">
      <c r="A15" s="566"/>
      <c r="B15" s="553" t="s">
        <v>1686</v>
      </c>
      <c r="C15" s="554" t="s">
        <v>1687</v>
      </c>
      <c r="D15" s="555">
        <v>1</v>
      </c>
      <c r="E15" s="570">
        <f>+E14</f>
        <v>35000</v>
      </c>
      <c r="F15" s="601">
        <f t="shared" si="0"/>
        <v>35000</v>
      </c>
    </row>
    <row r="16" spans="1:6" ht="26.5" customHeight="1" x14ac:dyDescent="0.15">
      <c r="A16" s="566"/>
      <c r="B16" s="567" t="s">
        <v>1688</v>
      </c>
      <c r="C16" s="554" t="s">
        <v>1689</v>
      </c>
      <c r="D16" s="555">
        <v>1</v>
      </c>
      <c r="E16" s="570">
        <v>10000</v>
      </c>
      <c r="F16" s="601">
        <f t="shared" si="0"/>
        <v>10000</v>
      </c>
    </row>
    <row r="17" spans="1:8" ht="19.25" customHeight="1" x14ac:dyDescent="0.15">
      <c r="A17" s="566"/>
      <c r="B17" s="553" t="s">
        <v>1690</v>
      </c>
      <c r="C17" s="554" t="s">
        <v>1691</v>
      </c>
      <c r="D17" s="555">
        <v>1</v>
      </c>
      <c r="E17" s="570">
        <v>15000</v>
      </c>
      <c r="F17" s="601">
        <f t="shared" si="0"/>
        <v>15000</v>
      </c>
    </row>
    <row r="18" spans="1:8" ht="19.25" customHeight="1" x14ac:dyDescent="0.15">
      <c r="A18" s="98" t="s">
        <v>1692</v>
      </c>
      <c r="B18" s="99" t="s">
        <v>1693</v>
      </c>
      <c r="C18" s="100"/>
      <c r="D18" s="107"/>
      <c r="E18" s="108"/>
      <c r="F18" s="139">
        <f>+E18*D18</f>
        <v>0</v>
      </c>
    </row>
    <row r="19" spans="1:8" s="119" customFormat="1" ht="51" customHeight="1" x14ac:dyDescent="0.15">
      <c r="A19" s="114"/>
      <c r="B19" s="115" t="s">
        <v>1694</v>
      </c>
      <c r="C19" s="116" t="s">
        <v>1695</v>
      </c>
      <c r="D19" s="117">
        <v>1</v>
      </c>
      <c r="E19" s="118">
        <v>50000</v>
      </c>
      <c r="F19" s="137">
        <v>50000</v>
      </c>
    </row>
    <row r="20" spans="1:8" s="119" customFormat="1" ht="21.5" customHeight="1" x14ac:dyDescent="0.2">
      <c r="A20" s="114"/>
      <c r="B20" s="120" t="s">
        <v>1696</v>
      </c>
      <c r="C20" s="116" t="s">
        <v>1697</v>
      </c>
      <c r="D20" s="121">
        <v>50000</v>
      </c>
      <c r="E20" s="122">
        <v>0.15</v>
      </c>
      <c r="F20" s="137">
        <f>+E20*D20</f>
        <v>7500</v>
      </c>
      <c r="G20" s="127"/>
      <c r="H20" s="127"/>
    </row>
    <row r="21" spans="1:8" s="119" customFormat="1" ht="14" x14ac:dyDescent="0.2">
      <c r="A21" s="123" t="s">
        <v>1698</v>
      </c>
      <c r="B21" s="115" t="s">
        <v>1699</v>
      </c>
      <c r="C21" s="124"/>
      <c r="D21" s="125"/>
      <c r="E21" s="126"/>
      <c r="F21" s="138"/>
      <c r="G21" s="127"/>
      <c r="H21" s="127"/>
    </row>
    <row r="22" spans="1:8" s="119" customFormat="1" ht="14" x14ac:dyDescent="0.2">
      <c r="A22" s="114"/>
      <c r="B22" s="115" t="s">
        <v>1700</v>
      </c>
      <c r="C22" s="116" t="s">
        <v>1701</v>
      </c>
      <c r="D22" s="117">
        <v>1</v>
      </c>
      <c r="E22" s="118">
        <v>350000</v>
      </c>
      <c r="F22" s="137">
        <v>350000</v>
      </c>
      <c r="G22" s="127"/>
      <c r="H22" s="127"/>
    </row>
    <row r="23" spans="1:8" s="119" customFormat="1" ht="28" x14ac:dyDescent="0.2">
      <c r="A23" s="114"/>
      <c r="B23" s="120" t="s">
        <v>1702</v>
      </c>
      <c r="C23" s="128" t="s">
        <v>1703</v>
      </c>
      <c r="D23" s="129">
        <v>350000</v>
      </c>
      <c r="E23" s="130">
        <v>0.15</v>
      </c>
      <c r="F23" s="141">
        <f>+E23*D23</f>
        <v>52500</v>
      </c>
      <c r="G23" s="127"/>
      <c r="H23" s="127"/>
    </row>
    <row r="24" spans="1:8" ht="15" thickBot="1" x14ac:dyDescent="0.25">
      <c r="A24" s="112" t="s">
        <v>1704</v>
      </c>
      <c r="B24" s="636" t="s">
        <v>1705</v>
      </c>
      <c r="C24" s="636"/>
      <c r="D24" s="636"/>
      <c r="E24" s="636"/>
      <c r="F24" s="531">
        <f>SUM(F7:F23)</f>
        <v>1495020</v>
      </c>
      <c r="G24" s="91"/>
      <c r="H24" s="91"/>
    </row>
    <row r="25" spans="1:8" ht="14" x14ac:dyDescent="0.2">
      <c r="F25" s="132"/>
      <c r="G25" s="91"/>
      <c r="H25" s="91"/>
    </row>
    <row r="26" spans="1:8" ht="14" x14ac:dyDescent="0.2">
      <c r="A26" s="113" t="s">
        <v>1706</v>
      </c>
      <c r="F26" s="132"/>
      <c r="G26" s="91"/>
      <c r="H26" s="91"/>
    </row>
    <row r="27" spans="1:8" ht="14" x14ac:dyDescent="0.2">
      <c r="A27" s="113"/>
      <c r="F27" s="132"/>
      <c r="G27" s="91"/>
      <c r="H27" s="91"/>
    </row>
    <row r="28" spans="1:8" ht="14" x14ac:dyDescent="0.2">
      <c r="F28" s="132"/>
      <c r="G28" s="91"/>
      <c r="H28" s="91"/>
    </row>
    <row r="29" spans="1:8" ht="14" x14ac:dyDescent="0.2">
      <c r="F29" s="132"/>
      <c r="G29" s="91"/>
      <c r="H29" s="91"/>
    </row>
    <row r="30" spans="1:8" ht="14" x14ac:dyDescent="0.2">
      <c r="F30" s="132"/>
    </row>
    <row r="31" spans="1:8" ht="14" x14ac:dyDescent="0.2">
      <c r="F31" s="132"/>
    </row>
    <row r="32" spans="1:8" ht="14" x14ac:dyDescent="0.2">
      <c r="F32" s="132"/>
    </row>
    <row r="33" spans="6:6" ht="14" x14ac:dyDescent="0.2">
      <c r="F33" s="132"/>
    </row>
  </sheetData>
  <mergeCells count="3">
    <mergeCell ref="B7:E7"/>
    <mergeCell ref="B24:E24"/>
    <mergeCell ref="A2:E2"/>
  </mergeCells>
  <phoneticPr fontId="2" type="noConversion"/>
  <pageMargins left="0.7" right="0.7" top="0.75" bottom="0.75" header="0.3" footer="0.3"/>
  <pageSetup paperSize="9" scale="77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C2:L56"/>
  <sheetViews>
    <sheetView view="pageBreakPreview" topLeftCell="B27" zoomScaleNormal="100" zoomScaleSheetLayoutView="100" workbookViewId="0">
      <selection activeCell="J46" sqref="J46"/>
    </sheetView>
  </sheetViews>
  <sheetFormatPr baseColWidth="10" defaultColWidth="9" defaultRowHeight="13" x14ac:dyDescent="0.15"/>
  <cols>
    <col min="1" max="1" width="1" customWidth="1"/>
    <col min="2" max="2" width="3" customWidth="1"/>
    <col min="3" max="3" width="8.3984375" customWidth="1"/>
    <col min="4" max="4" width="2.796875" customWidth="1"/>
    <col min="5" max="5" width="1.59765625" customWidth="1"/>
    <col min="6" max="6" width="86.3984375" customWidth="1"/>
    <col min="7" max="7" width="2.19921875" hidden="1" customWidth="1"/>
    <col min="8" max="8" width="3" hidden="1" customWidth="1"/>
    <col min="9" max="9" width="4" hidden="1" customWidth="1"/>
    <col min="10" max="10" width="25.796875" customWidth="1"/>
    <col min="11" max="11" width="12.59765625" hidden="1" customWidth="1"/>
    <col min="12" max="13" width="0" hidden="1" customWidth="1"/>
    <col min="257" max="257" width="1" customWidth="1"/>
    <col min="258" max="258" width="3" customWidth="1"/>
    <col min="259" max="259" width="8.3984375" customWidth="1"/>
    <col min="260" max="260" width="2.796875" customWidth="1"/>
    <col min="261" max="261" width="1.59765625" customWidth="1"/>
    <col min="262" max="262" width="86.3984375" customWidth="1"/>
    <col min="263" max="263" width="2.19921875" customWidth="1"/>
    <col min="264" max="264" width="3" customWidth="1"/>
    <col min="265" max="265" width="4" customWidth="1"/>
    <col min="266" max="266" width="25.796875" customWidth="1"/>
    <col min="267" max="267" width="11.19921875" customWidth="1"/>
    <col min="513" max="513" width="1" customWidth="1"/>
    <col min="514" max="514" width="3" customWidth="1"/>
    <col min="515" max="515" width="8.3984375" customWidth="1"/>
    <col min="516" max="516" width="2.796875" customWidth="1"/>
    <col min="517" max="517" width="1.59765625" customWidth="1"/>
    <col min="518" max="518" width="86.3984375" customWidth="1"/>
    <col min="519" max="519" width="2.19921875" customWidth="1"/>
    <col min="520" max="520" width="3" customWidth="1"/>
    <col min="521" max="521" width="4" customWidth="1"/>
    <col min="522" max="522" width="25.796875" customWidth="1"/>
    <col min="523" max="523" width="11.19921875" customWidth="1"/>
    <col min="769" max="769" width="1" customWidth="1"/>
    <col min="770" max="770" width="3" customWidth="1"/>
    <col min="771" max="771" width="8.3984375" customWidth="1"/>
    <col min="772" max="772" width="2.796875" customWidth="1"/>
    <col min="773" max="773" width="1.59765625" customWidth="1"/>
    <col min="774" max="774" width="86.3984375" customWidth="1"/>
    <col min="775" max="775" width="2.19921875" customWidth="1"/>
    <col min="776" max="776" width="3" customWidth="1"/>
    <col min="777" max="777" width="4" customWidth="1"/>
    <col min="778" max="778" width="25.796875" customWidth="1"/>
    <col min="779" max="779" width="11.19921875" customWidth="1"/>
    <col min="1025" max="1025" width="1" customWidth="1"/>
    <col min="1026" max="1026" width="3" customWidth="1"/>
    <col min="1027" max="1027" width="8.3984375" customWidth="1"/>
    <col min="1028" max="1028" width="2.796875" customWidth="1"/>
    <col min="1029" max="1029" width="1.59765625" customWidth="1"/>
    <col min="1030" max="1030" width="86.3984375" customWidth="1"/>
    <col min="1031" max="1031" width="2.19921875" customWidth="1"/>
    <col min="1032" max="1032" width="3" customWidth="1"/>
    <col min="1033" max="1033" width="4" customWidth="1"/>
    <col min="1034" max="1034" width="25.796875" customWidth="1"/>
    <col min="1035" max="1035" width="11.19921875" customWidth="1"/>
    <col min="1281" max="1281" width="1" customWidth="1"/>
    <col min="1282" max="1282" width="3" customWidth="1"/>
    <col min="1283" max="1283" width="8.3984375" customWidth="1"/>
    <col min="1284" max="1284" width="2.796875" customWidth="1"/>
    <col min="1285" max="1285" width="1.59765625" customWidth="1"/>
    <col min="1286" max="1286" width="86.3984375" customWidth="1"/>
    <col min="1287" max="1287" width="2.19921875" customWidth="1"/>
    <col min="1288" max="1288" width="3" customWidth="1"/>
    <col min="1289" max="1289" width="4" customWidth="1"/>
    <col min="1290" max="1290" width="25.796875" customWidth="1"/>
    <col min="1291" max="1291" width="11.19921875" customWidth="1"/>
    <col min="1537" max="1537" width="1" customWidth="1"/>
    <col min="1538" max="1538" width="3" customWidth="1"/>
    <col min="1539" max="1539" width="8.3984375" customWidth="1"/>
    <col min="1540" max="1540" width="2.796875" customWidth="1"/>
    <col min="1541" max="1541" width="1.59765625" customWidth="1"/>
    <col min="1542" max="1542" width="86.3984375" customWidth="1"/>
    <col min="1543" max="1543" width="2.19921875" customWidth="1"/>
    <col min="1544" max="1544" width="3" customWidth="1"/>
    <col min="1545" max="1545" width="4" customWidth="1"/>
    <col min="1546" max="1546" width="25.796875" customWidth="1"/>
    <col min="1547" max="1547" width="11.19921875" customWidth="1"/>
    <col min="1793" max="1793" width="1" customWidth="1"/>
    <col min="1794" max="1794" width="3" customWidth="1"/>
    <col min="1795" max="1795" width="8.3984375" customWidth="1"/>
    <col min="1796" max="1796" width="2.796875" customWidth="1"/>
    <col min="1797" max="1797" width="1.59765625" customWidth="1"/>
    <col min="1798" max="1798" width="86.3984375" customWidth="1"/>
    <col min="1799" max="1799" width="2.19921875" customWidth="1"/>
    <col min="1800" max="1800" width="3" customWidth="1"/>
    <col min="1801" max="1801" width="4" customWidth="1"/>
    <col min="1802" max="1802" width="25.796875" customWidth="1"/>
    <col min="1803" max="1803" width="11.19921875" customWidth="1"/>
    <col min="2049" max="2049" width="1" customWidth="1"/>
    <col min="2050" max="2050" width="3" customWidth="1"/>
    <col min="2051" max="2051" width="8.3984375" customWidth="1"/>
    <col min="2052" max="2052" width="2.796875" customWidth="1"/>
    <col min="2053" max="2053" width="1.59765625" customWidth="1"/>
    <col min="2054" max="2054" width="86.3984375" customWidth="1"/>
    <col min="2055" max="2055" width="2.19921875" customWidth="1"/>
    <col min="2056" max="2056" width="3" customWidth="1"/>
    <col min="2057" max="2057" width="4" customWidth="1"/>
    <col min="2058" max="2058" width="25.796875" customWidth="1"/>
    <col min="2059" max="2059" width="11.19921875" customWidth="1"/>
    <col min="2305" max="2305" width="1" customWidth="1"/>
    <col min="2306" max="2306" width="3" customWidth="1"/>
    <col min="2307" max="2307" width="8.3984375" customWidth="1"/>
    <col min="2308" max="2308" width="2.796875" customWidth="1"/>
    <col min="2309" max="2309" width="1.59765625" customWidth="1"/>
    <col min="2310" max="2310" width="86.3984375" customWidth="1"/>
    <col min="2311" max="2311" width="2.19921875" customWidth="1"/>
    <col min="2312" max="2312" width="3" customWidth="1"/>
    <col min="2313" max="2313" width="4" customWidth="1"/>
    <col min="2314" max="2314" width="25.796875" customWidth="1"/>
    <col min="2315" max="2315" width="11.19921875" customWidth="1"/>
    <col min="2561" max="2561" width="1" customWidth="1"/>
    <col min="2562" max="2562" width="3" customWidth="1"/>
    <col min="2563" max="2563" width="8.3984375" customWidth="1"/>
    <col min="2564" max="2564" width="2.796875" customWidth="1"/>
    <col min="2565" max="2565" width="1.59765625" customWidth="1"/>
    <col min="2566" max="2566" width="86.3984375" customWidth="1"/>
    <col min="2567" max="2567" width="2.19921875" customWidth="1"/>
    <col min="2568" max="2568" width="3" customWidth="1"/>
    <col min="2569" max="2569" width="4" customWidth="1"/>
    <col min="2570" max="2570" width="25.796875" customWidth="1"/>
    <col min="2571" max="2571" width="11.19921875" customWidth="1"/>
    <col min="2817" max="2817" width="1" customWidth="1"/>
    <col min="2818" max="2818" width="3" customWidth="1"/>
    <col min="2819" max="2819" width="8.3984375" customWidth="1"/>
    <col min="2820" max="2820" width="2.796875" customWidth="1"/>
    <col min="2821" max="2821" width="1.59765625" customWidth="1"/>
    <col min="2822" max="2822" width="86.3984375" customWidth="1"/>
    <col min="2823" max="2823" width="2.19921875" customWidth="1"/>
    <col min="2824" max="2824" width="3" customWidth="1"/>
    <col min="2825" max="2825" width="4" customWidth="1"/>
    <col min="2826" max="2826" width="25.796875" customWidth="1"/>
    <col min="2827" max="2827" width="11.19921875" customWidth="1"/>
    <col min="3073" max="3073" width="1" customWidth="1"/>
    <col min="3074" max="3074" width="3" customWidth="1"/>
    <col min="3075" max="3075" width="8.3984375" customWidth="1"/>
    <col min="3076" max="3076" width="2.796875" customWidth="1"/>
    <col min="3077" max="3077" width="1.59765625" customWidth="1"/>
    <col min="3078" max="3078" width="86.3984375" customWidth="1"/>
    <col min="3079" max="3079" width="2.19921875" customWidth="1"/>
    <col min="3080" max="3080" width="3" customWidth="1"/>
    <col min="3081" max="3081" width="4" customWidth="1"/>
    <col min="3082" max="3082" width="25.796875" customWidth="1"/>
    <col min="3083" max="3083" width="11.19921875" customWidth="1"/>
    <col min="3329" max="3329" width="1" customWidth="1"/>
    <col min="3330" max="3330" width="3" customWidth="1"/>
    <col min="3331" max="3331" width="8.3984375" customWidth="1"/>
    <col min="3332" max="3332" width="2.796875" customWidth="1"/>
    <col min="3333" max="3333" width="1.59765625" customWidth="1"/>
    <col min="3334" max="3334" width="86.3984375" customWidth="1"/>
    <col min="3335" max="3335" width="2.19921875" customWidth="1"/>
    <col min="3336" max="3336" width="3" customWidth="1"/>
    <col min="3337" max="3337" width="4" customWidth="1"/>
    <col min="3338" max="3338" width="25.796875" customWidth="1"/>
    <col min="3339" max="3339" width="11.19921875" customWidth="1"/>
    <col min="3585" max="3585" width="1" customWidth="1"/>
    <col min="3586" max="3586" width="3" customWidth="1"/>
    <col min="3587" max="3587" width="8.3984375" customWidth="1"/>
    <col min="3588" max="3588" width="2.796875" customWidth="1"/>
    <col min="3589" max="3589" width="1.59765625" customWidth="1"/>
    <col min="3590" max="3590" width="86.3984375" customWidth="1"/>
    <col min="3591" max="3591" width="2.19921875" customWidth="1"/>
    <col min="3592" max="3592" width="3" customWidth="1"/>
    <col min="3593" max="3593" width="4" customWidth="1"/>
    <col min="3594" max="3594" width="25.796875" customWidth="1"/>
    <col min="3595" max="3595" width="11.19921875" customWidth="1"/>
    <col min="3841" max="3841" width="1" customWidth="1"/>
    <col min="3842" max="3842" width="3" customWidth="1"/>
    <col min="3843" max="3843" width="8.3984375" customWidth="1"/>
    <col min="3844" max="3844" width="2.796875" customWidth="1"/>
    <col min="3845" max="3845" width="1.59765625" customWidth="1"/>
    <col min="3846" max="3846" width="86.3984375" customWidth="1"/>
    <col min="3847" max="3847" width="2.19921875" customWidth="1"/>
    <col min="3848" max="3848" width="3" customWidth="1"/>
    <col min="3849" max="3849" width="4" customWidth="1"/>
    <col min="3850" max="3850" width="25.796875" customWidth="1"/>
    <col min="3851" max="3851" width="11.19921875" customWidth="1"/>
    <col min="4097" max="4097" width="1" customWidth="1"/>
    <col min="4098" max="4098" width="3" customWidth="1"/>
    <col min="4099" max="4099" width="8.3984375" customWidth="1"/>
    <col min="4100" max="4100" width="2.796875" customWidth="1"/>
    <col min="4101" max="4101" width="1.59765625" customWidth="1"/>
    <col min="4102" max="4102" width="86.3984375" customWidth="1"/>
    <col min="4103" max="4103" width="2.19921875" customWidth="1"/>
    <col min="4104" max="4104" width="3" customWidth="1"/>
    <col min="4105" max="4105" width="4" customWidth="1"/>
    <col min="4106" max="4106" width="25.796875" customWidth="1"/>
    <col min="4107" max="4107" width="11.19921875" customWidth="1"/>
    <col min="4353" max="4353" width="1" customWidth="1"/>
    <col min="4354" max="4354" width="3" customWidth="1"/>
    <col min="4355" max="4355" width="8.3984375" customWidth="1"/>
    <col min="4356" max="4356" width="2.796875" customWidth="1"/>
    <col min="4357" max="4357" width="1.59765625" customWidth="1"/>
    <col min="4358" max="4358" width="86.3984375" customWidth="1"/>
    <col min="4359" max="4359" width="2.19921875" customWidth="1"/>
    <col min="4360" max="4360" width="3" customWidth="1"/>
    <col min="4361" max="4361" width="4" customWidth="1"/>
    <col min="4362" max="4362" width="25.796875" customWidth="1"/>
    <col min="4363" max="4363" width="11.19921875" customWidth="1"/>
    <col min="4609" max="4609" width="1" customWidth="1"/>
    <col min="4610" max="4610" width="3" customWidth="1"/>
    <col min="4611" max="4611" width="8.3984375" customWidth="1"/>
    <col min="4612" max="4612" width="2.796875" customWidth="1"/>
    <col min="4613" max="4613" width="1.59765625" customWidth="1"/>
    <col min="4614" max="4614" width="86.3984375" customWidth="1"/>
    <col min="4615" max="4615" width="2.19921875" customWidth="1"/>
    <col min="4616" max="4616" width="3" customWidth="1"/>
    <col min="4617" max="4617" width="4" customWidth="1"/>
    <col min="4618" max="4618" width="25.796875" customWidth="1"/>
    <col min="4619" max="4619" width="11.19921875" customWidth="1"/>
    <col min="4865" max="4865" width="1" customWidth="1"/>
    <col min="4866" max="4866" width="3" customWidth="1"/>
    <col min="4867" max="4867" width="8.3984375" customWidth="1"/>
    <col min="4868" max="4868" width="2.796875" customWidth="1"/>
    <col min="4869" max="4869" width="1.59765625" customWidth="1"/>
    <col min="4870" max="4870" width="86.3984375" customWidth="1"/>
    <col min="4871" max="4871" width="2.19921875" customWidth="1"/>
    <col min="4872" max="4872" width="3" customWidth="1"/>
    <col min="4873" max="4873" width="4" customWidth="1"/>
    <col min="4874" max="4874" width="25.796875" customWidth="1"/>
    <col min="4875" max="4875" width="11.19921875" customWidth="1"/>
    <col min="5121" max="5121" width="1" customWidth="1"/>
    <col min="5122" max="5122" width="3" customWidth="1"/>
    <col min="5123" max="5123" width="8.3984375" customWidth="1"/>
    <col min="5124" max="5124" width="2.796875" customWidth="1"/>
    <col min="5125" max="5125" width="1.59765625" customWidth="1"/>
    <col min="5126" max="5126" width="86.3984375" customWidth="1"/>
    <col min="5127" max="5127" width="2.19921875" customWidth="1"/>
    <col min="5128" max="5128" width="3" customWidth="1"/>
    <col min="5129" max="5129" width="4" customWidth="1"/>
    <col min="5130" max="5130" width="25.796875" customWidth="1"/>
    <col min="5131" max="5131" width="11.19921875" customWidth="1"/>
    <col min="5377" max="5377" width="1" customWidth="1"/>
    <col min="5378" max="5378" width="3" customWidth="1"/>
    <col min="5379" max="5379" width="8.3984375" customWidth="1"/>
    <col min="5380" max="5380" width="2.796875" customWidth="1"/>
    <col min="5381" max="5381" width="1.59765625" customWidth="1"/>
    <col min="5382" max="5382" width="86.3984375" customWidth="1"/>
    <col min="5383" max="5383" width="2.19921875" customWidth="1"/>
    <col min="5384" max="5384" width="3" customWidth="1"/>
    <col min="5385" max="5385" width="4" customWidth="1"/>
    <col min="5386" max="5386" width="25.796875" customWidth="1"/>
    <col min="5387" max="5387" width="11.19921875" customWidth="1"/>
    <col min="5633" max="5633" width="1" customWidth="1"/>
    <col min="5634" max="5634" width="3" customWidth="1"/>
    <col min="5635" max="5635" width="8.3984375" customWidth="1"/>
    <col min="5636" max="5636" width="2.796875" customWidth="1"/>
    <col min="5637" max="5637" width="1.59765625" customWidth="1"/>
    <col min="5638" max="5638" width="86.3984375" customWidth="1"/>
    <col min="5639" max="5639" width="2.19921875" customWidth="1"/>
    <col min="5640" max="5640" width="3" customWidth="1"/>
    <col min="5641" max="5641" width="4" customWidth="1"/>
    <col min="5642" max="5642" width="25.796875" customWidth="1"/>
    <col min="5643" max="5643" width="11.19921875" customWidth="1"/>
    <col min="5889" max="5889" width="1" customWidth="1"/>
    <col min="5890" max="5890" width="3" customWidth="1"/>
    <col min="5891" max="5891" width="8.3984375" customWidth="1"/>
    <col min="5892" max="5892" width="2.796875" customWidth="1"/>
    <col min="5893" max="5893" width="1.59765625" customWidth="1"/>
    <col min="5894" max="5894" width="86.3984375" customWidth="1"/>
    <col min="5895" max="5895" width="2.19921875" customWidth="1"/>
    <col min="5896" max="5896" width="3" customWidth="1"/>
    <col min="5897" max="5897" width="4" customWidth="1"/>
    <col min="5898" max="5898" width="25.796875" customWidth="1"/>
    <col min="5899" max="5899" width="11.19921875" customWidth="1"/>
    <col min="6145" max="6145" width="1" customWidth="1"/>
    <col min="6146" max="6146" width="3" customWidth="1"/>
    <col min="6147" max="6147" width="8.3984375" customWidth="1"/>
    <col min="6148" max="6148" width="2.796875" customWidth="1"/>
    <col min="6149" max="6149" width="1.59765625" customWidth="1"/>
    <col min="6150" max="6150" width="86.3984375" customWidth="1"/>
    <col min="6151" max="6151" width="2.19921875" customWidth="1"/>
    <col min="6152" max="6152" width="3" customWidth="1"/>
    <col min="6153" max="6153" width="4" customWidth="1"/>
    <col min="6154" max="6154" width="25.796875" customWidth="1"/>
    <col min="6155" max="6155" width="11.19921875" customWidth="1"/>
    <col min="6401" max="6401" width="1" customWidth="1"/>
    <col min="6402" max="6402" width="3" customWidth="1"/>
    <col min="6403" max="6403" width="8.3984375" customWidth="1"/>
    <col min="6404" max="6404" width="2.796875" customWidth="1"/>
    <col min="6405" max="6405" width="1.59765625" customWidth="1"/>
    <col min="6406" max="6406" width="86.3984375" customWidth="1"/>
    <col min="6407" max="6407" width="2.19921875" customWidth="1"/>
    <col min="6408" max="6408" width="3" customWidth="1"/>
    <col min="6409" max="6409" width="4" customWidth="1"/>
    <col min="6410" max="6410" width="25.796875" customWidth="1"/>
    <col min="6411" max="6411" width="11.19921875" customWidth="1"/>
    <col min="6657" max="6657" width="1" customWidth="1"/>
    <col min="6658" max="6658" width="3" customWidth="1"/>
    <col min="6659" max="6659" width="8.3984375" customWidth="1"/>
    <col min="6660" max="6660" width="2.796875" customWidth="1"/>
    <col min="6661" max="6661" width="1.59765625" customWidth="1"/>
    <col min="6662" max="6662" width="86.3984375" customWidth="1"/>
    <col min="6663" max="6663" width="2.19921875" customWidth="1"/>
    <col min="6664" max="6664" width="3" customWidth="1"/>
    <col min="6665" max="6665" width="4" customWidth="1"/>
    <col min="6666" max="6666" width="25.796875" customWidth="1"/>
    <col min="6667" max="6667" width="11.19921875" customWidth="1"/>
    <col min="6913" max="6913" width="1" customWidth="1"/>
    <col min="6914" max="6914" width="3" customWidth="1"/>
    <col min="6915" max="6915" width="8.3984375" customWidth="1"/>
    <col min="6916" max="6916" width="2.796875" customWidth="1"/>
    <col min="6917" max="6917" width="1.59765625" customWidth="1"/>
    <col min="6918" max="6918" width="86.3984375" customWidth="1"/>
    <col min="6919" max="6919" width="2.19921875" customWidth="1"/>
    <col min="6920" max="6920" width="3" customWidth="1"/>
    <col min="6921" max="6921" width="4" customWidth="1"/>
    <col min="6922" max="6922" width="25.796875" customWidth="1"/>
    <col min="6923" max="6923" width="11.19921875" customWidth="1"/>
    <col min="7169" max="7169" width="1" customWidth="1"/>
    <col min="7170" max="7170" width="3" customWidth="1"/>
    <col min="7171" max="7171" width="8.3984375" customWidth="1"/>
    <col min="7172" max="7172" width="2.796875" customWidth="1"/>
    <col min="7173" max="7173" width="1.59765625" customWidth="1"/>
    <col min="7174" max="7174" width="86.3984375" customWidth="1"/>
    <col min="7175" max="7175" width="2.19921875" customWidth="1"/>
    <col min="7176" max="7176" width="3" customWidth="1"/>
    <col min="7177" max="7177" width="4" customWidth="1"/>
    <col min="7178" max="7178" width="25.796875" customWidth="1"/>
    <col min="7179" max="7179" width="11.19921875" customWidth="1"/>
    <col min="7425" max="7425" width="1" customWidth="1"/>
    <col min="7426" max="7426" width="3" customWidth="1"/>
    <col min="7427" max="7427" width="8.3984375" customWidth="1"/>
    <col min="7428" max="7428" width="2.796875" customWidth="1"/>
    <col min="7429" max="7429" width="1.59765625" customWidth="1"/>
    <col min="7430" max="7430" width="86.3984375" customWidth="1"/>
    <col min="7431" max="7431" width="2.19921875" customWidth="1"/>
    <col min="7432" max="7432" width="3" customWidth="1"/>
    <col min="7433" max="7433" width="4" customWidth="1"/>
    <col min="7434" max="7434" width="25.796875" customWidth="1"/>
    <col min="7435" max="7435" width="11.19921875" customWidth="1"/>
    <col min="7681" max="7681" width="1" customWidth="1"/>
    <col min="7682" max="7682" width="3" customWidth="1"/>
    <col min="7683" max="7683" width="8.3984375" customWidth="1"/>
    <col min="7684" max="7684" width="2.796875" customWidth="1"/>
    <col min="7685" max="7685" width="1.59765625" customWidth="1"/>
    <col min="7686" max="7686" width="86.3984375" customWidth="1"/>
    <col min="7687" max="7687" width="2.19921875" customWidth="1"/>
    <col min="7688" max="7688" width="3" customWidth="1"/>
    <col min="7689" max="7689" width="4" customWidth="1"/>
    <col min="7690" max="7690" width="25.796875" customWidth="1"/>
    <col min="7691" max="7691" width="11.19921875" customWidth="1"/>
    <col min="7937" max="7937" width="1" customWidth="1"/>
    <col min="7938" max="7938" width="3" customWidth="1"/>
    <col min="7939" max="7939" width="8.3984375" customWidth="1"/>
    <col min="7940" max="7940" width="2.796875" customWidth="1"/>
    <col min="7941" max="7941" width="1.59765625" customWidth="1"/>
    <col min="7942" max="7942" width="86.3984375" customWidth="1"/>
    <col min="7943" max="7943" width="2.19921875" customWidth="1"/>
    <col min="7944" max="7944" width="3" customWidth="1"/>
    <col min="7945" max="7945" width="4" customWidth="1"/>
    <col min="7946" max="7946" width="25.796875" customWidth="1"/>
    <col min="7947" max="7947" width="11.19921875" customWidth="1"/>
    <col min="8193" max="8193" width="1" customWidth="1"/>
    <col min="8194" max="8194" width="3" customWidth="1"/>
    <col min="8195" max="8195" width="8.3984375" customWidth="1"/>
    <col min="8196" max="8196" width="2.796875" customWidth="1"/>
    <col min="8197" max="8197" width="1.59765625" customWidth="1"/>
    <col min="8198" max="8198" width="86.3984375" customWidth="1"/>
    <col min="8199" max="8199" width="2.19921875" customWidth="1"/>
    <col min="8200" max="8200" width="3" customWidth="1"/>
    <col min="8201" max="8201" width="4" customWidth="1"/>
    <col min="8202" max="8202" width="25.796875" customWidth="1"/>
    <col min="8203" max="8203" width="11.19921875" customWidth="1"/>
    <col min="8449" max="8449" width="1" customWidth="1"/>
    <col min="8450" max="8450" width="3" customWidth="1"/>
    <col min="8451" max="8451" width="8.3984375" customWidth="1"/>
    <col min="8452" max="8452" width="2.796875" customWidth="1"/>
    <col min="8453" max="8453" width="1.59765625" customWidth="1"/>
    <col min="8454" max="8454" width="86.3984375" customWidth="1"/>
    <col min="8455" max="8455" width="2.19921875" customWidth="1"/>
    <col min="8456" max="8456" width="3" customWidth="1"/>
    <col min="8457" max="8457" width="4" customWidth="1"/>
    <col min="8458" max="8458" width="25.796875" customWidth="1"/>
    <col min="8459" max="8459" width="11.19921875" customWidth="1"/>
    <col min="8705" max="8705" width="1" customWidth="1"/>
    <col min="8706" max="8706" width="3" customWidth="1"/>
    <col min="8707" max="8707" width="8.3984375" customWidth="1"/>
    <col min="8708" max="8708" width="2.796875" customWidth="1"/>
    <col min="8709" max="8709" width="1.59765625" customWidth="1"/>
    <col min="8710" max="8710" width="86.3984375" customWidth="1"/>
    <col min="8711" max="8711" width="2.19921875" customWidth="1"/>
    <col min="8712" max="8712" width="3" customWidth="1"/>
    <col min="8713" max="8713" width="4" customWidth="1"/>
    <col min="8714" max="8714" width="25.796875" customWidth="1"/>
    <col min="8715" max="8715" width="11.19921875" customWidth="1"/>
    <col min="8961" max="8961" width="1" customWidth="1"/>
    <col min="8962" max="8962" width="3" customWidth="1"/>
    <col min="8963" max="8963" width="8.3984375" customWidth="1"/>
    <col min="8964" max="8964" width="2.796875" customWidth="1"/>
    <col min="8965" max="8965" width="1.59765625" customWidth="1"/>
    <col min="8966" max="8966" width="86.3984375" customWidth="1"/>
    <col min="8967" max="8967" width="2.19921875" customWidth="1"/>
    <col min="8968" max="8968" width="3" customWidth="1"/>
    <col min="8969" max="8969" width="4" customWidth="1"/>
    <col min="8970" max="8970" width="25.796875" customWidth="1"/>
    <col min="8971" max="8971" width="11.19921875" customWidth="1"/>
    <col min="9217" max="9217" width="1" customWidth="1"/>
    <col min="9218" max="9218" width="3" customWidth="1"/>
    <col min="9219" max="9219" width="8.3984375" customWidth="1"/>
    <col min="9220" max="9220" width="2.796875" customWidth="1"/>
    <col min="9221" max="9221" width="1.59765625" customWidth="1"/>
    <col min="9222" max="9222" width="86.3984375" customWidth="1"/>
    <col min="9223" max="9223" width="2.19921875" customWidth="1"/>
    <col min="9224" max="9224" width="3" customWidth="1"/>
    <col min="9225" max="9225" width="4" customWidth="1"/>
    <col min="9226" max="9226" width="25.796875" customWidth="1"/>
    <col min="9227" max="9227" width="11.19921875" customWidth="1"/>
    <col min="9473" max="9473" width="1" customWidth="1"/>
    <col min="9474" max="9474" width="3" customWidth="1"/>
    <col min="9475" max="9475" width="8.3984375" customWidth="1"/>
    <col min="9476" max="9476" width="2.796875" customWidth="1"/>
    <col min="9477" max="9477" width="1.59765625" customWidth="1"/>
    <col min="9478" max="9478" width="86.3984375" customWidth="1"/>
    <col min="9479" max="9479" width="2.19921875" customWidth="1"/>
    <col min="9480" max="9480" width="3" customWidth="1"/>
    <col min="9481" max="9481" width="4" customWidth="1"/>
    <col min="9482" max="9482" width="25.796875" customWidth="1"/>
    <col min="9483" max="9483" width="11.19921875" customWidth="1"/>
    <col min="9729" max="9729" width="1" customWidth="1"/>
    <col min="9730" max="9730" width="3" customWidth="1"/>
    <col min="9731" max="9731" width="8.3984375" customWidth="1"/>
    <col min="9732" max="9732" width="2.796875" customWidth="1"/>
    <col min="9733" max="9733" width="1.59765625" customWidth="1"/>
    <col min="9734" max="9734" width="86.3984375" customWidth="1"/>
    <col min="9735" max="9735" width="2.19921875" customWidth="1"/>
    <col min="9736" max="9736" width="3" customWidth="1"/>
    <col min="9737" max="9737" width="4" customWidth="1"/>
    <col min="9738" max="9738" width="25.796875" customWidth="1"/>
    <col min="9739" max="9739" width="11.19921875" customWidth="1"/>
    <col min="9985" max="9985" width="1" customWidth="1"/>
    <col min="9986" max="9986" width="3" customWidth="1"/>
    <col min="9987" max="9987" width="8.3984375" customWidth="1"/>
    <col min="9988" max="9988" width="2.796875" customWidth="1"/>
    <col min="9989" max="9989" width="1.59765625" customWidth="1"/>
    <col min="9990" max="9990" width="86.3984375" customWidth="1"/>
    <col min="9991" max="9991" width="2.19921875" customWidth="1"/>
    <col min="9992" max="9992" width="3" customWidth="1"/>
    <col min="9993" max="9993" width="4" customWidth="1"/>
    <col min="9994" max="9994" width="25.796875" customWidth="1"/>
    <col min="9995" max="9995" width="11.19921875" customWidth="1"/>
    <col min="10241" max="10241" width="1" customWidth="1"/>
    <col min="10242" max="10242" width="3" customWidth="1"/>
    <col min="10243" max="10243" width="8.3984375" customWidth="1"/>
    <col min="10244" max="10244" width="2.796875" customWidth="1"/>
    <col min="10245" max="10245" width="1.59765625" customWidth="1"/>
    <col min="10246" max="10246" width="86.3984375" customWidth="1"/>
    <col min="10247" max="10247" width="2.19921875" customWidth="1"/>
    <col min="10248" max="10248" width="3" customWidth="1"/>
    <col min="10249" max="10249" width="4" customWidth="1"/>
    <col min="10250" max="10250" width="25.796875" customWidth="1"/>
    <col min="10251" max="10251" width="11.19921875" customWidth="1"/>
    <col min="10497" max="10497" width="1" customWidth="1"/>
    <col min="10498" max="10498" width="3" customWidth="1"/>
    <col min="10499" max="10499" width="8.3984375" customWidth="1"/>
    <col min="10500" max="10500" width="2.796875" customWidth="1"/>
    <col min="10501" max="10501" width="1.59765625" customWidth="1"/>
    <col min="10502" max="10502" width="86.3984375" customWidth="1"/>
    <col min="10503" max="10503" width="2.19921875" customWidth="1"/>
    <col min="10504" max="10504" width="3" customWidth="1"/>
    <col min="10505" max="10505" width="4" customWidth="1"/>
    <col min="10506" max="10506" width="25.796875" customWidth="1"/>
    <col min="10507" max="10507" width="11.19921875" customWidth="1"/>
    <col min="10753" max="10753" width="1" customWidth="1"/>
    <col min="10754" max="10754" width="3" customWidth="1"/>
    <col min="10755" max="10755" width="8.3984375" customWidth="1"/>
    <col min="10756" max="10756" width="2.796875" customWidth="1"/>
    <col min="10757" max="10757" width="1.59765625" customWidth="1"/>
    <col min="10758" max="10758" width="86.3984375" customWidth="1"/>
    <col min="10759" max="10759" width="2.19921875" customWidth="1"/>
    <col min="10760" max="10760" width="3" customWidth="1"/>
    <col min="10761" max="10761" width="4" customWidth="1"/>
    <col min="10762" max="10762" width="25.796875" customWidth="1"/>
    <col min="10763" max="10763" width="11.19921875" customWidth="1"/>
    <col min="11009" max="11009" width="1" customWidth="1"/>
    <col min="11010" max="11010" width="3" customWidth="1"/>
    <col min="11011" max="11011" width="8.3984375" customWidth="1"/>
    <col min="11012" max="11012" width="2.796875" customWidth="1"/>
    <col min="11013" max="11013" width="1.59765625" customWidth="1"/>
    <col min="11014" max="11014" width="86.3984375" customWidth="1"/>
    <col min="11015" max="11015" width="2.19921875" customWidth="1"/>
    <col min="11016" max="11016" width="3" customWidth="1"/>
    <col min="11017" max="11017" width="4" customWidth="1"/>
    <col min="11018" max="11018" width="25.796875" customWidth="1"/>
    <col min="11019" max="11019" width="11.19921875" customWidth="1"/>
    <col min="11265" max="11265" width="1" customWidth="1"/>
    <col min="11266" max="11266" width="3" customWidth="1"/>
    <col min="11267" max="11267" width="8.3984375" customWidth="1"/>
    <col min="11268" max="11268" width="2.796875" customWidth="1"/>
    <col min="11269" max="11269" width="1.59765625" customWidth="1"/>
    <col min="11270" max="11270" width="86.3984375" customWidth="1"/>
    <col min="11271" max="11271" width="2.19921875" customWidth="1"/>
    <col min="11272" max="11272" width="3" customWidth="1"/>
    <col min="11273" max="11273" width="4" customWidth="1"/>
    <col min="11274" max="11274" width="25.796875" customWidth="1"/>
    <col min="11275" max="11275" width="11.19921875" customWidth="1"/>
    <col min="11521" max="11521" width="1" customWidth="1"/>
    <col min="11522" max="11522" width="3" customWidth="1"/>
    <col min="11523" max="11523" width="8.3984375" customWidth="1"/>
    <col min="11524" max="11524" width="2.796875" customWidth="1"/>
    <col min="11525" max="11525" width="1.59765625" customWidth="1"/>
    <col min="11526" max="11526" width="86.3984375" customWidth="1"/>
    <col min="11527" max="11527" width="2.19921875" customWidth="1"/>
    <col min="11528" max="11528" width="3" customWidth="1"/>
    <col min="11529" max="11529" width="4" customWidth="1"/>
    <col min="11530" max="11530" width="25.796875" customWidth="1"/>
    <col min="11531" max="11531" width="11.19921875" customWidth="1"/>
    <col min="11777" max="11777" width="1" customWidth="1"/>
    <col min="11778" max="11778" width="3" customWidth="1"/>
    <col min="11779" max="11779" width="8.3984375" customWidth="1"/>
    <col min="11780" max="11780" width="2.796875" customWidth="1"/>
    <col min="11781" max="11781" width="1.59765625" customWidth="1"/>
    <col min="11782" max="11782" width="86.3984375" customWidth="1"/>
    <col min="11783" max="11783" width="2.19921875" customWidth="1"/>
    <col min="11784" max="11784" width="3" customWidth="1"/>
    <col min="11785" max="11785" width="4" customWidth="1"/>
    <col min="11786" max="11786" width="25.796875" customWidth="1"/>
    <col min="11787" max="11787" width="11.19921875" customWidth="1"/>
    <col min="12033" max="12033" width="1" customWidth="1"/>
    <col min="12034" max="12034" width="3" customWidth="1"/>
    <col min="12035" max="12035" width="8.3984375" customWidth="1"/>
    <col min="12036" max="12036" width="2.796875" customWidth="1"/>
    <col min="12037" max="12037" width="1.59765625" customWidth="1"/>
    <col min="12038" max="12038" width="86.3984375" customWidth="1"/>
    <col min="12039" max="12039" width="2.19921875" customWidth="1"/>
    <col min="12040" max="12040" width="3" customWidth="1"/>
    <col min="12041" max="12041" width="4" customWidth="1"/>
    <col min="12042" max="12042" width="25.796875" customWidth="1"/>
    <col min="12043" max="12043" width="11.19921875" customWidth="1"/>
    <col min="12289" max="12289" width="1" customWidth="1"/>
    <col min="12290" max="12290" width="3" customWidth="1"/>
    <col min="12291" max="12291" width="8.3984375" customWidth="1"/>
    <col min="12292" max="12292" width="2.796875" customWidth="1"/>
    <col min="12293" max="12293" width="1.59765625" customWidth="1"/>
    <col min="12294" max="12294" width="86.3984375" customWidth="1"/>
    <col min="12295" max="12295" width="2.19921875" customWidth="1"/>
    <col min="12296" max="12296" width="3" customWidth="1"/>
    <col min="12297" max="12297" width="4" customWidth="1"/>
    <col min="12298" max="12298" width="25.796875" customWidth="1"/>
    <col min="12299" max="12299" width="11.19921875" customWidth="1"/>
    <col min="12545" max="12545" width="1" customWidth="1"/>
    <col min="12546" max="12546" width="3" customWidth="1"/>
    <col min="12547" max="12547" width="8.3984375" customWidth="1"/>
    <col min="12548" max="12548" width="2.796875" customWidth="1"/>
    <col min="12549" max="12549" width="1.59765625" customWidth="1"/>
    <col min="12550" max="12550" width="86.3984375" customWidth="1"/>
    <col min="12551" max="12551" width="2.19921875" customWidth="1"/>
    <col min="12552" max="12552" width="3" customWidth="1"/>
    <col min="12553" max="12553" width="4" customWidth="1"/>
    <col min="12554" max="12554" width="25.796875" customWidth="1"/>
    <col min="12555" max="12555" width="11.19921875" customWidth="1"/>
    <col min="12801" max="12801" width="1" customWidth="1"/>
    <col min="12802" max="12802" width="3" customWidth="1"/>
    <col min="12803" max="12803" width="8.3984375" customWidth="1"/>
    <col min="12804" max="12804" width="2.796875" customWidth="1"/>
    <col min="12805" max="12805" width="1.59765625" customWidth="1"/>
    <col min="12806" max="12806" width="86.3984375" customWidth="1"/>
    <col min="12807" max="12807" width="2.19921875" customWidth="1"/>
    <col min="12808" max="12808" width="3" customWidth="1"/>
    <col min="12809" max="12809" width="4" customWidth="1"/>
    <col min="12810" max="12810" width="25.796875" customWidth="1"/>
    <col min="12811" max="12811" width="11.19921875" customWidth="1"/>
    <col min="13057" max="13057" width="1" customWidth="1"/>
    <col min="13058" max="13058" width="3" customWidth="1"/>
    <col min="13059" max="13059" width="8.3984375" customWidth="1"/>
    <col min="13060" max="13060" width="2.796875" customWidth="1"/>
    <col min="13061" max="13061" width="1.59765625" customWidth="1"/>
    <col min="13062" max="13062" width="86.3984375" customWidth="1"/>
    <col min="13063" max="13063" width="2.19921875" customWidth="1"/>
    <col min="13064" max="13064" width="3" customWidth="1"/>
    <col min="13065" max="13065" width="4" customWidth="1"/>
    <col min="13066" max="13066" width="25.796875" customWidth="1"/>
    <col min="13067" max="13067" width="11.19921875" customWidth="1"/>
    <col min="13313" max="13313" width="1" customWidth="1"/>
    <col min="13314" max="13314" width="3" customWidth="1"/>
    <col min="13315" max="13315" width="8.3984375" customWidth="1"/>
    <col min="13316" max="13316" width="2.796875" customWidth="1"/>
    <col min="13317" max="13317" width="1.59765625" customWidth="1"/>
    <col min="13318" max="13318" width="86.3984375" customWidth="1"/>
    <col min="13319" max="13319" width="2.19921875" customWidth="1"/>
    <col min="13320" max="13320" width="3" customWidth="1"/>
    <col min="13321" max="13321" width="4" customWidth="1"/>
    <col min="13322" max="13322" width="25.796875" customWidth="1"/>
    <col min="13323" max="13323" width="11.19921875" customWidth="1"/>
    <col min="13569" max="13569" width="1" customWidth="1"/>
    <col min="13570" max="13570" width="3" customWidth="1"/>
    <col min="13571" max="13571" width="8.3984375" customWidth="1"/>
    <col min="13572" max="13572" width="2.796875" customWidth="1"/>
    <col min="13573" max="13573" width="1.59765625" customWidth="1"/>
    <col min="13574" max="13574" width="86.3984375" customWidth="1"/>
    <col min="13575" max="13575" width="2.19921875" customWidth="1"/>
    <col min="13576" max="13576" width="3" customWidth="1"/>
    <col min="13577" max="13577" width="4" customWidth="1"/>
    <col min="13578" max="13578" width="25.796875" customWidth="1"/>
    <col min="13579" max="13579" width="11.19921875" customWidth="1"/>
    <col min="13825" max="13825" width="1" customWidth="1"/>
    <col min="13826" max="13826" width="3" customWidth="1"/>
    <col min="13827" max="13827" width="8.3984375" customWidth="1"/>
    <col min="13828" max="13828" width="2.796875" customWidth="1"/>
    <col min="13829" max="13829" width="1.59765625" customWidth="1"/>
    <col min="13830" max="13830" width="86.3984375" customWidth="1"/>
    <col min="13831" max="13831" width="2.19921875" customWidth="1"/>
    <col min="13832" max="13832" width="3" customWidth="1"/>
    <col min="13833" max="13833" width="4" customWidth="1"/>
    <col min="13834" max="13834" width="25.796875" customWidth="1"/>
    <col min="13835" max="13835" width="11.19921875" customWidth="1"/>
    <col min="14081" max="14081" width="1" customWidth="1"/>
    <col min="14082" max="14082" width="3" customWidth="1"/>
    <col min="14083" max="14083" width="8.3984375" customWidth="1"/>
    <col min="14084" max="14084" width="2.796875" customWidth="1"/>
    <col min="14085" max="14085" width="1.59765625" customWidth="1"/>
    <col min="14086" max="14086" width="86.3984375" customWidth="1"/>
    <col min="14087" max="14087" width="2.19921875" customWidth="1"/>
    <col min="14088" max="14088" width="3" customWidth="1"/>
    <col min="14089" max="14089" width="4" customWidth="1"/>
    <col min="14090" max="14090" width="25.796875" customWidth="1"/>
    <col min="14091" max="14091" width="11.19921875" customWidth="1"/>
    <col min="14337" max="14337" width="1" customWidth="1"/>
    <col min="14338" max="14338" width="3" customWidth="1"/>
    <col min="14339" max="14339" width="8.3984375" customWidth="1"/>
    <col min="14340" max="14340" width="2.796875" customWidth="1"/>
    <col min="14341" max="14341" width="1.59765625" customWidth="1"/>
    <col min="14342" max="14342" width="86.3984375" customWidth="1"/>
    <col min="14343" max="14343" width="2.19921875" customWidth="1"/>
    <col min="14344" max="14344" width="3" customWidth="1"/>
    <col min="14345" max="14345" width="4" customWidth="1"/>
    <col min="14346" max="14346" width="25.796875" customWidth="1"/>
    <col min="14347" max="14347" width="11.19921875" customWidth="1"/>
    <col min="14593" max="14593" width="1" customWidth="1"/>
    <col min="14594" max="14594" width="3" customWidth="1"/>
    <col min="14595" max="14595" width="8.3984375" customWidth="1"/>
    <col min="14596" max="14596" width="2.796875" customWidth="1"/>
    <col min="14597" max="14597" width="1.59765625" customWidth="1"/>
    <col min="14598" max="14598" width="86.3984375" customWidth="1"/>
    <col min="14599" max="14599" width="2.19921875" customWidth="1"/>
    <col min="14600" max="14600" width="3" customWidth="1"/>
    <col min="14601" max="14601" width="4" customWidth="1"/>
    <col min="14602" max="14602" width="25.796875" customWidth="1"/>
    <col min="14603" max="14603" width="11.19921875" customWidth="1"/>
    <col min="14849" max="14849" width="1" customWidth="1"/>
    <col min="14850" max="14850" width="3" customWidth="1"/>
    <col min="14851" max="14851" width="8.3984375" customWidth="1"/>
    <col min="14852" max="14852" width="2.796875" customWidth="1"/>
    <col min="14853" max="14853" width="1.59765625" customWidth="1"/>
    <col min="14854" max="14854" width="86.3984375" customWidth="1"/>
    <col min="14855" max="14855" width="2.19921875" customWidth="1"/>
    <col min="14856" max="14856" width="3" customWidth="1"/>
    <col min="14857" max="14857" width="4" customWidth="1"/>
    <col min="14858" max="14858" width="25.796875" customWidth="1"/>
    <col min="14859" max="14859" width="11.19921875" customWidth="1"/>
    <col min="15105" max="15105" width="1" customWidth="1"/>
    <col min="15106" max="15106" width="3" customWidth="1"/>
    <col min="15107" max="15107" width="8.3984375" customWidth="1"/>
    <col min="15108" max="15108" width="2.796875" customWidth="1"/>
    <col min="15109" max="15109" width="1.59765625" customWidth="1"/>
    <col min="15110" max="15110" width="86.3984375" customWidth="1"/>
    <col min="15111" max="15111" width="2.19921875" customWidth="1"/>
    <col min="15112" max="15112" width="3" customWidth="1"/>
    <col min="15113" max="15113" width="4" customWidth="1"/>
    <col min="15114" max="15114" width="25.796875" customWidth="1"/>
    <col min="15115" max="15115" width="11.19921875" customWidth="1"/>
    <col min="15361" max="15361" width="1" customWidth="1"/>
    <col min="15362" max="15362" width="3" customWidth="1"/>
    <col min="15363" max="15363" width="8.3984375" customWidth="1"/>
    <col min="15364" max="15364" width="2.796875" customWidth="1"/>
    <col min="15365" max="15365" width="1.59765625" customWidth="1"/>
    <col min="15366" max="15366" width="86.3984375" customWidth="1"/>
    <col min="15367" max="15367" width="2.19921875" customWidth="1"/>
    <col min="15368" max="15368" width="3" customWidth="1"/>
    <col min="15369" max="15369" width="4" customWidth="1"/>
    <col min="15370" max="15370" width="25.796875" customWidth="1"/>
    <col min="15371" max="15371" width="11.19921875" customWidth="1"/>
    <col min="15617" max="15617" width="1" customWidth="1"/>
    <col min="15618" max="15618" width="3" customWidth="1"/>
    <col min="15619" max="15619" width="8.3984375" customWidth="1"/>
    <col min="15620" max="15620" width="2.796875" customWidth="1"/>
    <col min="15621" max="15621" width="1.59765625" customWidth="1"/>
    <col min="15622" max="15622" width="86.3984375" customWidth="1"/>
    <col min="15623" max="15623" width="2.19921875" customWidth="1"/>
    <col min="15624" max="15624" width="3" customWidth="1"/>
    <col min="15625" max="15625" width="4" customWidth="1"/>
    <col min="15626" max="15626" width="25.796875" customWidth="1"/>
    <col min="15627" max="15627" width="11.19921875" customWidth="1"/>
    <col min="15873" max="15873" width="1" customWidth="1"/>
    <col min="15874" max="15874" width="3" customWidth="1"/>
    <col min="15875" max="15875" width="8.3984375" customWidth="1"/>
    <col min="15876" max="15876" width="2.796875" customWidth="1"/>
    <col min="15877" max="15877" width="1.59765625" customWidth="1"/>
    <col min="15878" max="15878" width="86.3984375" customWidth="1"/>
    <col min="15879" max="15879" width="2.19921875" customWidth="1"/>
    <col min="15880" max="15880" width="3" customWidth="1"/>
    <col min="15881" max="15881" width="4" customWidth="1"/>
    <col min="15882" max="15882" width="25.796875" customWidth="1"/>
    <col min="15883" max="15883" width="11.19921875" customWidth="1"/>
    <col min="16129" max="16129" width="1" customWidth="1"/>
    <col min="16130" max="16130" width="3" customWidth="1"/>
    <col min="16131" max="16131" width="8.3984375" customWidth="1"/>
    <col min="16132" max="16132" width="2.796875" customWidth="1"/>
    <col min="16133" max="16133" width="1.59765625" customWidth="1"/>
    <col min="16134" max="16134" width="86.3984375" customWidth="1"/>
    <col min="16135" max="16135" width="2.19921875" customWidth="1"/>
    <col min="16136" max="16136" width="3" customWidth="1"/>
    <col min="16137" max="16137" width="4" customWidth="1"/>
    <col min="16138" max="16138" width="25.796875" customWidth="1"/>
    <col min="16139" max="16139" width="11.19921875" customWidth="1"/>
  </cols>
  <sheetData>
    <row r="2" spans="3:12" x14ac:dyDescent="0.15">
      <c r="C2" s="1" t="s">
        <v>1760</v>
      </c>
      <c r="E2" s="4"/>
      <c r="F2" s="16"/>
    </row>
    <row r="3" spans="3:12" x14ac:dyDescent="0.15">
      <c r="C3" s="41" t="s">
        <v>1731</v>
      </c>
      <c r="D3" s="3"/>
      <c r="E3" s="4"/>
      <c r="F3" s="8"/>
    </row>
    <row r="4" spans="3:12" x14ac:dyDescent="0.15">
      <c r="C4" s="48" t="s">
        <v>1732</v>
      </c>
      <c r="D4" s="48"/>
      <c r="E4" s="48"/>
      <c r="F4" s="48"/>
      <c r="G4" s="48"/>
      <c r="H4" s="48"/>
      <c r="I4" s="48"/>
      <c r="J4" s="48"/>
      <c r="K4" s="48"/>
      <c r="L4" s="48"/>
    </row>
    <row r="5" spans="3:12" x14ac:dyDescent="0.15">
      <c r="C5" s="48" t="s">
        <v>1733</v>
      </c>
      <c r="D5" s="48"/>
      <c r="E5" s="48"/>
      <c r="F5" s="48"/>
      <c r="G5" s="48"/>
      <c r="H5" s="48"/>
      <c r="I5" s="48"/>
      <c r="J5" s="48"/>
      <c r="K5" s="48"/>
      <c r="L5" s="48"/>
    </row>
    <row r="6" spans="3:12" x14ac:dyDescent="0.15">
      <c r="G6" s="9"/>
      <c r="H6" s="9"/>
      <c r="I6" s="9"/>
    </row>
    <row r="7" spans="3:12" ht="14" thickBot="1" x14ac:dyDescent="0.2">
      <c r="C7" s="41" t="s">
        <v>1709</v>
      </c>
      <c r="D7" s="3"/>
      <c r="E7" s="4"/>
      <c r="F7" s="8"/>
      <c r="G7" s="9"/>
      <c r="H7" s="9"/>
      <c r="I7" s="9"/>
    </row>
    <row r="8" spans="3:12" ht="15.5" customHeight="1" thickTop="1" x14ac:dyDescent="0.15">
      <c r="C8" s="658" t="s">
        <v>1734</v>
      </c>
      <c r="D8" s="659"/>
      <c r="E8" s="664" t="s">
        <v>2</v>
      </c>
      <c r="F8" s="665"/>
      <c r="G8" s="665"/>
      <c r="H8" s="665"/>
      <c r="I8" s="659"/>
      <c r="J8" s="670" t="s">
        <v>1730</v>
      </c>
    </row>
    <row r="9" spans="3:12" ht="39" customHeight="1" x14ac:dyDescent="0.15">
      <c r="C9" s="660"/>
      <c r="D9" s="661"/>
      <c r="E9" s="666"/>
      <c r="F9" s="667"/>
      <c r="G9" s="667"/>
      <c r="H9" s="667"/>
      <c r="I9" s="661"/>
      <c r="J9" s="671"/>
    </row>
    <row r="10" spans="3:12" ht="15.5" customHeight="1" thickBot="1" x14ac:dyDescent="0.2">
      <c r="C10" s="662"/>
      <c r="D10" s="663"/>
      <c r="E10" s="668"/>
      <c r="F10" s="669"/>
      <c r="G10" s="669"/>
      <c r="H10" s="669"/>
      <c r="I10" s="663"/>
      <c r="J10" s="672"/>
    </row>
    <row r="11" spans="3:12" ht="15.5" customHeight="1" thickTop="1" x14ac:dyDescent="0.15">
      <c r="C11" s="49"/>
      <c r="D11" s="50"/>
      <c r="E11" s="4"/>
      <c r="F11" s="51" t="s">
        <v>1735</v>
      </c>
      <c r="G11" s="52"/>
      <c r="H11" s="52"/>
      <c r="I11" s="53"/>
      <c r="J11" s="54" t="s">
        <v>1709</v>
      </c>
    </row>
    <row r="12" spans="3:12" ht="15.5" customHeight="1" x14ac:dyDescent="0.15">
      <c r="C12" s="55" t="s">
        <v>7</v>
      </c>
      <c r="D12" s="56"/>
      <c r="E12" s="57"/>
      <c r="F12" s="58" t="s">
        <v>8</v>
      </c>
      <c r="G12" s="59"/>
      <c r="H12" s="59"/>
      <c r="I12" s="60"/>
      <c r="J12" s="61">
        <f>+'A-MO300'!F23</f>
        <v>4415989.04</v>
      </c>
    </row>
    <row r="13" spans="3:12" x14ac:dyDescent="0.15">
      <c r="C13" s="55"/>
      <c r="D13" s="50"/>
      <c r="E13" s="62"/>
      <c r="F13" s="673" t="s">
        <v>1736</v>
      </c>
      <c r="G13" s="673"/>
      <c r="H13" s="673"/>
      <c r="I13" s="674"/>
      <c r="J13" s="536">
        <f>SUM(J12)</f>
        <v>4415989.04</v>
      </c>
    </row>
    <row r="14" spans="3:12" x14ac:dyDescent="0.15">
      <c r="C14" s="55"/>
      <c r="D14" s="56"/>
      <c r="E14" s="57"/>
      <c r="F14" s="58"/>
      <c r="G14" s="59"/>
      <c r="H14" s="59"/>
      <c r="I14" s="63"/>
      <c r="J14" s="64"/>
    </row>
    <row r="15" spans="3:12" x14ac:dyDescent="0.15">
      <c r="C15" s="65"/>
      <c r="D15" s="66"/>
      <c r="E15" s="67"/>
      <c r="F15" s="68" t="s">
        <v>1737</v>
      </c>
      <c r="G15" s="59"/>
      <c r="H15" s="59"/>
      <c r="I15" s="60"/>
      <c r="J15" s="69"/>
    </row>
    <row r="16" spans="3:12" x14ac:dyDescent="0.15">
      <c r="C16" s="55" t="s">
        <v>27</v>
      </c>
      <c r="D16" s="70"/>
      <c r="E16" s="57"/>
      <c r="F16" s="58" t="s">
        <v>28</v>
      </c>
      <c r="G16" s="59"/>
      <c r="H16" s="59"/>
      <c r="I16" s="60"/>
      <c r="J16" s="69">
        <f>+'B-M0200'!F26</f>
        <v>1675000</v>
      </c>
    </row>
    <row r="17" spans="3:10" x14ac:dyDescent="0.15">
      <c r="C17" s="71" t="s">
        <v>7</v>
      </c>
      <c r="D17" s="72"/>
      <c r="E17" s="4"/>
      <c r="F17" s="58" t="s">
        <v>8</v>
      </c>
      <c r="G17" s="59"/>
      <c r="H17" s="59"/>
      <c r="I17" s="60"/>
      <c r="J17" s="69">
        <f>+'B-M0300'!F23</f>
        <v>8625000</v>
      </c>
    </row>
    <row r="18" spans="3:10" x14ac:dyDescent="0.15">
      <c r="C18" s="55" t="s">
        <v>65</v>
      </c>
      <c r="D18" s="73"/>
      <c r="E18" s="57"/>
      <c r="F18" s="58" t="s">
        <v>66</v>
      </c>
      <c r="G18" s="59"/>
      <c r="H18" s="59"/>
      <c r="I18" s="60"/>
      <c r="J18" s="69">
        <f>+'B-M0400'!F24</f>
        <v>1440000</v>
      </c>
    </row>
    <row r="19" spans="3:10" x14ac:dyDescent="0.15">
      <c r="C19" s="49" t="s">
        <v>82</v>
      </c>
      <c r="D19" s="74"/>
      <c r="E19" s="4"/>
      <c r="F19" s="58" t="s">
        <v>83</v>
      </c>
      <c r="G19" s="59"/>
      <c r="H19" s="59"/>
      <c r="I19" s="60"/>
      <c r="J19" s="69">
        <f>+'B-M0500'!F23</f>
        <v>6782000</v>
      </c>
    </row>
    <row r="20" spans="3:10" x14ac:dyDescent="0.15">
      <c r="C20" s="55" t="s">
        <v>115</v>
      </c>
      <c r="D20" s="75"/>
      <c r="E20" s="57"/>
      <c r="F20" s="58" t="s">
        <v>116</v>
      </c>
      <c r="G20" s="59"/>
      <c r="H20" s="59"/>
      <c r="I20" s="60"/>
      <c r="J20" s="69">
        <f>+'M1100- C'!F30</f>
        <v>2548330</v>
      </c>
    </row>
    <row r="21" spans="3:10" x14ac:dyDescent="0.15">
      <c r="C21" s="55" t="s">
        <v>225</v>
      </c>
      <c r="D21" s="76"/>
      <c r="E21" s="57"/>
      <c r="F21" s="58" t="s">
        <v>1738</v>
      </c>
      <c r="G21" s="59"/>
      <c r="H21" s="59"/>
      <c r="I21" s="60"/>
      <c r="J21" s="69">
        <f>+'M1200'!F19</f>
        <v>964000</v>
      </c>
    </row>
    <row r="22" spans="3:10" x14ac:dyDescent="0.15">
      <c r="C22" s="55" t="s">
        <v>257</v>
      </c>
      <c r="D22" s="77"/>
      <c r="E22" s="57"/>
      <c r="F22" s="58" t="s">
        <v>1739</v>
      </c>
      <c r="G22" s="59"/>
      <c r="H22" s="59"/>
      <c r="I22" s="60"/>
      <c r="J22" s="69">
        <f>+'M1300'!F29</f>
        <v>314750</v>
      </c>
    </row>
    <row r="23" spans="3:10" x14ac:dyDescent="0.15">
      <c r="C23" s="55" t="s">
        <v>298</v>
      </c>
      <c r="D23" s="56"/>
      <c r="E23" s="57"/>
      <c r="F23" s="58" t="s">
        <v>1740</v>
      </c>
      <c r="G23" s="59"/>
      <c r="H23" s="59"/>
      <c r="I23" s="60"/>
      <c r="J23" s="69">
        <f>+'M1500'!F26</f>
        <v>111400</v>
      </c>
    </row>
    <row r="24" spans="3:10" x14ac:dyDescent="0.15">
      <c r="C24" s="55" t="s">
        <v>330</v>
      </c>
      <c r="D24" s="70"/>
      <c r="E24" s="57"/>
      <c r="F24" s="58" t="s">
        <v>1741</v>
      </c>
      <c r="G24" s="59"/>
      <c r="H24" s="59"/>
      <c r="I24" s="60"/>
      <c r="J24" s="69">
        <f>+'M1600'!F30</f>
        <v>36000</v>
      </c>
    </row>
    <row r="25" spans="3:10" x14ac:dyDescent="0.15">
      <c r="C25" s="55" t="s">
        <v>377</v>
      </c>
      <c r="D25" s="72"/>
      <c r="E25" s="57"/>
      <c r="F25" s="58" t="s">
        <v>378</v>
      </c>
      <c r="G25" s="59"/>
      <c r="H25" s="59"/>
      <c r="I25" s="60"/>
      <c r="J25" s="69">
        <f>+'M1700'!F15</f>
        <v>57500</v>
      </c>
    </row>
    <row r="26" spans="3:10" x14ac:dyDescent="0.15">
      <c r="C26" s="55" t="s">
        <v>395</v>
      </c>
      <c r="D26" s="73"/>
      <c r="E26" s="57"/>
      <c r="F26" s="58" t="s">
        <v>396</v>
      </c>
      <c r="G26" s="59"/>
      <c r="H26" s="59"/>
      <c r="I26" s="60"/>
      <c r="J26" s="69">
        <f>+'M2100'!F32</f>
        <v>464200</v>
      </c>
    </row>
    <row r="27" spans="3:10" x14ac:dyDescent="0.15">
      <c r="C27" s="55" t="s">
        <v>1742</v>
      </c>
      <c r="D27" s="74"/>
      <c r="E27" s="57"/>
      <c r="F27" s="58" t="s">
        <v>1743</v>
      </c>
      <c r="G27" s="59"/>
      <c r="H27" s="59"/>
      <c r="I27" s="60"/>
      <c r="J27" s="69"/>
    </row>
    <row r="28" spans="3:10" x14ac:dyDescent="0.15">
      <c r="C28" s="55" t="s">
        <v>452</v>
      </c>
      <c r="D28" s="75"/>
      <c r="E28" s="57"/>
      <c r="F28" s="58" t="s">
        <v>453</v>
      </c>
      <c r="G28" s="59"/>
      <c r="H28" s="59"/>
      <c r="I28" s="60"/>
      <c r="J28" s="69">
        <f>+'M2300'!F25</f>
        <v>720000</v>
      </c>
    </row>
    <row r="29" spans="3:10" x14ac:dyDescent="0.15">
      <c r="C29" s="55" t="s">
        <v>469</v>
      </c>
      <c r="D29" s="76"/>
      <c r="E29" s="57"/>
      <c r="F29" s="58" t="s">
        <v>470</v>
      </c>
      <c r="G29" s="59"/>
      <c r="H29" s="59"/>
      <c r="I29" s="60"/>
      <c r="J29" s="69">
        <f>+'M2400'!F22</f>
        <v>720000</v>
      </c>
    </row>
    <row r="30" spans="3:10" x14ac:dyDescent="0.15">
      <c r="C30" s="55" t="s">
        <v>484</v>
      </c>
      <c r="D30" s="77"/>
      <c r="E30" s="57"/>
      <c r="F30" s="58" t="s">
        <v>485</v>
      </c>
      <c r="G30" s="59"/>
      <c r="H30" s="59"/>
      <c r="I30" s="60"/>
      <c r="J30" s="69">
        <f>+'M2500'!F24</f>
        <v>590000</v>
      </c>
    </row>
    <row r="31" spans="3:10" x14ac:dyDescent="0.15">
      <c r="C31" s="55" t="s">
        <v>510</v>
      </c>
      <c r="D31" s="56"/>
      <c r="E31" s="57"/>
      <c r="F31" s="58" t="s">
        <v>511</v>
      </c>
      <c r="G31" s="59"/>
      <c r="H31" s="59"/>
      <c r="I31" s="60"/>
      <c r="J31" s="69">
        <f>+'M2600'!F21</f>
        <v>187600</v>
      </c>
    </row>
    <row r="32" spans="3:10" x14ac:dyDescent="0.15">
      <c r="C32" s="55" t="s">
        <v>533</v>
      </c>
      <c r="D32" s="70"/>
      <c r="E32" s="57"/>
      <c r="F32" s="58" t="s">
        <v>534</v>
      </c>
      <c r="G32" s="59"/>
      <c r="H32" s="59"/>
      <c r="I32" s="60"/>
      <c r="J32" s="69">
        <f>+'M2700'!F20</f>
        <v>360000</v>
      </c>
    </row>
    <row r="33" spans="3:10" x14ac:dyDescent="0.15">
      <c r="C33" s="55" t="s">
        <v>549</v>
      </c>
      <c r="D33" s="72"/>
      <c r="E33" s="57"/>
      <c r="F33" s="58" t="s">
        <v>1744</v>
      </c>
      <c r="G33" s="59"/>
      <c r="H33" s="59"/>
      <c r="I33" s="60"/>
      <c r="J33" s="69">
        <f>+'M2800'!F54</f>
        <v>216600</v>
      </c>
    </row>
    <row r="34" spans="3:10" x14ac:dyDescent="0.15">
      <c r="C34" s="55" t="s">
        <v>607</v>
      </c>
      <c r="D34" s="73"/>
      <c r="E34" s="57"/>
      <c r="F34" s="58" t="s">
        <v>608</v>
      </c>
      <c r="G34" s="59"/>
      <c r="H34" s="59"/>
      <c r="I34" s="60"/>
      <c r="J34" s="69">
        <f>+'M3100-C'!F31</f>
        <v>2760235</v>
      </c>
    </row>
    <row r="35" spans="3:10" x14ac:dyDescent="0.15">
      <c r="C35" s="55" t="s">
        <v>712</v>
      </c>
      <c r="D35" s="74"/>
      <c r="E35" s="57"/>
      <c r="F35" s="58" t="s">
        <v>713</v>
      </c>
      <c r="G35" s="59"/>
      <c r="H35" s="59"/>
      <c r="I35" s="60"/>
      <c r="J35" s="69">
        <f>+'M3200'!F22</f>
        <v>995000</v>
      </c>
    </row>
    <row r="36" spans="3:10" x14ac:dyDescent="0.15">
      <c r="C36" s="55" t="s">
        <v>734</v>
      </c>
      <c r="D36" s="75"/>
      <c r="E36" s="57"/>
      <c r="F36" s="58" t="s">
        <v>735</v>
      </c>
      <c r="G36" s="59"/>
      <c r="H36" s="59"/>
      <c r="I36" s="60"/>
      <c r="J36" s="69">
        <f>+'M3300'!F21</f>
        <v>595000</v>
      </c>
    </row>
    <row r="37" spans="3:10" x14ac:dyDescent="0.15">
      <c r="C37" s="55" t="s">
        <v>800</v>
      </c>
      <c r="D37" s="76"/>
      <c r="E37" s="57"/>
      <c r="F37" s="58" t="s">
        <v>810</v>
      </c>
      <c r="G37" s="59"/>
      <c r="H37" s="59"/>
      <c r="I37" s="60"/>
      <c r="J37" s="69">
        <f>+'M4100-C1'!F22</f>
        <v>1009050</v>
      </c>
    </row>
    <row r="38" spans="3:10" x14ac:dyDescent="0.15">
      <c r="C38" s="55" t="s">
        <v>886</v>
      </c>
      <c r="D38" s="77"/>
      <c r="E38" s="57"/>
      <c r="F38" s="58" t="s">
        <v>1745</v>
      </c>
      <c r="G38" s="59"/>
      <c r="H38" s="59"/>
      <c r="I38" s="60"/>
      <c r="J38" s="69">
        <f>+'M4200'!F29</f>
        <v>312800</v>
      </c>
    </row>
    <row r="39" spans="3:10" x14ac:dyDescent="0.15">
      <c r="C39" s="55" t="s">
        <v>937</v>
      </c>
      <c r="D39" s="56"/>
      <c r="E39" s="57"/>
      <c r="F39" s="58" t="s">
        <v>938</v>
      </c>
      <c r="G39" s="59"/>
      <c r="H39" s="59"/>
      <c r="I39" s="60"/>
      <c r="J39" s="69">
        <f>+'M4300'!F20</f>
        <v>57500</v>
      </c>
    </row>
    <row r="40" spans="3:10" x14ac:dyDescent="0.15">
      <c r="C40" s="55" t="s">
        <v>957</v>
      </c>
      <c r="D40" s="70"/>
      <c r="E40" s="57"/>
      <c r="F40" s="58" t="s">
        <v>958</v>
      </c>
      <c r="G40" s="59"/>
      <c r="H40" s="59"/>
      <c r="I40" s="60"/>
      <c r="J40" s="69">
        <f>+'M4400-C2'!F20</f>
        <v>1136730</v>
      </c>
    </row>
    <row r="41" spans="3:10" x14ac:dyDescent="0.15">
      <c r="C41" s="55" t="s">
        <v>1129</v>
      </c>
      <c r="D41" s="72"/>
      <c r="E41" s="4"/>
      <c r="F41" s="78" t="s">
        <v>1128</v>
      </c>
      <c r="G41" s="59"/>
      <c r="H41" s="59"/>
      <c r="I41" s="60"/>
      <c r="J41" s="69">
        <f>+'M4500'!F14</f>
        <v>40000</v>
      </c>
    </row>
    <row r="42" spans="3:10" x14ac:dyDescent="0.15">
      <c r="C42" s="55" t="s">
        <v>1155</v>
      </c>
      <c r="D42" s="73"/>
      <c r="E42" s="57"/>
      <c r="F42" s="58" t="s">
        <v>1746</v>
      </c>
      <c r="G42" s="59"/>
      <c r="H42" s="59"/>
      <c r="I42" s="60"/>
      <c r="J42" s="69">
        <f>+'M4600'!F12</f>
        <v>123000</v>
      </c>
    </row>
    <row r="43" spans="3:10" x14ac:dyDescent="0.15">
      <c r="C43" s="55" t="s">
        <v>1175</v>
      </c>
      <c r="D43" s="74"/>
      <c r="E43" s="57"/>
      <c r="F43" s="58" t="s">
        <v>1176</v>
      </c>
      <c r="G43" s="59"/>
      <c r="H43" s="59"/>
      <c r="I43" s="60"/>
      <c r="J43" s="69">
        <f>+'M4700'!F20</f>
        <v>59800</v>
      </c>
    </row>
    <row r="44" spans="3:10" x14ac:dyDescent="0.15">
      <c r="C44" s="55" t="s">
        <v>1203</v>
      </c>
      <c r="D44" s="75"/>
      <c r="E44" s="57"/>
      <c r="F44" s="58" t="s">
        <v>1204</v>
      </c>
      <c r="G44" s="59"/>
      <c r="H44" s="59"/>
      <c r="I44" s="60"/>
      <c r="J44" s="69">
        <f>+'M5100-C'!F14</f>
        <v>536545</v>
      </c>
    </row>
    <row r="45" spans="3:10" x14ac:dyDescent="0.15">
      <c r="C45" s="55" t="s">
        <v>1280</v>
      </c>
      <c r="D45" s="76"/>
      <c r="E45" s="57"/>
      <c r="F45" s="58" t="s">
        <v>1281</v>
      </c>
      <c r="G45" s="59"/>
      <c r="H45" s="59"/>
      <c r="I45" s="60"/>
      <c r="J45" s="69">
        <f>+'M5200'!F20</f>
        <v>166140</v>
      </c>
    </row>
    <row r="46" spans="3:10" x14ac:dyDescent="0.15">
      <c r="C46" s="55" t="s">
        <v>1315</v>
      </c>
      <c r="D46" s="77"/>
      <c r="E46" s="57"/>
      <c r="F46" s="58" t="s">
        <v>1747</v>
      </c>
      <c r="G46" s="59"/>
      <c r="H46" s="59"/>
      <c r="I46" s="60"/>
      <c r="J46" s="69">
        <f>+'M6100'!F26</f>
        <v>2150000</v>
      </c>
    </row>
    <row r="47" spans="3:10" x14ac:dyDescent="0.15">
      <c r="C47" s="55" t="s">
        <v>1356</v>
      </c>
      <c r="D47" s="56"/>
      <c r="E47" s="57"/>
      <c r="F47" s="58" t="s">
        <v>1748</v>
      </c>
      <c r="G47" s="59"/>
      <c r="H47" s="59"/>
      <c r="I47" s="60"/>
      <c r="J47" s="69">
        <f>+'M6200-C'!F19</f>
        <v>979956</v>
      </c>
    </row>
    <row r="48" spans="3:10" x14ac:dyDescent="0.15">
      <c r="C48" s="55" t="s">
        <v>1411</v>
      </c>
      <c r="D48" s="70"/>
      <c r="E48" s="57"/>
      <c r="F48" s="58" t="s">
        <v>1412</v>
      </c>
      <c r="G48" s="59"/>
      <c r="H48" s="59"/>
      <c r="I48" s="60"/>
      <c r="J48" s="69">
        <f>+'M6300'!F24</f>
        <v>690200</v>
      </c>
    </row>
    <row r="49" spans="3:11" x14ac:dyDescent="0.15">
      <c r="C49" s="55" t="s">
        <v>1446</v>
      </c>
      <c r="D49" s="72"/>
      <c r="E49" s="57"/>
      <c r="F49" s="58" t="s">
        <v>1749</v>
      </c>
      <c r="G49" s="59"/>
      <c r="H49" s="59"/>
      <c r="I49" s="60"/>
      <c r="J49" s="69">
        <f>+'M6400'!F25</f>
        <v>578300</v>
      </c>
    </row>
    <row r="50" spans="3:11" x14ac:dyDescent="0.15">
      <c r="C50" s="55" t="s">
        <v>1492</v>
      </c>
      <c r="D50" s="73"/>
      <c r="E50" s="57"/>
      <c r="F50" s="58" t="s">
        <v>1493</v>
      </c>
      <c r="G50" s="59"/>
      <c r="H50" s="59"/>
      <c r="I50" s="60"/>
      <c r="J50" s="69">
        <f>+'M7100'!F11</f>
        <v>1080000</v>
      </c>
    </row>
    <row r="51" spans="3:11" x14ac:dyDescent="0.15">
      <c r="C51" s="55" t="s">
        <v>1528</v>
      </c>
      <c r="D51" s="74"/>
      <c r="E51" s="57"/>
      <c r="F51" s="58" t="s">
        <v>1512</v>
      </c>
      <c r="G51" s="59"/>
      <c r="H51" s="59"/>
      <c r="I51" s="60"/>
      <c r="J51" s="69">
        <f>+'M7200'!F16</f>
        <v>285500</v>
      </c>
    </row>
    <row r="52" spans="3:11" x14ac:dyDescent="0.15">
      <c r="C52" s="55" t="s">
        <v>1537</v>
      </c>
      <c r="D52" s="75"/>
      <c r="E52" s="79"/>
      <c r="F52" s="58" t="s">
        <v>1538</v>
      </c>
      <c r="G52" s="59"/>
      <c r="H52" s="59"/>
      <c r="I52" s="60"/>
      <c r="J52" s="69">
        <f>+'M8100'!F11</f>
        <v>57500</v>
      </c>
      <c r="K52" s="86">
        <f>SUM(J19:J52)</f>
        <v>27685636</v>
      </c>
    </row>
    <row r="53" spans="3:11" ht="14" thickBot="1" x14ac:dyDescent="0.2">
      <c r="C53" s="55" t="s">
        <v>1554</v>
      </c>
      <c r="D53" s="76"/>
      <c r="E53" s="79"/>
      <c r="F53" s="58" t="s">
        <v>1555</v>
      </c>
      <c r="G53" s="59"/>
      <c r="H53" s="59"/>
      <c r="I53" s="60"/>
      <c r="J53" s="80">
        <f>+'M9100-C1'!F24</f>
        <v>1495020</v>
      </c>
    </row>
    <row r="54" spans="3:11" ht="14" thickBot="1" x14ac:dyDescent="0.2">
      <c r="C54" s="71"/>
      <c r="D54" s="81" t="s">
        <v>1709</v>
      </c>
      <c r="E54" s="82"/>
      <c r="F54" s="675" t="s">
        <v>1750</v>
      </c>
      <c r="G54" s="675"/>
      <c r="H54" s="675"/>
      <c r="I54" s="676"/>
      <c r="J54" s="537">
        <f>SUM(J14:J53)</f>
        <v>40920656</v>
      </c>
    </row>
    <row r="55" spans="3:11" ht="14" thickBot="1" x14ac:dyDescent="0.2">
      <c r="C55" s="83"/>
      <c r="D55" s="84"/>
      <c r="E55" s="85"/>
      <c r="F55" s="656" t="s">
        <v>1751</v>
      </c>
      <c r="G55" s="656"/>
      <c r="H55" s="656"/>
      <c r="I55" s="657"/>
      <c r="J55" s="538">
        <f>+J54+J13</f>
        <v>45336645.039999999</v>
      </c>
    </row>
    <row r="56" spans="3:11" ht="14" thickTop="1" x14ac:dyDescent="0.15">
      <c r="C56" s="2"/>
      <c r="D56" s="3"/>
      <c r="E56" s="4"/>
      <c r="F56" s="5"/>
      <c r="G56" s="5"/>
      <c r="H56" s="5"/>
      <c r="I56" s="5"/>
      <c r="J56" s="86"/>
    </row>
  </sheetData>
  <mergeCells count="6">
    <mergeCell ref="F55:I55"/>
    <mergeCell ref="C8:D10"/>
    <mergeCell ref="E8:I10"/>
    <mergeCell ref="J8:J10"/>
    <mergeCell ref="F13:I13"/>
    <mergeCell ref="F54:I54"/>
  </mergeCells>
  <pageMargins left="0.7" right="0.7" top="0.75" bottom="0.75" header="0.3" footer="0.3"/>
  <pageSetup paperSize="9" scale="71" orientation="portrait" horizontalDpi="4294967293" r:id="rId1"/>
  <colBreaks count="1" manualBreakCount="1">
    <brk id="1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33"/>
  <sheetViews>
    <sheetView view="pageBreakPreview" topLeftCell="A3" zoomScaleNormal="100" zoomScaleSheetLayoutView="100" workbookViewId="0">
      <selection activeCell="G13" sqref="G13"/>
    </sheetView>
  </sheetViews>
  <sheetFormatPr baseColWidth="10" defaultColWidth="9" defaultRowHeight="13" x14ac:dyDescent="0.15"/>
  <cols>
    <col min="4" max="4" width="11.3984375" customWidth="1"/>
    <col min="6" max="6" width="21.59765625" customWidth="1"/>
    <col min="7" max="7" width="17.3984375" customWidth="1"/>
  </cols>
  <sheetData>
    <row r="1" spans="1:7" x14ac:dyDescent="0.15">
      <c r="A1" s="2"/>
      <c r="B1" s="3"/>
      <c r="C1" s="4"/>
      <c r="D1" s="5"/>
      <c r="E1" s="5"/>
      <c r="F1" s="5"/>
      <c r="G1" s="6"/>
    </row>
    <row r="2" spans="1:7" x14ac:dyDescent="0.15">
      <c r="A2" s="7" t="s">
        <v>1708</v>
      </c>
      <c r="B2" s="3"/>
      <c r="C2" s="4"/>
      <c r="D2" s="8"/>
      <c r="E2" s="9"/>
      <c r="F2" s="9"/>
      <c r="G2" s="9"/>
    </row>
    <row r="3" spans="1:7" ht="14" thickBot="1" x14ac:dyDescent="0.2">
      <c r="A3" s="2"/>
      <c r="B3" s="3"/>
      <c r="C3" s="4"/>
      <c r="D3" s="8"/>
      <c r="E3" s="9"/>
      <c r="F3" s="9"/>
      <c r="G3" s="9"/>
    </row>
    <row r="4" spans="1:7" ht="14" thickTop="1" x14ac:dyDescent="0.15">
      <c r="A4" s="10"/>
      <c r="B4" s="11"/>
      <c r="C4" s="12"/>
      <c r="D4" s="13"/>
      <c r="E4" s="14"/>
      <c r="F4" s="14"/>
      <c r="G4" s="42"/>
    </row>
    <row r="5" spans="1:7" x14ac:dyDescent="0.15">
      <c r="A5" s="15"/>
      <c r="B5" s="16" t="s">
        <v>2</v>
      </c>
      <c r="C5" s="17"/>
      <c r="D5" s="18"/>
      <c r="E5" s="19"/>
      <c r="F5" s="20"/>
      <c r="G5" s="43" t="s">
        <v>1730</v>
      </c>
    </row>
    <row r="6" spans="1:7" ht="14" thickBot="1" x14ac:dyDescent="0.2">
      <c r="A6" s="21"/>
      <c r="B6" s="22"/>
      <c r="C6" s="23"/>
      <c r="D6" s="24"/>
      <c r="E6" s="25"/>
      <c r="F6" s="25"/>
      <c r="G6" s="44"/>
    </row>
    <row r="7" spans="1:7" ht="14" thickTop="1" x14ac:dyDescent="0.15">
      <c r="A7" s="15"/>
      <c r="B7" s="26"/>
      <c r="C7" s="17"/>
      <c r="D7" s="8"/>
      <c r="E7" s="9"/>
      <c r="F7" s="9"/>
      <c r="G7" s="45"/>
    </row>
    <row r="8" spans="1:7" x14ac:dyDescent="0.15">
      <c r="A8" s="15" t="s">
        <v>1709</v>
      </c>
      <c r="B8" s="3"/>
      <c r="C8" s="4"/>
      <c r="D8" s="8"/>
      <c r="E8" s="9"/>
      <c r="F8" s="9"/>
      <c r="G8" s="45"/>
    </row>
    <row r="9" spans="1:7" x14ac:dyDescent="0.15">
      <c r="A9" s="1" t="s">
        <v>1760</v>
      </c>
      <c r="B9" s="3"/>
      <c r="C9" s="4"/>
      <c r="D9" s="8"/>
      <c r="E9" s="9"/>
      <c r="F9" s="9"/>
      <c r="G9" s="45"/>
    </row>
    <row r="10" spans="1:7" x14ac:dyDescent="0.15">
      <c r="A10" s="679" t="s">
        <v>1710</v>
      </c>
      <c r="B10" s="633"/>
      <c r="C10" s="633"/>
      <c r="D10" s="633"/>
      <c r="E10" s="633"/>
      <c r="F10" s="633"/>
      <c r="G10" s="45"/>
    </row>
    <row r="11" spans="1:7" x14ac:dyDescent="0.15">
      <c r="A11" s="15" t="s">
        <v>1711</v>
      </c>
      <c r="B11" s="3"/>
      <c r="C11" s="4"/>
      <c r="D11" s="8"/>
      <c r="E11" s="9"/>
      <c r="F11" s="9"/>
      <c r="G11" s="45"/>
    </row>
    <row r="12" spans="1:7" x14ac:dyDescent="0.15">
      <c r="A12" s="15" t="s">
        <v>1712</v>
      </c>
      <c r="B12" s="3"/>
      <c r="C12" s="4"/>
      <c r="D12" s="8"/>
      <c r="E12" s="9"/>
      <c r="F12" s="9"/>
      <c r="G12" s="45"/>
    </row>
    <row r="13" spans="1:7" x14ac:dyDescent="0.15">
      <c r="A13" s="15" t="s">
        <v>1718</v>
      </c>
      <c r="B13" s="3"/>
      <c r="C13" s="4"/>
      <c r="D13" s="8"/>
      <c r="E13" s="9"/>
      <c r="F13" s="9"/>
      <c r="G13" s="45"/>
    </row>
    <row r="14" spans="1:7" x14ac:dyDescent="0.15">
      <c r="A14" s="15"/>
      <c r="B14" s="3"/>
      <c r="C14" s="4"/>
      <c r="D14" s="8"/>
      <c r="E14" s="9"/>
      <c r="F14" s="9"/>
      <c r="G14" s="45"/>
    </row>
    <row r="15" spans="1:7" x14ac:dyDescent="0.15">
      <c r="A15" s="15"/>
      <c r="B15" s="27"/>
      <c r="C15" s="4"/>
      <c r="D15" s="27"/>
      <c r="E15" s="9"/>
      <c r="F15" s="9"/>
      <c r="G15" s="45"/>
    </row>
    <row r="16" spans="1:7" x14ac:dyDescent="0.15">
      <c r="A16" s="679" t="s">
        <v>1713</v>
      </c>
      <c r="B16" s="633"/>
      <c r="C16" s="633"/>
      <c r="D16" s="633"/>
      <c r="E16" s="9"/>
      <c r="F16" s="9"/>
      <c r="G16" s="46">
        <f>+Summary!J13</f>
        <v>4415989.04</v>
      </c>
    </row>
    <row r="17" spans="1:7" x14ac:dyDescent="0.15">
      <c r="A17" s="28"/>
      <c r="B17" s="27"/>
      <c r="C17" s="4"/>
      <c r="D17" s="29"/>
      <c r="E17" s="9"/>
      <c r="F17" s="9"/>
      <c r="G17" s="45"/>
    </row>
    <row r="18" spans="1:7" x14ac:dyDescent="0.15">
      <c r="A18" s="680" t="s">
        <v>1714</v>
      </c>
      <c r="B18" s="681"/>
      <c r="C18" s="681"/>
      <c r="D18" s="681"/>
      <c r="E18" s="9"/>
      <c r="F18" s="30"/>
      <c r="G18" s="46">
        <f>+Summary!J54</f>
        <v>40920656</v>
      </c>
    </row>
    <row r="19" spans="1:7" x14ac:dyDescent="0.15">
      <c r="A19" s="28"/>
      <c r="B19" s="27"/>
      <c r="C19" s="4"/>
      <c r="D19" s="29"/>
      <c r="E19" s="9"/>
      <c r="F19" s="30"/>
      <c r="G19" s="45"/>
    </row>
    <row r="20" spans="1:7" ht="14" thickBot="1" x14ac:dyDescent="0.2">
      <c r="A20" s="677" t="s">
        <v>1715</v>
      </c>
      <c r="B20" s="678"/>
      <c r="C20" s="678"/>
      <c r="D20" s="678"/>
      <c r="E20" s="9"/>
      <c r="F20" s="30"/>
      <c r="G20" s="539">
        <f>SUM(G11:G19)</f>
        <v>45336645.039999999</v>
      </c>
    </row>
    <row r="21" spans="1:7" x14ac:dyDescent="0.15">
      <c r="A21" s="31"/>
      <c r="B21" s="32"/>
      <c r="C21" s="32"/>
      <c r="D21" s="32"/>
      <c r="E21" s="9"/>
      <c r="F21" s="30"/>
      <c r="G21" s="45"/>
    </row>
    <row r="22" spans="1:7" x14ac:dyDescent="0.15">
      <c r="A22" s="677" t="s">
        <v>1754</v>
      </c>
      <c r="B22" s="678"/>
      <c r="C22" s="678"/>
      <c r="D22" s="678"/>
      <c r="E22" s="9"/>
      <c r="F22" s="30"/>
      <c r="G22" s="45">
        <v>7067329.0080000004</v>
      </c>
    </row>
    <row r="23" spans="1:7" x14ac:dyDescent="0.15">
      <c r="A23" s="31"/>
      <c r="B23" s="32"/>
      <c r="C23" s="32"/>
      <c r="D23" s="32"/>
      <c r="E23" s="9"/>
      <c r="F23" s="30"/>
      <c r="G23" s="45"/>
    </row>
    <row r="24" spans="1:7" x14ac:dyDescent="0.15">
      <c r="A24" s="31"/>
      <c r="B24" s="32"/>
      <c r="C24" s="32"/>
      <c r="D24" s="32"/>
      <c r="E24" s="9"/>
      <c r="F24" s="30"/>
      <c r="G24" s="45"/>
    </row>
    <row r="25" spans="1:7" x14ac:dyDescent="0.15">
      <c r="A25" s="31"/>
      <c r="B25" s="32"/>
      <c r="C25" s="32"/>
      <c r="D25" s="32"/>
      <c r="E25" s="9"/>
      <c r="F25" s="30"/>
      <c r="G25" s="45"/>
    </row>
    <row r="26" spans="1:7" ht="14" thickBot="1" x14ac:dyDescent="0.2">
      <c r="A26" s="677" t="s">
        <v>1716</v>
      </c>
      <c r="B26" s="678"/>
      <c r="C26" s="678"/>
      <c r="D26" s="678"/>
      <c r="E26" s="9"/>
      <c r="F26" s="30"/>
      <c r="G26" s="540">
        <f>SUM(G20:G25)</f>
        <v>52403974.048</v>
      </c>
    </row>
    <row r="27" spans="1:7" x14ac:dyDescent="0.15">
      <c r="A27" s="28"/>
      <c r="B27" s="27"/>
      <c r="C27" s="4"/>
      <c r="D27" s="27"/>
      <c r="E27" s="9"/>
      <c r="F27" s="30"/>
      <c r="G27" s="33"/>
    </row>
    <row r="28" spans="1:7" x14ac:dyDescent="0.15">
      <c r="A28" s="28"/>
      <c r="B28" s="27"/>
      <c r="C28" s="4"/>
      <c r="D28" s="16"/>
      <c r="E28" s="26" t="s">
        <v>1753</v>
      </c>
      <c r="F28" s="30"/>
      <c r="G28" s="46">
        <f>15%*G26</f>
        <v>7860596.1071999995</v>
      </c>
    </row>
    <row r="29" spans="1:7" x14ac:dyDescent="0.15">
      <c r="A29" s="28"/>
      <c r="B29" s="27"/>
      <c r="C29" s="4"/>
      <c r="D29" s="27"/>
      <c r="E29" s="9"/>
      <c r="F29" s="30"/>
      <c r="G29" s="45"/>
    </row>
    <row r="30" spans="1:7" ht="14" thickBot="1" x14ac:dyDescent="0.2">
      <c r="A30" s="34" t="s">
        <v>1717</v>
      </c>
      <c r="B30" s="35"/>
      <c r="C30" s="35"/>
      <c r="D30" s="35"/>
      <c r="E30" s="9"/>
      <c r="F30" s="30"/>
      <c r="G30" s="541">
        <f>+G28+G26</f>
        <v>60264570.155199997</v>
      </c>
    </row>
    <row r="31" spans="1:7" x14ac:dyDescent="0.15">
      <c r="A31" s="28"/>
      <c r="B31" s="27"/>
      <c r="C31" s="4"/>
      <c r="D31" s="27"/>
      <c r="E31" s="9"/>
      <c r="F31" s="30"/>
      <c r="G31" s="45"/>
    </row>
    <row r="32" spans="1:7" ht="14" thickBot="1" x14ac:dyDescent="0.2">
      <c r="A32" s="36"/>
      <c r="B32" s="37"/>
      <c r="C32" s="38"/>
      <c r="D32" s="24"/>
      <c r="E32" s="39"/>
      <c r="F32" s="40"/>
      <c r="G32" s="47"/>
    </row>
    <row r="33" ht="14" thickTop="1" x14ac:dyDescent="0.15"/>
  </sheetData>
  <mergeCells count="6">
    <mergeCell ref="A26:D26"/>
    <mergeCell ref="A10:F10"/>
    <mergeCell ref="A16:D16"/>
    <mergeCell ref="A18:D18"/>
    <mergeCell ref="A20:D20"/>
    <mergeCell ref="A22:D22"/>
  </mergeCells>
  <pageMargins left="0.7" right="0.7" top="0.75" bottom="0.75" header="0.3" footer="0.3"/>
  <pageSetup paperSize="9" orientation="portrait" horizontalDpi="4294967293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78FE-D732-40E8-888F-C00A1D5AE6EE}">
  <dimension ref="A1"/>
  <sheetViews>
    <sheetView workbookViewId="0"/>
  </sheetViews>
  <sheetFormatPr baseColWidth="10" defaultColWidth="9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42</vt:i4>
      </vt:variant>
    </vt:vector>
  </HeadingPairs>
  <TitlesOfParts>
    <vt:vector size="95" baseType="lpstr">
      <vt:lpstr>Site Establishment, monthlycost</vt:lpstr>
      <vt:lpstr>A-MO300</vt:lpstr>
      <vt:lpstr>B-M0200</vt:lpstr>
      <vt:lpstr>B-M0300</vt:lpstr>
      <vt:lpstr>B-M0400</vt:lpstr>
      <vt:lpstr>B-M0500</vt:lpstr>
      <vt:lpstr>M1100</vt:lpstr>
      <vt:lpstr>M1100- C</vt:lpstr>
      <vt:lpstr>M1200</vt:lpstr>
      <vt:lpstr>M1300</vt:lpstr>
      <vt:lpstr>M1500</vt:lpstr>
      <vt:lpstr>M1600</vt:lpstr>
      <vt:lpstr>M1700</vt:lpstr>
      <vt:lpstr>M2100</vt:lpstr>
      <vt:lpstr>M2300</vt:lpstr>
      <vt:lpstr>M2400</vt:lpstr>
      <vt:lpstr>M2500</vt:lpstr>
      <vt:lpstr>M2600</vt:lpstr>
      <vt:lpstr>M2700</vt:lpstr>
      <vt:lpstr>M2800</vt:lpstr>
      <vt:lpstr>M3100</vt:lpstr>
      <vt:lpstr>M3100-C</vt:lpstr>
      <vt:lpstr>M3200</vt:lpstr>
      <vt:lpstr>M3300</vt:lpstr>
      <vt:lpstr>M4100</vt:lpstr>
      <vt:lpstr>M4100-C</vt:lpstr>
      <vt:lpstr>M4100-C1</vt:lpstr>
      <vt:lpstr>M4200</vt:lpstr>
      <vt:lpstr>M4300</vt:lpstr>
      <vt:lpstr>M4400</vt:lpstr>
      <vt:lpstr>M4400-C</vt:lpstr>
      <vt:lpstr>M4400-C1</vt:lpstr>
      <vt:lpstr>M4400-C2</vt:lpstr>
      <vt:lpstr>M4500</vt:lpstr>
      <vt:lpstr>M4600</vt:lpstr>
      <vt:lpstr>M4700</vt:lpstr>
      <vt:lpstr>M5100</vt:lpstr>
      <vt:lpstr>M5100-C</vt:lpstr>
      <vt:lpstr>M5200</vt:lpstr>
      <vt:lpstr>M6100</vt:lpstr>
      <vt:lpstr>M6200</vt:lpstr>
      <vt:lpstr>M6200-C</vt:lpstr>
      <vt:lpstr>M6300</vt:lpstr>
      <vt:lpstr>M6400</vt:lpstr>
      <vt:lpstr>M7100</vt:lpstr>
      <vt:lpstr>M7200</vt:lpstr>
      <vt:lpstr>M8100</vt:lpstr>
      <vt:lpstr>M9100</vt:lpstr>
      <vt:lpstr>M9100-C</vt:lpstr>
      <vt:lpstr>M9100-C1</vt:lpstr>
      <vt:lpstr>Summary</vt:lpstr>
      <vt:lpstr>Calculation of Tender</vt:lpstr>
      <vt:lpstr>Sheet1</vt:lpstr>
      <vt:lpstr>'A-MO300'!Print_Area</vt:lpstr>
      <vt:lpstr>'B-M0200'!Print_Area</vt:lpstr>
      <vt:lpstr>'B-M0300'!Print_Area</vt:lpstr>
      <vt:lpstr>'B-M0400'!Print_Area</vt:lpstr>
      <vt:lpstr>'B-M0500'!Print_Area</vt:lpstr>
      <vt:lpstr>'M1100'!Print_Area</vt:lpstr>
      <vt:lpstr>'M1200'!Print_Area</vt:lpstr>
      <vt:lpstr>'M1300'!Print_Area</vt:lpstr>
      <vt:lpstr>'M1500'!Print_Area</vt:lpstr>
      <vt:lpstr>'M1600'!Print_Area</vt:lpstr>
      <vt:lpstr>'M1700'!Print_Area</vt:lpstr>
      <vt:lpstr>'M2100'!Print_Area</vt:lpstr>
      <vt:lpstr>'M2300'!Print_Area</vt:lpstr>
      <vt:lpstr>'M2400'!Print_Area</vt:lpstr>
      <vt:lpstr>'M2500'!Print_Area</vt:lpstr>
      <vt:lpstr>'M2600'!Print_Area</vt:lpstr>
      <vt:lpstr>'M2700'!Print_Area</vt:lpstr>
      <vt:lpstr>'M2800'!Print_Area</vt:lpstr>
      <vt:lpstr>'M3100'!Print_Area</vt:lpstr>
      <vt:lpstr>'M3200'!Print_Area</vt:lpstr>
      <vt:lpstr>'M3300'!Print_Area</vt:lpstr>
      <vt:lpstr>'M4100'!Print_Area</vt:lpstr>
      <vt:lpstr>'M4100-C'!Print_Area</vt:lpstr>
      <vt:lpstr>'M4100-C1'!Print_Area</vt:lpstr>
      <vt:lpstr>'M4200'!Print_Area</vt:lpstr>
      <vt:lpstr>'M4300'!Print_Area</vt:lpstr>
      <vt:lpstr>'M4400'!Print_Area</vt:lpstr>
      <vt:lpstr>'M4500'!Print_Area</vt:lpstr>
      <vt:lpstr>'M4600'!Print_Area</vt:lpstr>
      <vt:lpstr>'M4700'!Print_Area</vt:lpstr>
      <vt:lpstr>'M5100'!Print_Area</vt:lpstr>
      <vt:lpstr>'M5200'!Print_Area</vt:lpstr>
      <vt:lpstr>'M6100'!Print_Area</vt:lpstr>
      <vt:lpstr>'M6200'!Print_Area</vt:lpstr>
      <vt:lpstr>'M6300'!Print_Area</vt:lpstr>
      <vt:lpstr>'M6400'!Print_Area</vt:lpstr>
      <vt:lpstr>'M7100'!Print_Area</vt:lpstr>
      <vt:lpstr>'M7200'!Print_Area</vt:lpstr>
      <vt:lpstr>'M8100'!Print_Area</vt:lpstr>
      <vt:lpstr>'M9100'!Print_Area</vt:lpstr>
      <vt:lpstr>'M9100-C1'!Print_Area</vt:lpstr>
      <vt:lpstr>Summary!Print_Area</vt:lpstr>
    </vt:vector>
  </TitlesOfParts>
  <Company>INFRAWARE,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Pulse for Hope Projects</cp:lastModifiedBy>
  <dcterms:created xsi:type="dcterms:W3CDTF">2010-06-21T07:17:39Z</dcterms:created>
  <dcterms:modified xsi:type="dcterms:W3CDTF">2025-10-22T09:25:15Z</dcterms:modified>
</cp:coreProperties>
</file>
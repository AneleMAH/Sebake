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GI ENGINEERING\"/>
    </mc:Choice>
  </mc:AlternateContent>
  <xr:revisionPtr revIDLastSave="0" documentId="13_ncr:1_{E586F183-0AD0-46F7-BC7C-061CAB1E8679}" xr6:coauthVersionLast="47" xr6:coauthVersionMax="47" xr10:uidLastSave="{00000000-0000-0000-0000-000000000000}"/>
  <bookViews>
    <workbookView xWindow="-105" yWindow="0" windowWidth="10455" windowHeight="10905" firstSheet="1" activeTab="1" xr2:uid="{9D9AA6BA-C856-A947-9900-5DAE554AFABA}"/>
  </bookViews>
  <sheets>
    <sheet name="STEEL PIPES FIRST PO (3)" sheetId="1" r:id="rId1"/>
    <sheet name="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3" i="1"/>
  <c r="E3" i="1" s="1"/>
  <c r="E11" i="1" s="1"/>
  <c r="E4" i="1"/>
  <c r="G4" i="1"/>
  <c r="C5" i="1"/>
  <c r="E5" i="1"/>
  <c r="G5" i="1"/>
  <c r="C6" i="1"/>
  <c r="E6" i="1"/>
  <c r="G6" i="1"/>
  <c r="C7" i="1"/>
  <c r="G7" i="1" s="1"/>
  <c r="E7" i="1"/>
  <c r="C8" i="1"/>
  <c r="G8" i="1" s="1"/>
  <c r="E8" i="1"/>
  <c r="C9" i="1"/>
  <c r="E9" i="1"/>
  <c r="G9" i="1"/>
  <c r="C10" i="1"/>
  <c r="E10" i="1"/>
  <c r="G10" i="1"/>
  <c r="G3" i="1" l="1"/>
  <c r="G11" i="1"/>
  <c r="E13" i="1" s="1"/>
</calcChain>
</file>

<file path=xl/sharedStrings.xml><?xml version="1.0" encoding="utf-8"?>
<sst xmlns="http://schemas.openxmlformats.org/spreadsheetml/2006/main" count="22" uniqueCount="22">
  <si>
    <t>WELBRO</t>
  </si>
  <si>
    <t>Supplier for all steel fittings</t>
  </si>
  <si>
    <t>Estimated profit</t>
  </si>
  <si>
    <t>Purchase amount</t>
  </si>
  <si>
    <t>Total Order</t>
  </si>
  <si>
    <t>FLANGE SCREW 40MM</t>
  </si>
  <si>
    <t>FLANGE SCREW 80MM</t>
  </si>
  <si>
    <t>FLANGE SCREW 50MM</t>
  </si>
  <si>
    <t>ADAPTOR STEEL 150MM SHOULDERED TO FLANG</t>
  </si>
  <si>
    <t>BEND STEEL 50MM X 90Â° FLANGED T1600</t>
  </si>
  <si>
    <t>BEND STEEL MEDIUM DUTY 40MM X 90░FLANGED BOTH ENDS TABLE 1600/3 TO BE FUSION BONDED POWDERED EPOXY COATED WITH A MINUMUM</t>
  </si>
  <si>
    <t>PIPE GALVANISED 20MM</t>
  </si>
  <si>
    <t>TEE 90║ STEEL UNEQUAL 100MM X 80MM X 100MM SHOULDERED, TO BE FUSION BONDED POWDERED EPOXY COATED TO JHB WATER SPECIFICAT</t>
  </si>
  <si>
    <t>Total (Incl. VAT)</t>
  </si>
  <si>
    <t>VAT Amount</t>
  </si>
  <si>
    <t>Subtotal (Excl. VAT)</t>
  </si>
  <si>
    <t>Unit Price (Excl VAT)</t>
  </si>
  <si>
    <t>Quantity</t>
  </si>
  <si>
    <t>Description Of Materials</t>
  </si>
  <si>
    <t>Item No,</t>
  </si>
  <si>
    <t>RFP NO: STE 001 2025                                                                                         RFP DESCRPTION: STEELPIPES AND FITTINGS</t>
  </si>
  <si>
    <t>PO Order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</si>
</sst>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b/>
      <sz val="1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164" fontId="0" fillId="0" borderId="1" xfId="0" applyNumberFormat="1" applyBorder="1"/>
    <xf numFmtId="0" fontId="4" fillId="0" borderId="0" xfId="0" applyFont="1" applyAlignment="1">
      <alignment vertical="center"/>
    </xf>
    <xf numFmtId="0" fontId="0" fillId="3" borderId="1" xfId="0" applyFill="1" applyBorder="1"/>
    <xf numFmtId="164" fontId="6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0" fillId="0" borderId="1" xfId="0" applyBorder="1"/>
    <xf numFmtId="164" fontId="6" fillId="5" borderId="1" xfId="0" applyNumberFormat="1" applyFont="1" applyFill="1" applyBorder="1"/>
    <xf numFmtId="0" fontId="1" fillId="5" borderId="1" xfId="0" applyFont="1" applyFill="1" applyBorder="1"/>
    <xf numFmtId="0" fontId="7" fillId="5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5" fillId="0" borderId="0" xfId="0" applyFont="1"/>
    <xf numFmtId="0" fontId="1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7C50-1CA9-5849-9472-00D7A58D858A}">
  <dimension ref="A1:G15"/>
  <sheetViews>
    <sheetView zoomScale="102" zoomScaleNormal="102" workbookViewId="0">
      <selection activeCell="B15" sqref="B15"/>
    </sheetView>
  </sheetViews>
  <sheetFormatPr defaultColWidth="9.28515625" defaultRowHeight="15" x14ac:dyDescent="0.25"/>
  <cols>
    <col min="1" max="1" width="7.7109375" style="2" customWidth="1"/>
    <col min="2" max="2" width="49" style="2" customWidth="1"/>
    <col min="3" max="3" width="8.85546875" style="1" customWidth="1"/>
    <col min="4" max="4" width="14.28515625" customWidth="1"/>
    <col min="5" max="5" width="16.42578125" customWidth="1"/>
    <col min="6" max="6" width="13" customWidth="1"/>
    <col min="7" max="7" width="15.140625" customWidth="1"/>
  </cols>
  <sheetData>
    <row r="1" spans="1:7" s="22" customFormat="1" x14ac:dyDescent="0.25">
      <c r="A1" s="1" t="s">
        <v>20</v>
      </c>
      <c r="B1" s="1"/>
      <c r="C1" s="1"/>
    </row>
    <row r="2" spans="1:7" ht="26.25" x14ac:dyDescent="0.25">
      <c r="A2" s="21" t="s">
        <v>19</v>
      </c>
      <c r="B2" s="21" t="s">
        <v>18</v>
      </c>
      <c r="C2" s="11" t="s">
        <v>17</v>
      </c>
      <c r="D2" s="20" t="s">
        <v>16</v>
      </c>
      <c r="E2" s="18" t="s">
        <v>15</v>
      </c>
      <c r="F2" s="19" t="s">
        <v>14</v>
      </c>
      <c r="G2" s="18" t="s">
        <v>13</v>
      </c>
    </row>
    <row r="3" spans="1:7" ht="60" x14ac:dyDescent="0.25">
      <c r="A3" s="13">
        <v>1</v>
      </c>
      <c r="B3" s="12" t="s">
        <v>12</v>
      </c>
      <c r="C3" s="11">
        <f>48+16+18</f>
        <v>82</v>
      </c>
      <c r="D3" s="9">
        <v>824.26020000000005</v>
      </c>
      <c r="E3" s="9">
        <f t="shared" ref="E3:E10" si="0">C3*D3</f>
        <v>67589.3364</v>
      </c>
      <c r="F3" s="6">
        <v>438</v>
      </c>
      <c r="G3" s="9">
        <f t="shared" ref="G3:G10" si="1">F3*C3</f>
        <v>35916</v>
      </c>
    </row>
    <row r="4" spans="1:7" ht="23.45" customHeight="1" x14ac:dyDescent="0.25">
      <c r="A4" s="13">
        <v>1</v>
      </c>
      <c r="B4" s="17" t="s">
        <v>11</v>
      </c>
      <c r="C4" s="16">
        <v>80</v>
      </c>
      <c r="D4" s="15">
        <v>140.96700000000001</v>
      </c>
      <c r="E4" s="15">
        <f t="shared" si="0"/>
        <v>11277.36</v>
      </c>
      <c r="F4" s="14">
        <v>43.16</v>
      </c>
      <c r="G4" s="9">
        <f t="shared" si="1"/>
        <v>3452.7999999999997</v>
      </c>
    </row>
    <row r="5" spans="1:7" ht="60" x14ac:dyDescent="0.25">
      <c r="A5" s="13">
        <v>1</v>
      </c>
      <c r="B5" s="12" t="s">
        <v>10</v>
      </c>
      <c r="C5" s="11">
        <f>527+177+177+177+177+177+177</f>
        <v>1589</v>
      </c>
      <c r="D5" s="9">
        <v>239.33340000000001</v>
      </c>
      <c r="E5" s="9">
        <f t="shared" si="0"/>
        <v>380300.77260000003</v>
      </c>
      <c r="F5" s="14">
        <v>214</v>
      </c>
      <c r="G5" s="9">
        <f t="shared" si="1"/>
        <v>340046</v>
      </c>
    </row>
    <row r="6" spans="1:7" ht="23.1" customHeight="1" x14ac:dyDescent="0.25">
      <c r="A6" s="13">
        <v>1</v>
      </c>
      <c r="B6" s="12" t="s">
        <v>9</v>
      </c>
      <c r="C6" s="11">
        <f>204+68+68+68+68</f>
        <v>476</v>
      </c>
      <c r="D6" s="9">
        <v>200.1</v>
      </c>
      <c r="E6" s="9">
        <f t="shared" si="0"/>
        <v>95247.599999999991</v>
      </c>
      <c r="F6" s="14">
        <v>312</v>
      </c>
      <c r="G6" s="9">
        <f t="shared" si="1"/>
        <v>148512</v>
      </c>
    </row>
    <row r="7" spans="1:7" ht="30" x14ac:dyDescent="0.25">
      <c r="A7" s="13">
        <v>1</v>
      </c>
      <c r="B7" s="12" t="s">
        <v>8</v>
      </c>
      <c r="C7" s="11">
        <f>32+16+16+16+16</f>
        <v>96</v>
      </c>
      <c r="D7" s="10">
        <v>1557.7991999999999</v>
      </c>
      <c r="E7" s="9">
        <f t="shared" si="0"/>
        <v>149548.72320000001</v>
      </c>
      <c r="F7" s="14">
        <v>410</v>
      </c>
      <c r="G7" s="9">
        <f t="shared" si="1"/>
        <v>39360</v>
      </c>
    </row>
    <row r="8" spans="1:7" x14ac:dyDescent="0.25">
      <c r="A8" s="13">
        <v>1</v>
      </c>
      <c r="B8" s="12" t="s">
        <v>7</v>
      </c>
      <c r="C8" s="11">
        <f>150+50+50+50</f>
        <v>300</v>
      </c>
      <c r="D8" s="10">
        <v>291.387</v>
      </c>
      <c r="E8" s="9">
        <f t="shared" si="0"/>
        <v>87416.1</v>
      </c>
      <c r="F8" s="6">
        <v>92.46</v>
      </c>
      <c r="G8" s="9">
        <f t="shared" si="1"/>
        <v>27737.999999999996</v>
      </c>
    </row>
    <row r="9" spans="1:7" x14ac:dyDescent="0.25">
      <c r="A9" s="13">
        <v>1</v>
      </c>
      <c r="B9" s="12" t="s">
        <v>6</v>
      </c>
      <c r="C9" s="11">
        <f>86+16+18+18+18+18</f>
        <v>174</v>
      </c>
      <c r="D9" s="10">
        <v>510.73</v>
      </c>
      <c r="E9" s="9">
        <f t="shared" si="0"/>
        <v>88867.02</v>
      </c>
      <c r="F9" s="6">
        <v>159</v>
      </c>
      <c r="G9" s="9">
        <f t="shared" si="1"/>
        <v>27666</v>
      </c>
    </row>
    <row r="10" spans="1:7" x14ac:dyDescent="0.25">
      <c r="A10" s="13">
        <v>1</v>
      </c>
      <c r="B10" s="12" t="s">
        <v>5</v>
      </c>
      <c r="C10" s="11">
        <f>177+177+177+177+177+177</f>
        <v>1062</v>
      </c>
      <c r="D10" s="10">
        <v>256.22000000000003</v>
      </c>
      <c r="E10" s="9">
        <f t="shared" si="0"/>
        <v>272105.64</v>
      </c>
      <c r="F10" s="6">
        <v>76</v>
      </c>
      <c r="G10" s="9">
        <f t="shared" si="1"/>
        <v>80712</v>
      </c>
    </row>
    <row r="11" spans="1:7" x14ac:dyDescent="0.25">
      <c r="C11" s="23" t="s">
        <v>4</v>
      </c>
      <c r="D11" s="23"/>
      <c r="E11" s="6">
        <f>SUM(E3:E10)</f>
        <v>1152352.5522</v>
      </c>
      <c r="F11" s="8" t="s">
        <v>3</v>
      </c>
      <c r="G11" s="3">
        <f>SUM(G3:G10)</f>
        <v>703402.8</v>
      </c>
    </row>
    <row r="12" spans="1:7" x14ac:dyDescent="0.25">
      <c r="A12" s="5"/>
      <c r="B12"/>
      <c r="C12"/>
      <c r="D12" s="24"/>
      <c r="E12" s="24"/>
      <c r="F12" s="24"/>
      <c r="G12" s="24"/>
    </row>
    <row r="13" spans="1:7" x14ac:dyDescent="0.25">
      <c r="A13" s="7"/>
      <c r="B13"/>
      <c r="C13" s="25" t="s">
        <v>2</v>
      </c>
      <c r="D13" s="25"/>
      <c r="E13" s="6">
        <f>E11-G11</f>
        <v>448949.75219999999</v>
      </c>
    </row>
    <row r="14" spans="1:7" x14ac:dyDescent="0.25">
      <c r="A14" s="5"/>
      <c r="B14"/>
      <c r="C14"/>
      <c r="G14" s="3"/>
    </row>
    <row r="15" spans="1:7" ht="32.1" customHeight="1" x14ac:dyDescent="0.25">
      <c r="C15" s="26" t="s">
        <v>1</v>
      </c>
      <c r="D15" s="26"/>
      <c r="E15" s="4" t="s">
        <v>0</v>
      </c>
      <c r="G15" s="3"/>
    </row>
  </sheetData>
  <mergeCells count="4">
    <mergeCell ref="C11:D11"/>
    <mergeCell ref="D12:G12"/>
    <mergeCell ref="C13:D13"/>
    <mergeCell ref="C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3DF6-1A12-46EA-8F5C-ECFE5AD1039B}">
  <dimension ref="A1:B7"/>
  <sheetViews>
    <sheetView tabSelected="1" workbookViewId="0">
      <selection activeCell="G4" sqref="G4"/>
    </sheetView>
  </sheetViews>
  <sheetFormatPr defaultRowHeight="15" x14ac:dyDescent="0.25"/>
  <cols>
    <col min="1" max="1" width="11.85546875" bestFit="1" customWidth="1"/>
  </cols>
  <sheetData>
    <row r="1" spans="1:2" x14ac:dyDescent="0.25">
      <c r="A1" s="22" t="s">
        <v>21</v>
      </c>
    </row>
    <row r="2" spans="1:2" x14ac:dyDescent="0.25">
      <c r="B2">
        <v>157363.28</v>
      </c>
    </row>
    <row r="3" spans="1:2" x14ac:dyDescent="0.25">
      <c r="B3">
        <v>154819.94</v>
      </c>
    </row>
    <row r="4" spans="1:2" x14ac:dyDescent="0.25">
      <c r="B4">
        <v>92032.23</v>
      </c>
    </row>
    <row r="5" spans="1:2" x14ac:dyDescent="0.25">
      <c r="B5">
        <v>174744.58</v>
      </c>
    </row>
    <row r="7" spans="1:2" x14ac:dyDescent="0.25">
      <c r="B7">
        <f>SUM(B2:B5)</f>
        <v>578960.02999999991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STEEL PIPES FIRST PO (3)</vt:lpstr>
      <vt:lpstr>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eureka mabena</dc:creator>
  <cp:lastModifiedBy>Nkgopoleng Sebake</cp:lastModifiedBy>
  <dcterms:created xsi:type="dcterms:W3CDTF">2025-09-22T07:14:50Z</dcterms:created>
  <dcterms:modified xsi:type="dcterms:W3CDTF">2025-10-14T08:38:58Z</dcterms:modified>
</cp:coreProperties>
</file>
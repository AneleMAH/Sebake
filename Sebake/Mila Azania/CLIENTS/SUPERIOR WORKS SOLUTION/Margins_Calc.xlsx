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SUPERIOR WORKS SOLUTION\"/>
    </mc:Choice>
  </mc:AlternateContent>
  <xr:revisionPtr revIDLastSave="0" documentId="13_ncr:1_{8DDBCD42-E35E-41F8-8A9F-57464B0EFE88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3" i="1"/>
  <c r="G8" i="1"/>
  <c r="F8" i="1"/>
  <c r="H2" i="1"/>
</calcChain>
</file>

<file path=xl/sharedStrings.xml><?xml version="1.0" encoding="utf-8"?>
<sst xmlns="http://schemas.openxmlformats.org/spreadsheetml/2006/main" count="14" uniqueCount="12">
  <si>
    <t>Margin Range Start</t>
  </si>
  <si>
    <t>Margin Range End</t>
  </si>
  <si>
    <t>Percentage to be charged</t>
  </si>
  <si>
    <t>Amount Requested</t>
  </si>
  <si>
    <t>P.O Value</t>
  </si>
  <si>
    <t>Margin percentage</t>
  </si>
  <si>
    <t>Margin</t>
  </si>
  <si>
    <t>charge</t>
  </si>
  <si>
    <t>Approved Capital Injection</t>
  </si>
  <si>
    <t>Project Management Fees</t>
  </si>
  <si>
    <t>Admin fee</t>
  </si>
  <si>
    <t>Total due to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</si>
</sst>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0" fontId="3" fillId="0" borderId="0" xfId="0" applyFont="1" applyAlignment="1">
      <alignment horizontal="left" vertical="center" wrapText="1"/>
    </xf>
    <xf numFmtId="8" fontId="0" fillId="0" borderId="0" xfId="0" applyNumberFormat="1"/>
    <xf numFmtId="4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topLeftCell="C1" workbookViewId="0">
      <selection activeCell="E14" sqref="E14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/>
    </row>
    <row r="2" spans="1:9" x14ac:dyDescent="0.25">
      <c r="A2" s="2">
        <v>0</v>
      </c>
      <c r="B2" s="2">
        <v>0.19</v>
      </c>
      <c r="C2" s="2">
        <v>0.14000000000000001</v>
      </c>
      <c r="E2" s="7">
        <v>234100</v>
      </c>
      <c r="F2" s="7">
        <v>358000</v>
      </c>
      <c r="H2">
        <f>IF(AND(ISNUMBER(E2),ISNUMBER(F2),F2&lt;&gt;0),(E2/F2)*100,"")</f>
        <v>65.391061452513966</v>
      </c>
      <c r="I2" s="2"/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</row>
    <row r="5" spans="1:9" x14ac:dyDescent="0.25">
      <c r="A5" s="2">
        <v>0.4</v>
      </c>
      <c r="B5" s="2">
        <v>0.49</v>
      </c>
      <c r="C5" s="2">
        <v>0.19500000000000001</v>
      </c>
      <c r="E5" s="6" t="s">
        <v>4</v>
      </c>
      <c r="F5" s="7">
        <v>358000</v>
      </c>
    </row>
    <row r="6" spans="1:9" x14ac:dyDescent="0.25">
      <c r="A6" s="2">
        <v>0.5</v>
      </c>
      <c r="B6" s="2">
        <v>0.59</v>
      </c>
      <c r="C6" s="2">
        <v>0.215</v>
      </c>
      <c r="E6" s="6" t="s">
        <v>3</v>
      </c>
      <c r="F6" s="7">
        <v>234100</v>
      </c>
    </row>
    <row r="7" spans="1:9" x14ac:dyDescent="0.25">
      <c r="A7" s="2">
        <v>0.6</v>
      </c>
      <c r="B7" s="2">
        <v>0.69</v>
      </c>
      <c r="C7" s="2">
        <v>0.23499999999999999</v>
      </c>
      <c r="G7" t="s">
        <v>7</v>
      </c>
    </row>
    <row r="8" spans="1:9" x14ac:dyDescent="0.25">
      <c r="A8" s="2">
        <v>0.7</v>
      </c>
      <c r="B8" s="2">
        <v>0.79</v>
      </c>
      <c r="C8" s="2">
        <v>0.245</v>
      </c>
      <c r="E8" t="s">
        <v>6</v>
      </c>
      <c r="F8" s="2">
        <f>(F5-F6)/F5</f>
        <v>0.34608938547486034</v>
      </c>
      <c r="G8" s="2">
        <f>C4</f>
        <v>0.17499999999999999</v>
      </c>
    </row>
    <row r="9" spans="1:9" x14ac:dyDescent="0.25">
      <c r="A9" s="2">
        <v>0.8</v>
      </c>
      <c r="B9" s="2">
        <v>0.89</v>
      </c>
      <c r="C9" s="2">
        <v>0.26500000000000001</v>
      </c>
    </row>
    <row r="10" spans="1:9" x14ac:dyDescent="0.25">
      <c r="A10" s="2">
        <v>0.9</v>
      </c>
      <c r="B10" s="2">
        <v>0.99</v>
      </c>
      <c r="C10" s="2">
        <v>0.28499999999999998</v>
      </c>
      <c r="F10" s="7"/>
    </row>
    <row r="11" spans="1:9" x14ac:dyDescent="0.25">
      <c r="A11" s="2">
        <v>1</v>
      </c>
      <c r="B11" s="2">
        <v>1</v>
      </c>
      <c r="C11" s="2">
        <v>0.3</v>
      </c>
    </row>
    <row r="13" spans="1:9" x14ac:dyDescent="0.25">
      <c r="E13" t="s">
        <v>8</v>
      </c>
      <c r="F13" s="7">
        <f>F6</f>
        <v>234100</v>
      </c>
    </row>
    <row r="14" spans="1:9" x14ac:dyDescent="0.25">
      <c r="E14" t="s">
        <v>9</v>
      </c>
      <c r="F14" s="7">
        <f>F13*G8</f>
        <v>40967.5</v>
      </c>
    </row>
    <row r="15" spans="1:9" x14ac:dyDescent="0.25">
      <c r="C15" s="1"/>
      <c r="D15" s="1"/>
      <c r="E15" s="8" t="s">
        <v>10</v>
      </c>
      <c r="F15" s="9">
        <v>2750</v>
      </c>
    </row>
    <row r="16" spans="1:9" x14ac:dyDescent="0.25">
      <c r="E16" t="s">
        <v>11</v>
      </c>
      <c r="F16" s="10">
        <f>SUM(F13:F15)</f>
        <v>277817.5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2025-10-22T07:59:53Z</dcterms:modified>
</cp:coreProperties>
</file>
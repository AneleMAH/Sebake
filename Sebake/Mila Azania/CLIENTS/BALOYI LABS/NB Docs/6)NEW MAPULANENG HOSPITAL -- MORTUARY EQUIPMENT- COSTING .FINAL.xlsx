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jmUySwZL1IpKBKMrHuoPX/WkLVqzwi5QV7MdaFD1pEo="/>
    </ext>
  </extLst>
</workbook>
</file>

<file path=xl/sharedStrings.xml><?xml version="1.0" encoding="utf-8"?>
<sst xmlns="http://schemas.openxmlformats.org/spreadsheetml/2006/main" count="60" uniqueCount="49">
  <si>
    <t xml:space="preserve">Quanity </t>
  </si>
  <si>
    <t xml:space="preserve">Price per unit </t>
  </si>
  <si>
    <t>Delivery</t>
  </si>
  <si>
    <t>Assembly</t>
  </si>
  <si>
    <t>Connection</t>
  </si>
  <si>
    <t xml:space="preserve">Total per unit </t>
  </si>
  <si>
    <t>Total (ex VAT)</t>
  </si>
  <si>
    <t xml:space="preserve">Equipment   Supplier </t>
  </si>
  <si>
    <t xml:space="preserve">Equipment ea COST </t>
  </si>
  <si>
    <t>Total Cost   Equipment</t>
  </si>
  <si>
    <t xml:space="preserve">Installation costs </t>
  </si>
  <si>
    <t xml:space="preserve">Selling price on equipment </t>
  </si>
  <si>
    <t xml:space="preserve">PROFIT </t>
  </si>
  <si>
    <t xml:space="preserve">Delivery 1 cost exc Vat </t>
  </si>
  <si>
    <t xml:space="preserve">Delivery 1 SP exc Vat </t>
  </si>
  <si>
    <t>profit</t>
  </si>
  <si>
    <t xml:space="preserve">Running Total </t>
  </si>
  <si>
    <t xml:space="preserve">Autopsy tables
</t>
  </si>
  <si>
    <t>Basterfield</t>
  </si>
  <si>
    <t>Dissection table</t>
  </si>
  <si>
    <t xml:space="preserve">Delivery 2 cost exc Vat </t>
  </si>
  <si>
    <t xml:space="preserve">Delivery 2 SP exc Vat </t>
  </si>
  <si>
    <t>CONNECTION  of autopsy / dissection tables complete</t>
  </si>
  <si>
    <t xml:space="preserve">EXTRA CHARGED </t>
  </si>
  <si>
    <r>
      <rPr>
        <rFont val="Century Gothic"/>
        <color theme="1"/>
        <sz val="10.0"/>
      </rPr>
      <t xml:space="preserve">Supply and install ( </t>
    </r>
    <r>
      <rPr>
        <rFont val="Century Gothic"/>
        <b/>
        <color theme="1"/>
        <sz val="10.0"/>
      </rPr>
      <t>2250 x 720 x 910</t>
    </r>
    <r>
      <rPr>
        <rFont val="Century Gothic"/>
        <color theme="1"/>
        <sz val="10.0"/>
      </rPr>
      <t xml:space="preserve"> ) single centered bowl stainless steel sink c/w splash back.</t>
    </r>
  </si>
  <si>
    <t xml:space="preserve">Delivery 3 cost exc Vat </t>
  </si>
  <si>
    <t xml:space="preserve">Delivery 3 SP exc Vat </t>
  </si>
  <si>
    <t xml:space="preserve">profit </t>
  </si>
  <si>
    <t>running Total</t>
  </si>
  <si>
    <t>steelerz.co.za</t>
  </si>
  <si>
    <r>
      <rPr>
        <rFont val="Century Gothic"/>
        <color theme="1"/>
        <sz val="10.0"/>
      </rPr>
      <t>Supply and install (</t>
    </r>
    <r>
      <rPr>
        <rFont val="Century Gothic"/>
        <b/>
        <color theme="1"/>
        <sz val="10.0"/>
      </rPr>
      <t xml:space="preserve"> 1050 x 720 x 910 </t>
    </r>
    <r>
      <rPr>
        <rFont val="Century Gothic"/>
        <color theme="1"/>
        <sz val="10.0"/>
      </rPr>
      <t xml:space="preserve">) stainless steel table  c/w splash back. </t>
    </r>
  </si>
  <si>
    <t xml:space="preserve"> Stainless Steel Instrument Cabinets</t>
  </si>
  <si>
    <t xml:space="preserve"> stainless steel recording counters </t>
  </si>
  <si>
    <t>Supply and placeCadaver Body Scale 1</t>
  </si>
  <si>
    <t xml:space="preserve">Richter scale </t>
  </si>
  <si>
    <t>Supply and place  480 x 430 Stainless steel sink  (packing dimensions 680   x 730  )</t>
  </si>
  <si>
    <t xml:space="preserve"> 298 Litres Double Door Lockable Fridges </t>
  </si>
  <si>
    <t xml:space="preserve">Boss catering </t>
  </si>
  <si>
    <t xml:space="preserve"> Mechanical Hydraulic Body LiftMortuary Lifting Trolley</t>
  </si>
  <si>
    <t>https://mortuaryfridge.co.za/product/mortuary-lift/?attribute_please-select-here=Mortuary+Body+Lifter&amp;utm_source=Google%20Shopping&amp;utm_campaign=Google%20ShoppinG%20SA&amp;utm_medium=cpc&amp;utm_term=1777&amp;gad_source=1&amp;gclid=CjwKCAjwps-zBhAiEiwALwsVYSZqD2RgZryaKJ8rCJhIkWdkPBh0p_TtMKsmhpjoHdlvAoRhSMvuCxoCLLQQAvD_BwE</t>
  </si>
  <si>
    <t xml:space="preserve">Cadaver Body Scale 2- Clover scales Stianless steel </t>
  </si>
  <si>
    <t xml:space="preserve"> Organ Scales 4 - 500 mm x 500 mm x 300 packing </t>
  </si>
  <si>
    <t xml:space="preserve">Scalerite 2 options </t>
  </si>
  <si>
    <t>Supply 600 x 500 x 258 Drip Sink 1</t>
  </si>
  <si>
    <t xml:space="preserve"> Embalming Stainless-Steel Tables </t>
  </si>
  <si>
    <t xml:space="preserve">Total excluding vat </t>
  </si>
  <si>
    <t xml:space="preserve">Total including vat </t>
  </si>
  <si>
    <t>Discount R15 000.00</t>
  </si>
  <si>
    <t>Autopsy tables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</si>
</sst>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]#,##0.00"/>
    <numFmt numFmtId="165" formatCode="0.000"/>
  </numFmts>
  <fonts count="15">
    <font>
      <sz val="10.0"/>
      <color rgb="FF000000"/>
      <name val="Arial"/>
      <scheme val="minor"/>
    </font>
    <font>
      <sz val="10.0"/>
      <color theme="1"/>
      <name val="Century Gothic"/>
    </font>
    <font>
      <sz val="10.0"/>
      <color rgb="FF000000"/>
      <name val="Century Gothic"/>
    </font>
    <font>
      <b/>
      <sz val="10.0"/>
      <color rgb="FF000000"/>
      <name val="Century Gothic"/>
    </font>
    <font>
      <sz val="10.0"/>
      <color rgb="FF020617"/>
      <name val="Century Gothic"/>
    </font>
    <font>
      <color theme="1"/>
      <name val="Arial"/>
      <scheme val="minor"/>
    </font>
    <font>
      <b/>
      <sz val="10.0"/>
      <color theme="1"/>
      <name val="Century Gothic"/>
    </font>
    <font/>
    <font>
      <sz val="10.0"/>
      <color rgb="FF121212"/>
      <name val="Century Gothic"/>
    </font>
    <font>
      <u/>
      <sz val="10.0"/>
      <color rgb="FF121212"/>
      <name val="Century Gothic"/>
    </font>
    <font>
      <b/>
      <u/>
      <sz val="10.0"/>
      <color rgb="FF020617"/>
      <name val="Century Gothic"/>
    </font>
    <font>
      <b/>
      <sz val="10.0"/>
      <color rgb="FF020617"/>
      <name val="Century Gothic"/>
    </font>
    <font>
      <sz val="10.0"/>
      <color rgb="FFFF0000"/>
      <name val="Century Gothic"/>
    </font>
    <font>
      <b/>
      <sz val="10.0"/>
      <color rgb="FFFF0000"/>
      <name val="Century Gothic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26">
    <border/>
    <border>
      <left style="thick">
        <color rgb="FF999999"/>
      </left>
      <top style="thick">
        <color rgb="FF999999"/>
      </top>
      <bottom style="thick">
        <color rgb="FF999999"/>
      </bottom>
    </border>
    <border>
      <top style="thick">
        <color rgb="FF999999"/>
      </top>
      <bottom style="thick">
        <color rgb="FF999999"/>
      </bottom>
    </border>
    <border>
      <right style="thick">
        <color rgb="FF999999"/>
      </right>
      <top style="thick">
        <color rgb="FF999999"/>
      </top>
      <bottom style="thick">
        <color rgb="FF999999"/>
      </bottom>
    </border>
    <border>
      <left style="thick">
        <color rgb="FF999999"/>
      </left>
      <right style="thick">
        <color rgb="FF999999"/>
      </right>
      <top style="thick">
        <color rgb="FF999999"/>
      </top>
      <bottom style="thick">
        <color rgb="FF999999"/>
      </bottom>
    </border>
    <border>
      <left style="thin">
        <color rgb="FF000000"/>
      </left>
      <top style="thin">
        <color rgb="FF000000"/>
      </top>
    </border>
    <border>
      <left style="thick">
        <color rgb="FF999999"/>
      </left>
      <right style="thick">
        <color rgb="FF999999"/>
      </right>
      <top style="thin">
        <color rgb="FF000000"/>
      </top>
    </border>
    <border>
      <right style="thick">
        <color rgb="FF999999"/>
      </right>
      <top style="thin">
        <color rgb="FF000000"/>
      </top>
    </border>
    <border>
      <left style="thick">
        <color rgb="FF999999"/>
      </left>
      <right style="thick">
        <color rgb="FF999999"/>
      </right>
      <top style="thin">
        <color rgb="FF000000"/>
      </top>
      <bottom style="thick">
        <color rgb="FF999999"/>
      </bottom>
    </border>
    <border>
      <left style="thick">
        <color rgb="FF999999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ck">
        <color rgb="FF999999"/>
      </left>
      <right style="thick">
        <color rgb="FF999999"/>
      </right>
    </border>
    <border>
      <right style="thick">
        <color rgb="FF999999"/>
      </right>
    </border>
    <border>
      <left style="thick">
        <color rgb="FF999999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ck">
        <color rgb="FF999999"/>
      </left>
      <right style="thick">
        <color rgb="FF999999"/>
      </right>
      <bottom style="thin">
        <color rgb="FF000000"/>
      </bottom>
    </border>
    <border>
      <right style="thick">
        <color rgb="FF999999"/>
      </right>
      <bottom style="thin">
        <color rgb="FF000000"/>
      </bottom>
    </border>
    <border>
      <left style="thick">
        <color rgb="FF999999"/>
      </left>
      <right style="thick">
        <color rgb="FF999999"/>
      </right>
      <top style="thick">
        <color rgb="FF999999"/>
      </top>
      <bottom style="thin">
        <color rgb="FF000000"/>
      </bottom>
    </border>
    <border>
      <left style="thick">
        <color rgb="FF999999"/>
      </left>
      <right style="thin">
        <color rgb="FF000000"/>
      </right>
      <bottom style="thin">
        <color rgb="FF000000"/>
      </bottom>
    </border>
    <border>
      <left style="thick">
        <color rgb="FF999999"/>
      </left>
      <right style="thick">
        <color rgb="FF999999"/>
      </right>
      <top style="thick">
        <color rgb="FF999999"/>
      </top>
    </border>
    <border>
      <left style="thick">
        <color rgb="FF999999"/>
      </left>
      <right style="thick">
        <color rgb="FF999999"/>
      </right>
      <bottom style="thick">
        <color rgb="FF999999"/>
      </bottom>
    </border>
    <border>
      <left style="thick">
        <color rgb="FF999999"/>
      </left>
      <top style="thick">
        <color rgb="FF999999"/>
      </top>
    </border>
    <border>
      <top style="thick">
        <color rgb="FF999999"/>
      </top>
    </border>
    <border>
      <right style="thick">
        <color rgb="FF999999"/>
      </right>
      <top style="thick">
        <color rgb="FF999999"/>
      </top>
    </border>
    <border>
      <left style="thick">
        <color rgb="FF999999"/>
      </left>
      <bottom style="thick">
        <color rgb="FF999999"/>
      </bottom>
    </border>
    <border>
      <right style="thick">
        <color rgb="FF999999"/>
      </right>
      <bottom style="thick">
        <color rgb="FF999999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2" fillId="2" fontId="2" numFmtId="0" xfId="0" applyBorder="1" applyFont="1"/>
    <xf borderId="3" fillId="2" fontId="2" numFmtId="0" xfId="0" applyBorder="1" applyFont="1"/>
    <xf borderId="0" fillId="2" fontId="1" numFmtId="0" xfId="0" applyFont="1"/>
    <xf borderId="0" fillId="2" fontId="1" numFmtId="0" xfId="0" applyAlignment="1" applyFont="1">
      <alignment shrinkToFit="0" wrapText="1"/>
    </xf>
    <xf borderId="0" fillId="3" fontId="1" numFmtId="164" xfId="0" applyFill="1" applyFont="1" applyNumberFormat="1"/>
    <xf borderId="0" fillId="2" fontId="1" numFmtId="164" xfId="0" applyAlignment="1" applyFont="1" applyNumberFormat="1">
      <alignment readingOrder="0" shrinkToFit="0" wrapText="1"/>
    </xf>
    <xf borderId="0" fillId="2" fontId="1" numFmtId="164" xfId="0" applyFont="1" applyNumberFormat="1"/>
    <xf borderId="0" fillId="0" fontId="1" numFmtId="164" xfId="0" applyFont="1" applyNumberFormat="1"/>
    <xf borderId="0" fillId="4" fontId="1" numFmtId="0" xfId="0" applyFill="1" applyFont="1"/>
    <xf borderId="0" fillId="5" fontId="1" numFmtId="0" xfId="0" applyAlignment="1" applyFill="1" applyFont="1">
      <alignment readingOrder="0" shrinkToFit="0" wrapText="1"/>
    </xf>
    <xf borderId="0" fillId="0" fontId="1" numFmtId="0" xfId="0" applyFont="1"/>
    <xf borderId="4" fillId="2" fontId="1" numFmtId="0" xfId="0" applyBorder="1" applyFont="1"/>
    <xf borderId="4" fillId="2" fontId="1" numFmtId="0" xfId="0" applyAlignment="1" applyBorder="1" applyFont="1">
      <alignment shrinkToFit="0" wrapText="1"/>
    </xf>
    <xf borderId="4" fillId="2" fontId="3" numFmtId="3" xfId="0" applyBorder="1" applyFont="1" applyNumberFormat="1"/>
    <xf borderId="4" fillId="2" fontId="2" numFmtId="164" xfId="0" applyBorder="1" applyFont="1" applyNumberFormat="1"/>
    <xf borderId="4" fillId="2" fontId="3" numFmtId="164" xfId="0" applyBorder="1" applyFont="1" applyNumberFormat="1"/>
    <xf borderId="4" fillId="2" fontId="3" numFmtId="164" xfId="0" applyAlignment="1" applyBorder="1" applyFont="1" applyNumberFormat="1">
      <alignment horizontal="right" shrinkToFit="0" wrapText="1"/>
    </xf>
    <xf borderId="0" fillId="2" fontId="4" numFmtId="164" xfId="0" applyFont="1" applyNumberFormat="1"/>
    <xf borderId="0" fillId="2" fontId="4" numFmtId="164" xfId="0" applyAlignment="1" applyFont="1" applyNumberFormat="1">
      <alignment horizontal="right"/>
    </xf>
    <xf borderId="0" fillId="6" fontId="1" numFmtId="164" xfId="0" applyFill="1" applyFont="1" applyNumberFormat="1"/>
    <xf borderId="0" fillId="2" fontId="5" numFmtId="164" xfId="0" applyFont="1" applyNumberFormat="1"/>
    <xf borderId="0" fillId="2" fontId="1" numFmtId="164" xfId="0" applyAlignment="1" applyFont="1" applyNumberFormat="1">
      <alignment shrinkToFit="0" wrapText="1"/>
    </xf>
    <xf borderId="0" fillId="2" fontId="1" numFmtId="164" xfId="0" applyFont="1" applyNumberFormat="1"/>
    <xf borderId="4" fillId="2" fontId="3" numFmtId="0" xfId="0" applyBorder="1" applyFont="1"/>
    <xf borderId="0" fillId="2" fontId="4" numFmtId="4" xfId="0" applyFont="1" applyNumberFormat="1"/>
    <xf borderId="0" fillId="7" fontId="1" numFmtId="0" xfId="0" applyAlignment="1" applyFill="1" applyFont="1">
      <alignment readingOrder="0" shrinkToFit="0" wrapText="1"/>
    </xf>
    <xf borderId="4" fillId="2" fontId="1" numFmtId="0" xfId="0" applyAlignment="1" applyBorder="1" applyFont="1">
      <alignment readingOrder="0"/>
    </xf>
    <xf borderId="4" fillId="2" fontId="6" numFmtId="0" xfId="0" applyBorder="1" applyFont="1"/>
    <xf borderId="4" fillId="2" fontId="6" numFmtId="164" xfId="0" applyBorder="1" applyFont="1" applyNumberFormat="1"/>
    <xf borderId="5" fillId="2" fontId="1" numFmtId="0" xfId="0" applyBorder="1" applyFont="1"/>
    <xf borderId="6" fillId="2" fontId="1" numFmtId="0" xfId="0" applyAlignment="1" applyBorder="1" applyFont="1">
      <alignment shrinkToFit="0" wrapText="1"/>
    </xf>
    <xf borderId="7" fillId="2" fontId="6" numFmtId="0" xfId="0" applyAlignment="1" applyBorder="1" applyFont="1">
      <alignment shrinkToFit="0" wrapText="1"/>
    </xf>
    <xf borderId="6" fillId="2" fontId="6" numFmtId="164" xfId="0" applyBorder="1" applyFont="1" applyNumberFormat="1"/>
    <xf borderId="8" fillId="2" fontId="6" numFmtId="164" xfId="0" applyBorder="1" applyFont="1" applyNumberFormat="1"/>
    <xf borderId="6" fillId="2" fontId="3" numFmtId="164" xfId="0" applyAlignment="1" applyBorder="1" applyFont="1" applyNumberFormat="1">
      <alignment horizontal="right" shrinkToFit="0" wrapText="1"/>
    </xf>
    <xf borderId="9" fillId="2" fontId="3" numFmtId="164" xfId="0" applyAlignment="1" applyBorder="1" applyFont="1" applyNumberFormat="1">
      <alignment horizontal="right" shrinkToFit="0" wrapText="1"/>
    </xf>
    <xf borderId="0" fillId="6" fontId="1" numFmtId="0" xfId="0" applyAlignment="1" applyFont="1">
      <alignment readingOrder="0" shrinkToFit="0" wrapText="1"/>
    </xf>
    <xf borderId="0" fillId="6" fontId="1" numFmtId="164" xfId="0" applyAlignment="1" applyFont="1" applyNumberFormat="1">
      <alignment readingOrder="0"/>
    </xf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11" fillId="2" fontId="6" numFmtId="164" xfId="0" applyBorder="1" applyFont="1" applyNumberFormat="1"/>
    <xf borderId="13" fillId="0" fontId="7" numFmtId="0" xfId="0" applyBorder="1" applyFont="1"/>
    <xf borderId="0" fillId="2" fontId="8" numFmtId="164" xfId="0" applyFont="1" applyNumberFormat="1"/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2" fontId="6" numFmtId="164" xfId="0" applyBorder="1" applyFont="1" applyNumberFormat="1"/>
    <xf borderId="18" fillId="0" fontId="7" numFmtId="0" xfId="0" applyBorder="1" applyFont="1"/>
    <xf borderId="0" fillId="2" fontId="9" numFmtId="164" xfId="0" applyFont="1" applyNumberFormat="1"/>
    <xf borderId="0" fillId="5" fontId="1" numFmtId="164" xfId="0" applyFont="1" applyNumberFormat="1"/>
    <xf borderId="19" fillId="2" fontId="1" numFmtId="0" xfId="0" applyBorder="1" applyFont="1"/>
    <xf borderId="19" fillId="2" fontId="1" numFmtId="0" xfId="0" applyAlignment="1" applyBorder="1" applyFont="1">
      <alignment shrinkToFit="0" wrapText="1"/>
    </xf>
    <xf borderId="19" fillId="2" fontId="6" numFmtId="0" xfId="0" applyBorder="1" applyFont="1"/>
    <xf borderId="19" fillId="2" fontId="6" numFmtId="164" xfId="0" applyBorder="1" applyFont="1" applyNumberFormat="1"/>
    <xf borderId="19" fillId="2" fontId="3" numFmtId="164" xfId="0" applyAlignment="1" applyBorder="1" applyFont="1" applyNumberFormat="1">
      <alignment horizontal="right" shrinkToFit="0" wrapText="1"/>
    </xf>
    <xf borderId="0" fillId="2" fontId="1" numFmtId="2" xfId="0" applyFont="1" applyNumberFormat="1"/>
    <xf borderId="20" fillId="0" fontId="7" numFmtId="0" xfId="0" applyBorder="1" applyFont="1"/>
    <xf borderId="4" fillId="2" fontId="1" numFmtId="0" xfId="0" applyAlignment="1" applyBorder="1" applyFont="1">
      <alignment shrinkToFit="0" vertical="center" wrapText="1"/>
    </xf>
    <xf borderId="4" fillId="2" fontId="6" numFmtId="3" xfId="0" applyBorder="1" applyFont="1" applyNumberFormat="1"/>
    <xf borderId="4" fillId="2" fontId="3" numFmtId="164" xfId="0" applyAlignment="1" applyBorder="1" applyFont="1" applyNumberFormat="1">
      <alignment shrinkToFit="0" wrapText="1"/>
    </xf>
    <xf borderId="0" fillId="7" fontId="1" numFmtId="164" xfId="0" applyFont="1" applyNumberFormat="1"/>
    <xf borderId="4" fillId="2" fontId="1" numFmtId="0" xfId="0" applyAlignment="1" applyBorder="1" applyFont="1">
      <alignment readingOrder="0" shrinkToFit="0" wrapText="1"/>
    </xf>
    <xf borderId="4" fillId="2" fontId="6" numFmtId="0" xfId="0" applyAlignment="1" applyBorder="1" applyFont="1">
      <alignment shrinkToFit="0" wrapText="1"/>
    </xf>
    <xf borderId="4" fillId="2" fontId="6" numFmtId="164" xfId="0" applyAlignment="1" applyBorder="1" applyFont="1" applyNumberFormat="1">
      <alignment shrinkToFit="0" wrapText="1"/>
    </xf>
    <xf borderId="0" fillId="2" fontId="1" numFmtId="3" xfId="0" applyFont="1" applyNumberFormat="1"/>
    <xf borderId="0" fillId="2" fontId="5" numFmtId="0" xfId="0" applyFont="1"/>
    <xf borderId="0" fillId="2" fontId="10" numFmtId="4" xfId="0" applyAlignment="1" applyFont="1" applyNumberFormat="1">
      <alignment shrinkToFit="0" wrapText="1"/>
    </xf>
    <xf borderId="0" fillId="2" fontId="1" numFmtId="164" xfId="0" applyAlignment="1" applyFont="1" applyNumberFormat="1">
      <alignment readingOrder="0"/>
    </xf>
    <xf borderId="0" fillId="2" fontId="1" numFmtId="3" xfId="0" applyAlignment="1" applyFont="1" applyNumberFormat="1">
      <alignment readingOrder="0"/>
    </xf>
    <xf borderId="0" fillId="2" fontId="1" numFmtId="0" xfId="0" applyAlignment="1" applyFont="1">
      <alignment readingOrder="0" shrinkToFit="0" wrapText="1"/>
    </xf>
    <xf borderId="0" fillId="2" fontId="6" numFmtId="0" xfId="0" applyFont="1"/>
    <xf borderId="0" fillId="2" fontId="6" numFmtId="164" xfId="0" applyFont="1" applyNumberFormat="1"/>
    <xf borderId="0" fillId="2" fontId="3" numFmtId="164" xfId="0" applyAlignment="1" applyFont="1" applyNumberFormat="1">
      <alignment horizontal="right" shrinkToFit="0" wrapText="1"/>
    </xf>
    <xf borderId="0" fillId="2" fontId="3" numFmtId="164" xfId="0" applyAlignment="1" applyFont="1" applyNumberFormat="1">
      <alignment shrinkToFit="0" wrapText="1"/>
    </xf>
    <xf borderId="0" fillId="2" fontId="11" numFmtId="4" xfId="0" applyFont="1" applyNumberFormat="1"/>
    <xf borderId="21" fillId="2" fontId="1" numFmtId="0" xfId="0" applyBorder="1" applyFont="1"/>
    <xf borderId="22" fillId="2" fontId="1" numFmtId="0" xfId="0" applyAlignment="1" applyBorder="1" applyFont="1">
      <alignment shrinkToFit="0" wrapText="1"/>
    </xf>
    <xf borderId="23" fillId="2" fontId="6" numFmtId="0" xfId="0" applyBorder="1" applyFont="1"/>
    <xf borderId="19" fillId="2" fontId="3" numFmtId="164" xfId="0" applyAlignment="1" applyBorder="1" applyFont="1" applyNumberFormat="1">
      <alignment shrinkToFit="0" wrapText="1"/>
    </xf>
    <xf borderId="24" fillId="0" fontId="7" numFmtId="0" xfId="0" applyBorder="1" applyFont="1"/>
    <xf borderId="20" fillId="2" fontId="1" numFmtId="0" xfId="0" applyAlignment="1" applyBorder="1" applyFont="1">
      <alignment shrinkToFit="0" wrapText="1"/>
    </xf>
    <xf borderId="25" fillId="0" fontId="7" numFmtId="0" xfId="0" applyBorder="1" applyFont="1"/>
    <xf borderId="1" fillId="0" fontId="1" numFmtId="0" xfId="0" applyBorder="1" applyFont="1"/>
    <xf borderId="2" fillId="0" fontId="1" numFmtId="0" xfId="0" applyBorder="1" applyFont="1"/>
    <xf borderId="3" fillId="0" fontId="3" numFmtId="164" xfId="0" applyBorder="1" applyFont="1" applyNumberFormat="1"/>
    <xf borderId="1" fillId="0" fontId="12" numFmtId="0" xfId="0" applyBorder="1" applyFont="1"/>
    <xf borderId="2" fillId="0" fontId="13" numFmtId="0" xfId="0" applyBorder="1" applyFont="1"/>
    <xf borderId="3" fillId="0" fontId="13" numFmtId="164" xfId="0" applyBorder="1" applyFont="1" applyNumberFormat="1"/>
    <xf borderId="0" fillId="0" fontId="1" numFmtId="164" xfId="0" applyFont="1" applyNumberFormat="1"/>
    <xf borderId="0" fillId="8" fontId="1" numFmtId="164" xfId="0" applyFill="1" applyFont="1" applyNumberFormat="1"/>
    <xf borderId="0" fillId="4" fontId="1" numFmtId="164" xfId="0" applyFont="1" applyNumberFormat="1"/>
    <xf borderId="0" fillId="0" fontId="1" numFmtId="0" xfId="0" applyAlignment="1" applyFont="1">
      <alignment readingOrder="0"/>
    </xf>
    <xf borderId="0" fillId="2" fontId="14" numFmtId="0" xfId="0" applyFont="1"/>
    <xf borderId="0" fillId="4" fontId="14" numFmtId="0" xfId="0" applyFont="1"/>
    <xf borderId="0" fillId="0" fontId="14" numFmtId="164" xfId="0" applyFont="1" applyNumberFormat="1"/>
    <xf borderId="0" fillId="0" fontId="14" numFmtId="165" xfId="0" applyFont="1" applyNumberFormat="1"/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teelerz.co.za" TargetMode="External"/><Relationship Id="rId2" Type="http://schemas.openxmlformats.org/officeDocument/2006/relationships/hyperlink" Target="http://steelerz.co.za" TargetMode="External"/><Relationship Id="rId3" Type="http://schemas.openxmlformats.org/officeDocument/2006/relationships/hyperlink" Target="http://steelerz.co.za" TargetMode="External"/><Relationship Id="rId4" Type="http://schemas.openxmlformats.org/officeDocument/2006/relationships/hyperlink" Target="https://mortuaryfridge.co.za/product/mortuary-lift/?attribute_please-select-here=Mortuary+Body+Lifter&amp;utm_source=Google%20Shopping&amp;utm_campaign=Google%20ShoppinG%20SA&amp;utm_medium=cpc&amp;utm_term=1777&amp;gad_source=1&amp;gclid=CjwKCAjwps-zBhAiEiwALwsVYSZqD2RgZryaKJ8rCJhIkWdkPBh0p_TtMKsmhpjoHdlvAoRhSMvuCxoCLLQQAvD_BwE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35.75"/>
    <col customWidth="1" min="3" max="3" width="14.5"/>
    <col hidden="1" min="5" max="5" width="12.63"/>
    <col customWidth="1" min="11" max="11" width="19.25"/>
    <col customWidth="1" min="12" max="12" width="19.75"/>
    <col customWidth="1" min="13" max="13" width="22.38"/>
    <col customWidth="1" min="14" max="14" width="15.75"/>
    <col customWidth="1" min="15" max="15" width="23.75"/>
    <col customWidth="1" min="17" max="17" width="11.13"/>
    <col customWidth="1" min="18" max="18" width="8.88"/>
    <col customWidth="1" min="19" max="19" width="5.38"/>
    <col customWidth="1" min="20" max="20" width="25.75"/>
    <col customWidth="1" min="21" max="21" width="28.25"/>
    <col customWidth="1" min="22" max="22" width="22.38"/>
    <col customWidth="1" min="23" max="23" width="18.63"/>
  </cols>
  <sheetData>
    <row r="1" ht="15.75" customHeight="1">
      <c r="A1" s="1"/>
      <c r="B1" s="2"/>
      <c r="C1" s="2" t="s">
        <v>0</v>
      </c>
      <c r="D1" s="2" t="s">
        <v>1</v>
      </c>
      <c r="E1" s="2"/>
      <c r="F1" s="2" t="s">
        <v>2</v>
      </c>
      <c r="G1" s="2" t="s">
        <v>3</v>
      </c>
      <c r="H1" s="2" t="s">
        <v>4</v>
      </c>
      <c r="I1" s="3" t="s">
        <v>5</v>
      </c>
      <c r="J1" s="4" t="s">
        <v>6</v>
      </c>
      <c r="K1" s="5" t="s">
        <v>7</v>
      </c>
      <c r="L1" s="6" t="s">
        <v>8</v>
      </c>
      <c r="M1" s="5" t="s">
        <v>9</v>
      </c>
      <c r="N1" s="7" t="s">
        <v>10</v>
      </c>
      <c r="O1" s="8" t="s">
        <v>11</v>
      </c>
      <c r="P1" s="9" t="s">
        <v>12</v>
      </c>
      <c r="Q1" s="10"/>
      <c r="R1" s="5"/>
      <c r="S1" s="11"/>
      <c r="T1" s="12" t="s">
        <v>13</v>
      </c>
      <c r="U1" s="12" t="s">
        <v>14</v>
      </c>
      <c r="V1" s="12" t="s">
        <v>15</v>
      </c>
      <c r="W1" s="12" t="s">
        <v>16</v>
      </c>
      <c r="X1" s="5"/>
      <c r="Y1" s="5"/>
      <c r="Z1" s="13"/>
    </row>
    <row r="2" ht="15.75" customHeight="1">
      <c r="A2" s="14">
        <v>1.0</v>
      </c>
      <c r="B2" s="15" t="s">
        <v>17</v>
      </c>
      <c r="C2" s="16">
        <v>4.0</v>
      </c>
      <c r="D2" s="17">
        <f>154192*1.5</f>
        <v>231288</v>
      </c>
      <c r="E2" s="18"/>
      <c r="F2" s="19">
        <f>10719/4</f>
        <v>2679.75</v>
      </c>
      <c r="G2" s="19"/>
      <c r="H2" s="19">
        <f>12320/4</f>
        <v>3080</v>
      </c>
      <c r="I2" s="19">
        <f>SUM(D2:H2)</f>
        <v>237047.75</v>
      </c>
      <c r="J2" s="19">
        <f>I2*C2</f>
        <v>948191</v>
      </c>
      <c r="K2" s="20" t="s">
        <v>18</v>
      </c>
      <c r="L2" s="21">
        <v>124192.0</v>
      </c>
      <c r="M2" s="9">
        <f>L2*4</f>
        <v>496768</v>
      </c>
      <c r="N2" s="7">
        <f>(F2+H2)*C2</f>
        <v>23039</v>
      </c>
      <c r="O2" s="9">
        <f>D2*C2</f>
        <v>925152</v>
      </c>
      <c r="P2" s="9">
        <f>O2-M2</f>
        <v>428384</v>
      </c>
      <c r="Q2" s="22"/>
      <c r="R2" s="5"/>
      <c r="S2" s="11"/>
      <c r="T2" s="23">
        <f>M10+M13+M21+Q23</f>
        <v>105213.913</v>
      </c>
      <c r="U2" s="9">
        <f>O10+O13+O21+(O23/2)</f>
        <v>323680</v>
      </c>
      <c r="V2" s="9">
        <f>U2-T2</f>
        <v>218466.087</v>
      </c>
      <c r="W2" s="9">
        <f>U2</f>
        <v>323680</v>
      </c>
      <c r="X2" s="5"/>
      <c r="Y2" s="5"/>
      <c r="Z2" s="13"/>
    </row>
    <row r="3" ht="1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24"/>
      <c r="L3" s="9"/>
      <c r="M3" s="9"/>
      <c r="N3" s="7"/>
      <c r="O3" s="9"/>
      <c r="P3" s="9"/>
      <c r="Q3" s="10"/>
      <c r="R3" s="5"/>
      <c r="S3" s="11"/>
      <c r="T3" s="25"/>
      <c r="U3" s="25"/>
      <c r="V3" s="25"/>
      <c r="W3" s="25"/>
      <c r="X3" s="5"/>
      <c r="Y3" s="5"/>
      <c r="Z3" s="13"/>
    </row>
    <row r="4" ht="15.75" customHeight="1">
      <c r="A4" s="14">
        <v>1.1</v>
      </c>
      <c r="B4" s="15" t="s">
        <v>19</v>
      </c>
      <c r="C4" s="26">
        <v>4.0</v>
      </c>
      <c r="D4" s="18">
        <f>31104.59*1.5</f>
        <v>46656.885</v>
      </c>
      <c r="E4" s="18"/>
      <c r="F4" s="19">
        <f>10719/4</f>
        <v>2679.75</v>
      </c>
      <c r="G4" s="19"/>
      <c r="H4" s="19">
        <f>12320/4</f>
        <v>3080</v>
      </c>
      <c r="I4" s="19">
        <f>SUM(D4:H4)</f>
        <v>52416.635</v>
      </c>
      <c r="J4" s="19">
        <f>I4*C4</f>
        <v>209666.54</v>
      </c>
      <c r="K4" s="27"/>
      <c r="L4" s="21"/>
      <c r="M4" s="9"/>
      <c r="N4" s="7">
        <f>(H4+F4)*4</f>
        <v>23039</v>
      </c>
      <c r="O4" s="9">
        <f>D4*C4</f>
        <v>186627.54</v>
      </c>
      <c r="P4" s="9">
        <f>O4-M4</f>
        <v>186627.54</v>
      </c>
      <c r="Q4" s="22"/>
      <c r="R4" s="5"/>
      <c r="S4" s="11"/>
      <c r="T4" s="28" t="s">
        <v>20</v>
      </c>
      <c r="U4" s="28" t="s">
        <v>21</v>
      </c>
      <c r="V4" s="28" t="s">
        <v>15</v>
      </c>
      <c r="W4" s="28" t="s">
        <v>16</v>
      </c>
      <c r="X4" s="5"/>
      <c r="Y4" s="5"/>
      <c r="Z4" s="13"/>
    </row>
    <row r="5" ht="15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9"/>
      <c r="M5" s="9"/>
      <c r="N5" s="7"/>
      <c r="O5" s="9"/>
      <c r="P5" s="9"/>
      <c r="Q5" s="10"/>
      <c r="R5" s="5"/>
      <c r="S5" s="11"/>
      <c r="T5" s="25">
        <f>R23+M25+M27+M30+M19+M36</f>
        <v>312875.5652</v>
      </c>
      <c r="U5" s="25">
        <f>O19+O25+O27+O30+(O23/2)+O36</f>
        <v>947520</v>
      </c>
      <c r="V5" s="25">
        <f>U5-T5</f>
        <v>634644.4348</v>
      </c>
      <c r="W5" s="25">
        <f>U5</f>
        <v>947520</v>
      </c>
      <c r="X5" s="5"/>
      <c r="Y5" s="5"/>
      <c r="Z5" s="13"/>
    </row>
    <row r="6" ht="15.75" customHeight="1">
      <c r="A6" s="14">
        <v>2.0</v>
      </c>
      <c r="B6" s="29" t="s">
        <v>22</v>
      </c>
      <c r="C6" s="30">
        <v>8.0</v>
      </c>
      <c r="D6" s="31"/>
      <c r="E6" s="31"/>
      <c r="F6" s="31"/>
      <c r="G6" s="31">
        <f>22000</f>
        <v>22000</v>
      </c>
      <c r="H6" s="31"/>
      <c r="I6" s="31">
        <f>G6</f>
        <v>22000</v>
      </c>
      <c r="J6" s="31">
        <f>I6*C6</f>
        <v>176000</v>
      </c>
      <c r="K6" s="13" t="s">
        <v>23</v>
      </c>
      <c r="L6" s="13"/>
      <c r="M6" s="10"/>
      <c r="N6" s="7"/>
      <c r="O6" s="9">
        <v>176000.0</v>
      </c>
      <c r="P6" s="9">
        <f>J6</f>
        <v>176000</v>
      </c>
      <c r="Q6" s="10"/>
      <c r="R6" s="5"/>
      <c r="S6" s="11"/>
      <c r="T6" s="25"/>
      <c r="U6" s="25"/>
      <c r="V6" s="25"/>
      <c r="W6" s="25"/>
      <c r="X6" s="5"/>
      <c r="Y6" s="5"/>
      <c r="Z6" s="1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9"/>
      <c r="M7" s="9"/>
      <c r="N7" s="7"/>
      <c r="O7" s="9"/>
      <c r="P7" s="9"/>
      <c r="Q7" s="10"/>
      <c r="R7" s="5"/>
      <c r="S7" s="11"/>
      <c r="T7" s="25"/>
      <c r="U7" s="25"/>
      <c r="V7" s="25"/>
      <c r="W7" s="25"/>
      <c r="X7" s="5"/>
      <c r="Y7" s="5"/>
      <c r="Z7" s="13"/>
    </row>
    <row r="8" ht="15.75" customHeight="1">
      <c r="A8" s="32">
        <v>3.0</v>
      </c>
      <c r="B8" s="33" t="s">
        <v>24</v>
      </c>
      <c r="C8" s="34">
        <v>4.0</v>
      </c>
      <c r="D8" s="35">
        <f>4000*2</f>
        <v>8000</v>
      </c>
      <c r="E8" s="36"/>
      <c r="F8" s="37">
        <f>21438/4</f>
        <v>5359.5</v>
      </c>
      <c r="G8" s="37">
        <f>29155/4</f>
        <v>7288.75</v>
      </c>
      <c r="H8" s="37">
        <f>3360/4</f>
        <v>840</v>
      </c>
      <c r="I8" s="37">
        <v>21488.25</v>
      </c>
      <c r="J8" s="38">
        <f>I8*C8</f>
        <v>85953</v>
      </c>
      <c r="K8" s="5"/>
      <c r="L8" s="9"/>
      <c r="M8" s="9"/>
      <c r="N8" s="7"/>
      <c r="O8" s="9"/>
      <c r="P8" s="9"/>
      <c r="Q8" s="10"/>
      <c r="R8" s="5"/>
      <c r="S8" s="11"/>
      <c r="T8" s="39" t="s">
        <v>25</v>
      </c>
      <c r="U8" s="39" t="s">
        <v>26</v>
      </c>
      <c r="V8" s="40" t="s">
        <v>27</v>
      </c>
      <c r="W8" s="40" t="s">
        <v>28</v>
      </c>
      <c r="X8" s="5"/>
      <c r="Y8" s="5"/>
      <c r="Z8" s="13"/>
    </row>
    <row r="9" ht="15.75" customHeight="1">
      <c r="A9" s="41"/>
      <c r="B9" s="42"/>
      <c r="C9" s="43"/>
      <c r="D9" s="42"/>
      <c r="E9" s="44"/>
      <c r="F9" s="42"/>
      <c r="G9" s="42"/>
      <c r="H9" s="42"/>
      <c r="I9" s="42"/>
      <c r="J9" s="45"/>
      <c r="K9" s="46"/>
      <c r="L9" s="9"/>
      <c r="M9" s="24"/>
      <c r="N9" s="7"/>
      <c r="O9" s="9"/>
      <c r="P9" s="9"/>
      <c r="Q9" s="10"/>
      <c r="R9" s="5"/>
      <c r="S9" s="11"/>
      <c r="T9" s="25">
        <f>M2+M15+M17+M36</f>
        <v>630716</v>
      </c>
      <c r="U9" s="25">
        <f>O2+O4+O15+O17+O33</f>
        <v>1266212.54</v>
      </c>
      <c r="V9" s="25">
        <f>U9-T9</f>
        <v>635496.54</v>
      </c>
      <c r="W9" s="25">
        <f>U9</f>
        <v>1266212.54</v>
      </c>
      <c r="X9" s="5"/>
      <c r="Y9" s="5"/>
      <c r="Z9" s="13"/>
    </row>
    <row r="10" ht="15.75" customHeight="1">
      <c r="A10" s="47"/>
      <c r="B10" s="48"/>
      <c r="C10" s="49"/>
      <c r="D10" s="48"/>
      <c r="E10" s="50"/>
      <c r="F10" s="48"/>
      <c r="G10" s="48"/>
      <c r="H10" s="48"/>
      <c r="I10" s="48"/>
      <c r="J10" s="51"/>
      <c r="K10" s="52" t="s">
        <v>29</v>
      </c>
      <c r="L10" s="9">
        <f>5500/1.15</f>
        <v>4782.608696</v>
      </c>
      <c r="M10" s="9">
        <f>L10*4</f>
        <v>19130.43478</v>
      </c>
      <c r="N10" s="7">
        <f>(H8+G8+F8)*4</f>
        <v>53953</v>
      </c>
      <c r="O10" s="9">
        <f>D8*C8</f>
        <v>32000</v>
      </c>
      <c r="P10" s="9">
        <f>O10-M10</f>
        <v>12869.56522</v>
      </c>
      <c r="Q10" s="53"/>
      <c r="R10" s="5"/>
      <c r="S10" s="11"/>
      <c r="T10" s="25"/>
      <c r="U10" s="25"/>
      <c r="V10" s="25"/>
      <c r="W10" s="25"/>
      <c r="X10" s="5"/>
      <c r="Y10" s="5"/>
      <c r="Z10" s="13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9"/>
      <c r="N11" s="7"/>
      <c r="O11" s="9"/>
      <c r="P11" s="9"/>
      <c r="Q11" s="10"/>
      <c r="R11" s="5"/>
      <c r="S11" s="11"/>
      <c r="T11" s="25"/>
      <c r="U11" s="25"/>
      <c r="V11" s="25"/>
      <c r="W11" s="25"/>
      <c r="X11" s="5"/>
      <c r="Y11" s="5"/>
      <c r="Z11" s="13"/>
    </row>
    <row r="12" ht="15.75" customHeight="1">
      <c r="A12" s="54">
        <v>4.0</v>
      </c>
      <c r="B12" s="55" t="s">
        <v>30</v>
      </c>
      <c r="C12" s="56">
        <v>8.0</v>
      </c>
      <c r="D12" s="57">
        <f>7150*2</f>
        <v>14300</v>
      </c>
      <c r="E12" s="31"/>
      <c r="F12" s="58">
        <f>42875/8</f>
        <v>5359.375</v>
      </c>
      <c r="G12" s="58">
        <f>58310/8</f>
        <v>7288.75</v>
      </c>
      <c r="H12" s="58">
        <f>6720/8</f>
        <v>840</v>
      </c>
      <c r="I12" s="58">
        <v>27788.13</v>
      </c>
      <c r="J12" s="58">
        <f>I12*8</f>
        <v>222305.04</v>
      </c>
      <c r="K12" s="59"/>
      <c r="L12" s="5"/>
      <c r="M12" s="24"/>
      <c r="N12" s="7"/>
      <c r="O12" s="9"/>
      <c r="P12" s="9"/>
      <c r="Q12" s="10"/>
      <c r="R12" s="5"/>
      <c r="S12" s="11"/>
      <c r="T12" s="25"/>
      <c r="U12" s="25"/>
      <c r="V12" s="25"/>
      <c r="W12" s="25"/>
      <c r="X12" s="5"/>
      <c r="Y12" s="5"/>
      <c r="Z12" s="13"/>
    </row>
    <row r="13" ht="15.75" customHeight="1">
      <c r="A13" s="60"/>
      <c r="B13" s="60"/>
      <c r="C13" s="60"/>
      <c r="D13" s="60"/>
      <c r="E13" s="31"/>
      <c r="F13" s="60"/>
      <c r="G13" s="60"/>
      <c r="H13" s="60"/>
      <c r="I13" s="60"/>
      <c r="J13" s="60"/>
      <c r="K13" s="52" t="s">
        <v>29</v>
      </c>
      <c r="L13" s="9">
        <f>3500/1.15</f>
        <v>3043.478261</v>
      </c>
      <c r="M13" s="9">
        <f>L13*8</f>
        <v>24347.82609</v>
      </c>
      <c r="N13" s="7">
        <f>(H12+G12+F12)*C12</f>
        <v>107905</v>
      </c>
      <c r="O13" s="9">
        <f>D12*C12</f>
        <v>114400</v>
      </c>
      <c r="P13" s="9">
        <f>O13-M13</f>
        <v>90052.17391</v>
      </c>
      <c r="Q13" s="53"/>
      <c r="R13" s="5"/>
      <c r="S13" s="11"/>
      <c r="T13" s="25"/>
      <c r="U13" s="25"/>
      <c r="V13" s="25"/>
      <c r="W13" s="25"/>
      <c r="X13" s="5"/>
      <c r="Y13" s="5"/>
      <c r="Z13" s="13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9"/>
      <c r="M14" s="9"/>
      <c r="N14" s="7"/>
      <c r="O14" s="9"/>
      <c r="P14" s="9"/>
      <c r="Q14" s="10"/>
      <c r="R14" s="5"/>
      <c r="S14" s="11"/>
      <c r="T14" s="25"/>
      <c r="U14" s="25"/>
      <c r="V14" s="25"/>
      <c r="W14" s="25"/>
      <c r="X14" s="5"/>
      <c r="Y14" s="5"/>
      <c r="Z14" s="13"/>
    </row>
    <row r="15" ht="15.75" customHeight="1">
      <c r="A15" s="14">
        <v>5.0</v>
      </c>
      <c r="B15" s="61" t="s">
        <v>31</v>
      </c>
      <c r="C15" s="62">
        <v>4.0</v>
      </c>
      <c r="D15" s="31">
        <f>9803*1.5</f>
        <v>14704.5</v>
      </c>
      <c r="E15" s="31"/>
      <c r="F15" s="19">
        <f>21438/4</f>
        <v>5359.5</v>
      </c>
      <c r="G15" s="19">
        <f>7289/4</f>
        <v>1822.25</v>
      </c>
      <c r="H15" s="63"/>
      <c r="I15" s="19">
        <f>SUM(D15:H15)</f>
        <v>21886.25</v>
      </c>
      <c r="J15" s="19">
        <f>I15*C15</f>
        <v>87545</v>
      </c>
      <c r="K15" s="27" t="s">
        <v>18</v>
      </c>
      <c r="L15" s="9">
        <f>9803</f>
        <v>9803</v>
      </c>
      <c r="M15" s="9">
        <f>L15*C15</f>
        <v>39212</v>
      </c>
      <c r="N15" s="7">
        <f>(G15+F15)*C15</f>
        <v>28727</v>
      </c>
      <c r="O15" s="9">
        <f>D15*C15</f>
        <v>58818</v>
      </c>
      <c r="P15" s="9">
        <f>O15-M15</f>
        <v>19606</v>
      </c>
      <c r="Q15" s="22"/>
      <c r="R15" s="5"/>
      <c r="S15" s="11"/>
      <c r="T15" s="25"/>
      <c r="U15" s="25"/>
      <c r="V15" s="25"/>
      <c r="W15" s="25"/>
      <c r="X15" s="5"/>
      <c r="Y15" s="5"/>
      <c r="Z15" s="13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9"/>
      <c r="M16" s="9"/>
      <c r="N16" s="7"/>
      <c r="O16" s="9"/>
      <c r="P16" s="9"/>
      <c r="Q16" s="10"/>
      <c r="R16" s="5"/>
      <c r="S16" s="11"/>
      <c r="T16" s="25"/>
      <c r="U16" s="25"/>
      <c r="V16" s="25"/>
      <c r="W16" s="25"/>
      <c r="X16" s="5"/>
      <c r="Y16" s="5"/>
      <c r="Z16" s="13"/>
    </row>
    <row r="17" ht="15.75" customHeight="1">
      <c r="A17" s="14">
        <v>6.0</v>
      </c>
      <c r="B17" s="15" t="s">
        <v>32</v>
      </c>
      <c r="C17" s="30">
        <v>5.0</v>
      </c>
      <c r="D17" s="31">
        <f>11682*1.5</f>
        <v>17523</v>
      </c>
      <c r="E17" s="31"/>
      <c r="F17" s="19">
        <f>26797/5</f>
        <v>5359.4</v>
      </c>
      <c r="G17" s="19">
        <f>9111/5</f>
        <v>1822.2</v>
      </c>
      <c r="H17" s="19">
        <f>3500/5</f>
        <v>700</v>
      </c>
      <c r="I17" s="19">
        <f>SUM(D17:H17)</f>
        <v>25404.6</v>
      </c>
      <c r="J17" s="19">
        <f>I17*C17</f>
        <v>127023</v>
      </c>
      <c r="K17" s="27" t="s">
        <v>18</v>
      </c>
      <c r="L17" s="21">
        <v>11682.0</v>
      </c>
      <c r="M17" s="21">
        <f>L17*5</f>
        <v>58410</v>
      </c>
      <c r="N17" s="7">
        <f>(H17+G17+F17)*C17</f>
        <v>39408</v>
      </c>
      <c r="O17" s="9">
        <f>D17*5</f>
        <v>87615</v>
      </c>
      <c r="P17" s="9">
        <f>O17-M17</f>
        <v>29205</v>
      </c>
      <c r="Q17" s="22"/>
      <c r="R17" s="5"/>
      <c r="S17" s="11"/>
      <c r="T17" s="25"/>
      <c r="U17" s="25"/>
      <c r="V17" s="25"/>
      <c r="W17" s="25"/>
      <c r="X17" s="5"/>
      <c r="Y17" s="5"/>
      <c r="Z17" s="13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9"/>
      <c r="N18" s="7"/>
      <c r="O18" s="9"/>
      <c r="P18" s="9"/>
      <c r="Q18" s="10"/>
      <c r="R18" s="5"/>
      <c r="S18" s="11"/>
      <c r="T18" s="25"/>
      <c r="U18" s="25"/>
      <c r="V18" s="25"/>
      <c r="W18" s="25">
        <f>SUM(W1:W17)</f>
        <v>2537412.54</v>
      </c>
      <c r="X18" s="5"/>
      <c r="Y18" s="5"/>
      <c r="Z18" s="13"/>
    </row>
    <row r="19" ht="15.75" customHeight="1">
      <c r="A19" s="14">
        <v>7.0</v>
      </c>
      <c r="B19" s="29" t="s">
        <v>33</v>
      </c>
      <c r="C19" s="30">
        <v>1.0</v>
      </c>
      <c r="D19" s="31">
        <f>40000*1.5</f>
        <v>60000</v>
      </c>
      <c r="E19" s="31"/>
      <c r="F19" s="19">
        <v>5359.0</v>
      </c>
      <c r="G19" s="19">
        <v>1822.0</v>
      </c>
      <c r="H19" s="19">
        <v>280.0</v>
      </c>
      <c r="I19" s="19">
        <f>SUM(D19:H19)</f>
        <v>67461</v>
      </c>
      <c r="J19" s="19">
        <f>I19*C19</f>
        <v>67461</v>
      </c>
      <c r="K19" s="9" t="s">
        <v>34</v>
      </c>
      <c r="L19" s="9">
        <v>24950.0</v>
      </c>
      <c r="M19" s="9">
        <f>L19</f>
        <v>24950</v>
      </c>
      <c r="N19" s="7">
        <f>(H19+G19+F19)*C19</f>
        <v>7461</v>
      </c>
      <c r="O19" s="9">
        <f>D19*C19</f>
        <v>60000</v>
      </c>
      <c r="P19" s="9">
        <f>O19-M19</f>
        <v>35050</v>
      </c>
      <c r="Q19" s="64"/>
      <c r="R19" s="5"/>
      <c r="S19" s="11"/>
      <c r="T19" s="25"/>
      <c r="U19" s="25"/>
      <c r="V19" s="25"/>
      <c r="W19" s="25">
        <f>P6+N45</f>
        <v>647506</v>
      </c>
      <c r="X19" s="5"/>
      <c r="Y19" s="5"/>
      <c r="Z19" s="13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9"/>
      <c r="N20" s="7"/>
      <c r="O20" s="9"/>
      <c r="P20" s="9"/>
      <c r="Q20" s="10"/>
      <c r="R20" s="5"/>
      <c r="S20" s="11"/>
      <c r="T20" s="25"/>
      <c r="U20" s="25"/>
      <c r="V20" s="25"/>
      <c r="W20" s="25">
        <f>SUM(W18:W19)</f>
        <v>3184918.54</v>
      </c>
      <c r="X20" s="5"/>
      <c r="Y20" s="5"/>
      <c r="Z20" s="13"/>
    </row>
    <row r="21" ht="15.75" customHeight="1">
      <c r="A21" s="14">
        <v>8.0</v>
      </c>
      <c r="B21" s="65" t="s">
        <v>35</v>
      </c>
      <c r="C21" s="30">
        <v>2.0</v>
      </c>
      <c r="D21" s="31">
        <f>4000*2</f>
        <v>8000</v>
      </c>
      <c r="E21" s="31"/>
      <c r="F21" s="19">
        <f>10719/2</f>
        <v>5359.5</v>
      </c>
      <c r="G21" s="19">
        <f>14577/2</f>
        <v>7288.5</v>
      </c>
      <c r="H21" s="19">
        <f>1680/2</f>
        <v>840</v>
      </c>
      <c r="I21" s="19">
        <f>SUM(D21:H21)</f>
        <v>21488</v>
      </c>
      <c r="J21" s="19">
        <f>I21*C21</f>
        <v>42976</v>
      </c>
      <c r="K21" s="52" t="s">
        <v>29</v>
      </c>
      <c r="L21" s="9">
        <f>4500/1.15</f>
        <v>3913.043478</v>
      </c>
      <c r="M21" s="9">
        <f>L21*2</f>
        <v>7826.086957</v>
      </c>
      <c r="N21" s="7">
        <f>(H21+G21+F21)*C21</f>
        <v>26976</v>
      </c>
      <c r="O21" s="9">
        <f>D21*C21</f>
        <v>16000</v>
      </c>
      <c r="P21" s="9">
        <f>O21-M21</f>
        <v>8173.913043</v>
      </c>
      <c r="Q21" s="53"/>
      <c r="R21" s="5"/>
      <c r="S21" s="11"/>
      <c r="T21" s="25"/>
      <c r="U21" s="25"/>
      <c r="V21" s="25"/>
      <c r="W21" s="25"/>
      <c r="X21" s="5"/>
      <c r="Y21" s="5"/>
      <c r="Z21" s="13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9"/>
      <c r="N22" s="7"/>
      <c r="O22" s="9"/>
      <c r="P22" s="9"/>
      <c r="Q22" s="10"/>
      <c r="R22" s="5"/>
      <c r="S22" s="11"/>
      <c r="T22" s="25"/>
      <c r="U22" s="25"/>
      <c r="V22" s="25"/>
      <c r="W22" s="25"/>
      <c r="X22" s="5"/>
      <c r="Y22" s="5"/>
      <c r="Z22" s="13"/>
    </row>
    <row r="23" ht="15.75" customHeight="1">
      <c r="A23" s="14">
        <v>9.0</v>
      </c>
      <c r="B23" s="15" t="s">
        <v>36</v>
      </c>
      <c r="C23" s="66">
        <v>8.0</v>
      </c>
      <c r="D23" s="67">
        <f>1120*20*1.2*1.5</f>
        <v>40320</v>
      </c>
      <c r="E23" s="31"/>
      <c r="F23" s="19">
        <f>42875/8</f>
        <v>5359.375</v>
      </c>
      <c r="G23" s="19">
        <f>14577/8</f>
        <v>1822.125</v>
      </c>
      <c r="H23" s="63"/>
      <c r="I23" s="19">
        <f>SUM(D23:H23)</f>
        <v>47501.5</v>
      </c>
      <c r="J23" s="19">
        <f>I23*C23</f>
        <v>380012</v>
      </c>
      <c r="K23" s="9" t="s">
        <v>37</v>
      </c>
      <c r="L23" s="9">
        <f>15499/1.15</f>
        <v>13477.3913</v>
      </c>
      <c r="M23" s="9">
        <f>L23*C23</f>
        <v>107819.1304</v>
      </c>
      <c r="N23" s="7">
        <f>(G23+F23)*8</f>
        <v>57452</v>
      </c>
      <c r="O23" s="9">
        <f>D23*C23</f>
        <v>322560</v>
      </c>
      <c r="P23" s="9">
        <f>O23-M23</f>
        <v>214740.8696</v>
      </c>
      <c r="Q23" s="53">
        <f>M23/2</f>
        <v>53909.56522</v>
      </c>
      <c r="R23" s="64">
        <f>Q23</f>
        <v>53909.56522</v>
      </c>
      <c r="S23" s="11"/>
      <c r="T23" s="25"/>
      <c r="U23" s="25"/>
      <c r="V23" s="25"/>
      <c r="W23" s="25"/>
      <c r="X23" s="5"/>
      <c r="Y23" s="5"/>
      <c r="Z23" s="13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9"/>
      <c r="N24" s="7"/>
      <c r="O24" s="9"/>
      <c r="P24" s="9"/>
      <c r="Q24" s="10"/>
      <c r="R24" s="5"/>
      <c r="S24" s="11"/>
      <c r="T24" s="68"/>
      <c r="U24" s="69"/>
      <c r="V24" s="69"/>
      <c r="W24" s="69"/>
      <c r="X24" s="69"/>
      <c r="Y24" s="5"/>
      <c r="Z24" s="13"/>
    </row>
    <row r="25" ht="15.75" customHeight="1">
      <c r="A25" s="14">
        <v>10.0</v>
      </c>
      <c r="B25" s="15" t="s">
        <v>38</v>
      </c>
      <c r="C25" s="30">
        <v>3.0</v>
      </c>
      <c r="D25" s="31">
        <f>4000*23.68*1.5</f>
        <v>142080</v>
      </c>
      <c r="E25" s="31"/>
      <c r="F25" s="19">
        <f>16078/3</f>
        <v>5359.333333</v>
      </c>
      <c r="G25" s="19">
        <v>2733.0</v>
      </c>
      <c r="H25" s="19">
        <v>840.0</v>
      </c>
      <c r="I25" s="19">
        <f>SUM(D25:H25)</f>
        <v>151012.3333</v>
      </c>
      <c r="J25" s="19">
        <f>I25*C25</f>
        <v>453037</v>
      </c>
      <c r="K25" s="70" t="s">
        <v>39</v>
      </c>
      <c r="L25" s="9">
        <f>47330</f>
        <v>47330</v>
      </c>
      <c r="M25" s="71">
        <f>L25*3</f>
        <v>141990</v>
      </c>
      <c r="N25" s="7">
        <f>(H25+G25+F25)*C25</f>
        <v>26797</v>
      </c>
      <c r="O25" s="71">
        <f>142080*3</f>
        <v>426240</v>
      </c>
      <c r="P25" s="9">
        <f>O25-M25</f>
        <v>284250</v>
      </c>
      <c r="Q25" s="64"/>
      <c r="R25" s="5"/>
      <c r="S25" s="11"/>
      <c r="T25" s="72"/>
      <c r="U25" s="25"/>
      <c r="V25" s="25"/>
      <c r="W25" s="25"/>
      <c r="X25" s="5"/>
      <c r="Y25" s="5"/>
      <c r="Z25" s="13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9"/>
      <c r="N26" s="7"/>
      <c r="O26" s="9"/>
      <c r="P26" s="9"/>
      <c r="Q26" s="10"/>
      <c r="R26" s="5"/>
      <c r="S26" s="11"/>
      <c r="T26" s="68"/>
      <c r="U26" s="5"/>
      <c r="V26" s="5"/>
      <c r="W26" s="9"/>
      <c r="X26" s="5"/>
      <c r="Y26" s="5"/>
      <c r="Z26" s="13"/>
    </row>
    <row r="27" ht="15.75" customHeight="1">
      <c r="A27" s="14">
        <v>11.0</v>
      </c>
      <c r="B27" s="14" t="s">
        <v>40</v>
      </c>
      <c r="C27" s="30">
        <v>2.0</v>
      </c>
      <c r="D27" s="31">
        <f>40000*1.5</f>
        <v>60000</v>
      </c>
      <c r="E27" s="31"/>
      <c r="F27" s="19">
        <v>5359.0</v>
      </c>
      <c r="G27" s="19">
        <v>1822.0</v>
      </c>
      <c r="H27" s="19">
        <v>280.0</v>
      </c>
      <c r="I27" s="19">
        <f>SUM(D27:H27)</f>
        <v>67461</v>
      </c>
      <c r="J27" s="19">
        <f>I27*C27</f>
        <v>134922</v>
      </c>
      <c r="K27" s="9" t="s">
        <v>34</v>
      </c>
      <c r="L27" s="9">
        <v>24950.0</v>
      </c>
      <c r="M27" s="9">
        <f>L27*2</f>
        <v>49900</v>
      </c>
      <c r="N27" s="7">
        <f>(H27+G27+F27)*C27</f>
        <v>14922</v>
      </c>
      <c r="O27" s="9">
        <f>D27*C27</f>
        <v>120000</v>
      </c>
      <c r="P27" s="9">
        <f>O27-M27</f>
        <v>70100</v>
      </c>
      <c r="Q27" s="64"/>
      <c r="R27" s="5"/>
      <c r="S27" s="11"/>
      <c r="T27" s="73"/>
      <c r="U27" s="73"/>
      <c r="V27" s="73"/>
      <c r="W27" s="73"/>
      <c r="X27" s="5"/>
      <c r="Y27" s="5"/>
      <c r="Z27" s="13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9"/>
      <c r="N28" s="7"/>
      <c r="O28" s="9"/>
      <c r="P28" s="9"/>
      <c r="Q28" s="10"/>
      <c r="R28" s="5"/>
      <c r="S28" s="11"/>
      <c r="T28" s="69"/>
      <c r="U28" s="5"/>
      <c r="V28" s="5"/>
      <c r="W28" s="5"/>
      <c r="X28" s="5"/>
      <c r="Y28" s="5"/>
      <c r="Z28" s="13"/>
    </row>
    <row r="29" ht="15.75" customHeight="1">
      <c r="A29" s="5"/>
      <c r="B29" s="5"/>
      <c r="C29" s="74"/>
      <c r="D29" s="75"/>
      <c r="E29" s="75"/>
      <c r="F29" s="76"/>
      <c r="G29" s="76"/>
      <c r="H29" s="77"/>
      <c r="I29" s="76"/>
      <c r="J29" s="76"/>
      <c r="K29" s="5"/>
      <c r="L29" s="9"/>
      <c r="M29" s="9"/>
      <c r="N29" s="7"/>
      <c r="O29" s="9"/>
      <c r="P29" s="9"/>
      <c r="Q29" s="9"/>
      <c r="R29" s="5"/>
      <c r="S29" s="11"/>
      <c r="T29" s="25"/>
      <c r="U29" s="25"/>
      <c r="V29" s="25"/>
      <c r="W29" s="25"/>
      <c r="X29" s="5"/>
      <c r="Y29" s="5"/>
      <c r="Z29" s="13"/>
    </row>
    <row r="30" ht="15.75" customHeight="1">
      <c r="A30" s="14">
        <v>12.0</v>
      </c>
      <c r="B30" s="14" t="s">
        <v>41</v>
      </c>
      <c r="C30" s="30">
        <v>4.0</v>
      </c>
      <c r="D30" s="31">
        <f>12000*1.5</f>
        <v>18000</v>
      </c>
      <c r="E30" s="31"/>
      <c r="F30" s="19">
        <f>21438/4</f>
        <v>5359.5</v>
      </c>
      <c r="G30" s="19">
        <f>1822/4</f>
        <v>455.5</v>
      </c>
      <c r="H30" s="63"/>
      <c r="I30" s="19">
        <f>SUM(D30:H30)</f>
        <v>23815</v>
      </c>
      <c r="J30" s="19">
        <f>I30*C30</f>
        <v>95260</v>
      </c>
      <c r="K30" s="5" t="s">
        <v>42</v>
      </c>
      <c r="L30" s="9">
        <v>1450.0</v>
      </c>
      <c r="M30" s="9">
        <f>L30*4</f>
        <v>5800</v>
      </c>
      <c r="N30" s="7">
        <f>(G30+F30)*4</f>
        <v>23260</v>
      </c>
      <c r="O30" s="9">
        <f>D30*C30</f>
        <v>72000</v>
      </c>
      <c r="P30" s="9">
        <f>O30-M30</f>
        <v>66200</v>
      </c>
      <c r="Q30" s="64"/>
      <c r="R30" s="5"/>
      <c r="S30" s="11"/>
      <c r="T30" s="25"/>
      <c r="U30" s="25"/>
      <c r="V30" s="25"/>
      <c r="W30" s="25"/>
      <c r="X30" s="5"/>
      <c r="Y30" s="5"/>
      <c r="Z30" s="13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9">
        <v>3100.0</v>
      </c>
      <c r="L31" s="5"/>
      <c r="M31" s="10"/>
      <c r="N31" s="7"/>
      <c r="O31" s="9"/>
      <c r="P31" s="9"/>
      <c r="Q31" s="10"/>
      <c r="R31" s="5"/>
      <c r="S31" s="11"/>
      <c r="T31" s="25"/>
      <c r="U31" s="25"/>
      <c r="V31" s="25"/>
      <c r="W31" s="25"/>
      <c r="X31" s="5"/>
      <c r="Y31" s="5"/>
      <c r="Z31" s="13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9"/>
      <c r="N32" s="7"/>
      <c r="O32" s="9"/>
      <c r="P32" s="9"/>
      <c r="Q32" s="10"/>
      <c r="R32" s="5"/>
      <c r="S32" s="11"/>
      <c r="T32" s="25"/>
      <c r="U32" s="25"/>
      <c r="V32" s="25"/>
      <c r="W32" s="25"/>
      <c r="X32" s="5"/>
      <c r="Y32" s="5"/>
      <c r="Z32" s="13"/>
    </row>
    <row r="33" ht="15.75" customHeight="1">
      <c r="A33" s="14">
        <v>13.0</v>
      </c>
      <c r="B33" s="14" t="s">
        <v>43</v>
      </c>
      <c r="C33" s="30">
        <v>1.0</v>
      </c>
      <c r="D33" s="31">
        <f>4000*2</f>
        <v>8000</v>
      </c>
      <c r="E33" s="31"/>
      <c r="F33" s="19">
        <v>5359.0</v>
      </c>
      <c r="G33" s="19">
        <v>7290.0</v>
      </c>
      <c r="H33" s="19">
        <v>840.0</v>
      </c>
      <c r="I33" s="19">
        <f>SUM(D33:H33)</f>
        <v>21489</v>
      </c>
      <c r="J33" s="19">
        <f>I33*C33</f>
        <v>21489</v>
      </c>
      <c r="K33" s="78" t="s">
        <v>18</v>
      </c>
      <c r="L33" s="9">
        <v>4422.0</v>
      </c>
      <c r="M33" s="9">
        <f>L33*1</f>
        <v>4422</v>
      </c>
      <c r="N33" s="7">
        <f>(H33+G33+F33)*C33</f>
        <v>13489</v>
      </c>
      <c r="O33" s="9">
        <f>D33*C33</f>
        <v>8000</v>
      </c>
      <c r="P33" s="9">
        <f>O33-M33</f>
        <v>3578</v>
      </c>
      <c r="Q33" s="22"/>
      <c r="R33" s="5"/>
      <c r="S33" s="11"/>
      <c r="T33" s="25"/>
      <c r="U33" s="25"/>
      <c r="V33" s="25"/>
      <c r="W33" s="25"/>
      <c r="X33" s="5"/>
      <c r="Y33" s="5"/>
      <c r="Z33" s="13"/>
    </row>
    <row r="34" ht="15.75" customHeight="1">
      <c r="A34" s="5"/>
      <c r="B34" s="5"/>
      <c r="C34" s="5"/>
      <c r="D34" s="9"/>
      <c r="E34" s="9"/>
      <c r="F34" s="9"/>
      <c r="G34" s="9"/>
      <c r="H34" s="9"/>
      <c r="I34" s="9"/>
      <c r="J34" s="9"/>
      <c r="K34" s="5"/>
      <c r="L34" s="5"/>
      <c r="M34" s="9"/>
      <c r="N34" s="7"/>
      <c r="O34" s="9"/>
      <c r="P34" s="9"/>
      <c r="Q34" s="10"/>
      <c r="R34" s="5"/>
      <c r="S34" s="11"/>
      <c r="T34" s="25"/>
      <c r="U34" s="25"/>
      <c r="V34" s="25"/>
      <c r="W34" s="25"/>
      <c r="X34" s="5"/>
      <c r="Y34" s="5"/>
      <c r="Z34" s="13"/>
    </row>
    <row r="35" ht="15.75" customHeight="1">
      <c r="A35" s="79">
        <v>14.0</v>
      </c>
      <c r="B35" s="80"/>
      <c r="C35" s="81">
        <v>2.0</v>
      </c>
      <c r="D35" s="57">
        <f>19000*1.5</f>
        <v>28500</v>
      </c>
      <c r="E35" s="31"/>
      <c r="F35" s="58">
        <v>10717.0</v>
      </c>
      <c r="G35" s="58">
        <v>1822.0</v>
      </c>
      <c r="H35" s="82"/>
      <c r="I35" s="58">
        <f>1822+10717+54000</f>
        <v>66539</v>
      </c>
      <c r="J35" s="58">
        <f>I35*C35</f>
        <v>133078</v>
      </c>
      <c r="K35" s="5"/>
      <c r="L35" s="5"/>
      <c r="M35" s="9"/>
      <c r="N35" s="7"/>
      <c r="O35" s="9"/>
      <c r="P35" s="9"/>
      <c r="Q35" s="10"/>
      <c r="R35" s="5"/>
      <c r="S35" s="11"/>
      <c r="T35" s="25"/>
      <c r="U35" s="25"/>
      <c r="V35" s="25"/>
      <c r="W35" s="25"/>
      <c r="X35" s="5"/>
      <c r="Y35" s="5"/>
      <c r="Z35" s="13"/>
    </row>
    <row r="36" ht="15.75" customHeight="1">
      <c r="A36" s="83"/>
      <c r="B36" s="84" t="s">
        <v>44</v>
      </c>
      <c r="C36" s="85"/>
      <c r="D36" s="60"/>
      <c r="E36" s="31"/>
      <c r="F36" s="60"/>
      <c r="G36" s="60"/>
      <c r="H36" s="60"/>
      <c r="I36" s="60"/>
      <c r="J36" s="60"/>
      <c r="K36" s="78" t="s">
        <v>18</v>
      </c>
      <c r="L36" s="21">
        <v>18163.0</v>
      </c>
      <c r="M36" s="9">
        <f>L36*2</f>
        <v>36326</v>
      </c>
      <c r="N36" s="7">
        <f>(G35+F35)*C35</f>
        <v>25078</v>
      </c>
      <c r="O36" s="9">
        <f>54000*2</f>
        <v>108000</v>
      </c>
      <c r="P36" s="9">
        <f>O36-M36</f>
        <v>71674</v>
      </c>
      <c r="Q36" s="64"/>
      <c r="R36" s="5"/>
      <c r="S36" s="11"/>
      <c r="T36" s="25"/>
      <c r="U36" s="25"/>
      <c r="V36" s="25"/>
      <c r="W36" s="25"/>
      <c r="X36" s="5"/>
      <c r="Y36" s="5"/>
      <c r="Z36" s="13"/>
    </row>
    <row r="37" ht="15.75" customHeight="1">
      <c r="A37" s="13"/>
      <c r="B37" s="13"/>
      <c r="C37" s="13"/>
      <c r="D37" s="5"/>
      <c r="E37" s="5"/>
      <c r="F37" s="5"/>
      <c r="G37" s="5"/>
      <c r="H37" s="9"/>
      <c r="I37" s="9"/>
      <c r="J37" s="5"/>
      <c r="K37" s="13"/>
      <c r="L37" s="13"/>
      <c r="M37" s="13"/>
      <c r="N37" s="7"/>
      <c r="O37" s="10"/>
      <c r="P37" s="10"/>
      <c r="Q37" s="10"/>
      <c r="R37" s="5"/>
      <c r="S37" s="11"/>
      <c r="T37" s="25"/>
      <c r="U37" s="25"/>
      <c r="V37" s="25"/>
      <c r="W37" s="25"/>
      <c r="X37" s="5"/>
      <c r="Y37" s="5"/>
      <c r="Z37" s="13"/>
    </row>
    <row r="38" ht="15.75" customHeight="1">
      <c r="A38" s="13"/>
      <c r="B38" s="13"/>
      <c r="C38" s="13"/>
      <c r="D38" s="5"/>
      <c r="E38" s="5"/>
      <c r="F38" s="5"/>
      <c r="G38" s="5"/>
      <c r="H38" s="5"/>
      <c r="I38" s="9"/>
      <c r="J38" s="5"/>
      <c r="K38" s="13"/>
      <c r="L38" s="13"/>
      <c r="M38" s="13"/>
      <c r="N38" s="7"/>
      <c r="O38" s="10"/>
      <c r="P38" s="10"/>
      <c r="Q38" s="10"/>
      <c r="R38" s="5"/>
      <c r="S38" s="11"/>
      <c r="T38" s="25"/>
      <c r="U38" s="25"/>
      <c r="V38" s="25"/>
      <c r="W38" s="25"/>
      <c r="X38" s="5"/>
      <c r="Y38" s="5"/>
      <c r="Z38" s="13"/>
    </row>
    <row r="39" ht="15.75" customHeight="1">
      <c r="A39" s="86"/>
      <c r="B39" s="87" t="s">
        <v>45</v>
      </c>
      <c r="C39" s="87"/>
      <c r="D39" s="87">
        <f>D35*C35</f>
        <v>57000</v>
      </c>
      <c r="E39" s="87"/>
      <c r="F39" s="87"/>
      <c r="G39" s="87"/>
      <c r="H39" s="87"/>
      <c r="I39" s="87"/>
      <c r="J39" s="88">
        <f>SUM(J2:J38)</f>
        <v>3184918.58</v>
      </c>
      <c r="K39" s="10"/>
      <c r="L39" s="10"/>
      <c r="M39" s="13"/>
      <c r="N39" s="7"/>
      <c r="O39" s="10"/>
      <c r="P39" s="10"/>
      <c r="Q39" s="10"/>
      <c r="R39" s="5"/>
      <c r="S39" s="11"/>
      <c r="T39" s="25"/>
      <c r="U39" s="25"/>
      <c r="V39" s="25"/>
      <c r="W39" s="25"/>
      <c r="X39" s="5"/>
      <c r="Y39" s="5"/>
      <c r="Z39" s="13"/>
    </row>
    <row r="40" ht="15.75" customHeight="1">
      <c r="A40" s="86"/>
      <c r="B40" s="87"/>
      <c r="C40" s="87"/>
      <c r="D40" s="87"/>
      <c r="E40" s="87"/>
      <c r="F40" s="87"/>
      <c r="G40" s="87"/>
      <c r="H40" s="87"/>
      <c r="I40" s="87"/>
      <c r="J40" s="88">
        <f>J41-J39</f>
        <v>477737.787</v>
      </c>
      <c r="K40" s="13"/>
      <c r="L40" s="13"/>
      <c r="M40" s="10"/>
      <c r="N40" s="7"/>
      <c r="O40" s="10"/>
      <c r="P40" s="10"/>
      <c r="Q40" s="10"/>
      <c r="R40" s="5"/>
      <c r="S40" s="11"/>
      <c r="T40" s="25"/>
      <c r="U40" s="25"/>
      <c r="V40" s="25"/>
      <c r="W40" s="25"/>
      <c r="X40" s="5"/>
      <c r="Y40" s="5"/>
      <c r="Z40" s="13"/>
    </row>
    <row r="41" ht="15.75" customHeight="1">
      <c r="A41" s="86"/>
      <c r="B41" s="87" t="s">
        <v>46</v>
      </c>
      <c r="C41" s="87"/>
      <c r="D41" s="87"/>
      <c r="E41" s="87"/>
      <c r="F41" s="87"/>
      <c r="G41" s="87"/>
      <c r="H41" s="87"/>
      <c r="I41" s="87"/>
      <c r="J41" s="88">
        <f>J39*1.15</f>
        <v>3662656.367</v>
      </c>
      <c r="K41" s="13"/>
      <c r="L41" s="13"/>
      <c r="M41" s="13"/>
      <c r="N41" s="7"/>
      <c r="O41" s="10"/>
      <c r="P41" s="10"/>
      <c r="Q41" s="10"/>
      <c r="R41" s="5"/>
      <c r="S41" s="11"/>
      <c r="T41" s="25"/>
      <c r="U41" s="25"/>
      <c r="V41" s="25"/>
      <c r="W41" s="25"/>
      <c r="X41" s="5"/>
      <c r="Y41" s="5"/>
      <c r="Z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7"/>
      <c r="O42" s="10"/>
      <c r="P42" s="10"/>
      <c r="Q42" s="10"/>
      <c r="R42" s="5"/>
      <c r="S42" s="11"/>
      <c r="T42" s="25"/>
      <c r="U42" s="25"/>
      <c r="V42" s="25"/>
      <c r="W42" s="25"/>
      <c r="X42" s="5"/>
      <c r="Y42" s="5"/>
      <c r="Z42" s="13"/>
    </row>
    <row r="43" ht="15.75" customHeight="1">
      <c r="A43" s="13"/>
      <c r="B43" s="13" t="s">
        <v>47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7"/>
      <c r="O43" s="10"/>
      <c r="P43" s="10"/>
      <c r="Q43" s="10"/>
      <c r="R43" s="5"/>
      <c r="S43" s="11"/>
      <c r="T43" s="25"/>
      <c r="U43" s="25"/>
      <c r="V43" s="25"/>
      <c r="W43" s="25"/>
      <c r="X43" s="5"/>
      <c r="Y43" s="5"/>
      <c r="Z43" s="13"/>
    </row>
    <row r="44" ht="15.75" customHeight="1">
      <c r="A44" s="89"/>
      <c r="B44" s="90" t="s">
        <v>45</v>
      </c>
      <c r="C44" s="90"/>
      <c r="D44" s="90"/>
      <c r="E44" s="90"/>
      <c r="F44" s="90"/>
      <c r="G44" s="90"/>
      <c r="H44" s="90"/>
      <c r="I44" s="90"/>
      <c r="J44" s="91">
        <f>J39-15000</f>
        <v>3169918.58</v>
      </c>
      <c r="K44" s="13"/>
      <c r="L44" s="13"/>
      <c r="M44" s="13"/>
      <c r="N44" s="7"/>
      <c r="O44" s="10"/>
      <c r="P44" s="10"/>
      <c r="Q44" s="10"/>
      <c r="R44" s="5"/>
      <c r="S44" s="11"/>
      <c r="T44" s="92"/>
      <c r="U44" s="92"/>
      <c r="V44" s="92"/>
      <c r="W44" s="92"/>
      <c r="X44" s="13"/>
      <c r="Y44" s="13"/>
      <c r="Z44" s="13"/>
    </row>
    <row r="45" ht="15.75" customHeight="1">
      <c r="A45" s="89"/>
      <c r="B45" s="90"/>
      <c r="C45" s="90"/>
      <c r="D45" s="90"/>
      <c r="E45" s="90"/>
      <c r="F45" s="90"/>
      <c r="G45" s="90"/>
      <c r="H45" s="90"/>
      <c r="I45" s="90"/>
      <c r="J45" s="91">
        <f>J46-J44</f>
        <v>475487.787</v>
      </c>
      <c r="K45" s="13"/>
      <c r="L45" s="13"/>
      <c r="M45" s="10">
        <f t="shared" ref="M45:P45" si="1">SUM(M2:M44)</f>
        <v>1016901.478</v>
      </c>
      <c r="N45" s="7">
        <f t="shared" si="1"/>
        <v>471506</v>
      </c>
      <c r="O45" s="10">
        <f t="shared" si="1"/>
        <v>2713412.54</v>
      </c>
      <c r="P45" s="10">
        <f t="shared" si="1"/>
        <v>1696511.062</v>
      </c>
      <c r="Q45" s="93">
        <f>P45+N45+M45</f>
        <v>3184918.54</v>
      </c>
      <c r="R45" s="9"/>
      <c r="S45" s="94"/>
      <c r="T45" s="92"/>
      <c r="U45" s="92"/>
      <c r="V45" s="92"/>
      <c r="W45" s="92"/>
      <c r="X45" s="13"/>
      <c r="Y45" s="13"/>
      <c r="Z45" s="13"/>
    </row>
    <row r="46" ht="15.75" customHeight="1">
      <c r="A46" s="89"/>
      <c r="B46" s="90" t="s">
        <v>46</v>
      </c>
      <c r="C46" s="90"/>
      <c r="D46" s="90"/>
      <c r="E46" s="90"/>
      <c r="F46" s="90"/>
      <c r="G46" s="90"/>
      <c r="H46" s="90"/>
      <c r="I46" s="90"/>
      <c r="J46" s="91">
        <f>J44*1.15</f>
        <v>3645406.367</v>
      </c>
      <c r="K46" s="95"/>
      <c r="L46" s="13"/>
      <c r="M46" s="13"/>
      <c r="N46" s="10"/>
      <c r="O46" s="93">
        <f>O45+N45</f>
        <v>3184918.54</v>
      </c>
      <c r="P46" s="10"/>
      <c r="Q46" s="10"/>
      <c r="R46" s="5"/>
      <c r="S46" s="11"/>
      <c r="T46" s="92"/>
      <c r="U46" s="92"/>
      <c r="V46" s="92"/>
      <c r="W46" s="92"/>
      <c r="X46" s="13"/>
      <c r="Y46" s="13"/>
      <c r="Z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0"/>
      <c r="O47" s="10"/>
      <c r="P47" s="10"/>
      <c r="Q47" s="10"/>
      <c r="R47" s="5"/>
      <c r="S47" s="11"/>
      <c r="T47" s="92"/>
      <c r="U47" s="92"/>
      <c r="V47" s="92"/>
      <c r="W47" s="92"/>
      <c r="X47" s="13"/>
      <c r="Y47" s="13"/>
      <c r="Z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0"/>
      <c r="O48" s="10"/>
      <c r="P48" s="10"/>
      <c r="Q48" s="10"/>
      <c r="R48" s="5"/>
      <c r="S48" s="11"/>
      <c r="T48" s="92"/>
      <c r="U48" s="92"/>
      <c r="V48" s="92"/>
      <c r="W48" s="92"/>
      <c r="X48" s="13"/>
      <c r="Y48" s="13"/>
      <c r="Z48" s="13"/>
    </row>
    <row r="49" ht="15.75" customHeight="1">
      <c r="R49" s="96"/>
      <c r="S49" s="97"/>
      <c r="T49" s="92"/>
      <c r="U49" s="92"/>
      <c r="V49" s="92"/>
      <c r="W49" s="92"/>
      <c r="X49" s="13"/>
    </row>
    <row r="50" ht="15.75" customHeight="1">
      <c r="B50" s="98"/>
      <c r="D50" s="98"/>
      <c r="R50" s="96"/>
      <c r="S50" s="97"/>
      <c r="T50" s="68"/>
      <c r="U50" s="69"/>
      <c r="V50" s="69"/>
      <c r="W50" s="69"/>
      <c r="X50" s="69"/>
      <c r="Y50" s="69"/>
    </row>
    <row r="51" ht="15.75" customHeight="1">
      <c r="D51" s="99"/>
      <c r="R51" s="96"/>
      <c r="S51" s="97"/>
      <c r="T51" s="72"/>
      <c r="U51" s="25"/>
      <c r="V51" s="25"/>
      <c r="W51" s="25"/>
      <c r="X51" s="5"/>
      <c r="Y51" s="69"/>
    </row>
    <row r="52" ht="15.75" customHeight="1">
      <c r="R52" s="96"/>
      <c r="S52" s="97"/>
      <c r="T52" s="69"/>
      <c r="U52" s="69"/>
      <c r="V52" s="69"/>
      <c r="W52" s="69"/>
      <c r="X52" s="69"/>
      <c r="Y52" s="69"/>
    </row>
    <row r="53" ht="15.75" customHeight="1">
      <c r="R53" s="96"/>
      <c r="S53" s="97"/>
      <c r="T53" s="69"/>
      <c r="U53" s="69"/>
      <c r="V53" s="69"/>
      <c r="W53" s="69"/>
      <c r="X53" s="69"/>
      <c r="Y53" s="69"/>
    </row>
    <row r="54" ht="15.75" customHeight="1">
      <c r="R54" s="96"/>
      <c r="S54" s="97"/>
    </row>
    <row r="55" ht="15.75" customHeight="1">
      <c r="R55" s="96"/>
      <c r="S55" s="97"/>
    </row>
    <row r="56" ht="15.75" customHeight="1">
      <c r="R56" s="96"/>
      <c r="S56" s="97"/>
    </row>
    <row r="57" ht="15.75" customHeight="1">
      <c r="R57" s="96"/>
      <c r="S57" s="97"/>
    </row>
    <row r="58" ht="15.75" customHeight="1">
      <c r="R58" s="96"/>
      <c r="S58" s="97"/>
    </row>
    <row r="59" ht="15.75" customHeight="1">
      <c r="R59" s="96"/>
      <c r="S59" s="97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</sheetData>
  <mergeCells count="26">
    <mergeCell ref="I8:I10"/>
    <mergeCell ref="J8:J10"/>
    <mergeCell ref="A8:A10"/>
    <mergeCell ref="B8:B10"/>
    <mergeCell ref="C8:C10"/>
    <mergeCell ref="D8:D10"/>
    <mergeCell ref="F8:F10"/>
    <mergeCell ref="G8:G10"/>
    <mergeCell ref="H8:H10"/>
    <mergeCell ref="I12:I13"/>
    <mergeCell ref="J12:J13"/>
    <mergeCell ref="A35:A36"/>
    <mergeCell ref="C35:C36"/>
    <mergeCell ref="D35:D36"/>
    <mergeCell ref="F35:F36"/>
    <mergeCell ref="G35:G36"/>
    <mergeCell ref="H35:H36"/>
    <mergeCell ref="I35:I36"/>
    <mergeCell ref="J35:J36"/>
    <mergeCell ref="A12:A13"/>
    <mergeCell ref="B12:B13"/>
    <mergeCell ref="C12:C13"/>
    <mergeCell ref="D12:D13"/>
    <mergeCell ref="F12:F13"/>
    <mergeCell ref="G12:G13"/>
    <mergeCell ref="H12:H13"/>
  </mergeCells>
  <hyperlinks>
    <hyperlink r:id="rId1" ref="K10"/>
    <hyperlink r:id="rId2" ref="K13"/>
    <hyperlink r:id="rId3" ref="K21"/>
    <hyperlink r:id="rId4" ref="K25"/>
  </hyperlinks>
  <printOptions/>
  <pageMargins bottom="0.75" footer="0.0" header="0.0" left="0.7" right="0.7" top="0.75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B3" s="100" t="s">
        <v>48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2023-11-26T09:00:23Z</dcterms:created>
  <dc:creator>Neill van Vuuren</dc:creator>
</cp:coreProperties>
</file>
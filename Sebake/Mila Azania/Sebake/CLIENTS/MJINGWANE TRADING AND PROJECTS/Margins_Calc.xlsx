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MJINGWANE TRADING AND PROJECTS\"/>
    </mc:Choice>
  </mc:AlternateContent>
  <xr:revisionPtr revIDLastSave="0" documentId="13_ncr:1_{7C7D61B2-5290-4B83-9635-132598DBBD48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F6" i="1"/>
  <c r="F5" i="1"/>
  <c r="F8" i="1" s="1"/>
  <c r="H2" i="1" l="1"/>
  <c r="I2" i="1" s="1"/>
</calcChain>
</file>

<file path=xl/sharedStrings.xml><?xml version="1.0" encoding="utf-8"?>
<sst xmlns="http://schemas.openxmlformats.org/spreadsheetml/2006/main" count="12" uniqueCount="12">
  <si>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</si>
  <si>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</si>
  <si>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</si>
  <si>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</si>
  <si>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</si>
  <si>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</si>
  <si>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</si>
  <si>
    <t>Qoutations</t>
  </si>
  <si>
    <t>Approved Capital Injection</t>
  </si>
  <si>
    <t>Project Management Fees</t>
  </si>
  <si>
    <t>Admin fee</t>
  </si>
  <si>
    <t>Total due to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</si>
</sst>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4" fontId="0" fillId="0" borderId="0" xfId="0" applyNumberFormat="1"/>
    <xf numFmtId="8" fontId="0" fillId="0" borderId="0" xfId="0" applyNumberFormat="1"/>
    <xf numFmtId="4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C1" workbookViewId="0">
      <selection activeCell="F9" sqref="F9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25" bestFit="1" customWidth="1"/>
    <col min="6" max="6" width="14.14062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179789.4</v>
      </c>
      <c r="F2" s="7">
        <v>468960.8</v>
      </c>
      <c r="H2">
        <f>IF(AND(ISNUMBER(E2),ISNUMBER(F2),F2&lt;&gt;0),(E2/F2)*100,"")</f>
        <v>38.337831221714055</v>
      </c>
      <c r="I2" s="2">
        <f>IF(ISNUMBER(H2),LOOKUP(H2,A2:A11,B2:B11),"")</f>
        <v>1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</row>
    <row r="5" spans="1:9" x14ac:dyDescent="0.25">
      <c r="A5" s="2">
        <v>0.4</v>
      </c>
      <c r="B5" s="2">
        <v>0.49</v>
      </c>
      <c r="C5" s="2">
        <v>0.19500000000000001</v>
      </c>
      <c r="E5" t="s">
        <v>8</v>
      </c>
      <c r="F5" s="7">
        <f>E2</f>
        <v>179789.4</v>
      </c>
    </row>
    <row r="6" spans="1:9" x14ac:dyDescent="0.25">
      <c r="A6" s="2">
        <v>0.5</v>
      </c>
      <c r="B6" s="2">
        <v>0.59</v>
      </c>
      <c r="C6" s="2">
        <v>0.215</v>
      </c>
      <c r="E6" t="s">
        <v>9</v>
      </c>
      <c r="F6" s="7">
        <f>F5*C4</f>
        <v>31463.144999999997</v>
      </c>
    </row>
    <row r="7" spans="1:9" x14ac:dyDescent="0.25">
      <c r="A7" s="2">
        <v>0.6</v>
      </c>
      <c r="B7" s="2">
        <v>0.69</v>
      </c>
      <c r="C7" s="2">
        <v>0.23499999999999999</v>
      </c>
      <c r="E7" t="s">
        <v>10</v>
      </c>
      <c r="F7" s="9">
        <v>2750</v>
      </c>
    </row>
    <row r="8" spans="1:9" x14ac:dyDescent="0.25">
      <c r="A8" s="2">
        <v>0.7</v>
      </c>
      <c r="B8" s="2">
        <v>0.79</v>
      </c>
      <c r="C8" s="2">
        <v>0.245</v>
      </c>
      <c r="E8" t="s">
        <v>11</v>
      </c>
      <c r="F8" s="10">
        <f>SUM(F5:F7)</f>
        <v>214002.54499999998</v>
      </c>
    </row>
    <row r="9" spans="1:9" x14ac:dyDescent="0.25">
      <c r="A9" s="2">
        <v>0.8</v>
      </c>
      <c r="B9" s="2">
        <v>0.89</v>
      </c>
      <c r="C9" s="2">
        <v>0.26500000000000001</v>
      </c>
    </row>
    <row r="10" spans="1:9" x14ac:dyDescent="0.25">
      <c r="A10" s="2">
        <v>0.9</v>
      </c>
      <c r="B10" s="2">
        <v>0.99</v>
      </c>
      <c r="C10" s="2">
        <v>0.28499999999999998</v>
      </c>
    </row>
    <row r="11" spans="1:9" x14ac:dyDescent="0.25">
      <c r="A11" s="2">
        <v>1</v>
      </c>
      <c r="B11" s="2">
        <v>1</v>
      </c>
      <c r="C11" s="2">
        <v>0.3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D622-99AC-4820-A867-983A166C544D}">
  <dimension ref="A1:B13"/>
  <sheetViews>
    <sheetView showGridLines="0" workbookViewId="0">
      <selection activeCell="B14" sqref="B14"/>
    </sheetView>
  </sheetViews>
  <sheetFormatPr defaultRowHeight="15" x14ac:dyDescent="0.25"/>
  <cols>
    <col min="1" max="1" width="10.85546875" bestFit="1" customWidth="1"/>
    <col min="2" max="2" width="10" bestFit="1" customWidth="1"/>
  </cols>
  <sheetData>
    <row r="1" spans="1:2" x14ac:dyDescent="0.25">
      <c r="A1" t="s">
        <v>7</v>
      </c>
    </row>
    <row r="2" spans="1:2" x14ac:dyDescent="0.25">
      <c r="B2" s="8">
        <v>83950</v>
      </c>
    </row>
    <row r="3" spans="1:2" x14ac:dyDescent="0.25">
      <c r="B3" s="8">
        <v>15079.4</v>
      </c>
    </row>
    <row r="4" spans="1:2" x14ac:dyDescent="0.25">
      <c r="B4" s="8">
        <v>11420</v>
      </c>
    </row>
    <row r="5" spans="1:2" x14ac:dyDescent="0.25">
      <c r="B5" s="8">
        <v>12000</v>
      </c>
    </row>
    <row r="6" spans="1:2" x14ac:dyDescent="0.25">
      <c r="B6" s="8">
        <v>11990</v>
      </c>
    </row>
    <row r="7" spans="1:2" x14ac:dyDescent="0.25">
      <c r="B7" s="8">
        <v>30350</v>
      </c>
    </row>
    <row r="8" spans="1:2" x14ac:dyDescent="0.25">
      <c r="B8" s="8">
        <v>15000</v>
      </c>
    </row>
    <row r="10" spans="1:2" x14ac:dyDescent="0.25">
      <c r="B10" s="8">
        <f>SUM(B2:B8)</f>
        <v>179789.4</v>
      </c>
    </row>
    <row r="13" spans="1:2" x14ac:dyDescent="0.25">
      <c r="B13">
        <v>179789.4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2025-10-28T11:25:44Z</dcterms:modified>
</cp:coreProperties>
</file>
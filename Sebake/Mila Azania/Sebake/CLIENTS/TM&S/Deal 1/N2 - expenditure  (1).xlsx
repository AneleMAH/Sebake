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riskedejager/Desktop/"/>
    </mc:Choice>
  </mc:AlternateContent>
  <xr:revisionPtr revIDLastSave="0" documentId="13_ncr:1_{E9F98A09-D75D-FE46-833E-532267D578E9}" xr6:coauthVersionLast="47" xr6:coauthVersionMax="47" xr10:uidLastSave="{00000000-0000-0000-0000-000000000000}"/>
  <bookViews>
    <workbookView xWindow="0" yWindow="500" windowWidth="28800" windowHeight="16340" xr2:uid="{E3CA5450-D627-EC4B-B895-E9B364B0AE58}"/>
  </bookViews>
  <sheets>
    <sheet name="N2 - expenditure sheet " sheetId="1" r:id="rId1"/>
    <sheet name="Summary" sheetId="2" r:id="rId2"/>
    <sheet name="Creditors Age Analysis- mooi pl" sheetId="3" r:id="rId3"/>
    <sheet name="Creditors Age - carolina 1" sheetId="4" r:id="rId4"/>
    <sheet name="Routine Maint N2" sheetId="5" r:id="rId5"/>
    <sheet name="Creditors Age Analysis- moo (2)" sheetId="6" r:id="rId6"/>
    <sheet name="Key Personnel SANRAL" sheetId="7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29" i="1"/>
  <c r="E28" i="1"/>
  <c r="A23" i="7"/>
  <c r="Q19" i="7"/>
  <c r="P19" i="7"/>
  <c r="N19" i="7"/>
  <c r="L19" i="7"/>
  <c r="J19" i="7"/>
  <c r="T17" i="7"/>
  <c r="R17" i="7"/>
  <c r="M17" i="7"/>
  <c r="S17" i="7" s="1"/>
  <c r="H17" i="7"/>
  <c r="U15" i="7"/>
  <c r="M15" i="7"/>
  <c r="H15" i="7"/>
  <c r="T14" i="7"/>
  <c r="R14" i="7"/>
  <c r="K14" i="7"/>
  <c r="M14" i="7" s="1"/>
  <c r="H14" i="7"/>
  <c r="K13" i="7"/>
  <c r="M13" i="7" s="1"/>
  <c r="H13" i="7"/>
  <c r="K12" i="7"/>
  <c r="K19" i="7" s="1"/>
  <c r="H12" i="7"/>
  <c r="S11" i="7"/>
  <c r="R11" i="7"/>
  <c r="M11" i="7"/>
  <c r="H11" i="7"/>
  <c r="R10" i="7"/>
  <c r="S10" i="7" s="1"/>
  <c r="H10" i="7"/>
  <c r="S9" i="7"/>
  <c r="R9" i="7"/>
  <c r="M9" i="7"/>
  <c r="H9" i="7"/>
  <c r="S14" i="7" l="1"/>
  <c r="U14" i="7"/>
  <c r="V14" i="7" s="1"/>
  <c r="O13" i="7"/>
  <c r="U13" i="7"/>
  <c r="U17" i="7"/>
  <c r="V17" i="7" s="1"/>
  <c r="M12" i="7"/>
  <c r="O15" i="7"/>
  <c r="R13" i="7" l="1"/>
  <c r="S13" i="7" s="1"/>
  <c r="T13" i="7"/>
  <c r="V13" i="7" s="1"/>
  <c r="R15" i="7"/>
  <c r="S15" i="7" s="1"/>
  <c r="T15" i="7"/>
  <c r="V15" i="7" s="1"/>
  <c r="T12" i="7"/>
  <c r="O12" i="7"/>
  <c r="U12" i="7"/>
  <c r="U19" i="7" s="1"/>
  <c r="M19" i="7"/>
  <c r="O19" i="7" l="1"/>
  <c r="R12" i="7"/>
  <c r="T19" i="7"/>
  <c r="V12" i="7"/>
  <c r="V19" i="7" s="1"/>
  <c r="R19" i="7" l="1"/>
  <c r="S12" i="7"/>
  <c r="S19" i="7" s="1"/>
  <c r="E22" i="1" l="1"/>
  <c r="E25" i="1"/>
  <c r="D36" i="6"/>
  <c r="L8" i="6"/>
  <c r="L9" i="6"/>
  <c r="L10" i="6"/>
  <c r="L11" i="6"/>
  <c r="L12" i="6"/>
  <c r="L34" i="6" s="1"/>
  <c r="L13" i="6"/>
  <c r="L14" i="6"/>
  <c r="L15" i="6"/>
  <c r="L16" i="6"/>
  <c r="L17" i="6"/>
  <c r="L18" i="6"/>
  <c r="L19" i="6"/>
  <c r="L20" i="6"/>
  <c r="L21" i="6"/>
  <c r="E22" i="6"/>
  <c r="E34" i="6" s="1"/>
  <c r="L22" i="6"/>
  <c r="L23" i="6"/>
  <c r="L24" i="6"/>
  <c r="L25" i="6"/>
  <c r="L26" i="6"/>
  <c r="L27" i="6"/>
  <c r="L28" i="6"/>
  <c r="E29" i="6"/>
  <c r="L29" i="6"/>
  <c r="L30" i="6"/>
  <c r="L31" i="6"/>
  <c r="L32" i="6"/>
  <c r="D34" i="6"/>
  <c r="F34" i="6"/>
  <c r="G34" i="6"/>
  <c r="H34" i="6"/>
  <c r="I34" i="6"/>
  <c r="J34" i="6"/>
  <c r="K34" i="6"/>
  <c r="L529" i="5" l="1"/>
  <c r="F529" i="5"/>
  <c r="F527" i="5"/>
  <c r="F533" i="5" s="1"/>
  <c r="F536" i="5" s="1"/>
  <c r="L516" i="5"/>
  <c r="K516" i="5"/>
  <c r="K529" i="5" s="1"/>
  <c r="J516" i="5"/>
  <c r="J529" i="5" s="1"/>
  <c r="I516" i="5"/>
  <c r="I529" i="5" s="1"/>
  <c r="H516" i="5"/>
  <c r="G516" i="5"/>
  <c r="G529" i="5" s="1"/>
  <c r="F516" i="5"/>
  <c r="F514" i="5"/>
  <c r="L494" i="5"/>
  <c r="K494" i="5"/>
  <c r="J494" i="5"/>
  <c r="I494" i="5"/>
  <c r="H494" i="5"/>
  <c r="G494" i="5"/>
  <c r="F494" i="5"/>
  <c r="F492" i="5"/>
  <c r="L475" i="5"/>
  <c r="K475" i="5"/>
  <c r="J475" i="5"/>
  <c r="I475" i="5"/>
  <c r="H475" i="5"/>
  <c r="G475" i="5"/>
  <c r="F475" i="5"/>
  <c r="F473" i="5"/>
  <c r="L440" i="5"/>
  <c r="K440" i="5"/>
  <c r="J440" i="5"/>
  <c r="I440" i="5"/>
  <c r="H440" i="5"/>
  <c r="G440" i="5"/>
  <c r="F440" i="5"/>
  <c r="F438" i="5"/>
  <c r="L421" i="5"/>
  <c r="K421" i="5"/>
  <c r="J421" i="5"/>
  <c r="I421" i="5"/>
  <c r="H421" i="5"/>
  <c r="G421" i="5"/>
  <c r="F421" i="5"/>
  <c r="K404" i="5"/>
  <c r="J404" i="5"/>
  <c r="I404" i="5"/>
  <c r="H404" i="5"/>
  <c r="G404" i="5"/>
  <c r="F404" i="5"/>
  <c r="L403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K375" i="5"/>
  <c r="J375" i="5"/>
  <c r="I375" i="5"/>
  <c r="H375" i="5"/>
  <c r="G375" i="5"/>
  <c r="F375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7" i="5"/>
  <c r="L356" i="5"/>
  <c r="L355" i="5"/>
  <c r="L354" i="5"/>
  <c r="L352" i="5"/>
  <c r="L351" i="5"/>
  <c r="L350" i="5"/>
  <c r="L349" i="5"/>
  <c r="L346" i="5"/>
  <c r="L344" i="5"/>
  <c r="K344" i="5"/>
  <c r="J344" i="5"/>
  <c r="I344" i="5"/>
  <c r="H344" i="5"/>
  <c r="G344" i="5"/>
  <c r="F344" i="5"/>
  <c r="L337" i="5"/>
  <c r="I337" i="5"/>
  <c r="I346" i="5" s="1"/>
  <c r="I377" i="5" s="1"/>
  <c r="I406" i="5" s="1"/>
  <c r="I423" i="5" s="1"/>
  <c r="I442" i="5" s="1"/>
  <c r="L335" i="5"/>
  <c r="K335" i="5"/>
  <c r="J335" i="5"/>
  <c r="I335" i="5"/>
  <c r="H335" i="5"/>
  <c r="G335" i="5"/>
  <c r="F335" i="5"/>
  <c r="L317" i="5"/>
  <c r="L300" i="5"/>
  <c r="L298" i="5"/>
  <c r="K298" i="5"/>
  <c r="J298" i="5"/>
  <c r="I298" i="5"/>
  <c r="H298" i="5"/>
  <c r="G298" i="5"/>
  <c r="G300" i="5" s="1"/>
  <c r="G337" i="5" s="1"/>
  <c r="G346" i="5" s="1"/>
  <c r="G377" i="5" s="1"/>
  <c r="G406" i="5" s="1"/>
  <c r="F298" i="5"/>
  <c r="K235" i="5"/>
  <c r="J235" i="5"/>
  <c r="I235" i="5"/>
  <c r="H235" i="5"/>
  <c r="G235" i="5"/>
  <c r="F235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K195" i="5"/>
  <c r="J195" i="5"/>
  <c r="I195" i="5"/>
  <c r="H195" i="5"/>
  <c r="G195" i="5"/>
  <c r="F195" i="5"/>
  <c r="L183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0" i="5"/>
  <c r="L195" i="5" s="1"/>
  <c r="L117" i="5"/>
  <c r="I113" i="5"/>
  <c r="I197" i="5" s="1"/>
  <c r="I237" i="5" s="1"/>
  <c r="I300" i="5" s="1"/>
  <c r="G113" i="5"/>
  <c r="G197" i="5" s="1"/>
  <c r="G237" i="5" s="1"/>
  <c r="F113" i="5"/>
  <c r="F197" i="5" s="1"/>
  <c r="F237" i="5" s="1"/>
  <c r="F300" i="5" s="1"/>
  <c r="F337" i="5" s="1"/>
  <c r="F346" i="5" s="1"/>
  <c r="F377" i="5" s="1"/>
  <c r="F406" i="5" s="1"/>
  <c r="F423" i="5" s="1"/>
  <c r="F442" i="5" s="1"/>
  <c r="F477" i="5" s="1"/>
  <c r="F496" i="5" s="1"/>
  <c r="F518" i="5" s="1"/>
  <c r="K111" i="5"/>
  <c r="J111" i="5"/>
  <c r="I111" i="5"/>
  <c r="H111" i="5"/>
  <c r="G111" i="5"/>
  <c r="F111" i="5"/>
  <c r="L109" i="5"/>
  <c r="L108" i="5"/>
  <c r="L107" i="5"/>
  <c r="L106" i="5"/>
  <c r="L105" i="5"/>
  <c r="L104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6" i="5"/>
  <c r="L75" i="5"/>
  <c r="L74" i="5"/>
  <c r="L73" i="5"/>
  <c r="L72" i="5"/>
  <c r="L71" i="5"/>
  <c r="L70" i="5"/>
  <c r="L69" i="5"/>
  <c r="L68" i="5"/>
  <c r="L67" i="5"/>
  <c r="L66" i="5"/>
  <c r="L65" i="5"/>
  <c r="L61" i="5"/>
  <c r="L60" i="5"/>
  <c r="L59" i="5"/>
  <c r="L47" i="5"/>
  <c r="K43" i="5"/>
  <c r="K113" i="5" s="1"/>
  <c r="I43" i="5"/>
  <c r="G43" i="5"/>
  <c r="F43" i="5"/>
  <c r="L41" i="5"/>
  <c r="K41" i="5"/>
  <c r="J41" i="5"/>
  <c r="J43" i="5" s="1"/>
  <c r="J113" i="5" s="1"/>
  <c r="J197" i="5" s="1"/>
  <c r="J237" i="5" s="1"/>
  <c r="J300" i="5" s="1"/>
  <c r="J337" i="5" s="1"/>
  <c r="I41" i="5"/>
  <c r="H41" i="5"/>
  <c r="G41" i="5"/>
  <c r="F41" i="5"/>
  <c r="L33" i="5"/>
  <c r="K29" i="5"/>
  <c r="J29" i="5"/>
  <c r="I29" i="5"/>
  <c r="G29" i="5"/>
  <c r="F29" i="5"/>
  <c r="H21" i="5"/>
  <c r="L21" i="5" s="1"/>
  <c r="H19" i="5"/>
  <c r="L19" i="5" s="1"/>
  <c r="H17" i="5"/>
  <c r="L17" i="5" s="1"/>
  <c r="H16" i="5"/>
  <c r="L16" i="5" s="1"/>
  <c r="H15" i="5"/>
  <c r="L15" i="5" s="1"/>
  <c r="H14" i="5"/>
  <c r="L8" i="5"/>
  <c r="K8" i="5"/>
  <c r="J8" i="5"/>
  <c r="H8" i="5"/>
  <c r="G8" i="5"/>
  <c r="F8" i="5"/>
  <c r="K34" i="1"/>
  <c r="K32" i="1"/>
  <c r="K28" i="1"/>
  <c r="E37" i="3"/>
  <c r="B35" i="3"/>
  <c r="B37" i="3"/>
  <c r="H337" i="5" l="1"/>
  <c r="H346" i="5" s="1"/>
  <c r="H377" i="5" s="1"/>
  <c r="H406" i="5" s="1"/>
  <c r="H423" i="5" s="1"/>
  <c r="H442" i="5" s="1"/>
  <c r="H477" i="5" s="1"/>
  <c r="H496" i="5" s="1"/>
  <c r="L375" i="5"/>
  <c r="L377" i="5" s="1"/>
  <c r="G423" i="5"/>
  <c r="G442" i="5" s="1"/>
  <c r="G477" i="5" s="1"/>
  <c r="G496" i="5" s="1"/>
  <c r="H29" i="5"/>
  <c r="H43" i="5" s="1"/>
  <c r="H113" i="5" s="1"/>
  <c r="H197" i="5" s="1"/>
  <c r="H237" i="5" s="1"/>
  <c r="H300" i="5" s="1"/>
  <c r="L111" i="5"/>
  <c r="L14" i="5"/>
  <c r="L29" i="5" s="1"/>
  <c r="L43" i="5" s="1"/>
  <c r="L113" i="5" s="1"/>
  <c r="L197" i="5" s="1"/>
  <c r="K197" i="5"/>
  <c r="K237" i="5"/>
  <c r="K300" i="5" s="1"/>
  <c r="K337" i="5" s="1"/>
  <c r="K346" i="5" s="1"/>
  <c r="K377" i="5" s="1"/>
  <c r="K406" i="5" s="1"/>
  <c r="K423" i="5" s="1"/>
  <c r="K442" i="5" s="1"/>
  <c r="K477" i="5" s="1"/>
  <c r="K496" i="5" s="1"/>
  <c r="J346" i="5"/>
  <c r="J377" i="5" s="1"/>
  <c r="J406" i="5" s="1"/>
  <c r="J423" i="5" s="1"/>
  <c r="J442" i="5" s="1"/>
  <c r="J477" i="5" s="1"/>
  <c r="J496" i="5" s="1"/>
  <c r="L404" i="5"/>
  <c r="L406" i="5" s="1"/>
  <c r="L423" i="5" s="1"/>
  <c r="L442" i="5" s="1"/>
  <c r="L477" i="5" s="1"/>
  <c r="L496" i="5" s="1"/>
  <c r="F531" i="5"/>
  <c r="I477" i="5"/>
  <c r="I496" i="5" s="1"/>
  <c r="L8" i="4"/>
  <c r="L9" i="4"/>
  <c r="L10" i="4"/>
  <c r="L33" i="4" s="1"/>
  <c r="L11" i="4"/>
  <c r="L12" i="4"/>
  <c r="D13" i="4"/>
  <c r="D33" i="4" s="1"/>
  <c r="L13" i="4"/>
  <c r="L14" i="4"/>
  <c r="L15" i="4"/>
  <c r="L16" i="4"/>
  <c r="L17" i="4"/>
  <c r="L18" i="4"/>
  <c r="F19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E33" i="4"/>
  <c r="F33" i="4"/>
  <c r="G33" i="4"/>
  <c r="H33" i="4"/>
  <c r="I33" i="4"/>
  <c r="J33" i="4"/>
  <c r="K33" i="4"/>
  <c r="F6" i="1" l="1"/>
  <c r="N36" i="1"/>
  <c r="L8" i="3"/>
  <c r="L9" i="3"/>
  <c r="L34" i="3" s="1"/>
  <c r="L10" i="3"/>
  <c r="L11" i="3"/>
  <c r="L12" i="3"/>
  <c r="L13" i="3"/>
  <c r="L14" i="3"/>
  <c r="L15" i="3"/>
  <c r="L16" i="3"/>
  <c r="L17" i="3"/>
  <c r="L18" i="3"/>
  <c r="L19" i="3"/>
  <c r="L20" i="3"/>
  <c r="L21" i="3"/>
  <c r="E22" i="3"/>
  <c r="E34" i="3" s="1"/>
  <c r="L22" i="3"/>
  <c r="L23" i="3"/>
  <c r="L24" i="3"/>
  <c r="L25" i="3"/>
  <c r="L26" i="3"/>
  <c r="L27" i="3"/>
  <c r="L28" i="3"/>
  <c r="E29" i="3"/>
  <c r="L29" i="3"/>
  <c r="L30" i="3"/>
  <c r="L31" i="3"/>
  <c r="L32" i="3"/>
  <c r="D34" i="3"/>
  <c r="F34" i="3"/>
  <c r="G34" i="3"/>
  <c r="H34" i="3"/>
  <c r="I34" i="3"/>
  <c r="J34" i="3"/>
  <c r="K34" i="3"/>
  <c r="J32" i="1" l="1"/>
  <c r="C45" i="2"/>
  <c r="B45" i="2"/>
  <c r="A45" i="2"/>
  <c r="K57" i="2"/>
  <c r="C50" i="2"/>
  <c r="K49" i="2"/>
  <c r="E49" i="2"/>
  <c r="C49" i="2"/>
  <c r="G48" i="2"/>
  <c r="O44" i="2"/>
  <c r="G44" i="2"/>
  <c r="X34" i="2"/>
  <c r="Z34" i="2" s="1"/>
  <c r="T34" i="2"/>
  <c r="T50" i="2" s="1"/>
  <c r="O34" i="2"/>
  <c r="N34" i="2"/>
  <c r="M34" i="2"/>
  <c r="L34" i="2"/>
  <c r="K34" i="2"/>
  <c r="K50" i="2" s="1"/>
  <c r="J34" i="2"/>
  <c r="I34" i="2"/>
  <c r="H34" i="2"/>
  <c r="G34" i="2"/>
  <c r="F34" i="2"/>
  <c r="E34" i="2"/>
  <c r="D34" i="2"/>
  <c r="C34" i="2"/>
  <c r="B34" i="2"/>
  <c r="X33" i="2"/>
  <c r="Z33" i="2" s="1"/>
  <c r="Z49" i="2" s="1"/>
  <c r="V33" i="2"/>
  <c r="T33" i="2"/>
  <c r="T49" i="2" s="1"/>
  <c r="O33" i="2"/>
  <c r="O49" i="2" s="1"/>
  <c r="N33" i="2"/>
  <c r="N49" i="2" s="1"/>
  <c r="M33" i="2"/>
  <c r="M49" i="2" s="1"/>
  <c r="L33" i="2"/>
  <c r="L49" i="2" s="1"/>
  <c r="K33" i="2"/>
  <c r="J33" i="2"/>
  <c r="J49" i="2" s="1"/>
  <c r="I33" i="2"/>
  <c r="I49" i="2" s="1"/>
  <c r="H33" i="2"/>
  <c r="H49" i="2" s="1"/>
  <c r="G33" i="2"/>
  <c r="G49" i="2" s="1"/>
  <c r="F33" i="2"/>
  <c r="F49" i="2" s="1"/>
  <c r="E33" i="2"/>
  <c r="D33" i="2"/>
  <c r="D49" i="2" s="1"/>
  <c r="C33" i="2"/>
  <c r="B33" i="2"/>
  <c r="B49" i="2" s="1"/>
  <c r="X32" i="2"/>
  <c r="Z32" i="2" s="1"/>
  <c r="T32" i="2"/>
  <c r="T48" i="2" s="1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1" i="2"/>
  <c r="T31" i="2"/>
  <c r="O31" i="2"/>
  <c r="N31" i="2"/>
  <c r="M31" i="2"/>
  <c r="L31" i="2"/>
  <c r="K31" i="2"/>
  <c r="K36" i="2" s="1"/>
  <c r="J31" i="2"/>
  <c r="J47" i="2" s="1"/>
  <c r="I31" i="2"/>
  <c r="H31" i="2"/>
  <c r="G31" i="2"/>
  <c r="F31" i="2"/>
  <c r="E31" i="2"/>
  <c r="D31" i="2"/>
  <c r="C31" i="2"/>
  <c r="B31" i="2"/>
  <c r="B47" i="2" s="1"/>
  <c r="X30" i="2"/>
  <c r="T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Z28" i="2"/>
  <c r="V28" i="2"/>
  <c r="X19" i="2"/>
  <c r="T19" i="2"/>
  <c r="O19" i="2"/>
  <c r="O50" i="2" s="1"/>
  <c r="N19" i="2"/>
  <c r="N50" i="2" s="1"/>
  <c r="M19" i="2"/>
  <c r="M50" i="2" s="1"/>
  <c r="L19" i="2"/>
  <c r="L50" i="2" s="1"/>
  <c r="K19" i="2"/>
  <c r="J19" i="2"/>
  <c r="I19" i="2"/>
  <c r="I50" i="2" s="1"/>
  <c r="H19" i="2"/>
  <c r="G19" i="2"/>
  <c r="G50" i="2" s="1"/>
  <c r="F19" i="2"/>
  <c r="F50" i="2" s="1"/>
  <c r="E19" i="2"/>
  <c r="E50" i="2" s="1"/>
  <c r="D19" i="2"/>
  <c r="C19" i="2"/>
  <c r="B19" i="2"/>
  <c r="Z18" i="2"/>
  <c r="V18" i="2"/>
  <c r="X17" i="2"/>
  <c r="V17" i="2"/>
  <c r="T17" i="2"/>
  <c r="P17" i="2"/>
  <c r="O17" i="2"/>
  <c r="O48" i="2" s="1"/>
  <c r="N17" i="2"/>
  <c r="N48" i="2" s="1"/>
  <c r="M17" i="2"/>
  <c r="M48" i="2" s="1"/>
  <c r="L17" i="2"/>
  <c r="K17" i="2"/>
  <c r="K48" i="2" s="1"/>
  <c r="J17" i="2"/>
  <c r="J48" i="2" s="1"/>
  <c r="I17" i="2"/>
  <c r="I48" i="2" s="1"/>
  <c r="H17" i="2"/>
  <c r="G17" i="2"/>
  <c r="F17" i="2"/>
  <c r="F48" i="2" s="1"/>
  <c r="E17" i="2"/>
  <c r="E48" i="2" s="1"/>
  <c r="D17" i="2"/>
  <c r="C17" i="2"/>
  <c r="C48" i="2" s="1"/>
  <c r="B17" i="2"/>
  <c r="B48" i="2" s="1"/>
  <c r="X16" i="2"/>
  <c r="T16" i="2"/>
  <c r="T47" i="2" s="1"/>
  <c r="O16" i="2"/>
  <c r="O47" i="2" s="1"/>
  <c r="N16" i="2"/>
  <c r="N47" i="2" s="1"/>
  <c r="M16" i="2"/>
  <c r="M47" i="2" s="1"/>
  <c r="L16" i="2"/>
  <c r="V16" i="2" s="1"/>
  <c r="K16" i="2"/>
  <c r="K47" i="2" s="1"/>
  <c r="J16" i="2"/>
  <c r="I16" i="2"/>
  <c r="I47" i="2" s="1"/>
  <c r="H16" i="2"/>
  <c r="G16" i="2"/>
  <c r="G47" i="2" s="1"/>
  <c r="F16" i="2"/>
  <c r="F47" i="2" s="1"/>
  <c r="E16" i="2"/>
  <c r="E47" i="2" s="1"/>
  <c r="D16" i="2"/>
  <c r="D47" i="2" s="1"/>
  <c r="C16" i="2"/>
  <c r="C47" i="2" s="1"/>
  <c r="B16" i="2"/>
  <c r="X15" i="2"/>
  <c r="T15" i="2"/>
  <c r="O15" i="2"/>
  <c r="O46" i="2" s="1"/>
  <c r="N15" i="2"/>
  <c r="N46" i="2" s="1"/>
  <c r="M15" i="2"/>
  <c r="M46" i="2" s="1"/>
  <c r="L15" i="2"/>
  <c r="L46" i="2" s="1"/>
  <c r="K15" i="2"/>
  <c r="J15" i="2"/>
  <c r="I15" i="2"/>
  <c r="I46" i="2" s="1"/>
  <c r="H15" i="2"/>
  <c r="G15" i="2"/>
  <c r="G46" i="2" s="1"/>
  <c r="F15" i="2"/>
  <c r="F46" i="2" s="1"/>
  <c r="E15" i="2"/>
  <c r="E46" i="2" s="1"/>
  <c r="D15" i="2"/>
  <c r="D46" i="2" s="1"/>
  <c r="C15" i="2"/>
  <c r="B15" i="2"/>
  <c r="X14" i="2"/>
  <c r="T14" i="2"/>
  <c r="O14" i="2"/>
  <c r="N14" i="2"/>
  <c r="M14" i="2"/>
  <c r="L14" i="2"/>
  <c r="V14" i="2" s="1"/>
  <c r="K14" i="2"/>
  <c r="J14" i="2"/>
  <c r="I14" i="2"/>
  <c r="H14" i="2"/>
  <c r="G14" i="2"/>
  <c r="F14" i="2"/>
  <c r="E14" i="2"/>
  <c r="D14" i="2"/>
  <c r="C14" i="2"/>
  <c r="B14" i="2"/>
  <c r="P13" i="2"/>
  <c r="O13" i="2"/>
  <c r="N13" i="2"/>
  <c r="N44" i="2" s="1"/>
  <c r="M13" i="2"/>
  <c r="M44" i="2" s="1"/>
  <c r="L13" i="2"/>
  <c r="L44" i="2" s="1"/>
  <c r="K13" i="2"/>
  <c r="K44" i="2" s="1"/>
  <c r="J13" i="2"/>
  <c r="J44" i="2" s="1"/>
  <c r="I13" i="2"/>
  <c r="I44" i="2" s="1"/>
  <c r="H13" i="2"/>
  <c r="H44" i="2" s="1"/>
  <c r="G13" i="2"/>
  <c r="F13" i="2"/>
  <c r="F44" i="2" s="1"/>
  <c r="E13" i="2"/>
  <c r="E44" i="2" s="1"/>
  <c r="D13" i="2"/>
  <c r="D44" i="2" s="1"/>
  <c r="C13" i="2"/>
  <c r="C44" i="2" s="1"/>
  <c r="B13" i="2"/>
  <c r="B44" i="2" s="1"/>
  <c r="X12" i="2"/>
  <c r="T12" i="2"/>
  <c r="T43" i="2" s="1"/>
  <c r="P12" i="2"/>
  <c r="O12" i="2"/>
  <c r="O43" i="2" s="1"/>
  <c r="N12" i="2"/>
  <c r="N43" i="2" s="1"/>
  <c r="M12" i="2"/>
  <c r="M43" i="2" s="1"/>
  <c r="L12" i="2"/>
  <c r="V12" i="2" s="1"/>
  <c r="K12" i="2"/>
  <c r="J12" i="2"/>
  <c r="J43" i="2" s="1"/>
  <c r="I12" i="2"/>
  <c r="I43" i="2" s="1"/>
  <c r="H12" i="2"/>
  <c r="G12" i="2"/>
  <c r="G43" i="2" s="1"/>
  <c r="F12" i="2"/>
  <c r="F43" i="2" s="1"/>
  <c r="E12" i="2"/>
  <c r="E21" i="2" s="1"/>
  <c r="D12" i="2"/>
  <c r="D43" i="2" s="1"/>
  <c r="C12" i="2"/>
  <c r="B12" i="2"/>
  <c r="B43" i="2" s="1"/>
  <c r="X48" i="2" l="1"/>
  <c r="X50" i="2"/>
  <c r="E36" i="2"/>
  <c r="I52" i="2"/>
  <c r="Z14" i="2"/>
  <c r="T46" i="2"/>
  <c r="T52" i="2" s="1"/>
  <c r="H47" i="2"/>
  <c r="P16" i="2"/>
  <c r="T21" i="2"/>
  <c r="G36" i="2"/>
  <c r="O36" i="2"/>
  <c r="L43" i="2"/>
  <c r="Z12" i="2"/>
  <c r="Z43" i="2" s="1"/>
  <c r="B46" i="2"/>
  <c r="B52" i="2" s="1"/>
  <c r="J46" i="2"/>
  <c r="J52" i="2" s="1"/>
  <c r="Z15" i="2"/>
  <c r="Z46" i="2" s="1"/>
  <c r="D21" i="2"/>
  <c r="H36" i="2"/>
  <c r="T36" i="2"/>
  <c r="H48" i="2"/>
  <c r="C21" i="2"/>
  <c r="K21" i="2"/>
  <c r="C46" i="2"/>
  <c r="K46" i="2"/>
  <c r="Z16" i="2"/>
  <c r="I36" i="2"/>
  <c r="Z30" i="2"/>
  <c r="X47" i="2"/>
  <c r="V47" i="2"/>
  <c r="V49" i="2"/>
  <c r="H50" i="2"/>
  <c r="D36" i="2"/>
  <c r="V30" i="2"/>
  <c r="V31" i="2"/>
  <c r="D48" i="2"/>
  <c r="L48" i="2"/>
  <c r="C43" i="2"/>
  <c r="C36" i="2"/>
  <c r="M36" i="2"/>
  <c r="H21" i="2"/>
  <c r="H46" i="2"/>
  <c r="P15" i="2"/>
  <c r="B50" i="2"/>
  <c r="J50" i="2"/>
  <c r="I21" i="2"/>
  <c r="F36" i="2"/>
  <c r="N36" i="2"/>
  <c r="V34" i="2"/>
  <c r="V36" i="2" s="1"/>
  <c r="K43" i="2"/>
  <c r="L47" i="2"/>
  <c r="V43" i="2"/>
  <c r="M52" i="2"/>
  <c r="F52" i="2"/>
  <c r="N52" i="2"/>
  <c r="G52" i="2"/>
  <c r="O52" i="2"/>
  <c r="B36" i="2"/>
  <c r="J36" i="2"/>
  <c r="X36" i="2"/>
  <c r="H43" i="2"/>
  <c r="H52" i="2" s="1"/>
  <c r="X49" i="2"/>
  <c r="Z19" i="2"/>
  <c r="Z50" i="2" s="1"/>
  <c r="B21" i="2"/>
  <c r="J21" i="2"/>
  <c r="Z31" i="2"/>
  <c r="Z47" i="2" s="1"/>
  <c r="V32" i="2"/>
  <c r="V48" i="2" s="1"/>
  <c r="V15" i="2"/>
  <c r="V46" i="2" s="1"/>
  <c r="Z17" i="2"/>
  <c r="X21" i="2"/>
  <c r="L36" i="2"/>
  <c r="X43" i="2"/>
  <c r="X46" i="2"/>
  <c r="L21" i="2"/>
  <c r="M21" i="2"/>
  <c r="D50" i="2"/>
  <c r="D52" i="2" s="1"/>
  <c r="P14" i="2"/>
  <c r="P21" i="2" s="1"/>
  <c r="F21" i="2"/>
  <c r="N21" i="2"/>
  <c r="E43" i="2"/>
  <c r="E52" i="2" s="1"/>
  <c r="P19" i="2"/>
  <c r="V19" i="2"/>
  <c r="G21" i="2"/>
  <c r="O21" i="2"/>
  <c r="Z21" i="2" l="1"/>
  <c r="V50" i="2"/>
  <c r="L52" i="2"/>
  <c r="C52" i="2"/>
  <c r="K52" i="2"/>
  <c r="V52" i="2"/>
  <c r="Z36" i="2"/>
  <c r="Z48" i="2"/>
  <c r="Z52" i="2" s="1"/>
  <c r="AC17" i="2"/>
  <c r="V21" i="2"/>
  <c r="X52" i="2"/>
  <c r="X54" i="2" s="1"/>
  <c r="J40" i="1" l="1"/>
  <c r="E32" i="1"/>
  <c r="H40" i="1"/>
  <c r="H38" i="1"/>
  <c r="G36" i="1"/>
  <c r="F33" i="1"/>
  <c r="E20" i="1"/>
  <c r="J6" i="1"/>
  <c r="H6" i="1"/>
  <c r="G6" i="1"/>
  <c r="I16" i="1"/>
  <c r="J16" i="1"/>
  <c r="H16" i="1"/>
  <c r="G16" i="1"/>
  <c r="F16" i="1"/>
  <c r="K11" i="1"/>
  <c r="H24" i="1"/>
  <c r="I24" i="1" s="1"/>
  <c r="J24" i="1" s="1"/>
  <c r="I6" i="1"/>
  <c r="F18" i="1"/>
  <c r="G18" i="1" s="1"/>
  <c r="H18" i="1" s="1"/>
  <c r="I18" i="1" s="1"/>
  <c r="T12" i="1"/>
  <c r="P16" i="1"/>
  <c r="R16" i="1" s="1"/>
  <c r="T16" i="1" s="1"/>
  <c r="V16" i="1" s="1"/>
  <c r="X16" i="1" s="1"/>
  <c r="P14" i="1"/>
  <c r="R14" i="1" s="1"/>
  <c r="T14" i="1" s="1"/>
  <c r="P6" i="1"/>
  <c r="N18" i="1"/>
  <c r="N20" i="1" s="1"/>
  <c r="J18" i="1" l="1"/>
  <c r="V14" i="1"/>
  <c r="P18" i="1"/>
  <c r="N21" i="1"/>
  <c r="N22" i="1" s="1"/>
  <c r="X14" i="1" l="1"/>
  <c r="R18" i="1"/>
  <c r="P20" i="1"/>
  <c r="N23" i="1"/>
  <c r="N24" i="1" s="1"/>
  <c r="N38" i="1" s="1"/>
  <c r="R20" i="1" l="1"/>
  <c r="R21" i="1" s="1"/>
  <c r="R22" i="1" s="1"/>
  <c r="R23" i="1" s="1"/>
  <c r="R24" i="1" s="1"/>
  <c r="R38" i="1" s="1"/>
  <c r="T18" i="1"/>
  <c r="P21" i="1"/>
  <c r="P22" i="1" s="1"/>
  <c r="P23" i="1" s="1"/>
  <c r="P24" i="1" s="1"/>
  <c r="P38" i="1" s="1"/>
  <c r="V18" i="1" l="1"/>
  <c r="T20" i="1"/>
  <c r="T21" i="1" l="1"/>
  <c r="T22" i="1"/>
  <c r="T23" i="1" s="1"/>
  <c r="T24" i="1" s="1"/>
  <c r="T38" i="1" s="1"/>
  <c r="X18" i="1"/>
  <c r="X20" i="1" s="1"/>
  <c r="X21" i="1" s="1"/>
  <c r="X22" i="1" s="1"/>
  <c r="X23" i="1" s="1"/>
  <c r="X24" i="1" s="1"/>
  <c r="X38" i="1" s="1"/>
  <c r="V20" i="1"/>
  <c r="V21" i="1" s="1"/>
  <c r="V22" i="1" s="1"/>
  <c r="V23" i="1" s="1"/>
  <c r="V24" i="1" s="1"/>
  <c r="V38" i="1" s="1"/>
  <c r="F22" i="1" l="1"/>
  <c r="G22" i="1" s="1"/>
  <c r="H22" i="1" s="1"/>
  <c r="I22" i="1" s="1"/>
  <c r="J22" i="1" s="1"/>
  <c r="G29" i="1" l="1"/>
  <c r="F29" i="1"/>
  <c r="N40" i="1" s="1"/>
  <c r="H29" i="1" l="1"/>
  <c r="P40" i="1"/>
  <c r="I29" i="1"/>
  <c r="R40" i="1" l="1"/>
  <c r="J29" i="1"/>
  <c r="T40" i="1"/>
  <c r="V40" i="1" l="1"/>
  <c r="X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4" authorId="0" shapeId="0" xr:uid="{850E6C9A-EDDC-4B94-9C48-34F430FAD507}">
      <text>
        <r>
          <rPr>
            <b/>
            <sz val="9"/>
            <color rgb="FF000000"/>
            <rFont val="Tahoma"/>
            <family val="2"/>
          </rPr>
          <t xml:space="preserve">K Duba: </t>
        </r>
        <r>
          <rPr>
            <sz val="9"/>
            <color rgb="FF000000"/>
            <rFont val="Tahoma"/>
            <family val="2"/>
          </rPr>
          <t xml:space="preserve">Cash No Invoice
</t>
        </r>
      </text>
    </comment>
    <comment ref="E29" authorId="0" shapeId="0" xr:uid="{FC0B1F17-2563-457C-BCDE-27633416F500}">
      <text>
        <r>
          <rPr>
            <b/>
            <sz val="9"/>
            <color rgb="FF000000"/>
            <rFont val="Tahoma"/>
            <family val="2"/>
          </rPr>
          <t xml:space="preserve">K Duba: </t>
        </r>
        <r>
          <rPr>
            <sz val="9"/>
            <color rgb="FF000000"/>
            <rFont val="Tahoma"/>
            <family val="2"/>
          </rPr>
          <t xml:space="preserve">4 Invoces
</t>
        </r>
      </text>
    </comment>
    <comment ref="A30" authorId="0" shapeId="0" xr:uid="{E15830B7-4698-4C2F-A0AA-FC4009681B9A}">
      <text>
        <r>
          <rPr>
            <b/>
            <sz val="9"/>
            <color rgb="FF000000"/>
            <rFont val="Tahoma"/>
            <family val="2"/>
          </rPr>
          <t xml:space="preserve">K Duba: </t>
        </r>
        <r>
          <rPr>
            <sz val="9"/>
            <color rgb="FF000000"/>
            <rFont val="Tahoma"/>
            <family val="2"/>
          </rPr>
          <t xml:space="preserve">Do not Pay
</t>
        </r>
      </text>
    </comment>
    <comment ref="A31" authorId="0" shapeId="0" xr:uid="{8C9D3987-82E1-41C1-9C78-A4DBC3F18DC3}">
      <text>
        <r>
          <rPr>
            <b/>
            <sz val="9"/>
            <color indexed="81"/>
            <rFont val="Tahoma"/>
            <family val="2"/>
          </rPr>
          <t xml:space="preserve">K Duba: </t>
        </r>
        <r>
          <rPr>
            <sz val="9"/>
            <color indexed="81"/>
            <rFont val="Tahoma"/>
            <family val="2"/>
          </rPr>
          <t>Do not pay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<sst xmlns="http://schemas.openxmlformats.org/spreadsheetml/2006/main" count="2273" uniqueCount="922">
  <si>
    <t xml:space="preserve">N2 - expenditure Vs revenue </t>
  </si>
  <si>
    <t>Nr.</t>
  </si>
  <si>
    <t xml:space="preserve">Description </t>
  </si>
  <si>
    <t xml:space="preserve">Quote nr. </t>
  </si>
  <si>
    <t xml:space="preserve">Amount </t>
  </si>
  <si>
    <t>QU 3989</t>
  </si>
  <si>
    <t xml:space="preserve">Bitumen supplier </t>
  </si>
  <si>
    <t>Purchase of bitumen truck</t>
  </si>
  <si>
    <t xml:space="preserve">Much asphalt - patching </t>
  </si>
  <si>
    <t xml:space="preserve">Diesel </t>
  </si>
  <si>
    <t xml:space="preserve">Accomodation </t>
  </si>
  <si>
    <t xml:space="preserve">flights </t>
  </si>
  <si>
    <t xml:space="preserve">Petty cash </t>
  </si>
  <si>
    <t>Nr</t>
  </si>
  <si>
    <t>Description</t>
  </si>
  <si>
    <t xml:space="preserve">Patching </t>
  </si>
  <si>
    <t xml:space="preserve">Crack sealing </t>
  </si>
  <si>
    <t xml:space="preserve">hydro cutting </t>
  </si>
  <si>
    <t xml:space="preserve">traffic accomodation </t>
  </si>
  <si>
    <t>P&amp;G</t>
  </si>
  <si>
    <t xml:space="preserve">Supplier </t>
  </si>
  <si>
    <t xml:space="preserve">National </t>
  </si>
  <si>
    <t>AWD</t>
  </si>
  <si>
    <t>QU1670</t>
  </si>
  <si>
    <t xml:space="preserve">Actop Asphalt </t>
  </si>
  <si>
    <t>HQ2278</t>
  </si>
  <si>
    <t>Hluzu</t>
  </si>
  <si>
    <t>QU996</t>
  </si>
  <si>
    <t>Qu 152</t>
  </si>
  <si>
    <t>National bolt</t>
  </si>
  <si>
    <t xml:space="preserve">National bolt </t>
  </si>
  <si>
    <t>Asphalt team  cost &amp; plant</t>
  </si>
  <si>
    <t xml:space="preserve">Roadmac </t>
  </si>
  <si>
    <t>G24-064</t>
  </si>
  <si>
    <t xml:space="preserve">drains </t>
  </si>
  <si>
    <t xml:space="preserve">total </t>
  </si>
  <si>
    <t xml:space="preserve">CPA </t>
  </si>
  <si>
    <t>Vat 15%</t>
  </si>
  <si>
    <t xml:space="preserve">Grand total </t>
  </si>
  <si>
    <t xml:space="preserve">asphalt over lay </t>
  </si>
  <si>
    <t xml:space="preserve">Month 1 </t>
  </si>
  <si>
    <t>Month 2</t>
  </si>
  <si>
    <t>Month 3</t>
  </si>
  <si>
    <t xml:space="preserve">Month 4 </t>
  </si>
  <si>
    <t>Month 5</t>
  </si>
  <si>
    <t>Month 6</t>
  </si>
  <si>
    <t xml:space="preserve">Loan repayment </t>
  </si>
  <si>
    <t xml:space="preserve">Revenue remainig after payment </t>
  </si>
  <si>
    <t>month 1</t>
  </si>
  <si>
    <t>Month 4</t>
  </si>
  <si>
    <t xml:space="preserve">Salaries </t>
  </si>
  <si>
    <t xml:space="preserve">Remining after loan </t>
  </si>
  <si>
    <t xml:space="preserve">Cashflow after expenses and loan repayment </t>
  </si>
  <si>
    <t xml:space="preserve">Expenditure per month </t>
  </si>
  <si>
    <t xml:space="preserve">Revenue projection </t>
  </si>
  <si>
    <t xml:space="preserve">Total </t>
  </si>
  <si>
    <t>Month 1</t>
  </si>
  <si>
    <t>National ashpalt surety 30%</t>
  </si>
  <si>
    <t xml:space="preserve">Plant repayment </t>
  </si>
  <si>
    <t xml:space="preserve">Auxulary works </t>
  </si>
  <si>
    <t>asphalt tons per month</t>
  </si>
  <si>
    <t xml:space="preserve">mooi plaas </t>
  </si>
  <si>
    <t xml:space="preserve">Monday </t>
  </si>
  <si>
    <t xml:space="preserve">deadline </t>
  </si>
  <si>
    <t xml:space="preserve">national excro account </t>
  </si>
  <si>
    <t xml:space="preserve">cheslin to get much asphlat 1500tons for patches </t>
  </si>
  <si>
    <t xml:space="preserve">linda - hydro cutting / contract </t>
  </si>
  <si>
    <t xml:space="preserve">national bolt to provide invoice / terms and  conditions </t>
  </si>
  <si>
    <t xml:space="preserve">pongola </t>
  </si>
  <si>
    <t>diesel (cheslin)</t>
  </si>
  <si>
    <t xml:space="preserve">today </t>
  </si>
  <si>
    <t xml:space="preserve">accomodation revised/quote from linda &amp;cheslin </t>
  </si>
  <si>
    <t>salaries</t>
  </si>
  <si>
    <t xml:space="preserve">bakkies quote rental </t>
  </si>
  <si>
    <t xml:space="preserve">kzn/pick up </t>
  </si>
  <si>
    <t xml:space="preserve">invoice /  statement </t>
  </si>
  <si>
    <t xml:space="preserve">list of plant on site </t>
  </si>
  <si>
    <t xml:space="preserve">last payment certificate </t>
  </si>
  <si>
    <t xml:space="preserve">grader / roller </t>
  </si>
  <si>
    <t xml:space="preserve">no tippers </t>
  </si>
  <si>
    <t xml:space="preserve">national asphalt cession </t>
  </si>
  <si>
    <t>today</t>
  </si>
  <si>
    <t xml:space="preserve">Monday/Tuesday  </t>
  </si>
  <si>
    <t xml:space="preserve">khans </t>
  </si>
  <si>
    <t>July 2025 Key Personnel Remuneration</t>
  </si>
  <si>
    <t>Control</t>
  </si>
  <si>
    <t>Site Name</t>
  </si>
  <si>
    <t>Number of Employees</t>
  </si>
  <si>
    <t>Normal Earning</t>
  </si>
  <si>
    <t>0ver Time Earnings Saturday</t>
  </si>
  <si>
    <t>0ver Time Earnings Sunday/Public Holidays</t>
  </si>
  <si>
    <t>Gross Earnings</t>
  </si>
  <si>
    <t>PAYE Contribution</t>
  </si>
  <si>
    <t>UIF Contribution Employee</t>
  </si>
  <si>
    <t>Loan Repayment</t>
  </si>
  <si>
    <t>Leave without Pay</t>
  </si>
  <si>
    <t>Total Deductions</t>
  </si>
  <si>
    <t>Net Salary</t>
  </si>
  <si>
    <t>UIF Contribution Employer</t>
  </si>
  <si>
    <t>Skills Development Levy</t>
  </si>
  <si>
    <t>Total Contributions</t>
  </si>
  <si>
    <t>Original</t>
  </si>
  <si>
    <t>Varience</t>
  </si>
  <si>
    <t>Bank Upload</t>
  </si>
  <si>
    <t>Head office</t>
  </si>
  <si>
    <t>Tumi</t>
  </si>
  <si>
    <t>Fleet</t>
  </si>
  <si>
    <t>SANRAL</t>
  </si>
  <si>
    <t>Chief Albert Luthuli</t>
  </si>
  <si>
    <t>Caroline</t>
  </si>
  <si>
    <t>Masiphula</t>
  </si>
  <si>
    <t>Shawn &amp; Nkululeko, Koos</t>
  </si>
  <si>
    <t>Mayflower</t>
  </si>
  <si>
    <t>Mooiplaas</t>
  </si>
  <si>
    <t>Total</t>
  </si>
  <si>
    <t>July 2025 Labourers Remuneration</t>
  </si>
  <si>
    <t>Patrick Themba Magagula</t>
  </si>
  <si>
    <t>NKOSI MSINISI</t>
  </si>
  <si>
    <t>Total Salary Bill July 2025</t>
  </si>
  <si>
    <t xml:space="preserve"> </t>
  </si>
  <si>
    <t>Total Oustanding Creditors</t>
  </si>
  <si>
    <t>Materials</t>
  </si>
  <si>
    <t>Build IT Elukwatini</t>
  </si>
  <si>
    <t>Eco Prime</t>
  </si>
  <si>
    <t>Black Bond Surfacing (PTY)Ltd</t>
  </si>
  <si>
    <t>Plant Hire</t>
  </si>
  <si>
    <t>Lomamavundvo Investment (PTY)Ltd)</t>
  </si>
  <si>
    <t>Bee JR Holdings</t>
  </si>
  <si>
    <t>Dinaledi Tsa Metsi</t>
  </si>
  <si>
    <t>Lenscow (PTY) Ltd</t>
  </si>
  <si>
    <t>Teytake (PTY)Ltd</t>
  </si>
  <si>
    <t>Satmper</t>
  </si>
  <si>
    <t>Thuthuka Qawe</t>
  </si>
  <si>
    <t>Office Rental</t>
  </si>
  <si>
    <t>Ebutsini Cultural Village</t>
  </si>
  <si>
    <t>Road Site Establishment</t>
  </si>
  <si>
    <t>Bondinite Trading Enterprise</t>
  </si>
  <si>
    <t>Transportation</t>
  </si>
  <si>
    <t>Mashubane Trading</t>
  </si>
  <si>
    <t>Establishment</t>
  </si>
  <si>
    <t>MEC</t>
  </si>
  <si>
    <t>Lugcabho Tours &amp; Transport (PTY)Ltd</t>
  </si>
  <si>
    <t>Guardrails</t>
  </si>
  <si>
    <t>Mdlatjani Construction</t>
  </si>
  <si>
    <t>Laboratories</t>
  </si>
  <si>
    <t>Zalolusha Laboratories (PTY) LTD</t>
  </si>
  <si>
    <t>Survying</t>
  </si>
  <si>
    <t>Swiswi Trading &amp; Projects</t>
  </si>
  <si>
    <t>Concrete Kerbing</t>
  </si>
  <si>
    <t>NTS Trading Services</t>
  </si>
  <si>
    <t>Accomodation</t>
  </si>
  <si>
    <t>Operators Cash</t>
  </si>
  <si>
    <t>Nkomo Cott</t>
  </si>
  <si>
    <t>Mahlaba Apartments</t>
  </si>
  <si>
    <t>Khokho Madevu Trading</t>
  </si>
  <si>
    <t>Site Establishment</t>
  </si>
  <si>
    <t>Msithini Holdings</t>
  </si>
  <si>
    <t>Hire of Toilets</t>
  </si>
  <si>
    <t>TTMSL</t>
  </si>
  <si>
    <t>Security Services</t>
  </si>
  <si>
    <t>Lobambo Security Services</t>
  </si>
  <si>
    <t xml:space="preserve">Total
</t>
  </si>
  <si>
    <t>Over 1
Year</t>
  </si>
  <si>
    <t>181 Days -
1 Year</t>
  </si>
  <si>
    <t>151 - 
180 Days</t>
  </si>
  <si>
    <t>121 - 
150 Days</t>
  </si>
  <si>
    <t>91 - 
120 Days</t>
  </si>
  <si>
    <t>61 - 
90 Days</t>
  </si>
  <si>
    <t>31 - 
60 Days</t>
  </si>
  <si>
    <t>0 - 
30 Days</t>
  </si>
  <si>
    <t>Site</t>
  </si>
  <si>
    <t>Supplier Details</t>
  </si>
  <si>
    <t>April</t>
  </si>
  <si>
    <t>May</t>
  </si>
  <si>
    <t>June</t>
  </si>
  <si>
    <t>July</t>
  </si>
  <si>
    <t>Creditos Age Analysis 31 July 2025</t>
  </si>
  <si>
    <t>Carolina</t>
  </si>
  <si>
    <t>SMMES</t>
  </si>
  <si>
    <t>Thusanani pipping &amp; fittings</t>
  </si>
  <si>
    <t>Kantech</t>
  </si>
  <si>
    <t>Drilling &amp; Blasting</t>
  </si>
  <si>
    <t>Pijandor Drilling &amp; Blasting</t>
  </si>
  <si>
    <t>Eco Monthly Report</t>
  </si>
  <si>
    <t>Humba</t>
  </si>
  <si>
    <t>Key Personnel</t>
  </si>
  <si>
    <t>Salaries</t>
  </si>
  <si>
    <t>Labourers</t>
  </si>
  <si>
    <t>Pump Station 2</t>
  </si>
  <si>
    <t>Sibhama Mawandla Holdings</t>
  </si>
  <si>
    <t>Internet Services</t>
  </si>
  <si>
    <t>Caroline Internet Café</t>
  </si>
  <si>
    <t>Medical Reimbursement</t>
  </si>
  <si>
    <t>SM Zulu</t>
  </si>
  <si>
    <t xml:space="preserve">Penetron </t>
  </si>
  <si>
    <t xml:space="preserve">With You Security </t>
  </si>
  <si>
    <t>Mpho Motaung</t>
  </si>
  <si>
    <t>Stones</t>
  </si>
  <si>
    <t>Build IT AP Van Der Walt</t>
  </si>
  <si>
    <t>Occupational Health and Safety Monitoring</t>
  </si>
  <si>
    <t>Pelia Enterprise</t>
  </si>
  <si>
    <t>2X Sump Cover</t>
  </si>
  <si>
    <t>MATHCO (PTY) LTD</t>
  </si>
  <si>
    <t>Fuel</t>
  </si>
  <si>
    <t>Puma Garage</t>
  </si>
  <si>
    <t>Ready Mix Material Outstanding Balance</t>
  </si>
  <si>
    <t xml:space="preserve">PC Ready </t>
  </si>
  <si>
    <t>Juluka Projects</t>
  </si>
  <si>
    <t xml:space="preserve">Lebo Ofentse </t>
  </si>
  <si>
    <t>TLB Hire</t>
  </si>
  <si>
    <t>Ngabakwethu</t>
  </si>
  <si>
    <t>Thulasanchez</t>
  </si>
  <si>
    <t>Trevor</t>
  </si>
  <si>
    <t>\</t>
  </si>
  <si>
    <t>Routine Maintenance N2</t>
  </si>
  <si>
    <t xml:space="preserve">Month </t>
  </si>
  <si>
    <t>Requisition Number</t>
  </si>
  <si>
    <t>Date Issued</t>
  </si>
  <si>
    <t>Supplier</t>
  </si>
  <si>
    <t>Amount Excl VAT</t>
  </si>
  <si>
    <t>VAT</t>
  </si>
  <si>
    <t>Amount Incl VAT</t>
  </si>
  <si>
    <t>Invoice Number</t>
  </si>
  <si>
    <t>Date of Payment</t>
  </si>
  <si>
    <t>Amount Paid</t>
  </si>
  <si>
    <t>Variances</t>
  </si>
  <si>
    <t>Notes</t>
  </si>
  <si>
    <t>,</t>
  </si>
  <si>
    <t>SANRAL 0001</t>
  </si>
  <si>
    <t>07/05/2024</t>
  </si>
  <si>
    <t>Stationery</t>
  </si>
  <si>
    <t>SANRAL 0002</t>
  </si>
  <si>
    <t>SANRAL 0003</t>
  </si>
  <si>
    <t>08/05/2024</t>
  </si>
  <si>
    <t>Ama Zulu</t>
  </si>
  <si>
    <t>Accomodations</t>
  </si>
  <si>
    <t>No Proof of Payment</t>
  </si>
  <si>
    <t>SANRAL 0004</t>
  </si>
  <si>
    <t>14/05/2024</t>
  </si>
  <si>
    <t>Walter Kuraunone</t>
  </si>
  <si>
    <t>Petty Cash</t>
  </si>
  <si>
    <t>SANRAL 0005</t>
  </si>
  <si>
    <t>17/05/2024</t>
  </si>
  <si>
    <t>Anew Hotel Hluhluwe</t>
  </si>
  <si>
    <t>Conference room</t>
  </si>
  <si>
    <t>Requisition and tax invoice attached</t>
  </si>
  <si>
    <t>HO 0074</t>
  </si>
  <si>
    <t>20/05/2024</t>
  </si>
  <si>
    <t xml:space="preserve">Group Conference and Events </t>
  </si>
  <si>
    <t>No Tax Invoice</t>
  </si>
  <si>
    <t>Richards Bay 1Stop</t>
  </si>
  <si>
    <t>23/05/2024</t>
  </si>
  <si>
    <t>Tranquility Guesthouse</t>
  </si>
  <si>
    <t>26/05/2024</t>
  </si>
  <si>
    <t>Hluhluwe Supermarket</t>
  </si>
  <si>
    <t>Refreshments</t>
  </si>
  <si>
    <t>SANRAL 0006</t>
  </si>
  <si>
    <t>28/05/2024</t>
  </si>
  <si>
    <t xml:space="preserve">Waltr Kuraoune </t>
  </si>
  <si>
    <t>Requisition attached</t>
  </si>
  <si>
    <t>SANRAL 0007</t>
  </si>
  <si>
    <t>Amazulu Guesthouse</t>
  </si>
  <si>
    <t>Cumulative Total</t>
  </si>
  <si>
    <t>SANRAL 0008</t>
  </si>
  <si>
    <t>04/06/2024</t>
  </si>
  <si>
    <t>The Fever Tree</t>
  </si>
  <si>
    <t>Accommodation Walter</t>
  </si>
  <si>
    <t>07/06/2024</t>
  </si>
  <si>
    <t>Spar Keates Drift</t>
  </si>
  <si>
    <t>Food</t>
  </si>
  <si>
    <t>SANRAL 0010</t>
  </si>
  <si>
    <t>14/06/2024</t>
  </si>
  <si>
    <t xml:space="preserve">Walter </t>
  </si>
  <si>
    <t>SANRAL 0011</t>
  </si>
  <si>
    <t>24/06/2024</t>
  </si>
  <si>
    <t>26/06/2024</t>
  </si>
  <si>
    <t>Ringas</t>
  </si>
  <si>
    <t>Airtime Voucher</t>
  </si>
  <si>
    <t xml:space="preserve">No requisition </t>
  </si>
  <si>
    <t>SANRAL 0013</t>
  </si>
  <si>
    <t>Accommodation</t>
  </si>
  <si>
    <t>SANRAL 0012</t>
  </si>
  <si>
    <t>Amazulu Guest House</t>
  </si>
  <si>
    <t>03/07/2024</t>
  </si>
  <si>
    <t>SA National Road Agency</t>
  </si>
  <si>
    <t>Toll Fee</t>
  </si>
  <si>
    <t>Richards Bay 1 stop shop</t>
  </si>
  <si>
    <t>Yamani Trading</t>
  </si>
  <si>
    <t>05/07/2024</t>
  </si>
  <si>
    <t>Engen Pongola</t>
  </si>
  <si>
    <t>SANRAL 0016</t>
  </si>
  <si>
    <t>09/07/2024</t>
  </si>
  <si>
    <t>Big Five Accommodation</t>
  </si>
  <si>
    <t>Mmastempe accommodation</t>
  </si>
  <si>
    <t xml:space="preserve">Requisition and tax invoice attached </t>
  </si>
  <si>
    <t>SANRAL 0015</t>
  </si>
  <si>
    <t>Walters accommodation</t>
  </si>
  <si>
    <t>SANRAL 0017</t>
  </si>
  <si>
    <t>Life Style Furniture</t>
  </si>
  <si>
    <t>Appliances</t>
  </si>
  <si>
    <t>SANRAL 0018</t>
  </si>
  <si>
    <t>11/07/2024</t>
  </si>
  <si>
    <t>Inqama Security</t>
  </si>
  <si>
    <t>Build It Hluhluwe</t>
  </si>
  <si>
    <t>Material</t>
  </si>
  <si>
    <t>13/07/2024</t>
  </si>
  <si>
    <t>Morrison &amp; Sons</t>
  </si>
  <si>
    <t>15/07/2024</t>
  </si>
  <si>
    <t>TCG Mtubatuba</t>
  </si>
  <si>
    <t>X Ndwandwe</t>
  </si>
  <si>
    <t>16/07/2024</t>
  </si>
  <si>
    <t>18/07/2024</t>
  </si>
  <si>
    <t>Afrimat</t>
  </si>
  <si>
    <t>Themba Kuye Construction</t>
  </si>
  <si>
    <t>Mobile toilets</t>
  </si>
  <si>
    <t>Boxer</t>
  </si>
  <si>
    <t>20/07/2024</t>
  </si>
  <si>
    <t>Engen Hluhluwe</t>
  </si>
  <si>
    <t>Game Secunda</t>
  </si>
  <si>
    <t>Office utensils</t>
  </si>
  <si>
    <t>22/07/2024</t>
  </si>
  <si>
    <t>No invoice</t>
  </si>
  <si>
    <t>Superspar Hluhluwe</t>
  </si>
  <si>
    <t>No requisition</t>
  </si>
  <si>
    <t>Vamani Trading</t>
  </si>
  <si>
    <t>24/07/2024</t>
  </si>
  <si>
    <t>KFC</t>
  </si>
  <si>
    <t>HO 0119</t>
  </si>
  <si>
    <t>Njojo Farm</t>
  </si>
  <si>
    <t>Farm rentsl</t>
  </si>
  <si>
    <t xml:space="preserve">Kusindwabaleka </t>
  </si>
  <si>
    <t>Site clearance</t>
  </si>
  <si>
    <t>HO 0124</t>
  </si>
  <si>
    <t>Adendorf Machinery Mart</t>
  </si>
  <si>
    <t>25/07/2024</t>
  </si>
  <si>
    <t>BUCO Hardware</t>
  </si>
  <si>
    <t>26/07/2024</t>
  </si>
  <si>
    <t>Mkonge Farm</t>
  </si>
  <si>
    <t>No requisition and no invoice attached</t>
  </si>
  <si>
    <t>Jock Morrison &amp; Sons</t>
  </si>
  <si>
    <t>Petroport Hluhluwe N2</t>
  </si>
  <si>
    <t>HO 0133</t>
  </si>
  <si>
    <t>Anew Hotel</t>
  </si>
  <si>
    <t>27/07/2024</t>
  </si>
  <si>
    <t>28/07/2024</t>
  </si>
  <si>
    <t>Hluhluwe Superspar</t>
  </si>
  <si>
    <t>Sasol Junxion</t>
  </si>
  <si>
    <t>Pick n Pay</t>
  </si>
  <si>
    <t>30/07/2024</t>
  </si>
  <si>
    <t>Courier Services</t>
  </si>
  <si>
    <t>Postage</t>
  </si>
  <si>
    <t>30/04/2024</t>
  </si>
  <si>
    <t>Elrocure Mtubatuba</t>
  </si>
  <si>
    <t>31/07/2024</t>
  </si>
  <si>
    <t>Mega Build It Mtuba</t>
  </si>
  <si>
    <t>Shoprite Hluhluwe</t>
  </si>
  <si>
    <t>SANRAL 0020</t>
  </si>
  <si>
    <t>01/08/2024</t>
  </si>
  <si>
    <t>Walter Kuruaone</t>
  </si>
  <si>
    <t>Site rental</t>
  </si>
  <si>
    <t>08/10/2024</t>
  </si>
  <si>
    <t>02/08/2024</t>
  </si>
  <si>
    <t>Total Tollas</t>
  </si>
  <si>
    <t>Park Motors Back Up</t>
  </si>
  <si>
    <t>Thembakuye Construction</t>
  </si>
  <si>
    <t>03/08/2024</t>
  </si>
  <si>
    <t>The Lamps Pub</t>
  </si>
  <si>
    <t>SANRAL 0028</t>
  </si>
  <si>
    <t>04/08/2024</t>
  </si>
  <si>
    <t>Cartel</t>
  </si>
  <si>
    <t>Engen Midway 1Stop</t>
  </si>
  <si>
    <t xml:space="preserve">KFC </t>
  </si>
  <si>
    <t>05/08/2024</t>
  </si>
  <si>
    <t>Mmastempe Accommodation</t>
  </si>
  <si>
    <t>Engen Baobab</t>
  </si>
  <si>
    <t>Walter Accommodation</t>
  </si>
  <si>
    <t>06/08/2024</t>
  </si>
  <si>
    <t>Hluhluwe Convenience Centre</t>
  </si>
  <si>
    <t>07/08/2024</t>
  </si>
  <si>
    <t>Petropoort N2 Hluhluwe</t>
  </si>
  <si>
    <t>PLC Sitting Allowance</t>
  </si>
  <si>
    <t>PLC Induction stippend</t>
  </si>
  <si>
    <t>08/08/2024</t>
  </si>
  <si>
    <t xml:space="preserve">Adendorf Machinery </t>
  </si>
  <si>
    <t>10/08/2024</t>
  </si>
  <si>
    <t>Specialised Road Technologies</t>
  </si>
  <si>
    <t>Road Technologies</t>
  </si>
  <si>
    <t>11/08/2024</t>
  </si>
  <si>
    <t>Hluhluwe Cellular</t>
  </si>
  <si>
    <t>HDMI Cable</t>
  </si>
  <si>
    <t>12/08/2024</t>
  </si>
  <si>
    <t>13/08/2024</t>
  </si>
  <si>
    <t>Supaspar Hluhluwe</t>
  </si>
  <si>
    <t>SANRAL 0019</t>
  </si>
  <si>
    <t>Ilanga</t>
  </si>
  <si>
    <t>Advert Publication</t>
  </si>
  <si>
    <t>17/08/2024</t>
  </si>
  <si>
    <t>Sasol Technikon</t>
  </si>
  <si>
    <t>14/08/2024</t>
  </si>
  <si>
    <t xml:space="preserve">Shoprite </t>
  </si>
  <si>
    <t>Checkers</t>
  </si>
  <si>
    <t>HO 0221</t>
  </si>
  <si>
    <t>15/08/2024</t>
  </si>
  <si>
    <t>Breno Parts</t>
  </si>
  <si>
    <t>Lamp strobe LED</t>
  </si>
  <si>
    <t>16/08/2024</t>
  </si>
  <si>
    <t>Spar Tops</t>
  </si>
  <si>
    <t>Alcohol</t>
  </si>
  <si>
    <t>19/08/2024</t>
  </si>
  <si>
    <t>Airtime</t>
  </si>
  <si>
    <t>20/08/2024</t>
  </si>
  <si>
    <t>Farm Stall</t>
  </si>
  <si>
    <t>Jojo Tank</t>
  </si>
  <si>
    <t>HO 0227</t>
  </si>
  <si>
    <t>eSpanini Health</t>
  </si>
  <si>
    <t>Medicals</t>
  </si>
  <si>
    <t>HO 0228</t>
  </si>
  <si>
    <t>20/08/25024</t>
  </si>
  <si>
    <t>Firstaider</t>
  </si>
  <si>
    <t>First Aids</t>
  </si>
  <si>
    <t>Mjojo Farm</t>
  </si>
  <si>
    <t>Water</t>
  </si>
  <si>
    <t>21/08/2024</t>
  </si>
  <si>
    <t>22/08/2024</t>
  </si>
  <si>
    <t>SANRAL 0023</t>
  </si>
  <si>
    <t>23/08/2024</t>
  </si>
  <si>
    <t>Site Office</t>
  </si>
  <si>
    <t>Electricity</t>
  </si>
  <si>
    <t>SANRAL 0024</t>
  </si>
  <si>
    <t>Security services</t>
  </si>
  <si>
    <t>SANRAL 0025</t>
  </si>
  <si>
    <t>SANRAL 0026</t>
  </si>
  <si>
    <t>Water tanks</t>
  </si>
  <si>
    <t>24/08/2024</t>
  </si>
  <si>
    <t>Shell Ultra City</t>
  </si>
  <si>
    <t>25/08/2024</t>
  </si>
  <si>
    <t>26/08/2024</t>
  </si>
  <si>
    <t>Alpha Cleaning Services</t>
  </si>
  <si>
    <t>Sewer withdrawal</t>
  </si>
  <si>
    <t>Superspar</t>
  </si>
  <si>
    <t>27/08/2024</t>
  </si>
  <si>
    <t>Electrical Hluhluwe</t>
  </si>
  <si>
    <t>29/08/2024</t>
  </si>
  <si>
    <t>N2 Eco Fuel</t>
  </si>
  <si>
    <t>Hoeveld Garage</t>
  </si>
  <si>
    <t>Engen CBK</t>
  </si>
  <si>
    <t>SANRAL 0055</t>
  </si>
  <si>
    <t>30/08/2024</t>
  </si>
  <si>
    <t>Total Richardsbay</t>
  </si>
  <si>
    <t>HO 0235</t>
  </si>
  <si>
    <t>02/09/2024</t>
  </si>
  <si>
    <t>G. Fox</t>
  </si>
  <si>
    <t>PPE</t>
  </si>
  <si>
    <t>No proof of payment</t>
  </si>
  <si>
    <t>Petropoort Hluhluwe N2</t>
  </si>
  <si>
    <t>Fuel (Sphiwe)</t>
  </si>
  <si>
    <t>03/09/2024</t>
  </si>
  <si>
    <t>04/09/2024</t>
  </si>
  <si>
    <t>SANRAL 0030</t>
  </si>
  <si>
    <t>05/09/2024</t>
  </si>
  <si>
    <t>Hluhluwe Farm Store</t>
  </si>
  <si>
    <t>SANRAL 0031</t>
  </si>
  <si>
    <t>SANRAL 0032</t>
  </si>
  <si>
    <t>08/09/2024</t>
  </si>
  <si>
    <t>Septic Tank</t>
  </si>
  <si>
    <t>SANRAL 0033</t>
  </si>
  <si>
    <t>SANRAL 0040</t>
  </si>
  <si>
    <t>09/09/2024</t>
  </si>
  <si>
    <t>Thabo Mohommane</t>
  </si>
  <si>
    <t>SANRAL 0036</t>
  </si>
  <si>
    <t>SANRAL 0037</t>
  </si>
  <si>
    <t>SANRAL 0038</t>
  </si>
  <si>
    <t>Binding of tender document</t>
  </si>
  <si>
    <t>SANRAL 0039</t>
  </si>
  <si>
    <t>Thabo's Accommodation</t>
  </si>
  <si>
    <t>Walter</t>
  </si>
  <si>
    <t>Fuel for Thabo safety officer</t>
  </si>
  <si>
    <t>10/09/2024</t>
  </si>
  <si>
    <t>Mahlori Makhubele</t>
  </si>
  <si>
    <t>SANRAL 0043</t>
  </si>
  <si>
    <t>Alpha Connect</t>
  </si>
  <si>
    <t>SANRAL 0041</t>
  </si>
  <si>
    <t>First Aider</t>
  </si>
  <si>
    <t>First Aid boxes</t>
  </si>
  <si>
    <t>SANRAL 0045</t>
  </si>
  <si>
    <t>Mtubatuba</t>
  </si>
  <si>
    <t>11/09/2024</t>
  </si>
  <si>
    <t>Elrocure (pty) ltd</t>
  </si>
  <si>
    <t>Coastals Farmers</t>
  </si>
  <si>
    <t>12/09/2024</t>
  </si>
  <si>
    <t>Lillies Sales &amp; Services</t>
  </si>
  <si>
    <t>20/09/2024</t>
  </si>
  <si>
    <t>23/09/2024</t>
  </si>
  <si>
    <t>Melokuhle Dube</t>
  </si>
  <si>
    <t>SM Vilakazi</t>
  </si>
  <si>
    <t>25/09/2024</t>
  </si>
  <si>
    <t>Requisitiona and proof of payment attached</t>
  </si>
  <si>
    <t>SANRAL 0051</t>
  </si>
  <si>
    <t>Zululander</t>
  </si>
  <si>
    <t>17/10/2024</t>
  </si>
  <si>
    <t>Epacon Supplies</t>
  </si>
  <si>
    <t>14/10/2024</t>
  </si>
  <si>
    <t>Spill Tech</t>
  </si>
  <si>
    <t>Spill kits</t>
  </si>
  <si>
    <t>HO 0256</t>
  </si>
  <si>
    <t>04/10/2024</t>
  </si>
  <si>
    <t>HO 0259</t>
  </si>
  <si>
    <t>27/09/2024</t>
  </si>
  <si>
    <t>01/10/2024</t>
  </si>
  <si>
    <t>SANRAL 0057</t>
  </si>
  <si>
    <t>Olive Branch Café</t>
  </si>
  <si>
    <t>Meeting Refreshments</t>
  </si>
  <si>
    <t>Coastals</t>
  </si>
  <si>
    <t>02/10/2024</t>
  </si>
  <si>
    <t>Mbali Hlatshwayo</t>
  </si>
  <si>
    <t>Build It</t>
  </si>
  <si>
    <t>07/10/2024</t>
  </si>
  <si>
    <t>Wifi</t>
  </si>
  <si>
    <t>Requisition and proof of payment attached</t>
  </si>
  <si>
    <t>09/10/2024</t>
  </si>
  <si>
    <t>Jabulani Mpontshane</t>
  </si>
  <si>
    <t>PLC Member</t>
  </si>
  <si>
    <t>BI Tembe</t>
  </si>
  <si>
    <t>Khonzi Nxumalo</t>
  </si>
  <si>
    <t>Muzomuhle Dube</t>
  </si>
  <si>
    <t>Mzothulayo Mbatha</t>
  </si>
  <si>
    <t>Sibonelo Sithole</t>
  </si>
  <si>
    <t>Silindile Mnguni</t>
  </si>
  <si>
    <t>Sam Mtshali</t>
  </si>
  <si>
    <t>10/10/2024</t>
  </si>
  <si>
    <t xml:space="preserve">Gubasi Construction </t>
  </si>
  <si>
    <t>12/10/2024</t>
  </si>
  <si>
    <t>Busisiwe Mncube</t>
  </si>
  <si>
    <t>Xolani Dludla</t>
  </si>
  <si>
    <t>Thenjiwe Mdlethse</t>
  </si>
  <si>
    <t>Slindile Dladla</t>
  </si>
  <si>
    <t xml:space="preserve">Sipho </t>
  </si>
  <si>
    <t>Sthembiso Nhleko</t>
  </si>
  <si>
    <t>Mzo Mbatha</t>
  </si>
  <si>
    <t>Dumisani Zondi</t>
  </si>
  <si>
    <t>Spill Kits</t>
  </si>
  <si>
    <t>SANRAL 0059</t>
  </si>
  <si>
    <t>Lifestyle Furnitures</t>
  </si>
  <si>
    <t>Furniture</t>
  </si>
  <si>
    <t>15/10/2024</t>
  </si>
  <si>
    <t>Vinolia Ndaba</t>
  </si>
  <si>
    <t>Beds</t>
  </si>
  <si>
    <t>M Manetsi</t>
  </si>
  <si>
    <t>16/10/2024</t>
  </si>
  <si>
    <t>Apicon Supplies</t>
  </si>
  <si>
    <t>18/10/2024</t>
  </si>
  <si>
    <t>21/10/2024</t>
  </si>
  <si>
    <t>PEP</t>
  </si>
  <si>
    <t>22/10/2024</t>
  </si>
  <si>
    <t>Jack Morrison &amp; Sons</t>
  </si>
  <si>
    <t>23/10/2024</t>
  </si>
  <si>
    <t>24/10/2024</t>
  </si>
  <si>
    <t>25/10/2024</t>
  </si>
  <si>
    <t>28/10/2024</t>
  </si>
  <si>
    <t>S Majoro</t>
  </si>
  <si>
    <t>29/10/2024</t>
  </si>
  <si>
    <t>30/10/2024</t>
  </si>
  <si>
    <t>01/11/2024</t>
  </si>
  <si>
    <t>02/11/2024</t>
  </si>
  <si>
    <t>04/11/2024</t>
  </si>
  <si>
    <t>SA Weather Shop</t>
  </si>
  <si>
    <t>Weather Station</t>
  </si>
  <si>
    <t>05/11/2024</t>
  </si>
  <si>
    <t>Astron Energy</t>
  </si>
  <si>
    <t>Phakashi Construction</t>
  </si>
  <si>
    <t>Wireless weather station</t>
  </si>
  <si>
    <t>06/11/2024</t>
  </si>
  <si>
    <t>Incredible Connections</t>
  </si>
  <si>
    <t>Printer</t>
  </si>
  <si>
    <t>Oxyros Mtubatuba</t>
  </si>
  <si>
    <t>Petropoort Hluhluwe</t>
  </si>
  <si>
    <t>Fuel for generator</t>
  </si>
  <si>
    <t>Dischem Piet Retief</t>
  </si>
  <si>
    <t>Medicine</t>
  </si>
  <si>
    <t>No requisiton, tax invoice attached</t>
  </si>
  <si>
    <t>Shoprite</t>
  </si>
  <si>
    <t>07/11/2024</t>
  </si>
  <si>
    <t>08/11/2024</t>
  </si>
  <si>
    <t>Engen</t>
  </si>
  <si>
    <t>11/11/2024</t>
  </si>
  <si>
    <t>Internet</t>
  </si>
  <si>
    <t>12/11/2024</t>
  </si>
  <si>
    <t>SANRAL 0082</t>
  </si>
  <si>
    <t>Samuel Khumalo</t>
  </si>
  <si>
    <t>14/01/2025</t>
  </si>
  <si>
    <t>SANRAL 0050</t>
  </si>
  <si>
    <t>13/11/2024</t>
  </si>
  <si>
    <t>Espanini Health</t>
  </si>
  <si>
    <t>SANRAL 0151</t>
  </si>
  <si>
    <t>14/11/2024</t>
  </si>
  <si>
    <t>FTS Safety Group</t>
  </si>
  <si>
    <t>SANRAL 0154</t>
  </si>
  <si>
    <t>19/11/2024</t>
  </si>
  <si>
    <t>25/11/2024</t>
  </si>
  <si>
    <t>Humna Environmental</t>
  </si>
  <si>
    <t>DOE / Mentorship &amp; training</t>
  </si>
  <si>
    <t>21/12/2024</t>
  </si>
  <si>
    <t>06/12/2024</t>
  </si>
  <si>
    <t>MG Manetsi</t>
  </si>
  <si>
    <t>07/01/2024</t>
  </si>
  <si>
    <t>07/01/2025</t>
  </si>
  <si>
    <t>SANRAL 0176</t>
  </si>
  <si>
    <t>11/01/2025</t>
  </si>
  <si>
    <t>21/01/2025</t>
  </si>
  <si>
    <t>Requisition, tax invoice and proof of payment attached</t>
  </si>
  <si>
    <t>SANRAL 0167</t>
  </si>
  <si>
    <t>Site Rental</t>
  </si>
  <si>
    <t>SANRAL 0168</t>
  </si>
  <si>
    <t>Office Wifi</t>
  </si>
  <si>
    <t>SANRAL 0191</t>
  </si>
  <si>
    <t>15/01/2025</t>
  </si>
  <si>
    <t xml:space="preserve">Training </t>
  </si>
  <si>
    <t>SANRAL 0195</t>
  </si>
  <si>
    <t>16/01/2025</t>
  </si>
  <si>
    <t>eSpanini Health Services</t>
  </si>
  <si>
    <t>QTE-00413</t>
  </si>
  <si>
    <t>17/01/2025</t>
  </si>
  <si>
    <t>Inqama Security (pty) ltd</t>
  </si>
  <si>
    <t>Dura Hatle Accommodation</t>
  </si>
  <si>
    <t>Accommodation (Jabu and lucky)</t>
  </si>
  <si>
    <t>No requisition, proof of payment attached</t>
  </si>
  <si>
    <t>SANRAL 0196</t>
  </si>
  <si>
    <t>Training (Flagmen)</t>
  </si>
  <si>
    <t>20/01/2025</t>
  </si>
  <si>
    <t>Traffic Department</t>
  </si>
  <si>
    <t>License disk</t>
  </si>
  <si>
    <t>SANRAL 0093</t>
  </si>
  <si>
    <t>22/01/2025</t>
  </si>
  <si>
    <t>Site Camp Electricity</t>
  </si>
  <si>
    <t>23/01/2025</t>
  </si>
  <si>
    <t>SANRAL 0096</t>
  </si>
  <si>
    <t>SANRAL 0095</t>
  </si>
  <si>
    <t>Hluzu Guest House</t>
  </si>
  <si>
    <t>Accommodation (Mr Manetsi)</t>
  </si>
  <si>
    <t>SANRAL 0094</t>
  </si>
  <si>
    <t>Makro (S Ngubeni)</t>
  </si>
  <si>
    <t>Stationery (Paper)</t>
  </si>
  <si>
    <t>Incredible Connection</t>
  </si>
  <si>
    <t>Proof of payment attached</t>
  </si>
  <si>
    <t>Bonhlebateng</t>
  </si>
  <si>
    <t>Requisition, tax invoice attached</t>
  </si>
  <si>
    <t>SANRAL 0101</t>
  </si>
  <si>
    <t>24/01/2025</t>
  </si>
  <si>
    <t>05/02/2025</t>
  </si>
  <si>
    <t xml:space="preserve">Majola Family </t>
  </si>
  <si>
    <t>Renatl for 8 employees</t>
  </si>
  <si>
    <t>SP Ngubane</t>
  </si>
  <si>
    <t>Doors &amp; Handles</t>
  </si>
  <si>
    <t>SANRAL 0102</t>
  </si>
  <si>
    <t>27/01/2025</t>
  </si>
  <si>
    <t>Phakashi Constructiom</t>
  </si>
  <si>
    <t>Site water</t>
  </si>
  <si>
    <t>SANRAL 0105</t>
  </si>
  <si>
    <t>29/01/2025</t>
  </si>
  <si>
    <t>REFUND MR MANETSI</t>
  </si>
  <si>
    <t>SANRAL 0109</t>
  </si>
  <si>
    <t>04/02/2025</t>
  </si>
  <si>
    <t>AGR</t>
  </si>
  <si>
    <t>SANRAL 0111</t>
  </si>
  <si>
    <t>10/02/2025</t>
  </si>
  <si>
    <t>SANRAL 0108</t>
  </si>
  <si>
    <t>06/02/2025</t>
  </si>
  <si>
    <t>Eskom</t>
  </si>
  <si>
    <t xml:space="preserve">Site Electricity </t>
  </si>
  <si>
    <t>SANRAL 0113</t>
  </si>
  <si>
    <t>Meshack Masinga</t>
  </si>
  <si>
    <t>Plumbing Labour</t>
  </si>
  <si>
    <t>SANRAL 0114</t>
  </si>
  <si>
    <t>Fire Line Sourcing and Fire Services</t>
  </si>
  <si>
    <t>Fire Extinguishers</t>
  </si>
  <si>
    <t>SANRAL 0116</t>
  </si>
  <si>
    <t>07/02/2025</t>
  </si>
  <si>
    <t>Meeting Venue</t>
  </si>
  <si>
    <t>11/02/2025</t>
  </si>
  <si>
    <t>SANRAL 0115</t>
  </si>
  <si>
    <t>Sign Force</t>
  </si>
  <si>
    <t>Magnetic Signs</t>
  </si>
  <si>
    <t>Mr Smart</t>
  </si>
  <si>
    <t>12/02/2025</t>
  </si>
  <si>
    <t>Hluzu Guesthouse</t>
  </si>
  <si>
    <t>Accommodation (Manetsi)</t>
  </si>
  <si>
    <t>Rigging (pty) ltd</t>
  </si>
  <si>
    <t>Ngwanase Honey Sucker</t>
  </si>
  <si>
    <t>Iziqalo Ezintsha Sales and Services</t>
  </si>
  <si>
    <t>SANRAL 0121</t>
  </si>
  <si>
    <t>14/02/2025</t>
  </si>
  <si>
    <t>Jill Domleo</t>
  </si>
  <si>
    <t>26/02/2025</t>
  </si>
  <si>
    <t>SANRAL 0123</t>
  </si>
  <si>
    <t>18/02/2025</t>
  </si>
  <si>
    <t>Jock Morrison And Sons</t>
  </si>
  <si>
    <t>Fencing</t>
  </si>
  <si>
    <t>11/03/2025</t>
  </si>
  <si>
    <t>21/02/2025</t>
  </si>
  <si>
    <t>Site Electricity</t>
  </si>
  <si>
    <t>SANRAL 0119</t>
  </si>
  <si>
    <t>25/02/2025</t>
  </si>
  <si>
    <t>Total Petropoort Hluhluwe</t>
  </si>
  <si>
    <t>SANRAL 0128</t>
  </si>
  <si>
    <t>SANRAL 0126</t>
  </si>
  <si>
    <t xml:space="preserve">Wifi </t>
  </si>
  <si>
    <t>SANRAL 0127</t>
  </si>
  <si>
    <t>Sewage Drainage</t>
  </si>
  <si>
    <t>05/03/2025</t>
  </si>
  <si>
    <t>SM Majoro</t>
  </si>
  <si>
    <t>07/03/2025</t>
  </si>
  <si>
    <t>Roadmac Surfacing</t>
  </si>
  <si>
    <t>10/03/2025</t>
  </si>
  <si>
    <t>Petronet N2 Hluhluwe</t>
  </si>
  <si>
    <t>Build It AP Van Der Walt</t>
  </si>
  <si>
    <t>14/03/2025</t>
  </si>
  <si>
    <t>20/03/2025</t>
  </si>
  <si>
    <t>K Duba</t>
  </si>
  <si>
    <t>SANRAL 0145</t>
  </si>
  <si>
    <t>25/03/2025</t>
  </si>
  <si>
    <t>INQA - 0009</t>
  </si>
  <si>
    <t>SANRAL 0141</t>
  </si>
  <si>
    <t>Sewer Drainage</t>
  </si>
  <si>
    <t>SANRAL 0150</t>
  </si>
  <si>
    <t>27/03/2025</t>
  </si>
  <si>
    <t>Thembauye Construction</t>
  </si>
  <si>
    <t>PLC Meeting catering</t>
  </si>
  <si>
    <t>14/05/2025</t>
  </si>
  <si>
    <t>SANRAL 0110</t>
  </si>
  <si>
    <t>02/04/2025</t>
  </si>
  <si>
    <t>Catering for meeting</t>
  </si>
  <si>
    <t>08/04/2025</t>
  </si>
  <si>
    <t>09/04/2025</t>
  </si>
  <si>
    <t>SANRAL D0001</t>
  </si>
  <si>
    <t>10/04/2025</t>
  </si>
  <si>
    <t>Seeiso Majoro</t>
  </si>
  <si>
    <t>SANRAL D0006</t>
  </si>
  <si>
    <t>11/04/2025</t>
  </si>
  <si>
    <t>Safety training</t>
  </si>
  <si>
    <t>S80093</t>
  </si>
  <si>
    <t>SANRAL D0025</t>
  </si>
  <si>
    <t>30/04/2025</t>
  </si>
  <si>
    <t>V Jele</t>
  </si>
  <si>
    <t>Bus parking space</t>
  </si>
  <si>
    <t>02/05/2025</t>
  </si>
  <si>
    <t>SANRAL D0005</t>
  </si>
  <si>
    <t>PPE For you Ermelo</t>
  </si>
  <si>
    <t>PPE-Rain Suits</t>
  </si>
  <si>
    <t>Not paid</t>
  </si>
  <si>
    <t>SANRAL D0009</t>
  </si>
  <si>
    <t>Mhlopheni General Trading</t>
  </si>
  <si>
    <t>Supply and deliver water</t>
  </si>
  <si>
    <t>SANRAL D0012</t>
  </si>
  <si>
    <t>Hamba Enviro. Consultancy</t>
  </si>
  <si>
    <t>DEO officer report August 2024</t>
  </si>
  <si>
    <t>DEO officer report September 2025</t>
  </si>
  <si>
    <t>Petty Cash Reimbursement - Majoro</t>
  </si>
  <si>
    <t>Petty Cash Reimbursement - Ngcobo</t>
  </si>
  <si>
    <t>Total not paid</t>
  </si>
  <si>
    <t>06/05/2025</t>
  </si>
  <si>
    <t>Mathew Chiwawa</t>
  </si>
  <si>
    <t>Zwavhudi</t>
  </si>
  <si>
    <t>Snenhlanhla Magwaza</t>
  </si>
  <si>
    <t>08/05/2025</t>
  </si>
  <si>
    <t>Meeting refreshments</t>
  </si>
  <si>
    <t>SANRAL D031</t>
  </si>
  <si>
    <t>09/05/2025</t>
  </si>
  <si>
    <t>Musa Khumalo</t>
  </si>
  <si>
    <t>Diesel for bus</t>
  </si>
  <si>
    <t>SANRAL D034</t>
  </si>
  <si>
    <t>12/05/2025</t>
  </si>
  <si>
    <t>Wifi services</t>
  </si>
  <si>
    <t>Espanini Health Care</t>
  </si>
  <si>
    <t>Office rental</t>
  </si>
  <si>
    <t>SANRAL D037</t>
  </si>
  <si>
    <t>15/05/2025</t>
  </si>
  <si>
    <t>16/05/2025</t>
  </si>
  <si>
    <t>SANRAL D048</t>
  </si>
  <si>
    <t>26/05/2025</t>
  </si>
  <si>
    <t>09/06/2025</t>
  </si>
  <si>
    <t>SANRAL D046</t>
  </si>
  <si>
    <t>SANRAL D045</t>
  </si>
  <si>
    <t>SANRAL D049</t>
  </si>
  <si>
    <t>JA Domleo</t>
  </si>
  <si>
    <t>Water supply</t>
  </si>
  <si>
    <t>25/06/2025</t>
  </si>
  <si>
    <t>SANRAL D053</t>
  </si>
  <si>
    <t>27/05/2025</t>
  </si>
  <si>
    <t>Vuka Uphile Trading</t>
  </si>
  <si>
    <t>Clearing And Rubbing</t>
  </si>
  <si>
    <t>SANRAL D055</t>
  </si>
  <si>
    <t>Power Spar Hluhluwe</t>
  </si>
  <si>
    <t>SANRAL D054</t>
  </si>
  <si>
    <t>Kuphilakwethu Construction</t>
  </si>
  <si>
    <t>SANRAL D052</t>
  </si>
  <si>
    <t>Mujisomusa Enterprise</t>
  </si>
  <si>
    <t>Venture Plastics Distributors</t>
  </si>
  <si>
    <t>QU110437</t>
  </si>
  <si>
    <t>SANRAL D0030</t>
  </si>
  <si>
    <t>Ngwanase Honey Suckers</t>
  </si>
  <si>
    <t>Sewage drainage</t>
  </si>
  <si>
    <t>SANRAL D0041</t>
  </si>
  <si>
    <t>Askham Consulting</t>
  </si>
  <si>
    <t>OHS Survey</t>
  </si>
  <si>
    <t>SANRAL D0047</t>
  </si>
  <si>
    <t>SANRAL D0061</t>
  </si>
  <si>
    <t>Owanzenah</t>
  </si>
  <si>
    <t>Portable toilet hire</t>
  </si>
  <si>
    <t>SANRAL D0062</t>
  </si>
  <si>
    <t>Wheely bins spill kit</t>
  </si>
  <si>
    <t>SANRAL D0063</t>
  </si>
  <si>
    <t>OnSite Computers</t>
  </si>
  <si>
    <t>Cartridges for site printers</t>
  </si>
  <si>
    <t>SANRAL D0064-A</t>
  </si>
  <si>
    <t>Absolute health services</t>
  </si>
  <si>
    <t>H&amp;S trainings -15% discount applied</t>
  </si>
  <si>
    <t>SANRAL D0065</t>
  </si>
  <si>
    <t>SARF</t>
  </si>
  <si>
    <t>Traffic safety officer training</t>
  </si>
  <si>
    <t>SANRAL D066</t>
  </si>
  <si>
    <t>20/06/2025</t>
  </si>
  <si>
    <t>FN Auto Mix</t>
  </si>
  <si>
    <t>Fleet Reapirs</t>
  </si>
  <si>
    <t>SANRAL D0068</t>
  </si>
  <si>
    <t>SANRAL D0081</t>
  </si>
  <si>
    <t>Kwambo timbers</t>
  </si>
  <si>
    <t>Droppers to hold up barricading net.</t>
  </si>
  <si>
    <t>SANRAL D0082</t>
  </si>
  <si>
    <t>Andre Fabricius</t>
  </si>
  <si>
    <t>Road safety audit.</t>
  </si>
  <si>
    <t>Petty Cash Reimbursement - Chiwawa</t>
  </si>
  <si>
    <t>SANRAL D0083</t>
  </si>
  <si>
    <t>Septic tank drainage</t>
  </si>
  <si>
    <t>SANRAL D0085</t>
  </si>
  <si>
    <t>SANRAL D0088</t>
  </si>
  <si>
    <t>FireLine Sourcing &amp; fire services</t>
  </si>
  <si>
    <t>Fire Extinguisher servicing.</t>
  </si>
  <si>
    <t>SANRAL D0089</t>
  </si>
  <si>
    <t>Consafe safety depot</t>
  </si>
  <si>
    <t>PPE required for general labour</t>
  </si>
  <si>
    <t>SANRAL D0090</t>
  </si>
  <si>
    <t>SANRAL D0091</t>
  </si>
  <si>
    <t>Vakasha B&amp;B</t>
  </si>
  <si>
    <t>Bus parking rental</t>
  </si>
  <si>
    <t>SANRAL D0092</t>
  </si>
  <si>
    <t>Alpha connect</t>
  </si>
  <si>
    <t>July Wifi connection</t>
  </si>
  <si>
    <t>SANRAL D0093</t>
  </si>
  <si>
    <t>Site Camp rental for June-July</t>
  </si>
  <si>
    <t>SANRAL D0094</t>
  </si>
  <si>
    <t>Inqamaa Security</t>
  </si>
  <si>
    <t>Security services for July</t>
  </si>
  <si>
    <t>SANRAL 0201</t>
  </si>
  <si>
    <t xml:space="preserve">Kuphilakwethu Construction </t>
  </si>
  <si>
    <t>Sub-Contractor payment for works done</t>
  </si>
  <si>
    <t>SANRAL 0202</t>
  </si>
  <si>
    <t>SANRAL D00042-A</t>
  </si>
  <si>
    <t>Mambaheni Catering</t>
  </si>
  <si>
    <t>Catering for PLC Meeting. To replace SANRAL D00042</t>
  </si>
  <si>
    <t>SANRAL 0204</t>
  </si>
  <si>
    <t>FN AutoMix</t>
  </si>
  <si>
    <t>Emergency aparatus services for site vehicles</t>
  </si>
  <si>
    <t>SANRAL 0205</t>
  </si>
  <si>
    <t>Petroport account</t>
  </si>
  <si>
    <t>Fuel for Staff bus</t>
  </si>
  <si>
    <t>SANRAL 0206</t>
  </si>
  <si>
    <t>PLC Members</t>
  </si>
  <si>
    <t>Meeting 09 payments.</t>
  </si>
  <si>
    <t>SANRAL 0207</t>
  </si>
  <si>
    <t>J Domleo</t>
  </si>
  <si>
    <t>Water required for site camp</t>
  </si>
  <si>
    <t>Combined Total not paid Requisitions to date</t>
  </si>
  <si>
    <t>TM&amp;S Staff Salary payments</t>
  </si>
  <si>
    <t>Balance owed to EXHALE (as of 27/02/2025) for the temporary  Road signs</t>
  </si>
  <si>
    <t>Prepared by</t>
  </si>
  <si>
    <t>C Vilakazi</t>
  </si>
  <si>
    <t>Reviewed by</t>
  </si>
  <si>
    <t>B Khumalo</t>
  </si>
  <si>
    <t>Approved by</t>
  </si>
  <si>
    <t>P Masemola</t>
  </si>
  <si>
    <t xml:space="preserve">Rejected due to old for the funding </t>
  </si>
  <si>
    <t xml:space="preserve">linda </t>
  </si>
  <si>
    <t xml:space="preserve">project engineer </t>
  </si>
  <si>
    <t>SUBMISSION DATE</t>
  </si>
  <si>
    <t xml:space="preserve">     </t>
  </si>
  <si>
    <t>HEAD OFFICE SALARIES JULY 2024</t>
  </si>
  <si>
    <t>2025/004/26</t>
  </si>
  <si>
    <t>Employee Deductions</t>
  </si>
  <si>
    <t>Employer Contributions</t>
  </si>
  <si>
    <t>EMP NO</t>
  </si>
  <si>
    <t>NAME AND SURNAME</t>
  </si>
  <si>
    <t>DESIGNATION</t>
  </si>
  <si>
    <t>END DATE (2025/07/25)</t>
  </si>
  <si>
    <t>Normal Hours</t>
  </si>
  <si>
    <t>0ver Time Saturday</t>
  </si>
  <si>
    <t>0ver Time Sunday/Public Holidays</t>
  </si>
  <si>
    <t>NO OF DAYS</t>
  </si>
  <si>
    <t>RATE  PER HR</t>
  </si>
  <si>
    <t>NORMAL EARNINGS</t>
  </si>
  <si>
    <t>BANK</t>
  </si>
  <si>
    <t>ACC. NO.</t>
  </si>
  <si>
    <t>EMPLOYEE SIGNATURE CONFIRMATION RECEIPT OF WAGE FOR THE MONTH</t>
  </si>
  <si>
    <t>Management Comments</t>
  </si>
  <si>
    <t>Project Manager</t>
  </si>
  <si>
    <t>Zwavhudi Maungudze</t>
  </si>
  <si>
    <t>Targeted Enterprise Coordinator</t>
  </si>
  <si>
    <t>Seeiso SM Majoro</t>
  </si>
  <si>
    <t>SITE AGENT</t>
  </si>
  <si>
    <t>GUGULETHU NDABA</t>
  </si>
  <si>
    <t>ENVIROMENTAL OFFICER</t>
  </si>
  <si>
    <t>SAMUEL KHUMALO</t>
  </si>
  <si>
    <t>OPERATOR</t>
  </si>
  <si>
    <t>THABO MOHUMANE</t>
  </si>
  <si>
    <t>SAFETY OFFICER</t>
  </si>
  <si>
    <t>KEITUMETSEMAHLAOA</t>
  </si>
  <si>
    <t>SITE ADMIN</t>
  </si>
  <si>
    <t>GENERAL LABOUR</t>
  </si>
  <si>
    <t>Jebe Zukisa</t>
  </si>
  <si>
    <t>Traffic Safety Officer</t>
  </si>
  <si>
    <t>SUPERVISOR SIGNATURE</t>
  </si>
  <si>
    <t>DATE</t>
  </si>
  <si>
    <t>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</si>
</sst>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&quot;#,##0_);[Red]\(&quot;R&quot;#,##0\)"/>
    <numFmt numFmtId="44" formatCode="_(&quot;R&quot;* #,##0.00_);_(&quot;R&quot;* \(#,##0.00\);_(&quot;R&quot;* &quot;-&quot;??_);_(@_)"/>
    <numFmt numFmtId="164" formatCode="_-&quot;R&quot;* #,##0.00_-;\-&quot;R&quot;* #,##0.00_-;_-&quot;R&quot;* &quot;-&quot;??_-;_-@_-"/>
    <numFmt numFmtId="165" formatCode="&quot;R&quot;#,##0.00;[Red]\-&quot;R&quot;#,##0.00"/>
    <numFmt numFmtId="166" formatCode="_-* #,##0.00_-;\-* #,##0.00_-;_-* &quot;-&quot;??_-;_-@_-"/>
    <numFmt numFmtId="167" formatCode="_-[$R-1C09]* #,##0.00_-;\-[$R-1C09]* #,##0.00_-;_-[$R-1C09]* &quot;-&quot;??_-;_-@_-"/>
    <numFmt numFmtId="168" formatCode="0.0"/>
  </numFmts>
  <fonts count="2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sz val="26"/>
      <color rgb="FFFF0000"/>
      <name val="Aptos Narrow"/>
      <scheme val="minor"/>
    </font>
    <font>
      <b/>
      <u/>
      <sz val="16"/>
      <color theme="1"/>
      <name val="Aptos Narrow"/>
      <scheme val="minor"/>
    </font>
    <font>
      <b/>
      <u/>
      <sz val="18"/>
      <color theme="1"/>
      <name val="Aptos Narrow"/>
      <scheme val="minor"/>
    </font>
    <font>
      <b/>
      <u/>
      <sz val="24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0" fillId="0" borderId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9" xfId="0" applyBorder="1"/>
    <xf numFmtId="0" fontId="1" fillId="0" borderId="9" xfId="0" applyFont="1" applyBorder="1"/>
    <xf numFmtId="6" fontId="0" fillId="0" borderId="9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6" fontId="0" fillId="0" borderId="16" xfId="0" applyNumberFormat="1" applyBorder="1"/>
    <xf numFmtId="0" fontId="0" fillId="0" borderId="16" xfId="0" applyBorder="1"/>
    <xf numFmtId="6" fontId="0" fillId="0" borderId="17" xfId="0" applyNumberFormat="1" applyBorder="1"/>
    <xf numFmtId="0" fontId="0" fillId="0" borderId="19" xfId="0" applyBorder="1"/>
    <xf numFmtId="0" fontId="1" fillId="0" borderId="18" xfId="0" applyFont="1" applyBorder="1"/>
    <xf numFmtId="0" fontId="1" fillId="0" borderId="23" xfId="0" applyFont="1" applyBorder="1"/>
    <xf numFmtId="0" fontId="1" fillId="0" borderId="24" xfId="0" applyFont="1" applyBorder="1"/>
    <xf numFmtId="0" fontId="0" fillId="0" borderId="25" xfId="0" applyBorder="1"/>
    <xf numFmtId="0" fontId="0" fillId="0" borderId="26" xfId="0" applyBorder="1"/>
    <xf numFmtId="0" fontId="0" fillId="0" borderId="10" xfId="0" applyBorder="1"/>
    <xf numFmtId="0" fontId="1" fillId="0" borderId="12" xfId="0" applyFont="1" applyBorder="1"/>
    <xf numFmtId="0" fontId="1" fillId="0" borderId="14" xfId="0" applyFont="1" applyBorder="1"/>
    <xf numFmtId="0" fontId="1" fillId="0" borderId="17" xfId="0" applyFont="1" applyBorder="1"/>
    <xf numFmtId="0" fontId="0" fillId="0" borderId="27" xfId="0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0" fillId="0" borderId="31" xfId="0" applyBorder="1"/>
    <xf numFmtId="0" fontId="1" fillId="4" borderId="18" xfId="0" applyFont="1" applyFill="1" applyBorder="1"/>
    <xf numFmtId="0" fontId="1" fillId="0" borderId="0" xfId="0" applyFont="1"/>
    <xf numFmtId="0" fontId="8" fillId="0" borderId="0" xfId="0" applyFont="1"/>
    <xf numFmtId="0" fontId="10" fillId="0" borderId="0" xfId="1"/>
    <xf numFmtId="0" fontId="11" fillId="0" borderId="9" xfId="1" applyFont="1" applyBorder="1" applyAlignment="1">
      <alignment wrapText="1"/>
    </xf>
    <xf numFmtId="0" fontId="11" fillId="0" borderId="9" xfId="1" applyFont="1" applyBorder="1" applyAlignment="1">
      <alignment horizontal="center" vertical="center" wrapText="1"/>
    </xf>
    <xf numFmtId="0" fontId="11" fillId="0" borderId="9" xfId="1" applyFont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10" fillId="0" borderId="9" xfId="1" applyBorder="1"/>
    <xf numFmtId="0" fontId="10" fillId="0" borderId="33" xfId="1" applyBorder="1"/>
    <xf numFmtId="0" fontId="10" fillId="0" borderId="9" xfId="1" applyBorder="1" applyAlignment="1">
      <alignment horizontal="center"/>
    </xf>
    <xf numFmtId="164" fontId="10" fillId="0" borderId="9" xfId="1" applyNumberFormat="1" applyBorder="1"/>
    <xf numFmtId="164" fontId="10" fillId="5" borderId="0" xfId="1" applyNumberFormat="1" applyFill="1"/>
    <xf numFmtId="164" fontId="10" fillId="0" borderId="0" xfId="1" applyNumberFormat="1"/>
    <xf numFmtId="165" fontId="10" fillId="0" borderId="0" xfId="1" applyNumberFormat="1"/>
    <xf numFmtId="0" fontId="11" fillId="0" borderId="0" xfId="1" applyFont="1"/>
    <xf numFmtId="0" fontId="11" fillId="0" borderId="34" xfId="1" applyFont="1" applyBorder="1" applyAlignment="1">
      <alignment horizontal="center"/>
    </xf>
    <xf numFmtId="164" fontId="11" fillId="0" borderId="34" xfId="1" applyNumberFormat="1" applyFont="1" applyBorder="1"/>
    <xf numFmtId="164" fontId="11" fillId="0" borderId="0" xfId="1" applyNumberFormat="1" applyFont="1"/>
    <xf numFmtId="0" fontId="10" fillId="2" borderId="9" xfId="1" applyFill="1" applyBorder="1"/>
    <xf numFmtId="164" fontId="0" fillId="0" borderId="9" xfId="2" applyFont="1" applyBorder="1" applyAlignment="1">
      <alignment horizontal="center"/>
    </xf>
    <xf numFmtId="164" fontId="0" fillId="0" borderId="0" xfId="2" applyFont="1" applyBorder="1" applyAlignment="1">
      <alignment horizontal="center"/>
    </xf>
    <xf numFmtId="164" fontId="10" fillId="2" borderId="0" xfId="1" applyNumberFormat="1" applyFill="1"/>
    <xf numFmtId="166" fontId="0" fillId="0" borderId="0" xfId="3" applyFont="1"/>
    <xf numFmtId="166" fontId="0" fillId="0" borderId="9" xfId="3" applyFont="1" applyFill="1" applyBorder="1"/>
    <xf numFmtId="0" fontId="11" fillId="0" borderId="18" xfId="1" applyFont="1" applyBorder="1" applyAlignment="1">
      <alignment wrapText="1"/>
    </xf>
    <xf numFmtId="0" fontId="11" fillId="0" borderId="18" xfId="1" applyFont="1" applyBorder="1"/>
    <xf numFmtId="9" fontId="0" fillId="0" borderId="0" xfId="0" applyNumberFormat="1"/>
    <xf numFmtId="0" fontId="10" fillId="2" borderId="33" xfId="1" applyFill="1" applyBorder="1"/>
    <xf numFmtId="166" fontId="8" fillId="0" borderId="9" xfId="3" applyFont="1" applyFill="1" applyBorder="1"/>
    <xf numFmtId="166" fontId="0" fillId="2" borderId="9" xfId="3" applyFont="1" applyFill="1" applyBorder="1"/>
    <xf numFmtId="166" fontId="8" fillId="2" borderId="9" xfId="3" applyFont="1" applyFill="1" applyBorder="1"/>
    <xf numFmtId="166" fontId="9" fillId="2" borderId="9" xfId="3" applyFont="1" applyFill="1" applyBorder="1"/>
    <xf numFmtId="44" fontId="10" fillId="0" borderId="0" xfId="1" applyNumberFormat="1"/>
    <xf numFmtId="0" fontId="12" fillId="0" borderId="0" xfId="1" applyFont="1"/>
    <xf numFmtId="0" fontId="13" fillId="0" borderId="0" xfId="1" applyFont="1"/>
    <xf numFmtId="166" fontId="12" fillId="0" borderId="0" xfId="3" applyFont="1"/>
    <xf numFmtId="166" fontId="12" fillId="2" borderId="0" xfId="3" applyFont="1" applyFill="1"/>
    <xf numFmtId="0" fontId="13" fillId="0" borderId="9" xfId="1" applyFont="1" applyBorder="1" applyAlignment="1">
      <alignment horizontal="center" wrapText="1"/>
    </xf>
    <xf numFmtId="166" fontId="13" fillId="0" borderId="9" xfId="3" applyFont="1" applyBorder="1" applyAlignment="1">
      <alignment horizontal="center" wrapText="1"/>
    </xf>
    <xf numFmtId="166" fontId="13" fillId="2" borderId="9" xfId="3" applyFont="1" applyFill="1" applyBorder="1" applyAlignment="1">
      <alignment horizontal="center" wrapText="1"/>
    </xf>
    <xf numFmtId="17" fontId="12" fillId="0" borderId="0" xfId="1" applyNumberFormat="1" applyFont="1"/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left"/>
    </xf>
    <xf numFmtId="166" fontId="12" fillId="0" borderId="0" xfId="1" applyNumberFormat="1" applyFont="1"/>
    <xf numFmtId="166" fontId="13" fillId="0" borderId="27" xfId="3" applyFont="1" applyBorder="1"/>
    <xf numFmtId="166" fontId="13" fillId="2" borderId="27" xfId="3" applyFont="1" applyFill="1" applyBorder="1"/>
    <xf numFmtId="0" fontId="13" fillId="0" borderId="0" xfId="1" applyFont="1" applyAlignment="1">
      <alignment horizontal="center" wrapText="1"/>
    </xf>
    <xf numFmtId="166" fontId="13" fillId="0" borderId="0" xfId="3" applyFont="1" applyAlignment="1">
      <alignment horizontal="center" wrapText="1"/>
    </xf>
    <xf numFmtId="166" fontId="13" fillId="2" borderId="0" xfId="3" applyFont="1" applyFill="1" applyAlignment="1">
      <alignment horizontal="center" wrapText="1"/>
    </xf>
    <xf numFmtId="166" fontId="12" fillId="0" borderId="0" xfId="3" applyFont="1" applyBorder="1"/>
    <xf numFmtId="17" fontId="13" fillId="0" borderId="0" xfId="1" applyNumberFormat="1" applyFont="1"/>
    <xf numFmtId="166" fontId="13" fillId="0" borderId="0" xfId="3" applyFont="1" applyBorder="1"/>
    <xf numFmtId="166" fontId="13" fillId="2" borderId="0" xfId="3" applyFont="1" applyFill="1" applyBorder="1"/>
    <xf numFmtId="166" fontId="12" fillId="2" borderId="0" xfId="3" applyFont="1" applyFill="1" applyBorder="1"/>
    <xf numFmtId="166" fontId="13" fillId="0" borderId="35" xfId="3" applyFont="1" applyBorder="1"/>
    <xf numFmtId="166" fontId="13" fillId="2" borderId="35" xfId="3" applyFont="1" applyFill="1" applyBorder="1"/>
    <xf numFmtId="0" fontId="12" fillId="6" borderId="0" xfId="1" applyFont="1" applyFill="1"/>
    <xf numFmtId="166" fontId="12" fillId="6" borderId="0" xfId="3" applyFont="1" applyFill="1" applyBorder="1"/>
    <xf numFmtId="166" fontId="13" fillId="6" borderId="0" xfId="3" applyFont="1" applyFill="1" applyBorder="1"/>
    <xf numFmtId="166" fontId="12" fillId="0" borderId="0" xfId="3" applyFont="1" applyFill="1" applyBorder="1"/>
    <xf numFmtId="14" fontId="12" fillId="0" borderId="0" xfId="1" applyNumberFormat="1" applyFont="1"/>
    <xf numFmtId="0" fontId="12" fillId="0" borderId="0" xfId="3" applyNumberFormat="1" applyFont="1" applyBorder="1"/>
    <xf numFmtId="16" fontId="12" fillId="0" borderId="0" xfId="1" applyNumberFormat="1" applyFont="1"/>
    <xf numFmtId="0" fontId="14" fillId="0" borderId="0" xfId="1" applyFont="1"/>
    <xf numFmtId="17" fontId="12" fillId="2" borderId="0" xfId="1" applyNumberFormat="1" applyFont="1" applyFill="1"/>
    <xf numFmtId="0" fontId="12" fillId="2" borderId="0" xfId="1" applyFont="1" applyFill="1"/>
    <xf numFmtId="17" fontId="14" fillId="0" borderId="0" xfId="1" applyNumberFormat="1" applyFont="1"/>
    <xf numFmtId="14" fontId="14" fillId="0" borderId="0" xfId="1" applyNumberFormat="1" applyFont="1" applyAlignment="1">
      <alignment horizontal="left" vertical="top"/>
    </xf>
    <xf numFmtId="166" fontId="14" fillId="0" borderId="0" xfId="3" applyFont="1" applyFill="1" applyBorder="1"/>
    <xf numFmtId="166" fontId="14" fillId="0" borderId="0" xfId="3" applyFont="1" applyBorder="1"/>
    <xf numFmtId="166" fontId="14" fillId="2" borderId="0" xfId="3" applyFont="1" applyFill="1" applyBorder="1"/>
    <xf numFmtId="14" fontId="14" fillId="0" borderId="0" xfId="1" applyNumberFormat="1" applyFont="1" applyAlignment="1">
      <alignment horizontal="left"/>
    </xf>
    <xf numFmtId="0" fontId="15" fillId="0" borderId="0" xfId="1" applyFont="1"/>
    <xf numFmtId="166" fontId="15" fillId="0" borderId="0" xfId="3" applyFont="1" applyBorder="1"/>
    <xf numFmtId="14" fontId="14" fillId="0" borderId="9" xfId="1" applyNumberFormat="1" applyFont="1" applyBorder="1" applyAlignment="1">
      <alignment horizontal="left"/>
    </xf>
    <xf numFmtId="0" fontId="13" fillId="0" borderId="27" xfId="1" applyFont="1" applyBorder="1"/>
    <xf numFmtId="166" fontId="13" fillId="0" borderId="27" xfId="3" applyFont="1" applyBorder="1" applyAlignment="1">
      <alignment horizontal="center"/>
    </xf>
    <xf numFmtId="166" fontId="13" fillId="2" borderId="27" xfId="3" applyFont="1" applyFill="1" applyBorder="1" applyAlignment="1">
      <alignment horizontal="center"/>
    </xf>
    <xf numFmtId="166" fontId="14" fillId="0" borderId="0" xfId="3" applyFont="1"/>
    <xf numFmtId="166" fontId="14" fillId="2" borderId="0" xfId="3" applyFont="1" applyFill="1"/>
    <xf numFmtId="167" fontId="14" fillId="0" borderId="0" xfId="3" applyNumberFormat="1" applyFont="1" applyBorder="1"/>
    <xf numFmtId="167" fontId="14" fillId="0" borderId="0" xfId="3" applyNumberFormat="1" applyFont="1"/>
    <xf numFmtId="167" fontId="15" fillId="0" borderId="0" xfId="3" applyNumberFormat="1" applyFont="1"/>
    <xf numFmtId="166" fontId="1" fillId="7" borderId="9" xfId="3" applyFont="1" applyFill="1" applyBorder="1"/>
    <xf numFmtId="44" fontId="0" fillId="0" borderId="9" xfId="0" applyNumberFormat="1" applyBorder="1"/>
    <xf numFmtId="0" fontId="8" fillId="0" borderId="9" xfId="0" applyFont="1" applyBorder="1"/>
    <xf numFmtId="0" fontId="11" fillId="0" borderId="26" xfId="1" applyFont="1" applyBorder="1" applyAlignment="1">
      <alignment horizontal="center"/>
    </xf>
    <xf numFmtId="0" fontId="11" fillId="0" borderId="9" xfId="1" applyFont="1" applyBorder="1"/>
    <xf numFmtId="15" fontId="11" fillId="0" borderId="9" xfId="1" applyNumberFormat="1" applyFont="1" applyBorder="1" applyAlignment="1">
      <alignment horizontal="center"/>
    </xf>
    <xf numFmtId="0" fontId="11" fillId="0" borderId="9" xfId="1" applyFont="1" applyBorder="1" applyAlignment="1">
      <alignment horizontal="center"/>
    </xf>
    <xf numFmtId="0" fontId="11" fillId="0" borderId="19" xfId="1" applyFont="1" applyBorder="1" applyAlignment="1">
      <alignment horizontal="center"/>
    </xf>
    <xf numFmtId="0" fontId="20" fillId="0" borderId="18" xfId="1" applyFont="1" applyBorder="1"/>
    <xf numFmtId="0" fontId="20" fillId="0" borderId="32" xfId="1" applyFont="1" applyBorder="1"/>
    <xf numFmtId="0" fontId="11" fillId="0" borderId="38" xfId="1" applyFont="1" applyBorder="1" applyAlignment="1">
      <alignment wrapText="1"/>
    </xf>
    <xf numFmtId="0" fontId="11" fillId="0" borderId="39" xfId="1" applyFont="1" applyBorder="1" applyAlignment="1">
      <alignment wrapText="1"/>
    </xf>
    <xf numFmtId="0" fontId="10" fillId="0" borderId="9" xfId="1" applyBorder="1" applyAlignment="1">
      <alignment wrapText="1"/>
    </xf>
    <xf numFmtId="14" fontId="10" fillId="0" borderId="9" xfId="1" applyNumberFormat="1" applyBorder="1" applyAlignment="1">
      <alignment wrapText="1"/>
    </xf>
    <xf numFmtId="168" fontId="10" fillId="0" borderId="9" xfId="1" applyNumberFormat="1" applyBorder="1"/>
    <xf numFmtId="164" fontId="10" fillId="0" borderId="33" xfId="1" applyNumberFormat="1" applyBorder="1"/>
    <xf numFmtId="0" fontId="11" fillId="0" borderId="33" xfId="1" applyFont="1" applyBorder="1" applyAlignment="1">
      <alignment wrapText="1"/>
    </xf>
    <xf numFmtId="0" fontId="21" fillId="0" borderId="9" xfId="1" applyFont="1" applyBorder="1"/>
    <xf numFmtId="0" fontId="10" fillId="0" borderId="9" xfId="1" quotePrefix="1" applyBorder="1"/>
    <xf numFmtId="0" fontId="21" fillId="0" borderId="0" xfId="1" applyFont="1"/>
    <xf numFmtId="14" fontId="10" fillId="0" borderId="9" xfId="1" applyNumberFormat="1" applyBorder="1"/>
    <xf numFmtId="164" fontId="11" fillId="0" borderId="9" xfId="1" applyNumberFormat="1" applyFont="1" applyBorder="1"/>
    <xf numFmtId="164" fontId="11" fillId="0" borderId="40" xfId="1" applyNumberFormat="1" applyFont="1" applyBorder="1"/>
    <xf numFmtId="164" fontId="11" fillId="0" borderId="41" xfId="1" applyNumberFormat="1" applyFont="1" applyBorder="1"/>
    <xf numFmtId="14" fontId="10" fillId="0" borderId="0" xfId="1" applyNumberFormat="1"/>
    <xf numFmtId="0" fontId="11" fillId="0" borderId="0" xfId="1" applyFont="1" applyAlignment="1">
      <alignment horizontal="left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1" fillId="0" borderId="32" xfId="1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32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11" fillId="0" borderId="24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/>
    </xf>
    <xf numFmtId="0" fontId="11" fillId="0" borderId="23" xfId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2" fillId="0" borderId="36" xfId="1" applyFont="1" applyBorder="1" applyAlignment="1">
      <alignment horizontal="center"/>
    </xf>
    <xf numFmtId="0" fontId="12" fillId="0" borderId="37" xfId="1" applyFont="1" applyBorder="1" applyAlignment="1">
      <alignment horizontal="center"/>
    </xf>
    <xf numFmtId="0" fontId="10" fillId="0" borderId="5" xfId="1" applyBorder="1" applyAlignment="1">
      <alignment horizontal="center"/>
    </xf>
    <xf numFmtId="0" fontId="10" fillId="0" borderId="0" xfId="1"/>
    <xf numFmtId="0" fontId="11" fillId="0" borderId="25" xfId="1" applyFont="1" applyBorder="1" applyAlignment="1">
      <alignment horizontal="center"/>
    </xf>
    <xf numFmtId="0" fontId="11" fillId="0" borderId="27" xfId="1" applyFont="1" applyBorder="1" applyAlignment="1">
      <alignment horizontal="center"/>
    </xf>
    <xf numFmtId="0" fontId="11" fillId="0" borderId="26" xfId="1" applyFont="1" applyBorder="1" applyAlignment="1">
      <alignment horizontal="center"/>
    </xf>
    <xf numFmtId="0" fontId="11" fillId="0" borderId="25" xfId="1" applyFont="1" applyBorder="1"/>
    <xf numFmtId="0" fontId="11" fillId="0" borderId="26" xfId="1" applyFont="1" applyBorder="1"/>
    <xf numFmtId="0" fontId="11" fillId="0" borderId="25" xfId="1" applyFont="1" applyBorder="1" applyAlignment="1">
      <alignment horizontal="left"/>
    </xf>
    <xf numFmtId="0" fontId="11" fillId="0" borderId="27" xfId="1" applyFont="1" applyBorder="1" applyAlignment="1">
      <alignment horizontal="left"/>
    </xf>
    <xf numFmtId="0" fontId="11" fillId="0" borderId="26" xfId="1" applyFont="1" applyBorder="1" applyAlignment="1">
      <alignment horizontal="left"/>
    </xf>
    <xf numFmtId="17" fontId="11" fillId="0" borderId="25" xfId="1" applyNumberFormat="1" applyFont="1" applyBorder="1" applyAlignment="1">
      <alignment horizontal="center"/>
    </xf>
    <xf numFmtId="15" fontId="11" fillId="0" borderId="25" xfId="1" applyNumberFormat="1" applyFont="1" applyBorder="1" applyAlignment="1">
      <alignment horizontal="center"/>
    </xf>
    <xf numFmtId="15" fontId="11" fillId="0" borderId="27" xfId="1" applyNumberFormat="1" applyFont="1" applyBorder="1" applyAlignment="1">
      <alignment horizontal="center"/>
    </xf>
    <xf numFmtId="15" fontId="11" fillId="0" borderId="26" xfId="1" applyNumberFormat="1" applyFont="1" applyBorder="1" applyAlignment="1">
      <alignment horizontal="center"/>
    </xf>
    <xf numFmtId="0" fontId="0" fillId="0" borderId="9" xfId="0" applyFont="1" applyBorder="1"/>
    <xf numFmtId="0" fontId="0" fillId="0" borderId="19" xfId="0" applyFont="1" applyBorder="1"/>
  </cellXfs>
  <cellStyles count="4">
    <cellStyle name="Comma 2" xfId="3" xr:uid="{E5EFCEB8-94B0-D54C-8481-C2D679B724E5}"/>
    <cellStyle name="Currency 2" xfId="2" xr:uid="{ED878777-9D31-0D40-B573-8E29FA7C96DC}"/>
    <cellStyle name="Normal" xfId="0" builtinId="0"/>
    <cellStyle name="Normal 2" xfId="1" xr:uid="{F93199B9-3B39-8C44-82B3-7771169578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4</xdr:col>
      <xdr:colOff>104775</xdr:colOff>
      <xdr:row>6</xdr:row>
      <xdr:rowOff>76200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A40A772-086D-D741-8F81-E38E6D9E5AE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9525"/>
          <a:ext cx="4873625" cy="1209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21225" cy="885825"/>
    <xdr:pic>
      <xdr:nvPicPr>
        <xdr:cNvPr id="2" name="Image1">
          <a:extLst>
            <a:ext uri="{FF2B5EF4-FFF2-40B4-BE49-F238E27FC236}">
              <a16:creationId xmlns:a16="http://schemas.microsoft.com/office/drawing/2014/main" id="{F1EE44DA-6210-C14F-AAC4-C445EC1D87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1225" cy="8858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21225" cy="885825"/>
    <xdr:pic>
      <xdr:nvPicPr>
        <xdr:cNvPr id="2" name="Image1">
          <a:extLst>
            <a:ext uri="{FF2B5EF4-FFF2-40B4-BE49-F238E27FC236}">
              <a16:creationId xmlns:a16="http://schemas.microsoft.com/office/drawing/2014/main" id="{B38174AF-5E79-8B4C-909B-81A37A0C002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1225" cy="8858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9525</xdr:rowOff>
    </xdr:from>
    <xdr:to>
      <xdr:col>3</xdr:col>
      <xdr:colOff>2298911</xdr:colOff>
      <xdr:row>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90DDE0-EB32-6346-8D1A-5084FA58E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9525"/>
          <a:ext cx="3264111" cy="838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21225" cy="885825"/>
    <xdr:pic>
      <xdr:nvPicPr>
        <xdr:cNvPr id="2" name="Image1">
          <a:extLst>
            <a:ext uri="{FF2B5EF4-FFF2-40B4-BE49-F238E27FC236}">
              <a16:creationId xmlns:a16="http://schemas.microsoft.com/office/drawing/2014/main" id="{CC2DC2A8-BFA1-D24B-A8BD-982CCA83E3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1225" cy="885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hriskedejager/Downloads/TM&amp;S%20July%202025%20Payroll%20-%20V3.xlsx" TargetMode="External"/><Relationship Id="rId1" Type="http://schemas.openxmlformats.org/officeDocument/2006/relationships/externalLinkPath" Target="/Users/ghriskedejager/Downloads/TM&amp;S%20July%202025%20Payroll%20-%20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User/Documents/User%20Documents/Back/KDS%20Consulting/TMS%20Group/Payroll/November%202024/TM%20&amp;%20S%20November%20Payrol%20Reconciliation.xlsx" TargetMode="External"/><Relationship Id="rId1" Type="http://schemas.openxmlformats.org/officeDocument/2006/relationships/externalLinkPath" Target="file:///C:/Users/User/Documents/User%20Documents/Back/KDS%20Consulting/TMS%20Group/Payroll/November%202024/TM%20&amp;%20S%20November%20Payrol%20Reconcil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Key Personnel Head Office "/>
      <sheetName val="Fleet"/>
      <sheetName val="Key Personnel SANRAL"/>
      <sheetName val="Key Personnel Chief Albert"/>
      <sheetName val="Chief Albert Labourers"/>
      <sheetName val="Key Personnel Caroline"/>
      <sheetName val="Labourers Caroline"/>
      <sheetName val="Key Personnel Masiphula"/>
      <sheetName val="Labourers Masiphula"/>
      <sheetName val="Labourers Mayflower"/>
      <sheetName val="Key Personnel Mooiplaas"/>
      <sheetName val="Labourers Mooiplaas"/>
    </sheetNames>
    <sheetDataSet>
      <sheetData sheetId="0" refreshError="1"/>
      <sheetData sheetId="1">
        <row r="31">
          <cell r="J31">
            <v>435236.80555555562</v>
          </cell>
          <cell r="K31">
            <v>690.96</v>
          </cell>
          <cell r="L31">
            <v>0</v>
          </cell>
          <cell r="M31">
            <v>435927.76555555558</v>
          </cell>
          <cell r="N31">
            <v>78370.989999999991</v>
          </cell>
          <cell r="O31">
            <v>2182.9994555555559</v>
          </cell>
          <cell r="P31">
            <v>0</v>
          </cell>
          <cell r="Q31">
            <v>0</v>
          </cell>
          <cell r="R31">
            <v>80553.989455555551</v>
          </cell>
          <cell r="S31">
            <v>355373.77610000002</v>
          </cell>
          <cell r="T31">
            <v>2182.9994555555559</v>
          </cell>
          <cell r="U31">
            <v>4359.2776555555556</v>
          </cell>
          <cell r="V31">
            <v>6249.9280181818185</v>
          </cell>
        </row>
        <row r="35">
          <cell r="A35">
            <v>21</v>
          </cell>
        </row>
      </sheetData>
      <sheetData sheetId="2">
        <row r="11">
          <cell r="J11">
            <v>89030.339999999982</v>
          </cell>
          <cell r="K11">
            <v>0</v>
          </cell>
          <cell r="L11">
            <v>0</v>
          </cell>
          <cell r="M11">
            <v>89030.339999999982</v>
          </cell>
          <cell r="N11">
            <v>9790.130000000001</v>
          </cell>
          <cell r="O11">
            <v>740.21360000000004</v>
          </cell>
          <cell r="P11">
            <v>0</v>
          </cell>
          <cell r="Q11">
            <v>0</v>
          </cell>
          <cell r="R11">
            <v>10530.3436</v>
          </cell>
          <cell r="S11">
            <v>78499.996400000004</v>
          </cell>
          <cell r="T11">
            <v>740.21360000000004</v>
          </cell>
          <cell r="U11">
            <v>890.30340000000001</v>
          </cell>
          <cell r="V11">
            <v>1630.5170000000001</v>
          </cell>
        </row>
        <row r="13">
          <cell r="A13">
            <v>5</v>
          </cell>
        </row>
      </sheetData>
      <sheetData sheetId="3">
        <row r="19">
          <cell r="J19">
            <v>212647.18</v>
          </cell>
          <cell r="K19">
            <v>0</v>
          </cell>
          <cell r="L19">
            <v>0</v>
          </cell>
          <cell r="M19">
            <v>212647.18</v>
          </cell>
          <cell r="N19">
            <v>32433.620000000003</v>
          </cell>
          <cell r="O19">
            <v>1318.2350000000001</v>
          </cell>
          <cell r="P19">
            <v>0</v>
          </cell>
          <cell r="Q19">
            <v>0</v>
          </cell>
          <cell r="R19">
            <v>33751.854999999996</v>
          </cell>
          <cell r="S19">
            <v>178895.32499999998</v>
          </cell>
          <cell r="T19">
            <v>1318.2350000000001</v>
          </cell>
          <cell r="U19">
            <v>2046.394</v>
          </cell>
          <cell r="V19">
            <v>3364.6289999999999</v>
          </cell>
        </row>
        <row r="23">
          <cell r="A23">
            <v>9</v>
          </cell>
        </row>
      </sheetData>
      <sheetData sheetId="4">
        <row r="16">
          <cell r="J16">
            <v>62458.413636363635</v>
          </cell>
          <cell r="K16">
            <v>388.66500000000002</v>
          </cell>
          <cell r="L16">
            <v>518.22</v>
          </cell>
          <cell r="M16">
            <v>63365.298636363645</v>
          </cell>
          <cell r="N16">
            <v>6347.02</v>
          </cell>
          <cell r="O16">
            <v>511.31078636363634</v>
          </cell>
          <cell r="P16">
            <v>0</v>
          </cell>
          <cell r="Q16">
            <v>0</v>
          </cell>
          <cell r="R16">
            <v>6858.3307863636373</v>
          </cell>
          <cell r="S16">
            <v>56506.967850000001</v>
          </cell>
          <cell r="T16">
            <v>511.31078636363634</v>
          </cell>
          <cell r="U16">
            <v>633.65298636363639</v>
          </cell>
          <cell r="V16">
            <v>1144.9637727272727</v>
          </cell>
        </row>
        <row r="19">
          <cell r="A19">
            <v>5</v>
          </cell>
        </row>
      </sheetData>
      <sheetData sheetId="5">
        <row r="20">
          <cell r="J20">
            <v>44616.928181818184</v>
          </cell>
          <cell r="K20">
            <v>4649.5850000000009</v>
          </cell>
          <cell r="L20">
            <v>4606.3999999999996</v>
          </cell>
          <cell r="M20">
            <v>49266.513181818191</v>
          </cell>
          <cell r="N20">
            <v>92.78</v>
          </cell>
          <cell r="O20">
            <v>492.66513181818186</v>
          </cell>
          <cell r="P20">
            <v>0</v>
          </cell>
          <cell r="Q20">
            <v>0</v>
          </cell>
          <cell r="R20">
            <v>585.44513181818184</v>
          </cell>
          <cell r="S20">
            <v>48681.068050000002</v>
          </cell>
          <cell r="T20">
            <v>492.66513181818186</v>
          </cell>
          <cell r="U20">
            <v>492.66513181818186</v>
          </cell>
          <cell r="V20">
            <v>985.33026363636372</v>
          </cell>
        </row>
        <row r="23">
          <cell r="A23">
            <v>10</v>
          </cell>
        </row>
      </sheetData>
      <sheetData sheetId="6">
        <row r="31">
          <cell r="J31">
            <v>250827.65131313135</v>
          </cell>
          <cell r="K31">
            <v>0</v>
          </cell>
          <cell r="L31">
            <v>0</v>
          </cell>
          <cell r="M31">
            <v>250827.65131313135</v>
          </cell>
          <cell r="N31">
            <v>19984.86</v>
          </cell>
          <cell r="O31">
            <v>2189.154613131313</v>
          </cell>
          <cell r="P31">
            <v>0</v>
          </cell>
          <cell r="Q31">
            <v>0</v>
          </cell>
          <cell r="R31">
            <v>22174.014613131312</v>
          </cell>
          <cell r="S31">
            <v>228653.6367</v>
          </cell>
          <cell r="T31">
            <v>2189.154613131313</v>
          </cell>
          <cell r="U31">
            <v>2504.8460131313127</v>
          </cell>
          <cell r="V31">
            <v>4688.9282262626266</v>
          </cell>
        </row>
        <row r="34">
          <cell r="A34">
            <v>21</v>
          </cell>
        </row>
      </sheetData>
      <sheetData sheetId="7">
        <row r="38">
          <cell r="J38">
            <v>105260.22757575763</v>
          </cell>
          <cell r="K38">
            <v>0</v>
          </cell>
          <cell r="L38">
            <v>0</v>
          </cell>
          <cell r="M38">
            <v>105260.22757575763</v>
          </cell>
          <cell r="N38">
            <v>0</v>
          </cell>
          <cell r="O38">
            <v>1052.6022757575759</v>
          </cell>
          <cell r="P38">
            <v>0</v>
          </cell>
          <cell r="Q38">
            <v>0</v>
          </cell>
          <cell r="R38">
            <v>1052.6022757575759</v>
          </cell>
          <cell r="S38">
            <v>104207.62530000003</v>
          </cell>
          <cell r="T38">
            <v>1052.6022757575759</v>
          </cell>
          <cell r="U38">
            <v>1052.6022757575759</v>
          </cell>
          <cell r="V38">
            <v>2105.2045515151517</v>
          </cell>
        </row>
        <row r="41">
          <cell r="A41">
            <v>25</v>
          </cell>
        </row>
      </sheetData>
      <sheetData sheetId="8">
        <row r="20">
          <cell r="J20">
            <v>144698.06020202022</v>
          </cell>
          <cell r="K20">
            <v>0</v>
          </cell>
          <cell r="L20">
            <v>0</v>
          </cell>
          <cell r="M20">
            <v>144698.06020202022</v>
          </cell>
          <cell r="N20">
            <v>16800.64</v>
          </cell>
          <cell r="O20">
            <v>1057.625402020202</v>
          </cell>
          <cell r="P20">
            <v>0</v>
          </cell>
          <cell r="Q20">
            <v>0</v>
          </cell>
          <cell r="R20">
            <v>17858.265402020203</v>
          </cell>
          <cell r="S20">
            <v>126839.7948</v>
          </cell>
          <cell r="T20">
            <v>1057.625402020202</v>
          </cell>
          <cell r="U20">
            <v>1446.980602020202</v>
          </cell>
          <cell r="V20">
            <v>2504.6060040404041</v>
          </cell>
        </row>
        <row r="23">
          <cell r="A23">
            <v>9</v>
          </cell>
        </row>
      </sheetData>
      <sheetData sheetId="9">
        <row r="43">
          <cell r="J43">
            <v>88161.570909090922</v>
          </cell>
          <cell r="K43">
            <v>1850.3999999999999</v>
          </cell>
          <cell r="M43">
            <v>90011.970909090916</v>
          </cell>
          <cell r="N43">
            <v>0</v>
          </cell>
          <cell r="O43">
            <v>900.11970909090917</v>
          </cell>
          <cell r="P43">
            <v>0</v>
          </cell>
          <cell r="Q43">
            <v>0</v>
          </cell>
          <cell r="R43">
            <v>900.11970909090917</v>
          </cell>
          <cell r="S43">
            <v>89111.851200000019</v>
          </cell>
          <cell r="T43">
            <v>900.11970909090917</v>
          </cell>
          <cell r="U43">
            <v>900.11970909090917</v>
          </cell>
          <cell r="V43">
            <v>1800.2394181818183</v>
          </cell>
        </row>
        <row r="46">
          <cell r="A46">
            <v>32</v>
          </cell>
        </row>
      </sheetData>
      <sheetData sheetId="10">
        <row r="20">
          <cell r="J20">
            <v>16021.94606060606</v>
          </cell>
          <cell r="K20">
            <v>2547.915</v>
          </cell>
          <cell r="M20">
            <v>18569.861060606061</v>
          </cell>
          <cell r="N20">
            <v>0</v>
          </cell>
          <cell r="O20">
            <v>185.69861060606061</v>
          </cell>
          <cell r="P20">
            <v>0</v>
          </cell>
          <cell r="Q20">
            <v>0</v>
          </cell>
          <cell r="R20">
            <v>185.69861060606061</v>
          </cell>
          <cell r="S20">
            <v>18384.16245</v>
          </cell>
          <cell r="T20">
            <v>185.69861060606061</v>
          </cell>
          <cell r="U20">
            <v>185.69861060606061</v>
          </cell>
          <cell r="V20">
            <v>371.39722121212122</v>
          </cell>
        </row>
        <row r="23">
          <cell r="A23">
            <v>7</v>
          </cell>
        </row>
      </sheetData>
      <sheetData sheetId="11">
        <row r="21">
          <cell r="J21">
            <v>173108.61000000002</v>
          </cell>
          <cell r="K21">
            <v>0</v>
          </cell>
          <cell r="L21">
            <v>0</v>
          </cell>
          <cell r="M21">
            <v>173108.61000000002</v>
          </cell>
          <cell r="N21">
            <v>20944.840000000004</v>
          </cell>
          <cell r="O21">
            <v>1247.5048999999999</v>
          </cell>
          <cell r="P21">
            <v>0</v>
          </cell>
          <cell r="Q21">
            <v>0</v>
          </cell>
          <cell r="R21">
            <v>22192.344900000004</v>
          </cell>
          <cell r="S21">
            <v>157916.26510000002</v>
          </cell>
          <cell r="T21">
            <v>1247.5048999999999</v>
          </cell>
          <cell r="U21">
            <v>1731.0861</v>
          </cell>
          <cell r="V21">
            <v>2978.5910000000003</v>
          </cell>
        </row>
        <row r="24">
          <cell r="A24">
            <v>10</v>
          </cell>
        </row>
      </sheetData>
      <sheetData sheetId="12">
        <row r="43">
          <cell r="J43">
            <v>30976.050000000003</v>
          </cell>
          <cell r="K43">
            <v>0</v>
          </cell>
          <cell r="L43">
            <v>518.22</v>
          </cell>
          <cell r="M43">
            <v>31494.270000000004</v>
          </cell>
          <cell r="N43">
            <v>44.72</v>
          </cell>
          <cell r="O43">
            <v>314.9427</v>
          </cell>
          <cell r="P43">
            <v>0</v>
          </cell>
          <cell r="Q43">
            <v>0</v>
          </cell>
          <cell r="R43">
            <v>359.66270000000003</v>
          </cell>
          <cell r="S43">
            <v>31134.6073</v>
          </cell>
          <cell r="T43">
            <v>314.9427</v>
          </cell>
          <cell r="U43">
            <v>314.9427</v>
          </cell>
          <cell r="V43">
            <v>629.8854</v>
          </cell>
        </row>
        <row r="46">
          <cell r="A46">
            <v>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M &amp; S November Payroll Upload "/>
    </sheetNames>
    <sheetDataSet>
      <sheetData sheetId="0">
        <row r="30">
          <cell r="I30">
            <v>404720.10505800863</v>
          </cell>
        </row>
        <row r="52">
          <cell r="I52">
            <v>157181.29001899998</v>
          </cell>
        </row>
        <row r="68">
          <cell r="I68">
            <v>42000</v>
          </cell>
        </row>
        <row r="82">
          <cell r="I82">
            <v>59740.723300000005</v>
          </cell>
        </row>
        <row r="104">
          <cell r="I104">
            <v>212286.25853142855</v>
          </cell>
        </row>
        <row r="135">
          <cell r="I135">
            <v>129980.72147800001</v>
          </cell>
        </row>
        <row r="147">
          <cell r="I147">
            <v>122758.81065218855</v>
          </cell>
        </row>
        <row r="184">
          <cell r="I184">
            <v>83918.953599999993</v>
          </cell>
        </row>
        <row r="215">
          <cell r="I215">
            <v>13952.446199999998</v>
          </cell>
        </row>
        <row r="243">
          <cell r="I243">
            <v>144851.10260000001</v>
          </cell>
        </row>
        <row r="280">
          <cell r="I280">
            <v>173135.671</v>
          </cell>
        </row>
        <row r="282">
          <cell r="I282">
            <v>1833267.8450386259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084D-EBF8-AA48-A330-B24B086FD685}">
  <dimension ref="A1:X43"/>
  <sheetViews>
    <sheetView tabSelected="1" topLeftCell="A3" zoomScale="90" zoomScaleNormal="90" workbookViewId="0">
      <selection activeCell="D40" sqref="D40"/>
    </sheetView>
  </sheetViews>
  <sheetFormatPr baseColWidth="10" defaultRowHeight="16" x14ac:dyDescent="0.2"/>
  <cols>
    <col min="2" max="2" width="43" bestFit="1" customWidth="1"/>
    <col min="3" max="3" width="22.33203125" customWidth="1"/>
    <col min="5" max="5" width="13.5" bestFit="1" customWidth="1"/>
    <col min="10" max="11" width="21.6640625" customWidth="1"/>
    <col min="12" max="12" width="12.5" bestFit="1" customWidth="1"/>
    <col min="13" max="13" width="18.5" bestFit="1" customWidth="1"/>
    <col min="14" max="14" width="13.5" bestFit="1" customWidth="1"/>
    <col min="15" max="15" width="27.5" customWidth="1"/>
    <col min="16" max="16" width="13.5" bestFit="1" customWidth="1"/>
    <col min="17" max="17" width="27.83203125" bestFit="1" customWidth="1"/>
    <col min="18" max="18" width="13.5" bestFit="1" customWidth="1"/>
    <col min="19" max="19" width="27.83203125" bestFit="1" customWidth="1"/>
    <col min="20" max="20" width="13.5" bestFit="1" customWidth="1"/>
    <col min="22" max="22" width="12.5" bestFit="1" customWidth="1"/>
    <col min="24" max="24" width="12.5" bestFit="1" customWidth="1"/>
  </cols>
  <sheetData>
    <row r="1" spans="1:24" x14ac:dyDescent="0.2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5"/>
    </row>
    <row r="2" spans="1:24" ht="17" thickBo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8"/>
    </row>
    <row r="3" spans="1:24" ht="24" x14ac:dyDescent="0.2">
      <c r="A3" s="140" t="s">
        <v>53</v>
      </c>
      <c r="B3" s="141"/>
      <c r="C3" s="141"/>
      <c r="D3" s="141"/>
      <c r="E3" s="141"/>
      <c r="F3" s="141"/>
      <c r="G3" s="141"/>
      <c r="H3" s="141"/>
      <c r="I3" s="141"/>
      <c r="J3" s="142"/>
      <c r="K3" s="4"/>
      <c r="L3" s="152" t="s">
        <v>54</v>
      </c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4"/>
    </row>
    <row r="4" spans="1:24" ht="17" thickBot="1" x14ac:dyDescent="0.25">
      <c r="A4" s="5"/>
      <c r="B4" s="5"/>
      <c r="C4" s="5"/>
      <c r="D4" s="5"/>
      <c r="E4" s="5" t="s">
        <v>48</v>
      </c>
      <c r="F4" s="5" t="s">
        <v>41</v>
      </c>
      <c r="G4" s="5" t="s">
        <v>42</v>
      </c>
      <c r="H4" s="5" t="s">
        <v>49</v>
      </c>
      <c r="I4" s="5" t="s">
        <v>44</v>
      </c>
      <c r="J4" s="5" t="s">
        <v>45</v>
      </c>
      <c r="K4" s="3"/>
      <c r="L4" s="5"/>
      <c r="M4" s="158" t="s">
        <v>40</v>
      </c>
      <c r="N4" s="158"/>
      <c r="O4" s="6"/>
      <c r="P4" s="7" t="s">
        <v>41</v>
      </c>
      <c r="Q4" s="6"/>
      <c r="R4" s="7" t="s">
        <v>42</v>
      </c>
      <c r="S4" s="6"/>
      <c r="T4" s="7" t="s">
        <v>43</v>
      </c>
      <c r="U4" s="6"/>
      <c r="V4" s="7" t="s">
        <v>44</v>
      </c>
      <c r="W4" s="6"/>
      <c r="X4" s="7" t="s">
        <v>45</v>
      </c>
    </row>
    <row r="5" spans="1:24" ht="17" thickBot="1" x14ac:dyDescent="0.25">
      <c r="A5" s="6" t="s">
        <v>1</v>
      </c>
      <c r="B5" s="6" t="s">
        <v>2</v>
      </c>
      <c r="C5" s="6" t="s">
        <v>20</v>
      </c>
      <c r="D5" s="6" t="s">
        <v>3</v>
      </c>
      <c r="E5" s="6" t="s">
        <v>4</v>
      </c>
      <c r="F5" s="6"/>
      <c r="G5" s="6"/>
      <c r="H5" s="6"/>
      <c r="I5" s="6"/>
      <c r="J5" s="19"/>
      <c r="K5" s="30" t="s">
        <v>60</v>
      </c>
      <c r="L5" s="20" t="s">
        <v>13</v>
      </c>
      <c r="M5" s="6" t="s">
        <v>14</v>
      </c>
      <c r="N5" s="6" t="s">
        <v>4</v>
      </c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2">
      <c r="A6" s="6">
        <v>1</v>
      </c>
      <c r="B6" s="6" t="s">
        <v>57</v>
      </c>
      <c r="C6" s="6" t="s">
        <v>21</v>
      </c>
      <c r="D6" s="6" t="s">
        <v>5</v>
      </c>
      <c r="E6" s="6"/>
      <c r="F6" s="6">
        <f>2900*1795</f>
        <v>5205500</v>
      </c>
      <c r="G6" s="6">
        <f>7500*1795</f>
        <v>13462500</v>
      </c>
      <c r="H6" s="6">
        <f>9000*1795</f>
        <v>16155000</v>
      </c>
      <c r="I6" s="6">
        <f>11000*1795</f>
        <v>19745000</v>
      </c>
      <c r="J6" s="19">
        <f>9600*1795</f>
        <v>17232000</v>
      </c>
      <c r="K6" s="29">
        <v>2900</v>
      </c>
      <c r="L6" s="20">
        <v>1</v>
      </c>
      <c r="M6" s="6" t="s">
        <v>15</v>
      </c>
      <c r="N6" s="6">
        <v>2610000</v>
      </c>
      <c r="O6" s="6"/>
      <c r="P6" s="6">
        <f>N6</f>
        <v>2610000</v>
      </c>
      <c r="Q6" s="6"/>
      <c r="R6" s="6"/>
      <c r="S6" s="6"/>
      <c r="T6" s="6"/>
      <c r="U6" s="6"/>
      <c r="V6" s="6"/>
      <c r="W6" s="6"/>
      <c r="X6" s="6"/>
    </row>
    <row r="7" spans="1:24" x14ac:dyDescent="0.2">
      <c r="A7" s="6"/>
      <c r="B7" s="6"/>
      <c r="C7" s="6"/>
      <c r="D7" s="6"/>
      <c r="E7" s="6"/>
      <c r="F7" s="6"/>
      <c r="G7" s="6"/>
      <c r="H7" s="6"/>
      <c r="I7" s="6"/>
      <c r="J7" s="19"/>
      <c r="K7" s="29">
        <v>7500</v>
      </c>
      <c r="L7" s="2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2">
      <c r="A8" s="6">
        <v>2</v>
      </c>
      <c r="B8" s="6" t="s">
        <v>6</v>
      </c>
      <c r="C8" s="6" t="s">
        <v>24</v>
      </c>
      <c r="D8" s="6" t="s">
        <v>25</v>
      </c>
      <c r="E8" s="6">
        <v>582853.01</v>
      </c>
      <c r="F8" s="6"/>
      <c r="G8" s="6">
        <v>586791.87</v>
      </c>
      <c r="H8" s="6">
        <v>586791.87</v>
      </c>
      <c r="I8" s="6">
        <v>586791.87</v>
      </c>
      <c r="J8" s="19"/>
      <c r="K8" s="29">
        <v>9000</v>
      </c>
      <c r="L8" s="20">
        <v>2</v>
      </c>
      <c r="M8" s="6" t="s">
        <v>16</v>
      </c>
      <c r="N8" s="6">
        <v>85000</v>
      </c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2">
      <c r="A9" s="6"/>
      <c r="B9" s="6"/>
      <c r="C9" s="6"/>
      <c r="D9" s="6"/>
      <c r="E9" s="6"/>
      <c r="F9" s="6"/>
      <c r="G9" s="6"/>
      <c r="H9" s="6"/>
      <c r="I9" s="6"/>
      <c r="J9" s="19"/>
      <c r="K9" s="29">
        <v>11000</v>
      </c>
      <c r="L9" s="2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7" thickBot="1" x14ac:dyDescent="0.25">
      <c r="A10" s="6">
        <v>3</v>
      </c>
      <c r="B10" s="6" t="s">
        <v>7</v>
      </c>
      <c r="C10" s="6" t="s">
        <v>29</v>
      </c>
      <c r="D10" s="6" t="s">
        <v>28</v>
      </c>
      <c r="E10" s="6">
        <v>400000</v>
      </c>
      <c r="F10" s="6"/>
      <c r="G10" s="6"/>
      <c r="H10" s="6"/>
      <c r="I10" s="6"/>
      <c r="J10" s="19"/>
      <c r="K10" s="29">
        <v>9600</v>
      </c>
      <c r="L10" s="20">
        <v>3</v>
      </c>
      <c r="M10" s="6" t="s">
        <v>17</v>
      </c>
      <c r="N10" s="6"/>
      <c r="O10" s="6"/>
      <c r="P10" s="6">
        <v>1293000</v>
      </c>
      <c r="Q10" s="6"/>
      <c r="R10" s="6"/>
      <c r="S10" s="6"/>
      <c r="T10" s="6"/>
      <c r="U10" s="6"/>
      <c r="V10" s="6"/>
      <c r="W10" s="6"/>
      <c r="X10" s="6"/>
    </row>
    <row r="11" spans="1:24" ht="17" thickBot="1" x14ac:dyDescent="0.25">
      <c r="A11" s="6"/>
      <c r="B11" s="6"/>
      <c r="C11" s="6"/>
      <c r="D11" s="6"/>
      <c r="E11" s="6"/>
      <c r="F11" s="6"/>
      <c r="G11" s="6"/>
      <c r="H11" s="6"/>
      <c r="I11" s="6"/>
      <c r="J11" s="19"/>
      <c r="K11" s="16">
        <f>SUM(K6:K10)</f>
        <v>40000</v>
      </c>
      <c r="L11" s="2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2">
      <c r="A12" s="6">
        <v>4</v>
      </c>
      <c r="B12" s="6" t="s">
        <v>8</v>
      </c>
      <c r="C12" s="6"/>
      <c r="D12" s="6"/>
      <c r="E12" s="6">
        <v>3638700.63</v>
      </c>
      <c r="F12" s="6">
        <f>1000*1795</f>
        <v>1795000</v>
      </c>
      <c r="G12" s="6"/>
      <c r="H12" s="6"/>
      <c r="I12" s="6"/>
      <c r="J12" s="6"/>
      <c r="L12" s="6">
        <v>4</v>
      </c>
      <c r="M12" s="6" t="s">
        <v>39</v>
      </c>
      <c r="N12" s="6">
        <v>7209000</v>
      </c>
      <c r="O12" s="6"/>
      <c r="P12" s="6">
        <v>13000000</v>
      </c>
      <c r="Q12" s="6"/>
      <c r="R12" s="6">
        <v>18000000</v>
      </c>
      <c r="S12" s="6"/>
      <c r="T12" s="6">
        <f>20000000</f>
        <v>20000000</v>
      </c>
      <c r="U12" s="6"/>
      <c r="V12" s="6">
        <v>25000000</v>
      </c>
      <c r="W12" s="6"/>
      <c r="X12" s="6">
        <v>23000000</v>
      </c>
    </row>
    <row r="13" spans="1:24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2">
      <c r="A14" s="6">
        <v>5</v>
      </c>
      <c r="B14" s="6" t="s">
        <v>17</v>
      </c>
      <c r="C14" s="6" t="s">
        <v>32</v>
      </c>
      <c r="D14" s="6" t="s">
        <v>33</v>
      </c>
      <c r="E14" s="116"/>
      <c r="F14" s="6"/>
      <c r="G14" s="6">
        <v>781541.33</v>
      </c>
      <c r="H14" s="6"/>
      <c r="I14" s="6"/>
      <c r="J14" s="6"/>
      <c r="L14" s="6">
        <v>5</v>
      </c>
      <c r="M14" s="6" t="s">
        <v>34</v>
      </c>
      <c r="N14" s="6">
        <v>732000</v>
      </c>
      <c r="O14" s="6"/>
      <c r="P14" s="6">
        <f>N14</f>
        <v>732000</v>
      </c>
      <c r="Q14" s="6"/>
      <c r="R14" s="6">
        <f>P14</f>
        <v>732000</v>
      </c>
      <c r="S14" s="6"/>
      <c r="T14" s="6">
        <f>R14</f>
        <v>732000</v>
      </c>
      <c r="U14" s="6"/>
      <c r="V14" s="6">
        <f t="shared" ref="V14:X14" si="0">T14</f>
        <v>732000</v>
      </c>
      <c r="W14" s="6"/>
      <c r="X14" s="6">
        <f t="shared" si="0"/>
        <v>732000</v>
      </c>
    </row>
    <row r="15" spans="1:24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2">
      <c r="A16" s="6">
        <v>6</v>
      </c>
      <c r="B16" s="6" t="s">
        <v>31</v>
      </c>
      <c r="C16" s="6" t="s">
        <v>30</v>
      </c>
      <c r="D16" s="6" t="s">
        <v>28</v>
      </c>
      <c r="E16" s="6">
        <v>2094150</v>
      </c>
      <c r="F16" s="6">
        <f>6000+350000+100000+375000+125000</f>
        <v>956000</v>
      </c>
      <c r="G16" s="6">
        <f>6000+350000+100000+375000+125000</f>
        <v>956000</v>
      </c>
      <c r="H16" s="6">
        <f>6000+350000+100000+375000+125000</f>
        <v>956000</v>
      </c>
      <c r="I16" s="6">
        <f t="shared" ref="I16:J16" si="1">6000+350000+100000+375000+125000</f>
        <v>956000</v>
      </c>
      <c r="J16" s="6">
        <f t="shared" si="1"/>
        <v>956000</v>
      </c>
      <c r="L16" s="6">
        <v>6</v>
      </c>
      <c r="M16" s="6" t="s">
        <v>18</v>
      </c>
      <c r="N16" s="6">
        <v>663000</v>
      </c>
      <c r="O16" s="6"/>
      <c r="P16" s="6">
        <f>N16</f>
        <v>663000</v>
      </c>
      <c r="Q16" s="6"/>
      <c r="R16" s="6">
        <f>P16</f>
        <v>663000</v>
      </c>
      <c r="S16" s="6"/>
      <c r="T16" s="6">
        <f>R16</f>
        <v>663000</v>
      </c>
      <c r="U16" s="6"/>
      <c r="V16" s="6">
        <f t="shared" ref="V16:X16" si="2">T16</f>
        <v>663000</v>
      </c>
      <c r="W16" s="6"/>
      <c r="X16" s="6">
        <f t="shared" si="2"/>
        <v>663000</v>
      </c>
    </row>
    <row r="17" spans="1:24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2">
      <c r="A18" s="6">
        <v>7</v>
      </c>
      <c r="B18" s="6" t="s">
        <v>9</v>
      </c>
      <c r="C18" s="6" t="s">
        <v>22</v>
      </c>
      <c r="D18" s="6" t="s">
        <v>23</v>
      </c>
      <c r="E18" s="192">
        <v>483250</v>
      </c>
      <c r="F18" s="6">
        <f>E18</f>
        <v>483250</v>
      </c>
      <c r="G18" s="6">
        <f>F18</f>
        <v>483250</v>
      </c>
      <c r="H18" s="6">
        <f t="shared" ref="H18:J18" si="3">G18</f>
        <v>483250</v>
      </c>
      <c r="I18" s="6">
        <f t="shared" si="3"/>
        <v>483250</v>
      </c>
      <c r="J18" s="6">
        <f t="shared" si="3"/>
        <v>483250</v>
      </c>
      <c r="L18" s="6">
        <v>7</v>
      </c>
      <c r="M18" s="6" t="s">
        <v>19</v>
      </c>
      <c r="N18" s="6">
        <f>868846+118000</f>
        <v>986846</v>
      </c>
      <c r="O18" s="6"/>
      <c r="P18" s="6">
        <f>N18</f>
        <v>986846</v>
      </c>
      <c r="Q18" s="6"/>
      <c r="R18" s="6">
        <f>P18</f>
        <v>986846</v>
      </c>
      <c r="S18" s="6"/>
      <c r="T18" s="6">
        <f>R18</f>
        <v>986846</v>
      </c>
      <c r="U18" s="6"/>
      <c r="V18" s="6">
        <f t="shared" ref="V18:X18" si="4">T18</f>
        <v>986846</v>
      </c>
      <c r="W18" s="6"/>
      <c r="X18" s="6">
        <f t="shared" si="4"/>
        <v>986846</v>
      </c>
    </row>
    <row r="19" spans="1:24" ht="17" thickBo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L19" s="6">
        <v>8</v>
      </c>
      <c r="M19" s="15" t="s">
        <v>59</v>
      </c>
      <c r="N19" s="15"/>
      <c r="O19" s="6"/>
      <c r="P19" s="15"/>
      <c r="Q19" s="6"/>
      <c r="R19" s="15"/>
      <c r="S19" s="6"/>
      <c r="T19" s="15">
        <v>2000000</v>
      </c>
      <c r="U19" s="6"/>
      <c r="V19" s="15">
        <v>2000000</v>
      </c>
      <c r="W19" s="6"/>
      <c r="X19" s="6">
        <v>2000000</v>
      </c>
    </row>
    <row r="20" spans="1:24" x14ac:dyDescent="0.2">
      <c r="A20" s="6">
        <v>8</v>
      </c>
      <c r="B20" s="6" t="s">
        <v>10</v>
      </c>
      <c r="C20" s="6" t="s">
        <v>26</v>
      </c>
      <c r="D20" s="6" t="s">
        <v>27</v>
      </c>
      <c r="E20" s="192">
        <f>(133750*1)+(550*30)</f>
        <v>150250</v>
      </c>
      <c r="F20" s="6">
        <v>133750</v>
      </c>
      <c r="G20" s="6">
        <v>133750</v>
      </c>
      <c r="H20" s="6">
        <v>133750</v>
      </c>
      <c r="I20" s="6">
        <v>133750</v>
      </c>
      <c r="J20" s="6">
        <v>133750</v>
      </c>
      <c r="L20" s="19"/>
      <c r="M20" s="21" t="s">
        <v>35</v>
      </c>
      <c r="N20" s="22">
        <f>SUM(N6:N19)</f>
        <v>12285846</v>
      </c>
      <c r="O20" s="25"/>
      <c r="P20" s="26">
        <f t="shared" ref="P20" si="5">SUM(P6:P19)</f>
        <v>19284846</v>
      </c>
      <c r="Q20" s="25"/>
      <c r="R20" s="26">
        <f t="shared" ref="R20" si="6">SUM(R6:R19)</f>
        <v>20381846</v>
      </c>
      <c r="S20" s="25"/>
      <c r="T20" s="26">
        <f t="shared" ref="T20" si="7">SUM(T6:T19)</f>
        <v>24381846</v>
      </c>
      <c r="U20" s="25"/>
      <c r="V20" s="26">
        <f t="shared" ref="V20" si="8">SUM(V6:V19)</f>
        <v>29381846</v>
      </c>
      <c r="W20" s="20"/>
      <c r="X20" s="6">
        <f t="shared" ref="X20" si="9">SUM(X6:X19)</f>
        <v>27381846</v>
      </c>
    </row>
    <row r="21" spans="1:24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L21" s="19"/>
      <c r="M21" s="9" t="s">
        <v>36</v>
      </c>
      <c r="N21" s="23">
        <f>N20*12%</f>
        <v>1474301.52</v>
      </c>
      <c r="O21" s="25"/>
      <c r="P21" s="27">
        <f t="shared" ref="P21" si="10">P20*12%</f>
        <v>2314181.52</v>
      </c>
      <c r="Q21" s="25"/>
      <c r="R21" s="27">
        <f t="shared" ref="R21" si="11">R20*12%</f>
        <v>2445821.52</v>
      </c>
      <c r="S21" s="25"/>
      <c r="T21" s="27">
        <f t="shared" ref="T21" si="12">T20*12%</f>
        <v>2925821.52</v>
      </c>
      <c r="U21" s="25"/>
      <c r="V21" s="27">
        <f t="shared" ref="V21" si="13">V20*12%</f>
        <v>3525821.52</v>
      </c>
      <c r="W21" s="20"/>
      <c r="X21" s="6">
        <f t="shared" ref="X21" si="14">X20*12%</f>
        <v>3285821.52</v>
      </c>
    </row>
    <row r="22" spans="1:24" x14ac:dyDescent="0.2">
      <c r="A22" s="6">
        <v>9</v>
      </c>
      <c r="B22" s="6" t="s">
        <v>11</v>
      </c>
      <c r="C22" s="6"/>
      <c r="D22" s="6"/>
      <c r="E22" s="6">
        <f>53500</f>
        <v>53500</v>
      </c>
      <c r="F22" s="6">
        <f>E22</f>
        <v>53500</v>
      </c>
      <c r="G22" s="6">
        <f>F22</f>
        <v>53500</v>
      </c>
      <c r="H22" s="6">
        <f t="shared" ref="H22:J22" si="15">G22</f>
        <v>53500</v>
      </c>
      <c r="I22" s="6">
        <f t="shared" si="15"/>
        <v>53500</v>
      </c>
      <c r="J22" s="6">
        <f t="shared" si="15"/>
        <v>53500</v>
      </c>
      <c r="L22" s="19"/>
      <c r="M22" s="9"/>
      <c r="N22" s="23">
        <f>N20+N21</f>
        <v>13760147.52</v>
      </c>
      <c r="O22" s="25"/>
      <c r="P22" s="27">
        <f t="shared" ref="P22" si="16">P20+P21</f>
        <v>21599027.52</v>
      </c>
      <c r="Q22" s="25"/>
      <c r="R22" s="27">
        <f t="shared" ref="R22" si="17">R20+R21</f>
        <v>22827667.52</v>
      </c>
      <c r="S22" s="25"/>
      <c r="T22" s="27">
        <f t="shared" ref="T22" si="18">T20+T21</f>
        <v>27307667.52</v>
      </c>
      <c r="U22" s="25"/>
      <c r="V22" s="27">
        <f t="shared" ref="V22" si="19">V20+V21</f>
        <v>32907667.52</v>
      </c>
      <c r="W22" s="20"/>
      <c r="X22" s="6">
        <f t="shared" ref="X22" si="20">X20+X21</f>
        <v>30667667.52</v>
      </c>
    </row>
    <row r="23" spans="1:24" x14ac:dyDescent="0.2">
      <c r="A23" s="6">
        <v>10</v>
      </c>
      <c r="B23" s="6" t="s">
        <v>58</v>
      </c>
      <c r="C23" s="6"/>
      <c r="D23" s="6"/>
      <c r="E23" s="6">
        <v>910000</v>
      </c>
      <c r="F23" s="6">
        <v>400000</v>
      </c>
      <c r="G23" s="6">
        <v>400000</v>
      </c>
      <c r="H23" s="6">
        <v>400000</v>
      </c>
      <c r="I23" s="6">
        <v>400000</v>
      </c>
      <c r="J23" s="6">
        <v>400000</v>
      </c>
      <c r="L23" s="19"/>
      <c r="M23" s="9" t="s">
        <v>37</v>
      </c>
      <c r="N23" s="23">
        <f>N22*15%</f>
        <v>2064022.1279999998</v>
      </c>
      <c r="O23" s="25"/>
      <c r="P23" s="27">
        <f t="shared" ref="P23" si="21">P22*15%</f>
        <v>3239854.128</v>
      </c>
      <c r="Q23" s="25"/>
      <c r="R23" s="27">
        <f t="shared" ref="R23" si="22">R22*15%</f>
        <v>3424150.128</v>
      </c>
      <c r="S23" s="25"/>
      <c r="T23" s="27">
        <f t="shared" ref="T23" si="23">T22*15%</f>
        <v>4096150.1279999996</v>
      </c>
      <c r="U23" s="25"/>
      <c r="V23" s="27">
        <f t="shared" ref="V23" si="24">V22*15%</f>
        <v>4936150.1279999996</v>
      </c>
      <c r="W23" s="20"/>
      <c r="X23" s="6">
        <f t="shared" ref="X23" si="25">X22*15%</f>
        <v>4600150.1279999996</v>
      </c>
    </row>
    <row r="24" spans="1:24" ht="17" thickBot="1" x14ac:dyDescent="0.25">
      <c r="A24" s="6">
        <v>11</v>
      </c>
      <c r="B24" s="6" t="s">
        <v>12</v>
      </c>
      <c r="C24" s="6"/>
      <c r="D24" s="6"/>
      <c r="E24" s="6"/>
      <c r="F24" s="6">
        <v>400000</v>
      </c>
      <c r="G24" s="6">
        <v>200000</v>
      </c>
      <c r="H24" s="6">
        <f t="shared" ref="H24:J24" si="26">G24</f>
        <v>200000</v>
      </c>
      <c r="I24" s="6">
        <f t="shared" si="26"/>
        <v>200000</v>
      </c>
      <c r="J24" s="6">
        <f t="shared" si="26"/>
        <v>200000</v>
      </c>
      <c r="L24" s="19"/>
      <c r="M24" s="11" t="s">
        <v>38</v>
      </c>
      <c r="N24" s="24">
        <f>N22+N23</f>
        <v>15824169.648</v>
      </c>
      <c r="O24" s="25"/>
      <c r="P24" s="28">
        <f t="shared" ref="P24" si="27">P22+P23</f>
        <v>24838881.647999998</v>
      </c>
      <c r="Q24" s="25"/>
      <c r="R24" s="28">
        <f t="shared" ref="R24" si="28">R22+R23</f>
        <v>26251817.647999998</v>
      </c>
      <c r="S24" s="25"/>
      <c r="T24" s="28">
        <f t="shared" ref="T24" si="29">T22+T23</f>
        <v>31403817.647999998</v>
      </c>
      <c r="U24" s="25"/>
      <c r="V24" s="28">
        <f t="shared" ref="V24" si="30">V22+V23</f>
        <v>37843817.648000002</v>
      </c>
      <c r="W24" s="20"/>
      <c r="X24" s="6">
        <f t="shared" ref="X24" si="31">X22+X23</f>
        <v>35267817.648000002</v>
      </c>
    </row>
    <row r="25" spans="1:24" x14ac:dyDescent="0.2">
      <c r="A25" s="6">
        <v>12</v>
      </c>
      <c r="B25" s="6" t="s">
        <v>61</v>
      </c>
      <c r="C25" s="6"/>
      <c r="D25" s="6"/>
      <c r="E25" s="115">
        <f>'Creditors Age Analysis- moo (2)'!D36</f>
        <v>849770.54</v>
      </c>
      <c r="F25" s="6"/>
      <c r="G25" s="6"/>
      <c r="H25" s="6"/>
      <c r="I25" s="6"/>
      <c r="J25" s="6"/>
      <c r="N25" s="31"/>
      <c r="P25" s="31"/>
      <c r="R25" s="31"/>
      <c r="T25" s="31"/>
      <c r="V25" s="31"/>
    </row>
    <row r="26" spans="1:24" x14ac:dyDescent="0.2">
      <c r="A26" s="6">
        <v>13</v>
      </c>
      <c r="B26" s="6" t="s">
        <v>882</v>
      </c>
      <c r="C26" s="6"/>
      <c r="D26" s="6"/>
      <c r="E26" s="6">
        <v>70000</v>
      </c>
      <c r="F26" s="6">
        <v>70000</v>
      </c>
      <c r="G26" s="6">
        <v>70000</v>
      </c>
      <c r="H26" s="6">
        <v>70000</v>
      </c>
      <c r="I26" s="6">
        <v>70000</v>
      </c>
      <c r="J26" s="6">
        <v>70000</v>
      </c>
      <c r="N26" s="31"/>
      <c r="P26" s="31"/>
      <c r="R26" s="31"/>
      <c r="T26" s="31"/>
      <c r="V26" s="31"/>
    </row>
    <row r="27" spans="1:24" x14ac:dyDescent="0.2">
      <c r="A27" s="6">
        <v>14</v>
      </c>
      <c r="B27" s="6" t="s">
        <v>83</v>
      </c>
      <c r="C27" s="6"/>
      <c r="D27" s="6"/>
      <c r="E27" s="6">
        <v>448500</v>
      </c>
      <c r="F27" s="6"/>
      <c r="G27" s="6"/>
      <c r="H27" s="6"/>
      <c r="I27" s="6"/>
      <c r="J27" s="6"/>
    </row>
    <row r="28" spans="1:24" ht="17" thickBot="1" x14ac:dyDescent="0.25">
      <c r="A28" s="15">
        <v>12</v>
      </c>
      <c r="B28" s="15" t="s">
        <v>50</v>
      </c>
      <c r="C28" s="15"/>
      <c r="D28" s="15"/>
      <c r="E28" s="193">
        <f>'Routine Maint N2'!F536+'Key Personnel SANRAL'!J19</f>
        <v>1359419.53</v>
      </c>
      <c r="F28" s="15">
        <v>1000000</v>
      </c>
      <c r="G28" s="15">
        <v>1200000</v>
      </c>
      <c r="H28" s="15">
        <v>1400000</v>
      </c>
      <c r="I28" s="15">
        <v>1200000</v>
      </c>
      <c r="J28" s="15">
        <v>800000</v>
      </c>
      <c r="K28">
        <f>4000000/1795</f>
        <v>2228.4122562674092</v>
      </c>
      <c r="N28" s="57"/>
    </row>
    <row r="29" spans="1:24" ht="23" thickBot="1" x14ac:dyDescent="0.35">
      <c r="A29" s="149" t="s">
        <v>55</v>
      </c>
      <c r="B29" s="150"/>
      <c r="C29" s="150"/>
      <c r="D29" s="151"/>
      <c r="E29" s="16">
        <f>SUM(E6:E28)</f>
        <v>11040393.709999999</v>
      </c>
      <c r="F29" s="17">
        <f t="shared" ref="F29:J29" si="32">SUM(F6:F28)</f>
        <v>10497000</v>
      </c>
      <c r="G29" s="16">
        <f t="shared" si="32"/>
        <v>18327333.199999999</v>
      </c>
      <c r="H29" s="17">
        <f t="shared" si="32"/>
        <v>20438291.869999997</v>
      </c>
      <c r="I29" s="16">
        <f t="shared" si="32"/>
        <v>23828291.870000001</v>
      </c>
      <c r="J29" s="18">
        <f t="shared" si="32"/>
        <v>20328500</v>
      </c>
    </row>
    <row r="31" spans="1:24" ht="17" thickBot="1" x14ac:dyDescent="0.25">
      <c r="C31" s="32" t="s">
        <v>63</v>
      </c>
    </row>
    <row r="32" spans="1:24" x14ac:dyDescent="0.2">
      <c r="A32">
        <v>1</v>
      </c>
      <c r="B32" t="s">
        <v>64</v>
      </c>
      <c r="C32" t="s">
        <v>62</v>
      </c>
      <c r="E32">
        <f>18000000-E29</f>
        <v>6959606.290000001</v>
      </c>
      <c r="J32">
        <f>7700000+1700000</f>
        <v>9400000</v>
      </c>
      <c r="K32">
        <f>K28*2550</f>
        <v>5682451.2534818938</v>
      </c>
      <c r="M32" s="159" t="s">
        <v>52</v>
      </c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1"/>
    </row>
    <row r="33" spans="1:24" x14ac:dyDescent="0.2">
      <c r="A33">
        <v>2</v>
      </c>
      <c r="B33" t="s">
        <v>65</v>
      </c>
      <c r="C33" t="s">
        <v>62</v>
      </c>
      <c r="F33">
        <f>500000</f>
        <v>500000</v>
      </c>
      <c r="G33" t="s">
        <v>72</v>
      </c>
      <c r="M33" s="162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4"/>
    </row>
    <row r="34" spans="1:24" ht="17" thickBot="1" x14ac:dyDescent="0.25">
      <c r="A34">
        <v>3</v>
      </c>
      <c r="B34" t="s">
        <v>66</v>
      </c>
      <c r="C34" t="s">
        <v>62</v>
      </c>
      <c r="G34" t="s">
        <v>72</v>
      </c>
      <c r="H34" t="s">
        <v>61</v>
      </c>
      <c r="K34">
        <f>2900*2550</f>
        <v>7395000</v>
      </c>
      <c r="M34" s="162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4"/>
    </row>
    <row r="35" spans="1:24" ht="34" x14ac:dyDescent="0.2">
      <c r="A35">
        <v>4</v>
      </c>
      <c r="B35" t="s">
        <v>67</v>
      </c>
      <c r="C35" t="s">
        <v>62</v>
      </c>
      <c r="G35" s="157"/>
      <c r="H35" s="157"/>
      <c r="I35" s="157"/>
      <c r="J35" s="157"/>
      <c r="K35" s="1"/>
      <c r="M35" s="165" t="s">
        <v>56</v>
      </c>
      <c r="N35" s="155"/>
      <c r="O35" s="155" t="s">
        <v>41</v>
      </c>
      <c r="P35" s="155"/>
      <c r="Q35" s="155" t="s">
        <v>42</v>
      </c>
      <c r="R35" s="155"/>
      <c r="S35" s="155" t="s">
        <v>49</v>
      </c>
      <c r="T35" s="155"/>
      <c r="U35" s="155" t="s">
        <v>44</v>
      </c>
      <c r="V35" s="155"/>
      <c r="W35" s="155" t="s">
        <v>45</v>
      </c>
      <c r="X35" s="156"/>
    </row>
    <row r="36" spans="1:24" x14ac:dyDescent="0.2">
      <c r="A36">
        <v>5</v>
      </c>
      <c r="B36" t="s">
        <v>69</v>
      </c>
      <c r="C36" t="s">
        <v>70</v>
      </c>
      <c r="D36" t="s">
        <v>68</v>
      </c>
      <c r="G36">
        <f>3000/500</f>
        <v>6</v>
      </c>
      <c r="L36" s="2"/>
      <c r="M36" s="9" t="s">
        <v>46</v>
      </c>
      <c r="N36" s="8">
        <f>4200000+625000</f>
        <v>4825000</v>
      </c>
      <c r="O36" s="6" t="s">
        <v>46</v>
      </c>
      <c r="P36" s="8">
        <v>4825000</v>
      </c>
      <c r="Q36" s="6" t="s">
        <v>46</v>
      </c>
      <c r="R36" s="8">
        <v>4825000</v>
      </c>
      <c r="S36" s="6" t="s">
        <v>46</v>
      </c>
      <c r="T36" s="8">
        <v>4825000</v>
      </c>
      <c r="U36" s="6"/>
      <c r="V36" s="6"/>
      <c r="W36" s="6"/>
      <c r="X36" s="10"/>
    </row>
    <row r="37" spans="1:24" x14ac:dyDescent="0.2">
      <c r="A37">
        <v>6</v>
      </c>
      <c r="B37" t="s">
        <v>71</v>
      </c>
      <c r="G37" s="157"/>
      <c r="H37" s="157"/>
      <c r="I37" s="157"/>
      <c r="J37" s="157"/>
      <c r="K37" s="1"/>
      <c r="M37" s="9"/>
      <c r="N37" s="6"/>
      <c r="O37" s="6"/>
      <c r="P37" s="6"/>
      <c r="Q37" s="6"/>
      <c r="R37" s="6"/>
      <c r="S37" s="6"/>
      <c r="T37" s="6"/>
      <c r="U37" s="6"/>
      <c r="V37" s="6"/>
      <c r="W37" s="6"/>
      <c r="X37" s="10"/>
    </row>
    <row r="38" spans="1:24" x14ac:dyDescent="0.2">
      <c r="A38">
        <v>7</v>
      </c>
      <c r="B38" t="s">
        <v>73</v>
      </c>
      <c r="C38" t="s">
        <v>70</v>
      </c>
      <c r="D38" t="s">
        <v>74</v>
      </c>
      <c r="H38">
        <f>3000*770</f>
        <v>2310000</v>
      </c>
      <c r="L38" s="2"/>
      <c r="M38" s="9" t="s">
        <v>51</v>
      </c>
      <c r="N38" s="8">
        <f>N24-N36</f>
        <v>10999169.648</v>
      </c>
      <c r="O38" s="6" t="s">
        <v>47</v>
      </c>
      <c r="P38" s="8">
        <f>P24-P36</f>
        <v>20013881.647999998</v>
      </c>
      <c r="Q38" s="6" t="s">
        <v>47</v>
      </c>
      <c r="R38" s="8">
        <f>R24-R36</f>
        <v>21426817.647999998</v>
      </c>
      <c r="S38" s="6" t="s">
        <v>47</v>
      </c>
      <c r="T38" s="8">
        <f>T24-T36</f>
        <v>26578817.647999998</v>
      </c>
      <c r="U38" s="6"/>
      <c r="V38" s="6">
        <f>V24</f>
        <v>37843817.648000002</v>
      </c>
      <c r="W38" s="6"/>
      <c r="X38" s="10">
        <f>X24</f>
        <v>35267817.648000002</v>
      </c>
    </row>
    <row r="39" spans="1:24" x14ac:dyDescent="0.2">
      <c r="M39" s="9"/>
      <c r="N39" s="8"/>
      <c r="O39" s="6"/>
      <c r="P39" s="6"/>
      <c r="Q39" s="6"/>
      <c r="R39" s="6"/>
      <c r="S39" s="6"/>
      <c r="T39" s="6"/>
      <c r="U39" s="6"/>
      <c r="V39" s="6"/>
      <c r="W39" s="6"/>
      <c r="X39" s="10"/>
    </row>
    <row r="40" spans="1:24" ht="17" thickBot="1" x14ac:dyDescent="0.25">
      <c r="A40">
        <v>8</v>
      </c>
      <c r="B40" t="s">
        <v>75</v>
      </c>
      <c r="C40" t="s">
        <v>70</v>
      </c>
      <c r="H40">
        <f>H38/2</f>
        <v>1155000</v>
      </c>
      <c r="J40">
        <f>500*770</f>
        <v>385000</v>
      </c>
      <c r="M40" s="11"/>
      <c r="N40" s="12">
        <f>N38-F29</f>
        <v>502169.64800000004</v>
      </c>
      <c r="O40" s="13"/>
      <c r="P40" s="12">
        <f>P38+N40-G29</f>
        <v>2188718.0959999971</v>
      </c>
      <c r="Q40" s="13"/>
      <c r="R40" s="12">
        <f>R38+P40-H29</f>
        <v>3177243.873999998</v>
      </c>
      <c r="S40" s="13"/>
      <c r="T40" s="12">
        <f>T38+R40-I29</f>
        <v>5927769.6519999951</v>
      </c>
      <c r="U40" s="13"/>
      <c r="V40" s="12">
        <f>V38+T40-J29</f>
        <v>23443087.299999997</v>
      </c>
      <c r="W40" s="13"/>
      <c r="X40" s="14">
        <f>X38+V40</f>
        <v>58710904.947999999</v>
      </c>
    </row>
    <row r="41" spans="1:24" x14ac:dyDescent="0.2">
      <c r="A41">
        <v>9</v>
      </c>
      <c r="B41" t="s">
        <v>76</v>
      </c>
      <c r="C41" t="s">
        <v>81</v>
      </c>
      <c r="E41" t="s">
        <v>78</v>
      </c>
      <c r="F41" t="s">
        <v>79</v>
      </c>
    </row>
    <row r="42" spans="1:24" x14ac:dyDescent="0.2">
      <c r="A42">
        <v>10</v>
      </c>
      <c r="B42" t="s">
        <v>77</v>
      </c>
      <c r="C42" t="s">
        <v>81</v>
      </c>
      <c r="R42" s="2"/>
    </row>
    <row r="43" spans="1:24" x14ac:dyDescent="0.2">
      <c r="A43">
        <v>11</v>
      </c>
      <c r="B43" t="s">
        <v>80</v>
      </c>
      <c r="C43" t="s">
        <v>82</v>
      </c>
    </row>
  </sheetData>
  <mergeCells count="14">
    <mergeCell ref="G37:J37"/>
    <mergeCell ref="M4:N4"/>
    <mergeCell ref="M32:X34"/>
    <mergeCell ref="M35:N35"/>
    <mergeCell ref="O35:P35"/>
    <mergeCell ref="Q35:R35"/>
    <mergeCell ref="S35:T35"/>
    <mergeCell ref="U35:V35"/>
    <mergeCell ref="A3:J3"/>
    <mergeCell ref="A1:X2"/>
    <mergeCell ref="A29:D29"/>
    <mergeCell ref="L3:X3"/>
    <mergeCell ref="W35:X35"/>
    <mergeCell ref="G35:J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188D-2D02-4441-B49E-FAFD6AC330DC}">
  <dimension ref="A7:AC58"/>
  <sheetViews>
    <sheetView topLeftCell="A26" workbookViewId="0">
      <selection activeCell="C45" sqref="C45"/>
    </sheetView>
  </sheetViews>
  <sheetFormatPr baseColWidth="10" defaultColWidth="8.83203125" defaultRowHeight="15" x14ac:dyDescent="0.2"/>
  <cols>
    <col min="1" max="1" width="26.33203125" style="33" bestFit="1" customWidth="1"/>
    <col min="2" max="2" width="10.83203125" style="33" customWidth="1"/>
    <col min="3" max="3" width="14.1640625" style="33" bestFit="1" customWidth="1"/>
    <col min="4" max="4" width="11.5" style="33" bestFit="1" customWidth="1"/>
    <col min="5" max="5" width="11.5" style="33" customWidth="1"/>
    <col min="6" max="6" width="14.1640625" style="33" bestFit="1" customWidth="1"/>
    <col min="7" max="7" width="12.33203125" style="33" customWidth="1"/>
    <col min="8" max="8" width="14.33203125" style="33" customWidth="1"/>
    <col min="9" max="9" width="13.5" style="33" customWidth="1"/>
    <col min="10" max="10" width="12.5" style="33" bestFit="1" customWidth="1"/>
    <col min="11" max="12" width="14.1640625" style="33" bestFit="1" customWidth="1"/>
    <col min="13" max="17" width="14.1640625" style="33" customWidth="1"/>
    <col min="18" max="19" width="8.83203125" style="33"/>
    <col min="20" max="20" width="14.1640625" style="33" bestFit="1" customWidth="1"/>
    <col min="21" max="21" width="8.83203125" style="33"/>
    <col min="22" max="22" width="11.1640625" style="33" bestFit="1" customWidth="1"/>
    <col min="23" max="23" width="8.83203125" style="33"/>
    <col min="24" max="24" width="14.1640625" style="33" bestFit="1" customWidth="1"/>
    <col min="25" max="25" width="8.83203125" style="33"/>
    <col min="26" max="26" width="14.1640625" style="33" bestFit="1" customWidth="1"/>
    <col min="27" max="27" width="24" style="33" bestFit="1" customWidth="1"/>
    <col min="28" max="29" width="10.5" style="33" bestFit="1" customWidth="1"/>
    <col min="30" max="16384" width="8.83203125" style="33"/>
  </cols>
  <sheetData>
    <row r="7" spans="1:28" ht="16" thickBot="1" x14ac:dyDescent="0.25"/>
    <row r="8" spans="1:28" ht="31.5" customHeight="1" thickBot="1" x14ac:dyDescent="0.25">
      <c r="C8" s="169" t="s">
        <v>84</v>
      </c>
      <c r="D8" s="170"/>
      <c r="E8" s="170"/>
      <c r="F8" s="171"/>
      <c r="T8" s="172" t="s">
        <v>85</v>
      </c>
      <c r="U8" s="173"/>
      <c r="V8" s="174"/>
      <c r="X8" s="172" t="s">
        <v>85</v>
      </c>
      <c r="Y8" s="173"/>
      <c r="Z8" s="174"/>
    </row>
    <row r="10" spans="1:28" ht="45" customHeight="1" x14ac:dyDescent="0.2">
      <c r="A10" s="34" t="s">
        <v>86</v>
      </c>
      <c r="B10" s="34" t="s">
        <v>87</v>
      </c>
      <c r="C10" s="34" t="s">
        <v>88</v>
      </c>
      <c r="D10" s="35" t="s">
        <v>89</v>
      </c>
      <c r="E10" s="35" t="s">
        <v>90</v>
      </c>
      <c r="F10" s="36" t="s">
        <v>91</v>
      </c>
      <c r="G10" s="36" t="s">
        <v>92</v>
      </c>
      <c r="H10" s="36" t="s">
        <v>93</v>
      </c>
      <c r="I10" s="36" t="s">
        <v>94</v>
      </c>
      <c r="J10" s="36" t="s">
        <v>95</v>
      </c>
      <c r="K10" s="35" t="s">
        <v>96</v>
      </c>
      <c r="L10" s="36" t="s">
        <v>97</v>
      </c>
      <c r="M10" s="36" t="s">
        <v>98</v>
      </c>
      <c r="N10" s="36" t="s">
        <v>99</v>
      </c>
      <c r="O10" s="36" t="s">
        <v>100</v>
      </c>
      <c r="P10" s="37"/>
      <c r="Q10" s="37"/>
      <c r="T10" s="38" t="s">
        <v>101</v>
      </c>
      <c r="U10" s="38"/>
      <c r="V10" s="38" t="s">
        <v>102</v>
      </c>
      <c r="X10" s="38" t="s">
        <v>103</v>
      </c>
      <c r="Y10" s="38"/>
      <c r="Z10" s="38" t="s">
        <v>102</v>
      </c>
    </row>
    <row r="11" spans="1:28" x14ac:dyDescent="0.2">
      <c r="A11" s="39"/>
      <c r="B11" s="39"/>
      <c r="C11" s="39"/>
      <c r="D11" s="39"/>
      <c r="E11" s="39"/>
      <c r="F11" s="39"/>
      <c r="G11" s="38"/>
      <c r="H11" s="38"/>
      <c r="I11" s="38"/>
      <c r="J11" s="38"/>
      <c r="K11" s="38"/>
      <c r="L11" s="38"/>
    </row>
    <row r="12" spans="1:28" x14ac:dyDescent="0.2">
      <c r="A12" s="38" t="s">
        <v>104</v>
      </c>
      <c r="B12" s="40">
        <f>+'[1]Key Personnel Head Office '!A35</f>
        <v>21</v>
      </c>
      <c r="C12" s="41">
        <f>+'[1]Key Personnel Head Office '!J31</f>
        <v>435236.80555555562</v>
      </c>
      <c r="D12" s="41">
        <f>+'[1]Key Personnel Head Office '!K31</f>
        <v>690.96</v>
      </c>
      <c r="E12" s="41">
        <f>+'[1]Key Personnel Head Office '!L31</f>
        <v>0</v>
      </c>
      <c r="F12" s="41">
        <f>+'[1]Key Personnel Head Office '!M31</f>
        <v>435927.76555555558</v>
      </c>
      <c r="G12" s="41">
        <f>+'[1]Key Personnel Head Office '!N31</f>
        <v>78370.989999999991</v>
      </c>
      <c r="H12" s="41">
        <f>+'[1]Key Personnel Head Office '!O31</f>
        <v>2182.9994555555559</v>
      </c>
      <c r="I12" s="41">
        <f>+'[1]Key Personnel Head Office '!P31</f>
        <v>0</v>
      </c>
      <c r="J12" s="41">
        <f>+'[1]Key Personnel Head Office '!Q31</f>
        <v>0</v>
      </c>
      <c r="K12" s="41">
        <f>+'[1]Key Personnel Head Office '!R31</f>
        <v>80553.989455555551</v>
      </c>
      <c r="L12" s="41">
        <f>+'[1]Key Personnel Head Office '!S31</f>
        <v>355373.77610000002</v>
      </c>
      <c r="M12" s="41">
        <f>+'[1]Key Personnel Head Office '!T31</f>
        <v>2182.9994555555559</v>
      </c>
      <c r="N12" s="41">
        <f>+'[1]Key Personnel Head Office '!U31</f>
        <v>4359.2776555555556</v>
      </c>
      <c r="O12" s="41">
        <f>+'[1]Key Personnel Head Office '!V31</f>
        <v>6249.9280181818185</v>
      </c>
      <c r="P12" s="42">
        <f>+'[1]Key Personnel Head Office '!S37</f>
        <v>0</v>
      </c>
      <c r="Q12" s="43"/>
      <c r="T12" s="43">
        <f>+'[1]Key Personnel Head Office '!S31</f>
        <v>355373.77610000002</v>
      </c>
      <c r="V12" s="44">
        <f t="shared" ref="V12:V19" si="0">+L12-T12</f>
        <v>0</v>
      </c>
      <c r="X12" s="43">
        <f>+'[2]TM &amp; S November Payroll Upload '!$I$30</f>
        <v>404720.10505800863</v>
      </c>
      <c r="Z12" s="43">
        <f>+X12-L12</f>
        <v>49346.328958008613</v>
      </c>
      <c r="AA12" s="33" t="s">
        <v>105</v>
      </c>
      <c r="AB12" s="43"/>
    </row>
    <row r="13" spans="1:28" x14ac:dyDescent="0.2">
      <c r="A13" s="38" t="s">
        <v>106</v>
      </c>
      <c r="B13" s="40">
        <f>+[1]Fleet!A13</f>
        <v>5</v>
      </c>
      <c r="C13" s="41">
        <f>+[1]Fleet!J11</f>
        <v>89030.339999999982</v>
      </c>
      <c r="D13" s="41">
        <f>+[1]Fleet!K11</f>
        <v>0</v>
      </c>
      <c r="E13" s="41">
        <f>+[1]Fleet!L11</f>
        <v>0</v>
      </c>
      <c r="F13" s="41">
        <f>+[1]Fleet!M11</f>
        <v>89030.339999999982</v>
      </c>
      <c r="G13" s="41">
        <f>+[1]Fleet!N11</f>
        <v>9790.130000000001</v>
      </c>
      <c r="H13" s="41">
        <f>+[1]Fleet!O11</f>
        <v>740.21360000000004</v>
      </c>
      <c r="I13" s="41">
        <f>+[1]Fleet!P11</f>
        <v>0</v>
      </c>
      <c r="J13" s="41">
        <f>+[1]Fleet!Q11</f>
        <v>0</v>
      </c>
      <c r="K13" s="41">
        <f>+[1]Fleet!R11</f>
        <v>10530.3436</v>
      </c>
      <c r="L13" s="41">
        <f>+[1]Fleet!S11</f>
        <v>78499.996400000004</v>
      </c>
      <c r="M13" s="41">
        <f>+[1]Fleet!T11</f>
        <v>740.21360000000004</v>
      </c>
      <c r="N13" s="41">
        <f>+[1]Fleet!U11</f>
        <v>890.30340000000001</v>
      </c>
      <c r="O13" s="41">
        <f>+[1]Fleet!V11</f>
        <v>1630.5170000000001</v>
      </c>
      <c r="P13" s="42">
        <f>+[1]Fleet!M16</f>
        <v>0</v>
      </c>
      <c r="Q13" s="43"/>
      <c r="T13" s="43"/>
      <c r="V13" s="44"/>
      <c r="X13" s="43"/>
      <c r="Z13" s="43"/>
      <c r="AB13" s="43"/>
    </row>
    <row r="14" spans="1:28" x14ac:dyDescent="0.2">
      <c r="A14" s="38" t="s">
        <v>107</v>
      </c>
      <c r="B14" s="40">
        <f>+'[1]Key Personnel SANRAL'!A23</f>
        <v>9</v>
      </c>
      <c r="C14" s="41">
        <f>+'[1]Key Personnel SANRAL'!J19</f>
        <v>212647.18</v>
      </c>
      <c r="D14" s="41">
        <f>+'[1]Key Personnel SANRAL'!K19</f>
        <v>0</v>
      </c>
      <c r="E14" s="41">
        <f>+'[1]Key Personnel SANRAL'!L19</f>
        <v>0</v>
      </c>
      <c r="F14" s="41">
        <f>+'[1]Key Personnel SANRAL'!M19</f>
        <v>212647.18</v>
      </c>
      <c r="G14" s="41">
        <f>+'[1]Key Personnel SANRAL'!N19</f>
        <v>32433.620000000003</v>
      </c>
      <c r="H14" s="41">
        <f>+'[1]Key Personnel SANRAL'!O19</f>
        <v>1318.2350000000001</v>
      </c>
      <c r="I14" s="41">
        <f>+'[1]Key Personnel SANRAL'!P19</f>
        <v>0</v>
      </c>
      <c r="J14" s="41">
        <f>+'[1]Key Personnel SANRAL'!Q19</f>
        <v>0</v>
      </c>
      <c r="K14" s="41">
        <f>+'[1]Key Personnel SANRAL'!R19</f>
        <v>33751.854999999996</v>
      </c>
      <c r="L14" s="41">
        <f>+'[1]Key Personnel SANRAL'!S19</f>
        <v>178895.32499999998</v>
      </c>
      <c r="M14" s="41">
        <f>+'[1]Key Personnel SANRAL'!T19</f>
        <v>1318.2350000000001</v>
      </c>
      <c r="N14" s="41">
        <f>+'[1]Key Personnel SANRAL'!U19</f>
        <v>2046.394</v>
      </c>
      <c r="O14" s="41">
        <f>+'[1]Key Personnel SANRAL'!V19</f>
        <v>3364.6289999999999</v>
      </c>
      <c r="P14" s="42">
        <f>+L14/2</f>
        <v>89447.662499999991</v>
      </c>
      <c r="Q14" s="43"/>
      <c r="T14" s="43">
        <f>+'[1]Key Personnel SANRAL'!S19</f>
        <v>178895.32499999998</v>
      </c>
      <c r="V14" s="44">
        <f t="shared" si="0"/>
        <v>0</v>
      </c>
      <c r="X14" s="43">
        <f>+'[2]TM &amp; S November Payroll Upload '!$I$52</f>
        <v>157181.29001899998</v>
      </c>
      <c r="Z14" s="43">
        <f t="shared" ref="Z14:Z19" si="1">+X14-L14</f>
        <v>-21714.034981000004</v>
      </c>
    </row>
    <row r="15" spans="1:28" x14ac:dyDescent="0.2">
      <c r="A15" s="38" t="s">
        <v>108</v>
      </c>
      <c r="B15" s="40">
        <f>+'[1]Key Personnel Chief Albert'!A19</f>
        <v>5</v>
      </c>
      <c r="C15" s="41">
        <f>+'[1]Key Personnel Chief Albert'!J16</f>
        <v>62458.413636363635</v>
      </c>
      <c r="D15" s="41">
        <f>+'[1]Key Personnel Chief Albert'!K16</f>
        <v>388.66500000000002</v>
      </c>
      <c r="E15" s="41">
        <f>+'[1]Key Personnel Chief Albert'!L16</f>
        <v>518.22</v>
      </c>
      <c r="F15" s="41">
        <f>+'[1]Key Personnel Chief Albert'!M16</f>
        <v>63365.298636363645</v>
      </c>
      <c r="G15" s="41">
        <f>+'[1]Key Personnel Chief Albert'!N16</f>
        <v>6347.02</v>
      </c>
      <c r="H15" s="41">
        <f>+'[1]Key Personnel Chief Albert'!O16</f>
        <v>511.31078636363634</v>
      </c>
      <c r="I15" s="41">
        <f>+'[1]Key Personnel Chief Albert'!P16</f>
        <v>0</v>
      </c>
      <c r="J15" s="41">
        <f>+'[1]Key Personnel Chief Albert'!Q16</f>
        <v>0</v>
      </c>
      <c r="K15" s="41">
        <f>+'[1]Key Personnel Chief Albert'!R16</f>
        <v>6858.3307863636373</v>
      </c>
      <c r="L15" s="41">
        <f>+'[1]Key Personnel Chief Albert'!S16</f>
        <v>56506.967850000001</v>
      </c>
      <c r="M15" s="41">
        <f>+'[1]Key Personnel Chief Albert'!T16</f>
        <v>511.31078636363634</v>
      </c>
      <c r="N15" s="41">
        <f>+'[1]Key Personnel Chief Albert'!U16</f>
        <v>633.65298636363639</v>
      </c>
      <c r="O15" s="41">
        <f>+'[1]Key Personnel Chief Albert'!V16</f>
        <v>1144.9637727272727</v>
      </c>
      <c r="P15" s="42">
        <f>+L15/2</f>
        <v>28253.483925</v>
      </c>
      <c r="Q15" s="43"/>
      <c r="T15" s="43">
        <f>+'[1]Key Personnel Chief Albert'!S16</f>
        <v>56506.967850000001</v>
      </c>
      <c r="V15" s="44">
        <f t="shared" si="0"/>
        <v>0</v>
      </c>
      <c r="X15" s="43">
        <f>+'[2]TM &amp; S November Payroll Upload '!$I$68</f>
        <v>42000</v>
      </c>
      <c r="Z15" s="43">
        <f t="shared" si="1"/>
        <v>-14506.967850000001</v>
      </c>
    </row>
    <row r="16" spans="1:28" x14ac:dyDescent="0.2">
      <c r="A16" s="38" t="s">
        <v>109</v>
      </c>
      <c r="B16" s="40">
        <f>+'[1]Key Personnel Caroline'!A34</f>
        <v>21</v>
      </c>
      <c r="C16" s="41">
        <f>+'[1]Key Personnel Caroline'!J31</f>
        <v>250827.65131313135</v>
      </c>
      <c r="D16" s="41">
        <f>+'[1]Key Personnel Caroline'!K31</f>
        <v>0</v>
      </c>
      <c r="E16" s="41">
        <f>+'[1]Key Personnel Caroline'!L31</f>
        <v>0</v>
      </c>
      <c r="F16" s="41">
        <f>+'[1]Key Personnel Caroline'!M31</f>
        <v>250827.65131313135</v>
      </c>
      <c r="G16" s="41">
        <f>+'[1]Key Personnel Caroline'!N31</f>
        <v>19984.86</v>
      </c>
      <c r="H16" s="41">
        <f>+'[1]Key Personnel Caroline'!O31</f>
        <v>2189.154613131313</v>
      </c>
      <c r="I16" s="41">
        <f>+'[1]Key Personnel Caroline'!P31</f>
        <v>0</v>
      </c>
      <c r="J16" s="41">
        <f>+'[1]Key Personnel Caroline'!Q31</f>
        <v>0</v>
      </c>
      <c r="K16" s="41">
        <f>+'[1]Key Personnel Caroline'!R31</f>
        <v>22174.014613131312</v>
      </c>
      <c r="L16" s="41">
        <f>+'[1]Key Personnel Caroline'!S31</f>
        <v>228653.6367</v>
      </c>
      <c r="M16" s="41">
        <f>+'[1]Key Personnel Caroline'!T31</f>
        <v>2189.154613131313</v>
      </c>
      <c r="N16" s="41">
        <f>+'[1]Key Personnel Caroline'!U31</f>
        <v>2504.8460131313127</v>
      </c>
      <c r="O16" s="41">
        <f>+'[1]Key Personnel Caroline'!V31</f>
        <v>4688.9282262626266</v>
      </c>
      <c r="P16" s="42">
        <f>+L16/2</f>
        <v>114326.81835</v>
      </c>
      <c r="Q16" s="43"/>
      <c r="T16" s="43">
        <f>+'[1]Key Personnel Caroline'!S31</f>
        <v>228653.6367</v>
      </c>
      <c r="V16" s="44">
        <f t="shared" si="0"/>
        <v>0</v>
      </c>
      <c r="X16" s="43">
        <f>+'[2]TM &amp; S November Payroll Upload '!$I$104</f>
        <v>212286.25853142855</v>
      </c>
      <c r="Z16" s="43">
        <f t="shared" si="1"/>
        <v>-16367.378168571449</v>
      </c>
    </row>
    <row r="17" spans="1:29" x14ac:dyDescent="0.2">
      <c r="A17" s="38" t="s">
        <v>110</v>
      </c>
      <c r="B17" s="40">
        <f>+'[1]Key Personnel Masiphula'!A23</f>
        <v>9</v>
      </c>
      <c r="C17" s="41">
        <f>+'[1]Key Personnel Masiphula'!J20</f>
        <v>144698.06020202022</v>
      </c>
      <c r="D17" s="41">
        <f>+'[1]Key Personnel Masiphula'!K20</f>
        <v>0</v>
      </c>
      <c r="E17" s="41">
        <f>+'[1]Key Personnel Masiphula'!L20</f>
        <v>0</v>
      </c>
      <c r="F17" s="41">
        <f>+'[1]Key Personnel Masiphula'!M20</f>
        <v>144698.06020202022</v>
      </c>
      <c r="G17" s="41">
        <f>+'[1]Key Personnel Masiphula'!N20</f>
        <v>16800.64</v>
      </c>
      <c r="H17" s="41">
        <f>+'[1]Key Personnel Masiphula'!O20</f>
        <v>1057.625402020202</v>
      </c>
      <c r="I17" s="41">
        <f>+'[1]Key Personnel Masiphula'!P20</f>
        <v>0</v>
      </c>
      <c r="J17" s="41">
        <f>+'[1]Key Personnel Masiphula'!Q20</f>
        <v>0</v>
      </c>
      <c r="K17" s="41">
        <f>+'[1]Key Personnel Masiphula'!R20</f>
        <v>17858.265402020203</v>
      </c>
      <c r="L17" s="41">
        <f>+'[1]Key Personnel Masiphula'!S20</f>
        <v>126839.7948</v>
      </c>
      <c r="M17" s="41">
        <f>+'[1]Key Personnel Masiphula'!T20</f>
        <v>1057.625402020202</v>
      </c>
      <c r="N17" s="41">
        <f>+'[1]Key Personnel Masiphula'!U20</f>
        <v>1446.980602020202</v>
      </c>
      <c r="O17" s="41">
        <f>+'[1]Key Personnel Masiphula'!V20</f>
        <v>2504.6060040404041</v>
      </c>
      <c r="P17" s="42">
        <f>+L17</f>
        <v>126839.7948</v>
      </c>
      <c r="Q17" s="43"/>
      <c r="T17" s="43">
        <f>+'[1]Key Personnel Masiphula'!S20</f>
        <v>126839.7948</v>
      </c>
      <c r="V17" s="44">
        <f t="shared" si="0"/>
        <v>0</v>
      </c>
      <c r="X17" s="43">
        <f>+'[2]TM &amp; S November Payroll Upload '!$I$147</f>
        <v>122758.81065218855</v>
      </c>
      <c r="Z17" s="43">
        <f t="shared" si="1"/>
        <v>-4080.984147811454</v>
      </c>
      <c r="AA17" s="33" t="s">
        <v>111</v>
      </c>
      <c r="AB17" s="33">
        <v>1101.3347714285701</v>
      </c>
      <c r="AC17" s="43">
        <f>+AB17-Z17</f>
        <v>5182.3189192400241</v>
      </c>
    </row>
    <row r="18" spans="1:29" x14ac:dyDescent="0.2">
      <c r="A18" s="38" t="s">
        <v>112</v>
      </c>
      <c r="B18" s="40">
        <v>0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3"/>
      <c r="Q18" s="43"/>
      <c r="T18" s="44">
        <v>0</v>
      </c>
      <c r="V18" s="44">
        <f t="shared" si="0"/>
        <v>0</v>
      </c>
      <c r="Z18" s="43">
        <f t="shared" si="1"/>
        <v>0</v>
      </c>
    </row>
    <row r="19" spans="1:29" x14ac:dyDescent="0.2">
      <c r="A19" s="38" t="s">
        <v>113</v>
      </c>
      <c r="B19" s="40">
        <f>+'[1]Key Personnel Mooiplaas'!A24</f>
        <v>10</v>
      </c>
      <c r="C19" s="41">
        <f>+'[1]Key Personnel Mooiplaas'!J21</f>
        <v>173108.61000000002</v>
      </c>
      <c r="D19" s="41">
        <f>+'[1]Key Personnel Mooiplaas'!K21</f>
        <v>0</v>
      </c>
      <c r="E19" s="41">
        <f>+'[1]Key Personnel Mooiplaas'!L21</f>
        <v>0</v>
      </c>
      <c r="F19" s="41">
        <f>+'[1]Key Personnel Mooiplaas'!M21</f>
        <v>173108.61000000002</v>
      </c>
      <c r="G19" s="41">
        <f>+'[1]Key Personnel Mooiplaas'!N21</f>
        <v>20944.840000000004</v>
      </c>
      <c r="H19" s="41">
        <f>+'[1]Key Personnel Mooiplaas'!O21</f>
        <v>1247.5048999999999</v>
      </c>
      <c r="I19" s="41">
        <f>+'[1]Key Personnel Mooiplaas'!P21</f>
        <v>0</v>
      </c>
      <c r="J19" s="41">
        <f>+'[1]Key Personnel Mooiplaas'!Q21</f>
        <v>0</v>
      </c>
      <c r="K19" s="41">
        <f>+'[1]Key Personnel Mooiplaas'!R21</f>
        <v>22192.344900000004</v>
      </c>
      <c r="L19" s="41">
        <f>+'[1]Key Personnel Mooiplaas'!S21</f>
        <v>157916.26510000002</v>
      </c>
      <c r="M19" s="41">
        <f>+'[1]Key Personnel Mooiplaas'!T21</f>
        <v>1247.5048999999999</v>
      </c>
      <c r="N19" s="41">
        <f>+'[1]Key Personnel Mooiplaas'!U21</f>
        <v>1731.0861</v>
      </c>
      <c r="O19" s="41">
        <f>+'[1]Key Personnel Mooiplaas'!V21</f>
        <v>2978.5910000000003</v>
      </c>
      <c r="P19" s="42">
        <f>+L19/2</f>
        <v>78958.132550000009</v>
      </c>
      <c r="Q19" s="43"/>
      <c r="T19" s="43">
        <f>+'[1]Key Personnel Mooiplaas'!S21</f>
        <v>157916.26510000002</v>
      </c>
      <c r="V19" s="44">
        <f t="shared" si="0"/>
        <v>0</v>
      </c>
      <c r="X19" s="43">
        <f>+'[2]TM &amp; S November Payroll Upload '!$I$243</f>
        <v>144851.10260000001</v>
      </c>
      <c r="Z19" s="43">
        <f t="shared" si="1"/>
        <v>-13065.162500000006</v>
      </c>
    </row>
    <row r="21" spans="1:29" ht="16" thickBot="1" x14ac:dyDescent="0.25">
      <c r="A21" s="45" t="s">
        <v>114</v>
      </c>
      <c r="B21" s="46">
        <f t="shared" ref="B21:O21" si="2">SUM(B12:B20)</f>
        <v>80</v>
      </c>
      <c r="C21" s="47">
        <f t="shared" si="2"/>
        <v>1368007.0607070709</v>
      </c>
      <c r="D21" s="47">
        <f t="shared" si="2"/>
        <v>1079.625</v>
      </c>
      <c r="E21" s="47">
        <f t="shared" si="2"/>
        <v>518.22</v>
      </c>
      <c r="F21" s="47">
        <f t="shared" si="2"/>
        <v>1369604.9057070708</v>
      </c>
      <c r="G21" s="47">
        <f t="shared" si="2"/>
        <v>184672.1</v>
      </c>
      <c r="H21" s="47">
        <f t="shared" si="2"/>
        <v>9247.0437570707072</v>
      </c>
      <c r="I21" s="47">
        <f t="shared" si="2"/>
        <v>0</v>
      </c>
      <c r="J21" s="47">
        <f t="shared" si="2"/>
        <v>0</v>
      </c>
      <c r="K21" s="47">
        <f t="shared" si="2"/>
        <v>193919.14375707073</v>
      </c>
      <c r="L21" s="47">
        <f t="shared" si="2"/>
        <v>1182685.7619500002</v>
      </c>
      <c r="M21" s="47">
        <f t="shared" si="2"/>
        <v>9247.0437570707072</v>
      </c>
      <c r="N21" s="47">
        <f t="shared" si="2"/>
        <v>13612.540757070707</v>
      </c>
      <c r="O21" s="47">
        <f t="shared" si="2"/>
        <v>22562.163021212124</v>
      </c>
      <c r="P21" s="48">
        <f>SUM(P12:P19)</f>
        <v>437825.89212500001</v>
      </c>
      <c r="Q21" s="48"/>
      <c r="T21" s="47">
        <f>SUM(T12:T20)</f>
        <v>1104185.7655500001</v>
      </c>
      <c r="V21" s="47">
        <f>SUM(V12:V20)</f>
        <v>0</v>
      </c>
      <c r="X21" s="47">
        <f>SUM(X12:X20)</f>
        <v>1083797.5668606258</v>
      </c>
      <c r="Z21" s="47">
        <f>SUM(Z12:Z20)</f>
        <v>-20388.198689374301</v>
      </c>
    </row>
    <row r="22" spans="1:29" ht="16" thickTop="1" x14ac:dyDescent="0.2"/>
    <row r="23" spans="1:29" ht="16" thickBot="1" x14ac:dyDescent="0.25"/>
    <row r="24" spans="1:29" ht="31.5" customHeight="1" thickBot="1" x14ac:dyDescent="0.25">
      <c r="C24" s="169" t="s">
        <v>115</v>
      </c>
      <c r="D24" s="170"/>
      <c r="E24" s="170"/>
      <c r="F24" s="171"/>
      <c r="T24" s="172" t="s">
        <v>85</v>
      </c>
      <c r="U24" s="173"/>
      <c r="V24" s="174"/>
      <c r="X24" s="172" t="s">
        <v>85</v>
      </c>
      <c r="Y24" s="173"/>
      <c r="Z24" s="174"/>
    </row>
    <row r="26" spans="1:29" ht="45" customHeight="1" x14ac:dyDescent="0.2">
      <c r="A26" s="34" t="s">
        <v>86</v>
      </c>
      <c r="B26" s="34" t="s">
        <v>87</v>
      </c>
      <c r="C26" s="34" t="s">
        <v>88</v>
      </c>
      <c r="D26" s="35" t="s">
        <v>89</v>
      </c>
      <c r="E26" s="35" t="s">
        <v>90</v>
      </c>
      <c r="F26" s="36" t="s">
        <v>91</v>
      </c>
      <c r="G26" s="36" t="s">
        <v>92</v>
      </c>
      <c r="H26" s="36" t="s">
        <v>93</v>
      </c>
      <c r="I26" s="36" t="s">
        <v>94</v>
      </c>
      <c r="J26" s="36" t="s">
        <v>95</v>
      </c>
      <c r="K26" s="35" t="s">
        <v>96</v>
      </c>
      <c r="L26" s="36" t="s">
        <v>97</v>
      </c>
      <c r="M26" s="36" t="s">
        <v>98</v>
      </c>
      <c r="N26" s="36" t="s">
        <v>99</v>
      </c>
      <c r="O26" s="36" t="s">
        <v>100</v>
      </c>
      <c r="P26" s="37"/>
      <c r="Q26" s="37"/>
      <c r="T26" s="38" t="s">
        <v>101</v>
      </c>
      <c r="U26" s="38"/>
      <c r="V26" s="38" t="s">
        <v>102</v>
      </c>
      <c r="X26" s="38" t="s">
        <v>103</v>
      </c>
      <c r="Y26" s="38"/>
      <c r="Z26" s="38" t="s">
        <v>102</v>
      </c>
    </row>
    <row r="27" spans="1:29" x14ac:dyDescent="0.2">
      <c r="A27" s="39"/>
      <c r="B27" s="39"/>
      <c r="C27" s="38"/>
      <c r="D27" s="38"/>
      <c r="E27" s="38"/>
      <c r="F27" s="38"/>
      <c r="G27" s="38"/>
      <c r="H27" s="38"/>
      <c r="I27" s="38"/>
      <c r="J27" s="38"/>
      <c r="K27" s="38"/>
      <c r="L27" s="38"/>
    </row>
    <row r="28" spans="1:29" x14ac:dyDescent="0.2">
      <c r="A28" s="38" t="s">
        <v>104</v>
      </c>
      <c r="B28" s="40">
        <v>0</v>
      </c>
      <c r="C28" s="41">
        <v>0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0</v>
      </c>
      <c r="M28" s="41">
        <v>0</v>
      </c>
      <c r="N28" s="41">
        <v>0</v>
      </c>
      <c r="O28" s="41">
        <v>0</v>
      </c>
      <c r="P28" s="43"/>
      <c r="Q28" s="43"/>
      <c r="T28" s="44">
        <v>0</v>
      </c>
      <c r="V28" s="44">
        <f t="shared" ref="V28:V34" si="3">+L28-T28</f>
        <v>0</v>
      </c>
      <c r="Z28" s="43">
        <f t="shared" ref="Z28:Z34" si="4">+X28-L28</f>
        <v>0</v>
      </c>
    </row>
    <row r="29" spans="1:29" x14ac:dyDescent="0.2">
      <c r="A29" s="38" t="s">
        <v>106</v>
      </c>
      <c r="B29" s="40">
        <v>0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3"/>
      <c r="Q29" s="43"/>
      <c r="T29" s="44"/>
      <c r="V29" s="44"/>
      <c r="Z29" s="43"/>
    </row>
    <row r="30" spans="1:29" x14ac:dyDescent="0.2">
      <c r="A30" s="38" t="s">
        <v>108</v>
      </c>
      <c r="B30" s="40">
        <f>+'[1]Chief Albert Labourers'!A23</f>
        <v>10</v>
      </c>
      <c r="C30" s="41">
        <f>+'[1]Chief Albert Labourers'!J20</f>
        <v>44616.928181818184</v>
      </c>
      <c r="D30" s="41">
        <f>+'[1]Chief Albert Labourers'!K20</f>
        <v>4649.5850000000009</v>
      </c>
      <c r="E30" s="41">
        <f>+'[1]Chief Albert Labourers'!L20</f>
        <v>4606.3999999999996</v>
      </c>
      <c r="F30" s="41">
        <f>+'[1]Chief Albert Labourers'!M20</f>
        <v>49266.513181818191</v>
      </c>
      <c r="G30" s="41">
        <f>+'[1]Chief Albert Labourers'!N20</f>
        <v>92.78</v>
      </c>
      <c r="H30" s="41">
        <f>+'[1]Chief Albert Labourers'!O20</f>
        <v>492.66513181818186</v>
      </c>
      <c r="I30" s="41">
        <f>+'[1]Chief Albert Labourers'!P20</f>
        <v>0</v>
      </c>
      <c r="J30" s="41">
        <f>+'[1]Chief Albert Labourers'!Q20</f>
        <v>0</v>
      </c>
      <c r="K30" s="41">
        <f>+'[1]Chief Albert Labourers'!R20</f>
        <v>585.44513181818184</v>
      </c>
      <c r="L30" s="41">
        <f>+'[1]Chief Albert Labourers'!S20</f>
        <v>48681.068050000002</v>
      </c>
      <c r="M30" s="41">
        <f>+'[1]Chief Albert Labourers'!T20</f>
        <v>492.66513181818186</v>
      </c>
      <c r="N30" s="41">
        <f>+'[1]Chief Albert Labourers'!U20</f>
        <v>492.66513181818186</v>
      </c>
      <c r="O30" s="41">
        <f>+'[1]Chief Albert Labourers'!V20</f>
        <v>985.33026363636372</v>
      </c>
      <c r="P30" s="43"/>
      <c r="Q30" s="43"/>
      <c r="T30" s="43">
        <f>+'[1]Chief Albert Labourers'!S20</f>
        <v>48681.068050000002</v>
      </c>
      <c r="V30" s="44">
        <f t="shared" si="3"/>
        <v>0</v>
      </c>
      <c r="X30" s="43">
        <f>+'[2]TM &amp; S November Payroll Upload '!$I$82</f>
        <v>59740.723300000005</v>
      </c>
      <c r="Z30" s="43">
        <f t="shared" si="4"/>
        <v>11059.655250000003</v>
      </c>
    </row>
    <row r="31" spans="1:29" x14ac:dyDescent="0.2">
      <c r="A31" s="38" t="s">
        <v>109</v>
      </c>
      <c r="B31" s="40">
        <f>+'[1]Labourers Caroline'!A41</f>
        <v>25</v>
      </c>
      <c r="C31" s="41">
        <f>+'[1]Labourers Caroline'!J38</f>
        <v>105260.22757575763</v>
      </c>
      <c r="D31" s="41">
        <f>+'[1]Labourers Caroline'!K38</f>
        <v>0</v>
      </c>
      <c r="E31" s="41">
        <f>+'[1]Labourers Caroline'!L38</f>
        <v>0</v>
      </c>
      <c r="F31" s="41">
        <f>+'[1]Labourers Caroline'!M38</f>
        <v>105260.22757575763</v>
      </c>
      <c r="G31" s="41">
        <f>+'[1]Labourers Caroline'!N38</f>
        <v>0</v>
      </c>
      <c r="H31" s="41">
        <f>+'[1]Labourers Caroline'!O38</f>
        <v>1052.6022757575759</v>
      </c>
      <c r="I31" s="41">
        <f>+'[1]Labourers Caroline'!P38</f>
        <v>0</v>
      </c>
      <c r="J31" s="41">
        <f>+'[1]Labourers Caroline'!Q38</f>
        <v>0</v>
      </c>
      <c r="K31" s="41">
        <f>+'[1]Labourers Caroline'!R38</f>
        <v>1052.6022757575759</v>
      </c>
      <c r="L31" s="41">
        <f>+'[1]Labourers Caroline'!S38</f>
        <v>104207.62530000003</v>
      </c>
      <c r="M31" s="41">
        <f>+'[1]Labourers Caroline'!T38</f>
        <v>1052.6022757575759</v>
      </c>
      <c r="N31" s="41">
        <f>+'[1]Labourers Caroline'!U38</f>
        <v>1052.6022757575759</v>
      </c>
      <c r="O31" s="41">
        <f>+'[1]Labourers Caroline'!V38</f>
        <v>2105.2045515151517</v>
      </c>
      <c r="P31" s="43"/>
      <c r="Q31" s="43"/>
      <c r="T31" s="43">
        <f>+'[1]Labourers Caroline'!S38</f>
        <v>104207.62530000003</v>
      </c>
      <c r="V31" s="44">
        <f t="shared" si="3"/>
        <v>0</v>
      </c>
      <c r="X31" s="43">
        <f>+'[2]TM &amp; S November Payroll Upload '!$I$135</f>
        <v>129980.72147800001</v>
      </c>
      <c r="Z31" s="43">
        <f t="shared" si="4"/>
        <v>25773.096177999978</v>
      </c>
    </row>
    <row r="32" spans="1:29" x14ac:dyDescent="0.2">
      <c r="A32" s="38" t="s">
        <v>110</v>
      </c>
      <c r="B32" s="40">
        <f>+'[1]Labourers Masiphula'!A46</f>
        <v>32</v>
      </c>
      <c r="C32" s="41">
        <f>+'[1]Labourers Masiphula'!J43</f>
        <v>88161.570909090922</v>
      </c>
      <c r="D32" s="41">
        <f>+'[1]Labourers Masiphula'!K43</f>
        <v>1850.3999999999999</v>
      </c>
      <c r="E32" s="41">
        <f>+'[1]Labourers Masiphula'!L43</f>
        <v>0</v>
      </c>
      <c r="F32" s="41">
        <f>+'[1]Labourers Masiphula'!M43</f>
        <v>90011.970909090916</v>
      </c>
      <c r="G32" s="41">
        <f>+'[1]Labourers Masiphula'!N43</f>
        <v>0</v>
      </c>
      <c r="H32" s="41">
        <f>+'[1]Labourers Masiphula'!O43</f>
        <v>900.11970909090917</v>
      </c>
      <c r="I32" s="41">
        <f>+'[1]Labourers Masiphula'!P43</f>
        <v>0</v>
      </c>
      <c r="J32" s="41">
        <f>+'[1]Labourers Masiphula'!Q43</f>
        <v>0</v>
      </c>
      <c r="K32" s="41">
        <f>+'[1]Labourers Masiphula'!R43</f>
        <v>900.11970909090917</v>
      </c>
      <c r="L32" s="41">
        <f>+'[1]Labourers Masiphula'!S43</f>
        <v>89111.851200000019</v>
      </c>
      <c r="M32" s="41">
        <f>+'[1]Labourers Masiphula'!T43</f>
        <v>900.11970909090917</v>
      </c>
      <c r="N32" s="41">
        <f>+'[1]Labourers Masiphula'!U43</f>
        <v>900.11970909090917</v>
      </c>
      <c r="O32" s="41">
        <f>+'[1]Labourers Masiphula'!V43</f>
        <v>1800.2394181818183</v>
      </c>
      <c r="P32" s="43"/>
      <c r="Q32" s="43"/>
      <c r="T32" s="43">
        <f>+'[1]Labourers Masiphula'!S43</f>
        <v>89111.851200000019</v>
      </c>
      <c r="V32" s="44">
        <f t="shared" si="3"/>
        <v>0</v>
      </c>
      <c r="X32" s="43">
        <f>+'[2]TM &amp; S November Payroll Upload '!$I$184</f>
        <v>83918.953599999993</v>
      </c>
      <c r="Z32" s="43">
        <f t="shared" si="4"/>
        <v>-5192.8976000000257</v>
      </c>
    </row>
    <row r="33" spans="1:27" x14ac:dyDescent="0.2">
      <c r="A33" s="38" t="s">
        <v>112</v>
      </c>
      <c r="B33" s="40">
        <f>+'[1]Labourers Mayflower'!A23</f>
        <v>7</v>
      </c>
      <c r="C33" s="41">
        <f>+'[1]Labourers Mayflower'!J20</f>
        <v>16021.94606060606</v>
      </c>
      <c r="D33" s="41">
        <f>+'[1]Labourers Mayflower'!K20</f>
        <v>2547.915</v>
      </c>
      <c r="E33" s="41">
        <f>+'[1]Labourers Mayflower'!L20</f>
        <v>0</v>
      </c>
      <c r="F33" s="41">
        <f>+'[1]Labourers Mayflower'!M20</f>
        <v>18569.861060606061</v>
      </c>
      <c r="G33" s="41">
        <f>+'[1]Labourers Mayflower'!N20</f>
        <v>0</v>
      </c>
      <c r="H33" s="41">
        <f>+'[1]Labourers Mayflower'!O20</f>
        <v>185.69861060606061</v>
      </c>
      <c r="I33" s="41">
        <f>+'[1]Labourers Mayflower'!P20</f>
        <v>0</v>
      </c>
      <c r="J33" s="41">
        <f>+'[1]Labourers Mayflower'!Q20</f>
        <v>0</v>
      </c>
      <c r="K33" s="41">
        <f>+'[1]Labourers Mayflower'!R20</f>
        <v>185.69861060606061</v>
      </c>
      <c r="L33" s="41">
        <f>+'[1]Labourers Mayflower'!S20</f>
        <v>18384.16245</v>
      </c>
      <c r="M33" s="41">
        <f>+'[1]Labourers Mayflower'!T20</f>
        <v>185.69861060606061</v>
      </c>
      <c r="N33" s="41">
        <f>+'[1]Labourers Mayflower'!U20</f>
        <v>185.69861060606061</v>
      </c>
      <c r="O33" s="41">
        <f>+'[1]Labourers Mayflower'!V20</f>
        <v>371.39722121212122</v>
      </c>
      <c r="P33" s="43"/>
      <c r="Q33" s="43"/>
      <c r="T33" s="43">
        <f>+'[1]Labourers Mayflower'!S20</f>
        <v>18384.16245</v>
      </c>
      <c r="V33" s="44">
        <f t="shared" si="3"/>
        <v>0</v>
      </c>
      <c r="X33" s="43">
        <f>+'[2]TM &amp; S November Payroll Upload '!$I$215</f>
        <v>13952.446199999998</v>
      </c>
      <c r="Z33" s="43">
        <f t="shared" si="4"/>
        <v>-4431.7162500000013</v>
      </c>
      <c r="AA33" s="49" t="s">
        <v>116</v>
      </c>
    </row>
    <row r="34" spans="1:27" x14ac:dyDescent="0.2">
      <c r="A34" s="38" t="s">
        <v>113</v>
      </c>
      <c r="B34" s="40">
        <f>+'[1]Labourers Mooiplaas'!A46</f>
        <v>33</v>
      </c>
      <c r="C34" s="41">
        <f>+'[1]Labourers Mooiplaas'!J43</f>
        <v>30976.050000000003</v>
      </c>
      <c r="D34" s="41">
        <f>+'[1]Labourers Mooiplaas'!K43</f>
        <v>0</v>
      </c>
      <c r="E34" s="41">
        <f>+'[1]Labourers Mooiplaas'!L43</f>
        <v>518.22</v>
      </c>
      <c r="F34" s="41">
        <f>+'[1]Labourers Mooiplaas'!M43</f>
        <v>31494.270000000004</v>
      </c>
      <c r="G34" s="41">
        <f>+'[1]Labourers Mooiplaas'!N43</f>
        <v>44.72</v>
      </c>
      <c r="H34" s="41">
        <f>+'[1]Labourers Mooiplaas'!O43</f>
        <v>314.9427</v>
      </c>
      <c r="I34" s="41">
        <f>+'[1]Labourers Mooiplaas'!P43</f>
        <v>0</v>
      </c>
      <c r="J34" s="41">
        <f>+'[1]Labourers Mooiplaas'!Q43</f>
        <v>0</v>
      </c>
      <c r="K34" s="41">
        <f>+'[1]Labourers Mooiplaas'!R43</f>
        <v>359.66270000000003</v>
      </c>
      <c r="L34" s="41">
        <f>+'[1]Labourers Mooiplaas'!S43</f>
        <v>31134.6073</v>
      </c>
      <c r="M34" s="41">
        <f>+'[1]Labourers Mooiplaas'!T43</f>
        <v>314.9427</v>
      </c>
      <c r="N34" s="41">
        <f>+'[1]Labourers Mooiplaas'!U43</f>
        <v>314.9427</v>
      </c>
      <c r="O34" s="41">
        <f>+'[1]Labourers Mooiplaas'!V43</f>
        <v>629.8854</v>
      </c>
      <c r="P34" s="43"/>
      <c r="Q34" s="43"/>
      <c r="T34" s="43">
        <f>+'[1]Labourers Mooiplaas'!S43</f>
        <v>31134.6073</v>
      </c>
      <c r="V34" s="44">
        <f t="shared" si="3"/>
        <v>0</v>
      </c>
      <c r="X34" s="43">
        <f>+'[2]TM &amp; S November Payroll Upload '!$I$280</f>
        <v>173135.671</v>
      </c>
      <c r="Z34" s="43">
        <f t="shared" si="4"/>
        <v>142001.0637</v>
      </c>
      <c r="AA34" s="49" t="s">
        <v>117</v>
      </c>
    </row>
    <row r="36" spans="1:27" ht="16" thickBot="1" x14ac:dyDescent="0.25">
      <c r="A36" s="45" t="s">
        <v>114</v>
      </c>
      <c r="B36" s="46">
        <f t="shared" ref="B36:O36" si="5">SUM(B28:B34)</f>
        <v>107</v>
      </c>
      <c r="C36" s="47">
        <f t="shared" si="5"/>
        <v>285036.72272727278</v>
      </c>
      <c r="D36" s="47">
        <f t="shared" si="5"/>
        <v>9047.9000000000015</v>
      </c>
      <c r="E36" s="47">
        <f t="shared" si="5"/>
        <v>5124.62</v>
      </c>
      <c r="F36" s="47">
        <f t="shared" si="5"/>
        <v>294602.84272727283</v>
      </c>
      <c r="G36" s="47">
        <f t="shared" si="5"/>
        <v>137.5</v>
      </c>
      <c r="H36" s="47">
        <f t="shared" si="5"/>
        <v>2946.0284272727276</v>
      </c>
      <c r="I36" s="47">
        <f t="shared" si="5"/>
        <v>0</v>
      </c>
      <c r="J36" s="47">
        <f t="shared" si="5"/>
        <v>0</v>
      </c>
      <c r="K36" s="47">
        <f t="shared" si="5"/>
        <v>3083.5284272727276</v>
      </c>
      <c r="L36" s="47">
        <f t="shared" si="5"/>
        <v>291519.31430000003</v>
      </c>
      <c r="M36" s="47">
        <f t="shared" si="5"/>
        <v>2946.0284272727276</v>
      </c>
      <c r="N36" s="47">
        <f t="shared" si="5"/>
        <v>2946.0284272727276</v>
      </c>
      <c r="O36" s="47">
        <f t="shared" si="5"/>
        <v>5892.0568545454553</v>
      </c>
      <c r="P36" s="48"/>
      <c r="Q36" s="48"/>
      <c r="T36" s="47">
        <f>SUM(T28:T34)</f>
        <v>291519.31430000003</v>
      </c>
      <c r="V36" s="47">
        <f>SUM(V28:V34)</f>
        <v>0</v>
      </c>
      <c r="X36" s="47">
        <f>SUM(X28:X34)</f>
        <v>460728.51557799999</v>
      </c>
      <c r="Z36" s="47">
        <f>SUM(Z28:Z34)</f>
        <v>169209.20127799996</v>
      </c>
    </row>
    <row r="37" spans="1:27" ht="16" thickTop="1" x14ac:dyDescent="0.2"/>
    <row r="38" spans="1:27" ht="16" thickBot="1" x14ac:dyDescent="0.25"/>
    <row r="39" spans="1:27" ht="31.5" customHeight="1" thickBot="1" x14ac:dyDescent="0.25">
      <c r="C39" s="166" t="s">
        <v>118</v>
      </c>
      <c r="D39" s="167"/>
      <c r="E39" s="167"/>
      <c r="F39" s="168"/>
    </row>
    <row r="41" spans="1:27" ht="64" x14ac:dyDescent="0.2">
      <c r="A41" s="34" t="s">
        <v>86</v>
      </c>
      <c r="B41" s="34" t="s">
        <v>87</v>
      </c>
      <c r="C41" s="34" t="s">
        <v>88</v>
      </c>
      <c r="D41" s="35" t="s">
        <v>89</v>
      </c>
      <c r="E41" s="35" t="s">
        <v>90</v>
      </c>
      <c r="F41" s="36" t="s">
        <v>91</v>
      </c>
      <c r="G41" s="36" t="s">
        <v>92</v>
      </c>
      <c r="H41" s="36" t="s">
        <v>93</v>
      </c>
      <c r="I41" s="36" t="s">
        <v>94</v>
      </c>
      <c r="J41" s="36" t="s">
        <v>95</v>
      </c>
      <c r="K41" s="35" t="s">
        <v>96</v>
      </c>
      <c r="L41" s="36" t="s">
        <v>97</v>
      </c>
      <c r="M41" s="36" t="s">
        <v>98</v>
      </c>
      <c r="N41" s="36" t="s">
        <v>99</v>
      </c>
      <c r="O41" s="36" t="s">
        <v>100</v>
      </c>
      <c r="P41" s="37"/>
      <c r="Q41" s="37"/>
    </row>
    <row r="42" spans="1:27" x14ac:dyDescent="0.2">
      <c r="A42" s="39"/>
      <c r="B42" s="39"/>
      <c r="C42" s="39"/>
      <c r="D42" s="39"/>
      <c r="E42" s="39"/>
      <c r="F42" s="39"/>
    </row>
    <row r="43" spans="1:27" ht="16" x14ac:dyDescent="0.2">
      <c r="A43" s="38" t="s">
        <v>104</v>
      </c>
      <c r="B43" s="40">
        <f t="shared" ref="B43:O44" si="6">+B12+B28</f>
        <v>21</v>
      </c>
      <c r="C43" s="50">
        <f>+C12+C28</f>
        <v>435236.80555555562</v>
      </c>
      <c r="D43" s="50">
        <f t="shared" si="6"/>
        <v>690.96</v>
      </c>
      <c r="E43" s="50">
        <f t="shared" si="6"/>
        <v>0</v>
      </c>
      <c r="F43" s="50">
        <f t="shared" si="6"/>
        <v>435927.76555555558</v>
      </c>
      <c r="G43" s="50">
        <f t="shared" si="6"/>
        <v>78370.989999999991</v>
      </c>
      <c r="H43" s="50">
        <f t="shared" si="6"/>
        <v>2182.9994555555559</v>
      </c>
      <c r="I43" s="50">
        <f t="shared" si="6"/>
        <v>0</v>
      </c>
      <c r="J43" s="50">
        <f t="shared" si="6"/>
        <v>0</v>
      </c>
      <c r="K43" s="50">
        <f t="shared" si="6"/>
        <v>80553.989455555551</v>
      </c>
      <c r="L43" s="50">
        <f t="shared" si="6"/>
        <v>355373.77610000002</v>
      </c>
      <c r="M43" s="50">
        <f t="shared" si="6"/>
        <v>2182.9994555555559</v>
      </c>
      <c r="N43" s="50">
        <f t="shared" si="6"/>
        <v>4359.2776555555556</v>
      </c>
      <c r="O43" s="50">
        <f t="shared" si="6"/>
        <v>6249.9280181818185</v>
      </c>
      <c r="P43" s="51"/>
      <c r="Q43" s="51"/>
      <c r="T43" s="50">
        <f>+T12+T28</f>
        <v>355373.77610000002</v>
      </c>
      <c r="V43" s="50">
        <f>+V12+V28</f>
        <v>0</v>
      </c>
      <c r="X43" s="50">
        <f>+X12+X28</f>
        <v>404720.10505800863</v>
      </c>
      <c r="Z43" s="50">
        <f>+Z12+Z28</f>
        <v>49346.328958008613</v>
      </c>
    </row>
    <row r="44" spans="1:27" ht="16" x14ac:dyDescent="0.2">
      <c r="A44" s="38" t="s">
        <v>106</v>
      </c>
      <c r="B44" s="40">
        <f t="shared" si="6"/>
        <v>5</v>
      </c>
      <c r="C44" s="50">
        <f>+C13+C29</f>
        <v>89030.339999999982</v>
      </c>
      <c r="D44" s="50">
        <f t="shared" si="6"/>
        <v>0</v>
      </c>
      <c r="E44" s="50">
        <f t="shared" si="6"/>
        <v>0</v>
      </c>
      <c r="F44" s="50">
        <f t="shared" si="6"/>
        <v>89030.339999999982</v>
      </c>
      <c r="G44" s="50">
        <f t="shared" si="6"/>
        <v>9790.130000000001</v>
      </c>
      <c r="H44" s="50">
        <f t="shared" si="6"/>
        <v>740.21360000000004</v>
      </c>
      <c r="I44" s="50">
        <f t="shared" si="6"/>
        <v>0</v>
      </c>
      <c r="J44" s="50">
        <f t="shared" si="6"/>
        <v>0</v>
      </c>
      <c r="K44" s="50">
        <f t="shared" si="6"/>
        <v>10530.3436</v>
      </c>
      <c r="L44" s="50">
        <f t="shared" si="6"/>
        <v>78499.996400000004</v>
      </c>
      <c r="M44" s="50">
        <f t="shared" si="6"/>
        <v>740.21360000000004</v>
      </c>
      <c r="N44" s="50">
        <f t="shared" si="6"/>
        <v>890.30340000000001</v>
      </c>
      <c r="O44" s="50">
        <f t="shared" si="6"/>
        <v>1630.5170000000001</v>
      </c>
      <c r="P44" s="51"/>
      <c r="Q44" s="51"/>
      <c r="T44" s="50"/>
      <c r="V44" s="50"/>
      <c r="X44" s="50"/>
      <c r="Z44" s="50"/>
    </row>
    <row r="45" spans="1:27" ht="16" x14ac:dyDescent="0.2">
      <c r="A45" s="38" t="str">
        <f>A14</f>
        <v>SANRAL</v>
      </c>
      <c r="B45" s="40">
        <f>B14</f>
        <v>9</v>
      </c>
      <c r="C45" s="50">
        <f>C14</f>
        <v>212647.18</v>
      </c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51"/>
      <c r="T45" s="50"/>
      <c r="V45" s="50"/>
      <c r="X45" s="50"/>
      <c r="Z45" s="50"/>
    </row>
    <row r="46" spans="1:27" ht="16" x14ac:dyDescent="0.2">
      <c r="A46" s="38" t="s">
        <v>108</v>
      </c>
      <c r="B46" s="40">
        <f t="shared" ref="B46:O46" si="7">+B15+B30</f>
        <v>15</v>
      </c>
      <c r="C46" s="50">
        <f t="shared" si="7"/>
        <v>107075.34181818183</v>
      </c>
      <c r="D46" s="50">
        <f t="shared" si="7"/>
        <v>5038.2500000000009</v>
      </c>
      <c r="E46" s="50">
        <f t="shared" si="7"/>
        <v>5124.62</v>
      </c>
      <c r="F46" s="50">
        <f t="shared" si="7"/>
        <v>112631.81181818183</v>
      </c>
      <c r="G46" s="50">
        <f t="shared" si="7"/>
        <v>6439.8</v>
      </c>
      <c r="H46" s="50">
        <f t="shared" si="7"/>
        <v>1003.9759181818182</v>
      </c>
      <c r="I46" s="50">
        <f t="shared" si="7"/>
        <v>0</v>
      </c>
      <c r="J46" s="50">
        <f t="shared" si="7"/>
        <v>0</v>
      </c>
      <c r="K46" s="50">
        <f t="shared" si="7"/>
        <v>7443.7759181818192</v>
      </c>
      <c r="L46" s="50">
        <f t="shared" si="7"/>
        <v>105188.0359</v>
      </c>
      <c r="M46" s="50">
        <f t="shared" si="7"/>
        <v>1003.9759181818182</v>
      </c>
      <c r="N46" s="50">
        <f t="shared" si="7"/>
        <v>1126.3181181818181</v>
      </c>
      <c r="O46" s="50">
        <f t="shared" si="7"/>
        <v>2130.2940363636362</v>
      </c>
      <c r="P46" s="51"/>
      <c r="Q46" s="51"/>
      <c r="T46" s="50">
        <f>+T15+T30</f>
        <v>105188.0359</v>
      </c>
      <c r="V46" s="50">
        <f>+V15+V30</f>
        <v>0</v>
      </c>
      <c r="X46" s="50">
        <f>+X15+X30</f>
        <v>101740.72330000001</v>
      </c>
      <c r="Z46" s="50">
        <f>+Z15+Z30</f>
        <v>-3447.3125999999975</v>
      </c>
    </row>
    <row r="47" spans="1:27" ht="16" x14ac:dyDescent="0.2">
      <c r="A47" s="38" t="s">
        <v>109</v>
      </c>
      <c r="B47" s="40">
        <f t="shared" ref="B47:O47" si="8">+B16+B31</f>
        <v>46</v>
      </c>
      <c r="C47" s="50">
        <f t="shared" si="8"/>
        <v>356087.87888888898</v>
      </c>
      <c r="D47" s="50">
        <f t="shared" si="8"/>
        <v>0</v>
      </c>
      <c r="E47" s="50">
        <f t="shared" si="8"/>
        <v>0</v>
      </c>
      <c r="F47" s="50">
        <f t="shared" si="8"/>
        <v>356087.87888888898</v>
      </c>
      <c r="G47" s="50">
        <f t="shared" si="8"/>
        <v>19984.86</v>
      </c>
      <c r="H47" s="50">
        <f t="shared" si="8"/>
        <v>3241.7568888888891</v>
      </c>
      <c r="I47" s="50">
        <f t="shared" si="8"/>
        <v>0</v>
      </c>
      <c r="J47" s="50">
        <f t="shared" si="8"/>
        <v>0</v>
      </c>
      <c r="K47" s="50">
        <f t="shared" si="8"/>
        <v>23226.61688888889</v>
      </c>
      <c r="L47" s="50">
        <f t="shared" si="8"/>
        <v>332861.26200000005</v>
      </c>
      <c r="M47" s="50">
        <f t="shared" si="8"/>
        <v>3241.7568888888891</v>
      </c>
      <c r="N47" s="50">
        <f t="shared" si="8"/>
        <v>3557.4482888888888</v>
      </c>
      <c r="O47" s="50">
        <f t="shared" si="8"/>
        <v>6794.1327777777788</v>
      </c>
      <c r="P47" s="51"/>
      <c r="Q47" s="51"/>
      <c r="T47" s="50">
        <f>+T16+T31</f>
        <v>332861.26200000005</v>
      </c>
      <c r="V47" s="50">
        <f>+V16+V31</f>
        <v>0</v>
      </c>
      <c r="X47" s="50">
        <f>+X16+X31</f>
        <v>342266.98000942857</v>
      </c>
      <c r="Z47" s="50">
        <f>+Z16+Z31</f>
        <v>9405.7180094285286</v>
      </c>
    </row>
    <row r="48" spans="1:27" ht="16" x14ac:dyDescent="0.2">
      <c r="A48" s="38" t="s">
        <v>110</v>
      </c>
      <c r="B48" s="40">
        <f t="shared" ref="B48:O48" si="9">+B17+B32</f>
        <v>41</v>
      </c>
      <c r="C48" s="50">
        <f t="shared" si="9"/>
        <v>232859.63111111114</v>
      </c>
      <c r="D48" s="50">
        <f t="shared" si="9"/>
        <v>1850.3999999999999</v>
      </c>
      <c r="E48" s="50">
        <f t="shared" si="9"/>
        <v>0</v>
      </c>
      <c r="F48" s="50">
        <f t="shared" si="9"/>
        <v>234710.03111111114</v>
      </c>
      <c r="G48" s="50">
        <f t="shared" si="9"/>
        <v>16800.64</v>
      </c>
      <c r="H48" s="50">
        <f t="shared" si="9"/>
        <v>1957.7451111111113</v>
      </c>
      <c r="I48" s="50">
        <f t="shared" si="9"/>
        <v>0</v>
      </c>
      <c r="J48" s="50">
        <f t="shared" si="9"/>
        <v>0</v>
      </c>
      <c r="K48" s="50">
        <f t="shared" si="9"/>
        <v>18758.385111111111</v>
      </c>
      <c r="L48" s="50">
        <f t="shared" si="9"/>
        <v>215951.64600000001</v>
      </c>
      <c r="M48" s="50">
        <f t="shared" si="9"/>
        <v>1957.7451111111113</v>
      </c>
      <c r="N48" s="50">
        <f t="shared" si="9"/>
        <v>2347.1003111111113</v>
      </c>
      <c r="O48" s="50">
        <f t="shared" si="9"/>
        <v>4304.8454222222226</v>
      </c>
      <c r="P48" s="51"/>
      <c r="Q48" s="51"/>
      <c r="T48" s="50">
        <f>+T17+T32</f>
        <v>215951.64600000001</v>
      </c>
      <c r="V48" s="50">
        <f>+V17+V32</f>
        <v>0</v>
      </c>
      <c r="X48" s="50">
        <f>+X17+X32</f>
        <v>206677.76425218856</v>
      </c>
      <c r="Z48" s="50">
        <f>+Z17+Z32</f>
        <v>-9273.8817478114797</v>
      </c>
    </row>
    <row r="49" spans="1:26" ht="16" x14ac:dyDescent="0.2">
      <c r="A49" s="38" t="s">
        <v>112</v>
      </c>
      <c r="B49" s="40">
        <f t="shared" ref="B49:O49" si="10">+B18+B33</f>
        <v>7</v>
      </c>
      <c r="C49" s="50">
        <f t="shared" si="10"/>
        <v>16021.94606060606</v>
      </c>
      <c r="D49" s="50">
        <f t="shared" si="10"/>
        <v>2547.915</v>
      </c>
      <c r="E49" s="50">
        <f t="shared" si="10"/>
        <v>0</v>
      </c>
      <c r="F49" s="50">
        <f t="shared" si="10"/>
        <v>18569.861060606061</v>
      </c>
      <c r="G49" s="50">
        <f t="shared" si="10"/>
        <v>0</v>
      </c>
      <c r="H49" s="50">
        <f t="shared" si="10"/>
        <v>185.69861060606061</v>
      </c>
      <c r="I49" s="50">
        <f t="shared" si="10"/>
        <v>0</v>
      </c>
      <c r="J49" s="50">
        <f t="shared" si="10"/>
        <v>0</v>
      </c>
      <c r="K49" s="50">
        <f t="shared" si="10"/>
        <v>185.69861060606061</v>
      </c>
      <c r="L49" s="50">
        <f t="shared" si="10"/>
        <v>18384.16245</v>
      </c>
      <c r="M49" s="50">
        <f t="shared" si="10"/>
        <v>185.69861060606061</v>
      </c>
      <c r="N49" s="50">
        <f t="shared" si="10"/>
        <v>185.69861060606061</v>
      </c>
      <c r="O49" s="50">
        <f t="shared" si="10"/>
        <v>371.39722121212122</v>
      </c>
      <c r="P49" s="51"/>
      <c r="Q49" s="51"/>
      <c r="T49" s="50">
        <f>+T18+T33</f>
        <v>18384.16245</v>
      </c>
      <c r="V49" s="50">
        <f>+V18+V33</f>
        <v>0</v>
      </c>
      <c r="X49" s="50">
        <f>+X18+X33</f>
        <v>13952.446199999998</v>
      </c>
      <c r="Z49" s="50">
        <f>+Z18+Z33</f>
        <v>-4431.7162500000013</v>
      </c>
    </row>
    <row r="50" spans="1:26" ht="16" x14ac:dyDescent="0.2">
      <c r="A50" s="38" t="s">
        <v>113</v>
      </c>
      <c r="B50" s="40">
        <f t="shared" ref="B50:O50" si="11">+B19+B34</f>
        <v>43</v>
      </c>
      <c r="C50" s="50">
        <f t="shared" si="11"/>
        <v>204084.66000000003</v>
      </c>
      <c r="D50" s="50">
        <f t="shared" si="11"/>
        <v>0</v>
      </c>
      <c r="E50" s="50">
        <f t="shared" si="11"/>
        <v>518.22</v>
      </c>
      <c r="F50" s="50">
        <f t="shared" si="11"/>
        <v>204602.88</v>
      </c>
      <c r="G50" s="50">
        <f t="shared" si="11"/>
        <v>20989.560000000005</v>
      </c>
      <c r="H50" s="50">
        <f t="shared" si="11"/>
        <v>1562.4476</v>
      </c>
      <c r="I50" s="50">
        <f t="shared" si="11"/>
        <v>0</v>
      </c>
      <c r="J50" s="50">
        <f t="shared" si="11"/>
        <v>0</v>
      </c>
      <c r="K50" s="50">
        <f t="shared" si="11"/>
        <v>22552.007600000004</v>
      </c>
      <c r="L50" s="50">
        <f t="shared" si="11"/>
        <v>189050.87240000002</v>
      </c>
      <c r="M50" s="50">
        <f t="shared" si="11"/>
        <v>1562.4476</v>
      </c>
      <c r="N50" s="50">
        <f t="shared" si="11"/>
        <v>2046.0288</v>
      </c>
      <c r="O50" s="50">
        <f t="shared" si="11"/>
        <v>3608.4764000000005</v>
      </c>
      <c r="P50" s="51"/>
      <c r="Q50" s="51"/>
      <c r="T50" s="50">
        <f>+T19+T34</f>
        <v>189050.87240000002</v>
      </c>
      <c r="V50" s="50">
        <f>+V19+V34</f>
        <v>0</v>
      </c>
      <c r="X50" s="50">
        <f>+X19+X34</f>
        <v>317986.77360000001</v>
      </c>
      <c r="Z50" s="50">
        <f>+Z19+Z34</f>
        <v>128935.90119999999</v>
      </c>
    </row>
    <row r="52" spans="1:26" ht="16" thickBot="1" x14ac:dyDescent="0.25">
      <c r="A52" s="45" t="s">
        <v>114</v>
      </c>
      <c r="B52" s="46">
        <f t="shared" ref="B52:O52" si="12">SUM(B43:B51)</f>
        <v>187</v>
      </c>
      <c r="C52" s="47">
        <f t="shared" si="12"/>
        <v>1653043.7834343435</v>
      </c>
      <c r="D52" s="47">
        <f t="shared" si="12"/>
        <v>10127.525000000001</v>
      </c>
      <c r="E52" s="47">
        <f t="shared" si="12"/>
        <v>5642.84</v>
      </c>
      <c r="F52" s="47">
        <f t="shared" si="12"/>
        <v>1451560.5684343437</v>
      </c>
      <c r="G52" s="47">
        <f t="shared" si="12"/>
        <v>152375.97999999998</v>
      </c>
      <c r="H52" s="47">
        <f t="shared" si="12"/>
        <v>10874.837184343436</v>
      </c>
      <c r="I52" s="47">
        <f t="shared" si="12"/>
        <v>0</v>
      </c>
      <c r="J52" s="47">
        <f t="shared" si="12"/>
        <v>0</v>
      </c>
      <c r="K52" s="47">
        <f t="shared" si="12"/>
        <v>163250.81718434344</v>
      </c>
      <c r="L52" s="47">
        <f t="shared" si="12"/>
        <v>1295309.75125</v>
      </c>
      <c r="M52" s="47">
        <f t="shared" si="12"/>
        <v>10874.837184343436</v>
      </c>
      <c r="N52" s="47">
        <f t="shared" si="12"/>
        <v>14512.175184343434</v>
      </c>
      <c r="O52" s="47">
        <f t="shared" si="12"/>
        <v>25089.590875757574</v>
      </c>
      <c r="P52" s="48"/>
      <c r="Q52" s="48"/>
      <c r="T52" s="47">
        <f>SUM(T43:T51)</f>
        <v>1216809.7548499999</v>
      </c>
      <c r="V52" s="47">
        <f>SUM(V43:V51)</f>
        <v>0</v>
      </c>
      <c r="X52" s="47">
        <f>SUM(X43:X51)</f>
        <v>1387344.7924196257</v>
      </c>
      <c r="Z52" s="47">
        <f>SUM(Z43:Z51)</f>
        <v>170535.03756962565</v>
      </c>
    </row>
    <row r="53" spans="1:26" ht="16" thickTop="1" x14ac:dyDescent="0.2"/>
    <row r="54" spans="1:26" x14ac:dyDescent="0.2">
      <c r="K54" s="43"/>
      <c r="W54" s="33" t="s">
        <v>85</v>
      </c>
      <c r="X54" s="52">
        <f>+X52-'[2]TM &amp; S November Payroll Upload '!$I$282</f>
        <v>-445923.0526190002</v>
      </c>
    </row>
    <row r="55" spans="1:26" ht="16" x14ac:dyDescent="0.2">
      <c r="K55" s="53">
        <v>106187.5</v>
      </c>
    </row>
    <row r="56" spans="1:26" x14ac:dyDescent="0.2">
      <c r="K56" s="43">
        <v>34845</v>
      </c>
    </row>
    <row r="57" spans="1:26" ht="16" x14ac:dyDescent="0.2">
      <c r="K57" s="53">
        <f>SUM(K55:K56)</f>
        <v>141032.5</v>
      </c>
    </row>
    <row r="58" spans="1:26" x14ac:dyDescent="0.2">
      <c r="B58" s="33" t="s">
        <v>119</v>
      </c>
    </row>
  </sheetData>
  <mergeCells count="7">
    <mergeCell ref="C39:F39"/>
    <mergeCell ref="C8:F8"/>
    <mergeCell ref="T8:V8"/>
    <mergeCell ref="X8:Z8"/>
    <mergeCell ref="C24:F24"/>
    <mergeCell ref="T24:V24"/>
    <mergeCell ref="X24:Z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5E51-61EE-094A-9B6D-A44449D379AA}">
  <dimension ref="A3:L38"/>
  <sheetViews>
    <sheetView topLeftCell="A3" workbookViewId="0">
      <selection activeCell="E38" sqref="E38"/>
    </sheetView>
  </sheetViews>
  <sheetFormatPr baseColWidth="10" defaultColWidth="8.83203125" defaultRowHeight="15" x14ac:dyDescent="0.2"/>
  <cols>
    <col min="1" max="1" width="46.83203125" style="33" bestFit="1" customWidth="1"/>
    <col min="2" max="2" width="35" style="33" bestFit="1" customWidth="1"/>
    <col min="3" max="3" width="28.5" style="33" customWidth="1"/>
    <col min="4" max="4" width="15.33203125" style="33" bestFit="1" customWidth="1"/>
    <col min="5" max="5" width="14.1640625" style="33" bestFit="1" customWidth="1"/>
    <col min="6" max="6" width="14.33203125" style="33" bestFit="1" customWidth="1"/>
    <col min="7" max="7" width="14.1640625" style="33" bestFit="1" customWidth="1"/>
    <col min="8" max="9" width="12.5" style="33" bestFit="1" customWidth="1"/>
    <col min="10" max="10" width="14.1640625" style="33" bestFit="1" customWidth="1"/>
    <col min="11" max="11" width="8.83203125" style="33"/>
    <col min="12" max="12" width="15.33203125" style="33" bestFit="1" customWidth="1"/>
    <col min="13" max="14" width="8.83203125" style="33"/>
    <col min="15" max="15" width="15" style="33" bestFit="1" customWidth="1"/>
    <col min="16" max="16384" width="8.83203125" style="33"/>
  </cols>
  <sheetData>
    <row r="3" spans="1:12" x14ac:dyDescent="0.2">
      <c r="F3" s="175" t="s">
        <v>176</v>
      </c>
      <c r="G3" s="175"/>
      <c r="H3" s="175"/>
    </row>
    <row r="5" spans="1:12" x14ac:dyDescent="0.2">
      <c r="D5" s="33" t="s">
        <v>175</v>
      </c>
      <c r="E5" s="33" t="s">
        <v>174</v>
      </c>
      <c r="F5" s="33" t="s">
        <v>173</v>
      </c>
      <c r="G5" s="33" t="s">
        <v>172</v>
      </c>
    </row>
    <row r="6" spans="1:12" ht="16" thickBot="1" x14ac:dyDescent="0.25"/>
    <row r="7" spans="1:12" ht="33" thickBot="1" x14ac:dyDescent="0.25">
      <c r="A7" s="56" t="s">
        <v>171</v>
      </c>
      <c r="B7" s="56" t="s">
        <v>14</v>
      </c>
      <c r="C7" s="56" t="s">
        <v>170</v>
      </c>
      <c r="D7" s="55" t="s">
        <v>169</v>
      </c>
      <c r="E7" s="55" t="s">
        <v>168</v>
      </c>
      <c r="F7" s="55" t="s">
        <v>167</v>
      </c>
      <c r="G7" s="55" t="s">
        <v>166</v>
      </c>
      <c r="H7" s="55" t="s">
        <v>165</v>
      </c>
      <c r="I7" s="55" t="s">
        <v>164</v>
      </c>
      <c r="J7" s="55" t="s">
        <v>163</v>
      </c>
      <c r="K7" s="55" t="s">
        <v>162</v>
      </c>
      <c r="L7" s="55" t="s">
        <v>161</v>
      </c>
    </row>
    <row r="8" spans="1:12" ht="16" x14ac:dyDescent="0.2">
      <c r="A8" s="58" t="s">
        <v>160</v>
      </c>
      <c r="B8" s="38" t="s">
        <v>159</v>
      </c>
      <c r="C8" s="38" t="s">
        <v>113</v>
      </c>
      <c r="D8" s="60">
        <v>165000</v>
      </c>
      <c r="E8" s="54">
        <v>165000</v>
      </c>
      <c r="F8" s="54">
        <v>165000</v>
      </c>
      <c r="G8" s="54"/>
      <c r="H8" s="54"/>
      <c r="I8" s="54"/>
      <c r="J8" s="54"/>
      <c r="K8" s="54"/>
      <c r="L8" s="54">
        <f t="shared" ref="L8:L32" si="0">SUM(D8:K8)</f>
        <v>495000</v>
      </c>
    </row>
    <row r="9" spans="1:12" ht="16" x14ac:dyDescent="0.2">
      <c r="A9" s="58" t="s">
        <v>158</v>
      </c>
      <c r="B9" s="38" t="s">
        <v>157</v>
      </c>
      <c r="C9" s="38" t="s">
        <v>113</v>
      </c>
      <c r="D9" s="60">
        <v>26600</v>
      </c>
      <c r="E9" s="62">
        <v>26600</v>
      </c>
      <c r="F9" s="54"/>
      <c r="G9" s="54"/>
      <c r="H9" s="54"/>
      <c r="I9" s="54"/>
      <c r="J9" s="54"/>
      <c r="K9" s="54"/>
      <c r="L9" s="54">
        <f t="shared" si="0"/>
        <v>53200</v>
      </c>
    </row>
    <row r="10" spans="1:12" ht="16" x14ac:dyDescent="0.2">
      <c r="A10" s="58" t="s">
        <v>156</v>
      </c>
      <c r="B10" s="38" t="s">
        <v>155</v>
      </c>
      <c r="C10" s="38" t="s">
        <v>113</v>
      </c>
      <c r="D10" s="54"/>
      <c r="E10" s="54"/>
      <c r="F10" s="54"/>
      <c r="G10" s="59">
        <v>108838</v>
      </c>
      <c r="H10" s="54"/>
      <c r="I10" s="54"/>
      <c r="J10" s="54"/>
      <c r="K10" s="54"/>
      <c r="L10" s="54">
        <f t="shared" si="0"/>
        <v>108838</v>
      </c>
    </row>
    <row r="11" spans="1:12" ht="16" x14ac:dyDescent="0.2">
      <c r="A11" s="58" t="s">
        <v>154</v>
      </c>
      <c r="B11" s="38" t="s">
        <v>150</v>
      </c>
      <c r="C11" s="38" t="s">
        <v>113</v>
      </c>
      <c r="D11" s="60">
        <v>3500</v>
      </c>
      <c r="E11" s="54">
        <v>3500</v>
      </c>
      <c r="F11" s="54"/>
      <c r="G11" s="54"/>
      <c r="H11" s="54"/>
      <c r="I11" s="54"/>
      <c r="J11" s="54"/>
      <c r="K11" s="54"/>
      <c r="L11" s="54">
        <f t="shared" si="0"/>
        <v>7000</v>
      </c>
    </row>
    <row r="12" spans="1:12" ht="16" x14ac:dyDescent="0.2">
      <c r="A12" s="58" t="s">
        <v>153</v>
      </c>
      <c r="B12" s="38" t="s">
        <v>150</v>
      </c>
      <c r="C12" s="38" t="s">
        <v>113</v>
      </c>
      <c r="D12" s="60">
        <v>1750</v>
      </c>
      <c r="E12" s="60">
        <v>1750</v>
      </c>
      <c r="F12" s="60">
        <v>1750</v>
      </c>
      <c r="G12" s="60">
        <v>1750</v>
      </c>
      <c r="H12" s="54"/>
      <c r="I12" s="54"/>
      <c r="J12" s="54"/>
      <c r="K12" s="54"/>
      <c r="L12" s="54">
        <f t="shared" si="0"/>
        <v>7000</v>
      </c>
    </row>
    <row r="13" spans="1:12" ht="16" x14ac:dyDescent="0.2">
      <c r="A13" s="58" t="s">
        <v>152</v>
      </c>
      <c r="B13" s="38" t="s">
        <v>150</v>
      </c>
      <c r="C13" s="38" t="s">
        <v>113</v>
      </c>
      <c r="D13" s="59">
        <v>9000</v>
      </c>
      <c r="E13" s="54"/>
      <c r="F13" s="54"/>
      <c r="G13" s="54"/>
      <c r="H13" s="54"/>
      <c r="I13" s="54"/>
      <c r="J13" s="54"/>
      <c r="K13" s="54"/>
      <c r="L13" s="54">
        <f t="shared" si="0"/>
        <v>9000</v>
      </c>
    </row>
    <row r="14" spans="1:12" ht="16" x14ac:dyDescent="0.2">
      <c r="A14" s="39" t="s">
        <v>151</v>
      </c>
      <c r="B14" s="38" t="s">
        <v>150</v>
      </c>
      <c r="C14" s="38" t="s">
        <v>113</v>
      </c>
      <c r="D14" s="54">
        <v>4700</v>
      </c>
      <c r="E14" s="54">
        <v>4700</v>
      </c>
      <c r="F14" s="54">
        <v>4700</v>
      </c>
      <c r="G14" s="54"/>
      <c r="H14" s="54"/>
      <c r="I14" s="54"/>
      <c r="J14" s="54"/>
      <c r="K14" s="54"/>
      <c r="L14" s="54">
        <f t="shared" si="0"/>
        <v>14100</v>
      </c>
    </row>
    <row r="15" spans="1:12" ht="16" x14ac:dyDescent="0.2">
      <c r="A15" s="58" t="s">
        <v>149</v>
      </c>
      <c r="B15" s="38" t="s">
        <v>148</v>
      </c>
      <c r="C15" s="38" t="s">
        <v>113</v>
      </c>
      <c r="D15" s="54"/>
      <c r="E15" s="54"/>
      <c r="F15" s="59">
        <v>133633.23000000001</v>
      </c>
      <c r="G15" s="54"/>
      <c r="H15" s="54"/>
      <c r="I15" s="54"/>
      <c r="J15" s="54"/>
      <c r="K15" s="54"/>
      <c r="L15" s="54">
        <f t="shared" si="0"/>
        <v>133633.23000000001</v>
      </c>
    </row>
    <row r="16" spans="1:12" ht="16" x14ac:dyDescent="0.2">
      <c r="A16" s="58" t="s">
        <v>147</v>
      </c>
      <c r="B16" s="38" t="s">
        <v>146</v>
      </c>
      <c r="C16" s="38" t="s">
        <v>113</v>
      </c>
      <c r="D16" s="54"/>
      <c r="E16" s="54">
        <v>60000</v>
      </c>
      <c r="F16" s="54"/>
      <c r="G16" s="54"/>
      <c r="H16" s="54"/>
      <c r="I16" s="54"/>
      <c r="J16" s="54"/>
      <c r="K16" s="54"/>
      <c r="L16" s="54">
        <f t="shared" si="0"/>
        <v>60000</v>
      </c>
    </row>
    <row r="17" spans="1:12" ht="16" x14ac:dyDescent="0.2">
      <c r="A17" s="58" t="s">
        <v>145</v>
      </c>
      <c r="B17" s="38" t="s">
        <v>144</v>
      </c>
      <c r="C17" s="38" t="s">
        <v>113</v>
      </c>
      <c r="D17" s="54"/>
      <c r="E17" s="62">
        <v>27830</v>
      </c>
      <c r="F17" s="62">
        <v>29636.3</v>
      </c>
      <c r="G17" s="62">
        <v>21246.16</v>
      </c>
      <c r="H17" s="54"/>
      <c r="I17" s="54"/>
      <c r="J17" s="54"/>
      <c r="K17" s="54"/>
      <c r="L17" s="54">
        <f t="shared" si="0"/>
        <v>78712.460000000006</v>
      </c>
    </row>
    <row r="18" spans="1:12" ht="16" x14ac:dyDescent="0.2">
      <c r="A18" s="58" t="s">
        <v>143</v>
      </c>
      <c r="B18" s="38" t="s">
        <v>142</v>
      </c>
      <c r="C18" s="38" t="s">
        <v>113</v>
      </c>
      <c r="D18" s="54"/>
      <c r="E18" s="54"/>
      <c r="F18" s="60">
        <v>246862.4</v>
      </c>
      <c r="G18" s="54"/>
      <c r="H18" s="54"/>
      <c r="I18" s="54"/>
      <c r="J18" s="54"/>
      <c r="K18" s="54"/>
      <c r="L18" s="54">
        <f t="shared" si="0"/>
        <v>246862.4</v>
      </c>
    </row>
    <row r="19" spans="1:12" ht="16" x14ac:dyDescent="0.2">
      <c r="A19" s="58" t="s">
        <v>141</v>
      </c>
      <c r="B19" s="38" t="s">
        <v>137</v>
      </c>
      <c r="C19" s="38" t="s">
        <v>113</v>
      </c>
      <c r="D19" s="54"/>
      <c r="E19" s="54"/>
      <c r="F19" s="62">
        <v>88550</v>
      </c>
      <c r="G19" s="54"/>
      <c r="H19" s="54"/>
      <c r="I19" s="54"/>
      <c r="J19" s="54"/>
      <c r="K19" s="54"/>
      <c r="L19" s="54">
        <f t="shared" si="0"/>
        <v>88550</v>
      </c>
    </row>
    <row r="20" spans="1:12" ht="16" x14ac:dyDescent="0.2">
      <c r="A20" s="58" t="s">
        <v>140</v>
      </c>
      <c r="B20" s="38" t="s">
        <v>139</v>
      </c>
      <c r="C20" s="38" t="s">
        <v>113</v>
      </c>
      <c r="D20" s="54"/>
      <c r="E20" s="54"/>
      <c r="F20" s="60">
        <v>30000</v>
      </c>
      <c r="G20" s="54"/>
      <c r="H20" s="54"/>
      <c r="I20" s="54"/>
      <c r="J20" s="54"/>
      <c r="K20" s="54"/>
      <c r="L20" s="54">
        <f t="shared" si="0"/>
        <v>30000</v>
      </c>
    </row>
    <row r="21" spans="1:12" ht="16" x14ac:dyDescent="0.2">
      <c r="A21" s="58" t="s">
        <v>138</v>
      </c>
      <c r="B21" s="38" t="s">
        <v>137</v>
      </c>
      <c r="C21" s="38" t="s">
        <v>113</v>
      </c>
      <c r="D21" s="54"/>
      <c r="E21" s="54"/>
      <c r="F21" s="60">
        <v>37000</v>
      </c>
      <c r="G21" s="54"/>
      <c r="H21" s="54"/>
      <c r="I21" s="54"/>
      <c r="J21" s="54"/>
      <c r="K21" s="54"/>
      <c r="L21" s="54">
        <f t="shared" si="0"/>
        <v>37000</v>
      </c>
    </row>
    <row r="22" spans="1:12" ht="16" x14ac:dyDescent="0.2">
      <c r="A22" s="58" t="s">
        <v>136</v>
      </c>
      <c r="B22" s="38" t="s">
        <v>135</v>
      </c>
      <c r="C22" s="38" t="s">
        <v>113</v>
      </c>
      <c r="D22" s="54">
        <v>23314.44</v>
      </c>
      <c r="E22" s="54">
        <f>54225.72+27772.5</f>
        <v>81998.22</v>
      </c>
      <c r="F22" s="54"/>
      <c r="G22" s="54"/>
      <c r="H22" s="54"/>
      <c r="I22" s="54"/>
      <c r="J22" s="54"/>
      <c r="K22" s="54"/>
      <c r="L22" s="54">
        <f t="shared" si="0"/>
        <v>105312.66</v>
      </c>
    </row>
    <row r="23" spans="1:12" ht="16" x14ac:dyDescent="0.2">
      <c r="A23" s="58" t="s">
        <v>134</v>
      </c>
      <c r="B23" s="38" t="s">
        <v>133</v>
      </c>
      <c r="C23" s="38" t="s">
        <v>113</v>
      </c>
      <c r="D23" s="60">
        <v>20000</v>
      </c>
      <c r="E23" s="62">
        <v>20000</v>
      </c>
      <c r="F23" s="59">
        <v>20000</v>
      </c>
      <c r="G23" s="54"/>
      <c r="H23" s="54"/>
      <c r="I23" s="54"/>
      <c r="J23" s="54"/>
      <c r="K23" s="54"/>
      <c r="L23" s="54">
        <f t="shared" si="0"/>
        <v>60000</v>
      </c>
    </row>
    <row r="24" spans="1:12" ht="16" x14ac:dyDescent="0.2">
      <c r="A24" s="58" t="s">
        <v>132</v>
      </c>
      <c r="B24" s="38" t="s">
        <v>131</v>
      </c>
      <c r="C24" s="38" t="s">
        <v>113</v>
      </c>
      <c r="D24" s="54"/>
      <c r="E24" s="54"/>
      <c r="F24" s="54">
        <v>5286.92</v>
      </c>
      <c r="G24" s="54"/>
      <c r="H24" s="54"/>
      <c r="I24" s="54"/>
      <c r="J24" s="54"/>
      <c r="K24" s="54"/>
      <c r="L24" s="54">
        <f t="shared" si="0"/>
        <v>5286.92</v>
      </c>
    </row>
    <row r="25" spans="1:12" ht="16" x14ac:dyDescent="0.2">
      <c r="A25" s="58" t="s">
        <v>130</v>
      </c>
      <c r="B25" s="38" t="s">
        <v>125</v>
      </c>
      <c r="C25" s="38" t="s">
        <v>113</v>
      </c>
      <c r="D25" s="54"/>
      <c r="E25" s="60">
        <v>21500</v>
      </c>
      <c r="F25" s="54"/>
      <c r="G25" s="54"/>
      <c r="H25" s="54"/>
      <c r="I25" s="54"/>
      <c r="J25" s="54"/>
      <c r="K25" s="54"/>
      <c r="L25" s="54">
        <f t="shared" si="0"/>
        <v>21500</v>
      </c>
    </row>
    <row r="26" spans="1:12" ht="16" x14ac:dyDescent="0.2">
      <c r="A26" s="58" t="s">
        <v>129</v>
      </c>
      <c r="B26" s="38" t="s">
        <v>125</v>
      </c>
      <c r="C26" s="38" t="s">
        <v>113</v>
      </c>
      <c r="D26" s="54"/>
      <c r="E26" s="61">
        <v>20800</v>
      </c>
      <c r="F26" s="60">
        <v>45050</v>
      </c>
      <c r="G26" s="54"/>
      <c r="H26" s="54"/>
      <c r="I26" s="54"/>
      <c r="J26" s="54"/>
      <c r="K26" s="54"/>
      <c r="L26" s="54">
        <f t="shared" si="0"/>
        <v>65850</v>
      </c>
    </row>
    <row r="27" spans="1:12" ht="16" x14ac:dyDescent="0.2">
      <c r="A27" s="58" t="s">
        <v>128</v>
      </c>
      <c r="B27" s="38" t="s">
        <v>125</v>
      </c>
      <c r="C27" s="38" t="s">
        <v>113</v>
      </c>
      <c r="D27" s="54"/>
      <c r="E27" s="54"/>
      <c r="F27" s="60">
        <v>132825</v>
      </c>
      <c r="G27" s="54"/>
      <c r="H27" s="54"/>
      <c r="I27" s="54"/>
      <c r="J27" s="54"/>
      <c r="K27" s="54"/>
      <c r="L27" s="54">
        <f t="shared" si="0"/>
        <v>132825</v>
      </c>
    </row>
    <row r="28" spans="1:12" ht="16" x14ac:dyDescent="0.2">
      <c r="A28" s="58" t="s">
        <v>127</v>
      </c>
      <c r="B28" s="38" t="s">
        <v>125</v>
      </c>
      <c r="C28" s="38" t="s">
        <v>113</v>
      </c>
      <c r="D28" s="54"/>
      <c r="E28" s="60">
        <v>61860</v>
      </c>
      <c r="F28" s="60">
        <v>128500</v>
      </c>
      <c r="G28" s="60">
        <v>43000</v>
      </c>
      <c r="H28" s="54"/>
      <c r="I28" s="54"/>
      <c r="J28" s="54"/>
      <c r="K28" s="54"/>
      <c r="L28" s="54">
        <f t="shared" si="0"/>
        <v>233360</v>
      </c>
    </row>
    <row r="29" spans="1:12" ht="16" x14ac:dyDescent="0.2">
      <c r="A29" s="58" t="s">
        <v>126</v>
      </c>
      <c r="B29" s="38" t="s">
        <v>125</v>
      </c>
      <c r="C29" s="38" t="s">
        <v>113</v>
      </c>
      <c r="D29" s="54"/>
      <c r="E29" s="59">
        <f>74750+173305+24000+75486</f>
        <v>347541</v>
      </c>
      <c r="F29" s="61">
        <v>181383.75</v>
      </c>
      <c r="G29" s="59">
        <v>130857.24</v>
      </c>
      <c r="H29" s="54"/>
      <c r="I29" s="54"/>
      <c r="J29" s="54"/>
      <c r="K29" s="54"/>
      <c r="L29" s="54">
        <f t="shared" si="0"/>
        <v>659781.99</v>
      </c>
    </row>
    <row r="30" spans="1:12" ht="16" x14ac:dyDescent="0.2">
      <c r="A30" s="58" t="s">
        <v>124</v>
      </c>
      <c r="B30" s="38" t="s">
        <v>123</v>
      </c>
      <c r="C30" s="38" t="s">
        <v>113</v>
      </c>
      <c r="D30" s="54"/>
      <c r="E30" s="60">
        <v>94971.6</v>
      </c>
      <c r="F30" s="54"/>
      <c r="G30" s="54"/>
      <c r="H30" s="54"/>
      <c r="I30" s="54"/>
      <c r="J30" s="54"/>
      <c r="K30" s="54"/>
      <c r="L30" s="54">
        <f t="shared" si="0"/>
        <v>94971.6</v>
      </c>
    </row>
    <row r="31" spans="1:12" ht="16" x14ac:dyDescent="0.2">
      <c r="A31" s="58" t="s">
        <v>122</v>
      </c>
      <c r="B31" s="38" t="s">
        <v>121</v>
      </c>
      <c r="C31" s="38" t="s">
        <v>113</v>
      </c>
      <c r="D31" s="54">
        <v>12208</v>
      </c>
      <c r="E31" s="54"/>
      <c r="F31" s="54"/>
      <c r="G31" s="54"/>
      <c r="H31" s="54"/>
      <c r="I31" s="54"/>
      <c r="J31" s="54"/>
      <c r="K31" s="54"/>
      <c r="L31" s="54">
        <f t="shared" si="0"/>
        <v>12208</v>
      </c>
    </row>
    <row r="32" spans="1:12" ht="16" x14ac:dyDescent="0.2">
      <c r="A32" s="39"/>
      <c r="B32" s="38"/>
      <c r="C32" s="38"/>
      <c r="D32" s="54"/>
      <c r="E32" s="54"/>
      <c r="F32" s="54"/>
      <c r="G32" s="54"/>
      <c r="H32" s="54"/>
      <c r="I32" s="54"/>
      <c r="J32" s="54"/>
      <c r="K32" s="54"/>
      <c r="L32" s="54">
        <f t="shared" si="0"/>
        <v>0</v>
      </c>
    </row>
    <row r="34" spans="1:12" ht="16" thickBot="1" x14ac:dyDescent="0.25">
      <c r="A34" s="48" t="s">
        <v>120</v>
      </c>
      <c r="D34" s="47">
        <f t="shared" ref="D34:L34" si="1">SUM(D8:D32)</f>
        <v>266072.44</v>
      </c>
      <c r="E34" s="47">
        <f t="shared" si="1"/>
        <v>938050.82</v>
      </c>
      <c r="F34" s="47">
        <f t="shared" si="1"/>
        <v>1250177.6000000001</v>
      </c>
      <c r="G34" s="47">
        <f t="shared" si="1"/>
        <v>305691.40000000002</v>
      </c>
      <c r="H34" s="47">
        <f t="shared" si="1"/>
        <v>0</v>
      </c>
      <c r="I34" s="47">
        <f t="shared" si="1"/>
        <v>0</v>
      </c>
      <c r="J34" s="47">
        <f t="shared" si="1"/>
        <v>0</v>
      </c>
      <c r="K34" s="47">
        <f t="shared" si="1"/>
        <v>0</v>
      </c>
      <c r="L34" s="47">
        <f t="shared" si="1"/>
        <v>2759992.26</v>
      </c>
    </row>
    <row r="35" spans="1:12" ht="16" thickTop="1" x14ac:dyDescent="0.2">
      <c r="B35" s="33">
        <f>1187854.6+1021450.52+2784713.41</f>
        <v>4994018.53</v>
      </c>
    </row>
    <row r="37" spans="1:12" x14ac:dyDescent="0.2">
      <c r="B37" s="33">
        <f>74750</f>
        <v>74750</v>
      </c>
      <c r="E37" s="63">
        <f>B35-L34</f>
        <v>2234026.2700000005</v>
      </c>
    </row>
    <row r="38" spans="1:12" x14ac:dyDescent="0.2">
      <c r="E38" s="33" t="s">
        <v>213</v>
      </c>
      <c r="G38" s="43"/>
    </row>
  </sheetData>
  <mergeCells count="1">
    <mergeCell ref="F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283A-1328-5A42-911D-8E4D92D1F16A}">
  <dimension ref="A3:L37"/>
  <sheetViews>
    <sheetView workbookViewId="0">
      <selection activeCell="B34" sqref="B34"/>
    </sheetView>
  </sheetViews>
  <sheetFormatPr baseColWidth="10" defaultColWidth="8.83203125" defaultRowHeight="15" x14ac:dyDescent="0.2"/>
  <cols>
    <col min="1" max="1" width="46.83203125" style="33" bestFit="1" customWidth="1"/>
    <col min="2" max="2" width="39.5" style="33" bestFit="1" customWidth="1"/>
    <col min="3" max="3" width="28.5" style="33" customWidth="1"/>
    <col min="4" max="4" width="15.33203125" style="33" bestFit="1" customWidth="1"/>
    <col min="5" max="5" width="14.1640625" style="33" bestFit="1" customWidth="1"/>
    <col min="6" max="6" width="14.33203125" style="33" bestFit="1" customWidth="1"/>
    <col min="7" max="7" width="14.1640625" style="33" bestFit="1" customWidth="1"/>
    <col min="8" max="9" width="12.5" style="33" bestFit="1" customWidth="1"/>
    <col min="10" max="10" width="14.1640625" style="33" bestFit="1" customWidth="1"/>
    <col min="11" max="11" width="8.83203125" style="33"/>
    <col min="12" max="12" width="15.33203125" style="33" bestFit="1" customWidth="1"/>
    <col min="13" max="14" width="8.83203125" style="33"/>
    <col min="15" max="15" width="15" style="33" bestFit="1" customWidth="1"/>
    <col min="16" max="16384" width="8.83203125" style="33"/>
  </cols>
  <sheetData>
    <row r="3" spans="1:12" x14ac:dyDescent="0.2">
      <c r="F3" s="175" t="s">
        <v>176</v>
      </c>
      <c r="G3" s="175"/>
      <c r="H3" s="175"/>
    </row>
    <row r="5" spans="1:12" x14ac:dyDescent="0.2">
      <c r="D5" s="33" t="s">
        <v>175</v>
      </c>
      <c r="E5" s="33" t="s">
        <v>174</v>
      </c>
      <c r="F5" s="33" t="s">
        <v>173</v>
      </c>
      <c r="G5" s="33" t="s">
        <v>172</v>
      </c>
    </row>
    <row r="6" spans="1:12" ht="16" thickBot="1" x14ac:dyDescent="0.25"/>
    <row r="7" spans="1:12" ht="33" thickBot="1" x14ac:dyDescent="0.25">
      <c r="A7" s="56" t="s">
        <v>171</v>
      </c>
      <c r="B7" s="56" t="s">
        <v>14</v>
      </c>
      <c r="C7" s="56" t="s">
        <v>170</v>
      </c>
      <c r="D7" s="55" t="s">
        <v>169</v>
      </c>
      <c r="E7" s="55" t="s">
        <v>168</v>
      </c>
      <c r="F7" s="55" t="s">
        <v>167</v>
      </c>
      <c r="G7" s="55" t="s">
        <v>166</v>
      </c>
      <c r="H7" s="55" t="s">
        <v>165</v>
      </c>
      <c r="I7" s="55" t="s">
        <v>164</v>
      </c>
      <c r="J7" s="55" t="s">
        <v>163</v>
      </c>
      <c r="K7" s="55" t="s">
        <v>162</v>
      </c>
      <c r="L7" s="55" t="s">
        <v>161</v>
      </c>
    </row>
    <row r="8" spans="1:12" ht="16" x14ac:dyDescent="0.2">
      <c r="A8" s="39" t="s">
        <v>212</v>
      </c>
      <c r="B8" s="38" t="s">
        <v>157</v>
      </c>
      <c r="C8" s="38" t="s">
        <v>177</v>
      </c>
      <c r="D8" s="54">
        <v>71000</v>
      </c>
      <c r="E8" s="54">
        <v>71000</v>
      </c>
      <c r="F8" s="54"/>
      <c r="G8" s="54"/>
      <c r="H8" s="54"/>
      <c r="I8" s="54"/>
      <c r="J8" s="54"/>
      <c r="K8" s="54"/>
      <c r="L8" s="54">
        <f t="shared" ref="L8:L31" si="0">SUM(D8:K8)</f>
        <v>142000</v>
      </c>
    </row>
    <row r="9" spans="1:12" ht="16" x14ac:dyDescent="0.2">
      <c r="A9" s="39" t="s">
        <v>211</v>
      </c>
      <c r="B9" s="38" t="s">
        <v>209</v>
      </c>
      <c r="C9" s="38" t="s">
        <v>177</v>
      </c>
      <c r="D9" s="54">
        <v>34650</v>
      </c>
      <c r="E9" s="54">
        <v>41300</v>
      </c>
      <c r="F9" s="54"/>
      <c r="G9" s="54"/>
      <c r="H9" s="54"/>
      <c r="I9" s="54"/>
      <c r="J9" s="54"/>
      <c r="K9" s="54"/>
      <c r="L9" s="54">
        <f t="shared" si="0"/>
        <v>75950</v>
      </c>
    </row>
    <row r="10" spans="1:12" ht="16" x14ac:dyDescent="0.2">
      <c r="A10" s="39" t="s">
        <v>210</v>
      </c>
      <c r="B10" s="38" t="s">
        <v>209</v>
      </c>
      <c r="C10" s="38" t="s">
        <v>177</v>
      </c>
      <c r="D10" s="54">
        <v>45500</v>
      </c>
      <c r="E10" s="54">
        <v>49000</v>
      </c>
      <c r="F10" s="54">
        <v>62650</v>
      </c>
      <c r="G10" s="54"/>
      <c r="H10" s="54"/>
      <c r="I10" s="54"/>
      <c r="J10" s="54"/>
      <c r="K10" s="54"/>
      <c r="L10" s="54">
        <f t="shared" si="0"/>
        <v>157150</v>
      </c>
    </row>
    <row r="11" spans="1:12" ht="16" x14ac:dyDescent="0.2">
      <c r="A11" s="39" t="s">
        <v>208</v>
      </c>
      <c r="B11" s="38" t="s">
        <v>121</v>
      </c>
      <c r="C11" s="38" t="s">
        <v>177</v>
      </c>
      <c r="D11" s="54">
        <v>9660.92</v>
      </c>
      <c r="E11" s="54"/>
      <c r="F11" s="54"/>
      <c r="G11" s="54"/>
      <c r="H11" s="54"/>
      <c r="I11" s="54"/>
      <c r="J11" s="54"/>
      <c r="K11" s="54"/>
      <c r="L11" s="54">
        <f t="shared" si="0"/>
        <v>9660.92</v>
      </c>
    </row>
    <row r="12" spans="1:12" ht="16" x14ac:dyDescent="0.2">
      <c r="A12" s="39" t="s">
        <v>207</v>
      </c>
      <c r="B12" s="38" t="s">
        <v>121</v>
      </c>
      <c r="C12" s="38" t="s">
        <v>177</v>
      </c>
      <c r="D12" s="54"/>
      <c r="E12" s="54">
        <v>6399.98</v>
      </c>
      <c r="F12" s="54"/>
      <c r="G12" s="54"/>
      <c r="H12" s="54"/>
      <c r="I12" s="54"/>
      <c r="J12" s="54"/>
      <c r="K12" s="54"/>
      <c r="L12" s="54">
        <f t="shared" si="0"/>
        <v>6399.98</v>
      </c>
    </row>
    <row r="13" spans="1:12" ht="16" x14ac:dyDescent="0.2">
      <c r="A13" s="39" t="s">
        <v>206</v>
      </c>
      <c r="B13" s="38" t="s">
        <v>205</v>
      </c>
      <c r="C13" s="38" t="s">
        <v>177</v>
      </c>
      <c r="D13" s="54">
        <f>3505.75+805</f>
        <v>4310.75</v>
      </c>
      <c r="E13" s="54">
        <v>329820</v>
      </c>
      <c r="F13" s="54"/>
      <c r="G13" s="54"/>
      <c r="H13" s="54"/>
      <c r="I13" s="54"/>
      <c r="J13" s="54"/>
      <c r="K13" s="54"/>
      <c r="L13" s="54">
        <f t="shared" si="0"/>
        <v>334130.75</v>
      </c>
    </row>
    <row r="14" spans="1:12" ht="16" x14ac:dyDescent="0.2">
      <c r="A14" s="39" t="s">
        <v>204</v>
      </c>
      <c r="B14" s="38" t="s">
        <v>203</v>
      </c>
      <c r="C14" s="38" t="s">
        <v>177</v>
      </c>
      <c r="D14" s="54">
        <v>10963.47</v>
      </c>
      <c r="E14" s="54">
        <v>108000</v>
      </c>
      <c r="F14" s="54"/>
      <c r="G14" s="54"/>
      <c r="H14" s="54"/>
      <c r="I14" s="54"/>
      <c r="J14" s="54"/>
      <c r="K14" s="54"/>
      <c r="L14" s="54">
        <f t="shared" si="0"/>
        <v>118963.47</v>
      </c>
    </row>
    <row r="15" spans="1:12" ht="16" x14ac:dyDescent="0.2">
      <c r="A15" s="39" t="s">
        <v>202</v>
      </c>
      <c r="B15" s="38" t="s">
        <v>201</v>
      </c>
      <c r="C15" s="38" t="s">
        <v>177</v>
      </c>
      <c r="D15" s="54">
        <v>33120</v>
      </c>
      <c r="E15" s="54"/>
      <c r="F15" s="54"/>
      <c r="G15" s="54"/>
      <c r="H15" s="54"/>
      <c r="I15" s="54"/>
      <c r="J15" s="54"/>
      <c r="K15" s="54"/>
      <c r="L15" s="54">
        <f t="shared" si="0"/>
        <v>33120</v>
      </c>
    </row>
    <row r="16" spans="1:12" ht="16" x14ac:dyDescent="0.2">
      <c r="A16" s="39" t="s">
        <v>200</v>
      </c>
      <c r="B16" s="38" t="s">
        <v>199</v>
      </c>
      <c r="C16" s="38" t="s">
        <v>177</v>
      </c>
      <c r="D16" s="54">
        <v>31000</v>
      </c>
      <c r="E16" s="54">
        <v>31000</v>
      </c>
      <c r="F16" s="54"/>
      <c r="G16" s="54"/>
      <c r="H16" s="54"/>
      <c r="I16" s="54"/>
      <c r="J16" s="54"/>
      <c r="K16" s="54"/>
      <c r="L16" s="54">
        <f t="shared" si="0"/>
        <v>62000</v>
      </c>
    </row>
    <row r="17" spans="1:12" ht="16" x14ac:dyDescent="0.2">
      <c r="A17" s="39" t="s">
        <v>198</v>
      </c>
      <c r="B17" s="38" t="s">
        <v>197</v>
      </c>
      <c r="C17" s="38" t="s">
        <v>177</v>
      </c>
      <c r="D17" s="54">
        <v>15690</v>
      </c>
      <c r="E17" s="54"/>
      <c r="F17" s="54">
        <v>108300</v>
      </c>
      <c r="G17" s="54"/>
      <c r="H17" s="54"/>
      <c r="I17" s="54"/>
      <c r="J17" s="54"/>
      <c r="K17" s="54"/>
      <c r="L17" s="54">
        <f t="shared" si="0"/>
        <v>123990</v>
      </c>
    </row>
    <row r="18" spans="1:12" ht="16" x14ac:dyDescent="0.2">
      <c r="A18" s="39" t="s">
        <v>196</v>
      </c>
      <c r="B18" s="38" t="s">
        <v>125</v>
      </c>
      <c r="C18" s="38" t="s">
        <v>177</v>
      </c>
      <c r="D18" s="54">
        <v>30000</v>
      </c>
      <c r="E18" s="54">
        <v>30000</v>
      </c>
      <c r="F18" s="54">
        <v>30000</v>
      </c>
      <c r="G18" s="54">
        <v>30000</v>
      </c>
      <c r="H18" s="54"/>
      <c r="I18" s="54"/>
      <c r="J18" s="54"/>
      <c r="K18" s="54"/>
      <c r="L18" s="54">
        <f t="shared" si="0"/>
        <v>120000</v>
      </c>
    </row>
    <row r="19" spans="1:12" ht="16" x14ac:dyDescent="0.2">
      <c r="A19" s="39" t="s">
        <v>195</v>
      </c>
      <c r="B19" s="38" t="s">
        <v>159</v>
      </c>
      <c r="C19" s="38" t="s">
        <v>177</v>
      </c>
      <c r="D19" s="54">
        <v>201894</v>
      </c>
      <c r="E19" s="54">
        <v>197965.6</v>
      </c>
      <c r="F19" s="54">
        <f>222450.25-30000</f>
        <v>192450.25</v>
      </c>
      <c r="G19" s="54"/>
      <c r="H19" s="54"/>
      <c r="I19" s="54"/>
      <c r="J19" s="54"/>
      <c r="K19" s="54"/>
      <c r="L19" s="54">
        <f t="shared" si="0"/>
        <v>592309.85</v>
      </c>
    </row>
    <row r="20" spans="1:12" ht="16" x14ac:dyDescent="0.2">
      <c r="A20" s="39" t="s">
        <v>194</v>
      </c>
      <c r="B20" s="38" t="s">
        <v>121</v>
      </c>
      <c r="C20" s="38" t="s">
        <v>177</v>
      </c>
      <c r="D20" s="54"/>
      <c r="E20" s="54">
        <v>10228.06</v>
      </c>
      <c r="F20" s="54"/>
      <c r="G20" s="54"/>
      <c r="H20" s="54"/>
      <c r="I20" s="54"/>
      <c r="J20" s="54"/>
      <c r="K20" s="54"/>
      <c r="L20" s="54">
        <f t="shared" si="0"/>
        <v>10228.06</v>
      </c>
    </row>
    <row r="21" spans="1:12" ht="16" x14ac:dyDescent="0.2">
      <c r="A21" s="39" t="s">
        <v>193</v>
      </c>
      <c r="B21" s="38" t="s">
        <v>192</v>
      </c>
      <c r="C21" s="38" t="s">
        <v>177</v>
      </c>
      <c r="D21" s="54">
        <v>740</v>
      </c>
      <c r="E21" s="54"/>
      <c r="F21" s="54"/>
      <c r="G21" s="54"/>
      <c r="H21" s="54"/>
      <c r="I21" s="54"/>
      <c r="J21" s="54"/>
      <c r="K21" s="54"/>
      <c r="L21" s="54">
        <f t="shared" si="0"/>
        <v>740</v>
      </c>
    </row>
    <row r="22" spans="1:12" ht="16" x14ac:dyDescent="0.2">
      <c r="A22" s="39" t="s">
        <v>191</v>
      </c>
      <c r="B22" s="38" t="s">
        <v>190</v>
      </c>
      <c r="C22" s="38" t="s">
        <v>177</v>
      </c>
      <c r="D22" s="54">
        <v>769</v>
      </c>
      <c r="E22" s="54"/>
      <c r="F22" s="54"/>
      <c r="G22" s="54"/>
      <c r="H22" s="54"/>
      <c r="I22" s="54"/>
      <c r="J22" s="54"/>
      <c r="K22" s="54"/>
      <c r="L22" s="54">
        <f t="shared" si="0"/>
        <v>769</v>
      </c>
    </row>
    <row r="23" spans="1:12" ht="16" x14ac:dyDescent="0.2">
      <c r="A23" s="39" t="s">
        <v>189</v>
      </c>
      <c r="B23" s="38" t="s">
        <v>188</v>
      </c>
      <c r="C23" s="38" t="s">
        <v>177</v>
      </c>
      <c r="D23" s="54">
        <v>62860</v>
      </c>
      <c r="E23" s="54">
        <v>25000</v>
      </c>
      <c r="F23" s="54"/>
      <c r="G23" s="54"/>
      <c r="H23" s="54"/>
      <c r="I23" s="54"/>
      <c r="J23" s="54"/>
      <c r="K23" s="54"/>
      <c r="L23" s="54">
        <f t="shared" si="0"/>
        <v>87860</v>
      </c>
    </row>
    <row r="24" spans="1:12" ht="16" x14ac:dyDescent="0.2">
      <c r="A24" s="39" t="s">
        <v>186</v>
      </c>
      <c r="B24" s="38" t="s">
        <v>187</v>
      </c>
      <c r="C24" s="38" t="s">
        <v>177</v>
      </c>
      <c r="D24" s="54">
        <v>104207.62530000003</v>
      </c>
      <c r="E24" s="54"/>
      <c r="F24" s="54"/>
      <c r="G24" s="54"/>
      <c r="H24" s="54"/>
      <c r="I24" s="54"/>
      <c r="J24" s="54"/>
      <c r="K24" s="54"/>
      <c r="L24" s="54">
        <f t="shared" si="0"/>
        <v>104207.62530000003</v>
      </c>
    </row>
    <row r="25" spans="1:12" ht="16" x14ac:dyDescent="0.2">
      <c r="A25" s="39" t="s">
        <v>186</v>
      </c>
      <c r="B25" s="38" t="s">
        <v>185</v>
      </c>
      <c r="C25" s="38" t="s">
        <v>177</v>
      </c>
      <c r="D25" s="54">
        <v>228653.6367</v>
      </c>
      <c r="E25" s="54"/>
      <c r="F25" s="54"/>
      <c r="G25" s="54"/>
      <c r="H25" s="54"/>
      <c r="I25" s="54"/>
      <c r="J25" s="54"/>
      <c r="K25" s="54"/>
      <c r="L25" s="54">
        <f t="shared" si="0"/>
        <v>228653.6367</v>
      </c>
    </row>
    <row r="26" spans="1:12" ht="16" x14ac:dyDescent="0.2">
      <c r="A26" s="39" t="s">
        <v>184</v>
      </c>
      <c r="B26" s="38" t="s">
        <v>183</v>
      </c>
      <c r="C26" s="38" t="s">
        <v>177</v>
      </c>
      <c r="D26" s="54">
        <v>25200</v>
      </c>
      <c r="E26" s="54">
        <v>25200</v>
      </c>
      <c r="F26" s="54"/>
      <c r="G26" s="54"/>
      <c r="H26" s="54"/>
      <c r="I26" s="54"/>
      <c r="J26" s="54"/>
      <c r="K26" s="54"/>
      <c r="L26" s="54">
        <f t="shared" si="0"/>
        <v>50400</v>
      </c>
    </row>
    <row r="27" spans="1:12" ht="16" x14ac:dyDescent="0.2">
      <c r="A27" s="39" t="s">
        <v>182</v>
      </c>
      <c r="B27" s="38" t="s">
        <v>181</v>
      </c>
      <c r="C27" s="38" t="s">
        <v>177</v>
      </c>
      <c r="D27" s="54">
        <v>172444.09</v>
      </c>
      <c r="E27" s="54">
        <v>57097.5</v>
      </c>
      <c r="F27" s="54">
        <v>238006.11</v>
      </c>
      <c r="G27" s="54"/>
      <c r="H27" s="54"/>
      <c r="I27" s="54"/>
      <c r="J27" s="54"/>
      <c r="K27" s="54"/>
      <c r="L27" s="54">
        <f t="shared" si="0"/>
        <v>467547.69999999995</v>
      </c>
    </row>
    <row r="28" spans="1:12" ht="16" x14ac:dyDescent="0.2">
      <c r="A28" s="39" t="s">
        <v>180</v>
      </c>
      <c r="B28" s="38" t="s">
        <v>121</v>
      </c>
      <c r="C28" s="38" t="s">
        <v>177</v>
      </c>
      <c r="D28" s="54">
        <v>773662.5</v>
      </c>
      <c r="E28" s="54"/>
      <c r="F28" s="54"/>
      <c r="G28" s="54"/>
      <c r="H28" s="54"/>
      <c r="I28" s="54"/>
      <c r="J28" s="54"/>
      <c r="K28" s="54"/>
      <c r="L28" s="54">
        <f t="shared" si="0"/>
        <v>773662.5</v>
      </c>
    </row>
    <row r="29" spans="1:12" ht="16" x14ac:dyDescent="0.2">
      <c r="A29" s="39" t="s">
        <v>179</v>
      </c>
      <c r="B29" s="38" t="s">
        <v>121</v>
      </c>
      <c r="C29" s="38" t="s">
        <v>177</v>
      </c>
      <c r="D29" s="54">
        <v>920083.89</v>
      </c>
      <c r="E29" s="54"/>
      <c r="F29" s="54"/>
      <c r="G29" s="54"/>
      <c r="H29" s="54"/>
      <c r="I29" s="54"/>
      <c r="J29" s="54"/>
      <c r="K29" s="54"/>
      <c r="L29" s="54">
        <f t="shared" si="0"/>
        <v>920083.89</v>
      </c>
    </row>
    <row r="30" spans="1:12" ht="16" x14ac:dyDescent="0.2">
      <c r="A30" s="39" t="s">
        <v>178</v>
      </c>
      <c r="B30" s="38"/>
      <c r="C30" s="38" t="s">
        <v>177</v>
      </c>
      <c r="D30" s="54">
        <v>150000</v>
      </c>
      <c r="E30" s="54"/>
      <c r="F30" s="54"/>
      <c r="G30" s="54"/>
      <c r="H30" s="54"/>
      <c r="I30" s="54"/>
      <c r="J30" s="54"/>
      <c r="K30" s="54"/>
      <c r="L30" s="54">
        <f t="shared" si="0"/>
        <v>150000</v>
      </c>
    </row>
    <row r="31" spans="1:12" ht="16" x14ac:dyDescent="0.2">
      <c r="A31" s="39"/>
      <c r="B31" s="38"/>
      <c r="C31" s="38"/>
      <c r="D31" s="54"/>
      <c r="E31" s="54"/>
      <c r="F31" s="54"/>
      <c r="G31" s="54"/>
      <c r="H31" s="54"/>
      <c r="I31" s="54"/>
      <c r="J31" s="54"/>
      <c r="K31" s="54"/>
      <c r="L31" s="54">
        <f t="shared" si="0"/>
        <v>0</v>
      </c>
    </row>
    <row r="33" spans="1:12" ht="16" thickBot="1" x14ac:dyDescent="0.25">
      <c r="A33" s="48" t="s">
        <v>120</v>
      </c>
      <c r="D33" s="47">
        <f t="shared" ref="D33:L33" si="1">SUM(D8:D31)</f>
        <v>2926409.8820000002</v>
      </c>
      <c r="E33" s="47">
        <f t="shared" si="1"/>
        <v>982011.14</v>
      </c>
      <c r="F33" s="47">
        <f t="shared" si="1"/>
        <v>631406.36</v>
      </c>
      <c r="G33" s="47">
        <f t="shared" si="1"/>
        <v>30000</v>
      </c>
      <c r="H33" s="47">
        <f t="shared" si="1"/>
        <v>0</v>
      </c>
      <c r="I33" s="47">
        <f t="shared" si="1"/>
        <v>0</v>
      </c>
      <c r="J33" s="47">
        <f t="shared" si="1"/>
        <v>0</v>
      </c>
      <c r="K33" s="47">
        <f t="shared" si="1"/>
        <v>0</v>
      </c>
      <c r="L33" s="47">
        <f t="shared" si="1"/>
        <v>4569827.3819999993</v>
      </c>
    </row>
    <row r="34" spans="1:12" ht="16" thickTop="1" x14ac:dyDescent="0.2"/>
    <row r="37" spans="1:12" x14ac:dyDescent="0.2">
      <c r="G37" s="43"/>
    </row>
  </sheetData>
  <mergeCells count="1">
    <mergeCell ref="F3:H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ECAE-ED17-E349-A506-682C284D4C31}">
  <sheetPr>
    <pageSetUpPr fitToPage="1"/>
  </sheetPr>
  <dimension ref="A3:M555"/>
  <sheetViews>
    <sheetView topLeftCell="A526" zoomScaleNormal="100" workbookViewId="0">
      <selection activeCell="E540" sqref="E540"/>
    </sheetView>
  </sheetViews>
  <sheetFormatPr baseColWidth="10" defaultColWidth="9.1640625" defaultRowHeight="15" x14ac:dyDescent="0.2"/>
  <cols>
    <col min="1" max="1" width="13.6640625" style="64" customWidth="1"/>
    <col min="2" max="2" width="14.33203125" style="64" bestFit="1" customWidth="1"/>
    <col min="3" max="3" width="12.6640625" style="64" customWidth="1"/>
    <col min="4" max="4" width="37.6640625" style="64" bestFit="1" customWidth="1"/>
    <col min="5" max="5" width="56.33203125" style="64" bestFit="1" customWidth="1"/>
    <col min="6" max="6" width="16.6640625" style="66" customWidth="1"/>
    <col min="7" max="7" width="12.1640625" style="66" bestFit="1" customWidth="1"/>
    <col min="8" max="8" width="13.6640625" style="66" bestFit="1" customWidth="1"/>
    <col min="9" max="9" width="14.33203125" style="64" bestFit="1" customWidth="1"/>
    <col min="10" max="10" width="12.6640625" style="64" customWidth="1"/>
    <col min="11" max="11" width="13.6640625" style="67" bestFit="1" customWidth="1"/>
    <col min="12" max="12" width="12.83203125" style="66" bestFit="1" customWidth="1"/>
    <col min="13" max="13" width="65.33203125" style="64" customWidth="1"/>
    <col min="14" max="16384" width="9.1640625" style="64"/>
  </cols>
  <sheetData>
    <row r="3" spans="1:13" x14ac:dyDescent="0.2">
      <c r="E3" s="65" t="s">
        <v>214</v>
      </c>
    </row>
    <row r="6" spans="1:13" ht="32" x14ac:dyDescent="0.2">
      <c r="A6" s="68" t="s">
        <v>215</v>
      </c>
      <c r="B6" s="68" t="s">
        <v>216</v>
      </c>
      <c r="C6" s="68" t="s">
        <v>217</v>
      </c>
      <c r="D6" s="68" t="s">
        <v>218</v>
      </c>
      <c r="E6" s="68" t="s">
        <v>14</v>
      </c>
      <c r="F6" s="69" t="s">
        <v>219</v>
      </c>
      <c r="G6" s="69" t="s">
        <v>220</v>
      </c>
      <c r="H6" s="69" t="s">
        <v>221</v>
      </c>
      <c r="I6" s="68" t="s">
        <v>222</v>
      </c>
      <c r="J6" s="68" t="s">
        <v>223</v>
      </c>
      <c r="K6" s="70" t="s">
        <v>224</v>
      </c>
      <c r="L6" s="69" t="s">
        <v>225</v>
      </c>
      <c r="M6" s="68" t="s">
        <v>226</v>
      </c>
    </row>
    <row r="7" spans="1:13" x14ac:dyDescent="0.2">
      <c r="A7" s="71"/>
      <c r="C7" s="72"/>
      <c r="D7" s="73"/>
      <c r="E7" s="73"/>
      <c r="L7" s="74"/>
    </row>
    <row r="8" spans="1:13" x14ac:dyDescent="0.2">
      <c r="A8" s="71"/>
      <c r="C8" s="72"/>
      <c r="D8" s="73"/>
      <c r="E8" s="73"/>
      <c r="F8" s="75">
        <f>SUM(F7:F7)</f>
        <v>0</v>
      </c>
      <c r="G8" s="75">
        <f>SUM(G7:G7)</f>
        <v>0</v>
      </c>
      <c r="H8" s="75">
        <f>SUM(H7:H7)</f>
        <v>0</v>
      </c>
      <c r="I8" s="75"/>
      <c r="J8" s="75">
        <f>SUM(J7:J7)</f>
        <v>0</v>
      </c>
      <c r="K8" s="76">
        <f>SUM(K7:K7)</f>
        <v>0</v>
      </c>
      <c r="L8" s="75">
        <f>SUM(L7:L7)</f>
        <v>0</v>
      </c>
    </row>
    <row r="9" spans="1:13" x14ac:dyDescent="0.2">
      <c r="A9" s="71"/>
      <c r="C9" s="72"/>
      <c r="D9" s="73"/>
      <c r="E9" s="73"/>
      <c r="L9" s="74"/>
      <c r="M9" s="64" t="s">
        <v>227</v>
      </c>
    </row>
    <row r="10" spans="1:13" x14ac:dyDescent="0.2">
      <c r="A10" s="65"/>
      <c r="B10" s="77"/>
      <c r="C10" s="77"/>
      <c r="D10" s="77"/>
      <c r="E10" s="77"/>
      <c r="F10" s="78"/>
      <c r="G10" s="78"/>
      <c r="H10" s="78"/>
      <c r="I10" s="77"/>
      <c r="J10" s="77"/>
      <c r="K10" s="79"/>
      <c r="L10" s="78"/>
    </row>
    <row r="11" spans="1:13" x14ac:dyDescent="0.2">
      <c r="A11" s="71"/>
      <c r="C11" s="72"/>
      <c r="D11" s="73"/>
      <c r="E11" s="73"/>
      <c r="H11" s="80"/>
      <c r="L11" s="74"/>
    </row>
    <row r="12" spans="1:13" x14ac:dyDescent="0.2">
      <c r="A12" s="71"/>
      <c r="C12" s="72"/>
      <c r="D12" s="73"/>
      <c r="E12" s="73"/>
      <c r="H12" s="80"/>
      <c r="L12" s="74"/>
    </row>
    <row r="13" spans="1:13" x14ac:dyDescent="0.2">
      <c r="A13" s="81"/>
      <c r="F13" s="82"/>
      <c r="G13" s="82"/>
      <c r="H13" s="82"/>
      <c r="I13" s="82"/>
      <c r="J13" s="82"/>
      <c r="K13" s="83"/>
      <c r="L13" s="82"/>
    </row>
    <row r="14" spans="1:13" x14ac:dyDescent="0.2">
      <c r="A14" s="71">
        <v>45413</v>
      </c>
      <c r="B14" s="64" t="s">
        <v>228</v>
      </c>
      <c r="C14" s="64" t="s">
        <v>229</v>
      </c>
      <c r="E14" s="64" t="s">
        <v>230</v>
      </c>
      <c r="F14" s="80"/>
      <c r="G14" s="82"/>
      <c r="H14" s="66">
        <f t="shared" ref="H14:H19" si="0">SUM(F14:G14)</f>
        <v>0</v>
      </c>
      <c r="I14" s="82"/>
      <c r="J14" s="82"/>
      <c r="K14" s="83"/>
      <c r="L14" s="66">
        <f t="shared" ref="L14:L19" si="1">+K14-H14</f>
        <v>0</v>
      </c>
    </row>
    <row r="15" spans="1:13" x14ac:dyDescent="0.2">
      <c r="A15" s="71">
        <v>45413</v>
      </c>
      <c r="B15" s="64" t="s">
        <v>231</v>
      </c>
      <c r="C15" s="64" t="s">
        <v>229</v>
      </c>
      <c r="E15" s="64" t="s">
        <v>230</v>
      </c>
      <c r="F15" s="80"/>
      <c r="G15" s="82"/>
      <c r="H15" s="66">
        <f t="shared" si="0"/>
        <v>0</v>
      </c>
      <c r="I15" s="82"/>
      <c r="J15" s="82"/>
      <c r="K15" s="83"/>
      <c r="L15" s="66">
        <f t="shared" si="1"/>
        <v>0</v>
      </c>
    </row>
    <row r="16" spans="1:13" x14ac:dyDescent="0.2">
      <c r="A16" s="71">
        <v>45413</v>
      </c>
      <c r="B16" s="64" t="s">
        <v>232</v>
      </c>
      <c r="C16" s="64" t="s">
        <v>233</v>
      </c>
      <c r="D16" s="64" t="s">
        <v>234</v>
      </c>
      <c r="E16" s="64" t="s">
        <v>235</v>
      </c>
      <c r="F16" s="80">
        <v>25200</v>
      </c>
      <c r="G16" s="80"/>
      <c r="H16" s="66">
        <f t="shared" si="0"/>
        <v>25200</v>
      </c>
      <c r="I16" s="80"/>
      <c r="J16" s="80"/>
      <c r="K16" s="84">
        <v>25200</v>
      </c>
      <c r="L16" s="66">
        <f t="shared" si="1"/>
        <v>0</v>
      </c>
      <c r="M16" s="64" t="s">
        <v>236</v>
      </c>
    </row>
    <row r="17" spans="1:13" x14ac:dyDescent="0.2">
      <c r="A17" s="71">
        <v>45413</v>
      </c>
      <c r="B17" s="64" t="s">
        <v>237</v>
      </c>
      <c r="C17" s="64" t="s">
        <v>238</v>
      </c>
      <c r="D17" s="64" t="s">
        <v>239</v>
      </c>
      <c r="E17" s="64" t="s">
        <v>240</v>
      </c>
      <c r="F17" s="80">
        <v>10000</v>
      </c>
      <c r="G17" s="82"/>
      <c r="H17" s="66">
        <f t="shared" si="0"/>
        <v>10000</v>
      </c>
      <c r="I17" s="82"/>
      <c r="J17" s="80" t="s">
        <v>238</v>
      </c>
      <c r="K17" s="84">
        <v>10000</v>
      </c>
      <c r="L17" s="66">
        <f t="shared" si="1"/>
        <v>0</v>
      </c>
    </row>
    <row r="18" spans="1:13" x14ac:dyDescent="0.2">
      <c r="A18" s="71"/>
      <c r="B18" s="64" t="s">
        <v>241</v>
      </c>
      <c r="C18" s="64" t="s">
        <v>242</v>
      </c>
      <c r="D18" s="64" t="s">
        <v>243</v>
      </c>
      <c r="E18" s="64" t="s">
        <v>244</v>
      </c>
      <c r="F18" s="80">
        <v>17350</v>
      </c>
      <c r="G18" s="82"/>
      <c r="H18" s="66">
        <v>17350</v>
      </c>
      <c r="I18" s="82"/>
      <c r="J18" s="80" t="s">
        <v>242</v>
      </c>
      <c r="K18" s="84">
        <v>17350</v>
      </c>
      <c r="M18" s="64" t="s">
        <v>245</v>
      </c>
    </row>
    <row r="19" spans="1:13" x14ac:dyDescent="0.2">
      <c r="A19" s="71">
        <v>45413</v>
      </c>
      <c r="B19" s="64" t="s">
        <v>246</v>
      </c>
      <c r="C19" s="64" t="s">
        <v>247</v>
      </c>
      <c r="D19" s="64" t="s">
        <v>243</v>
      </c>
      <c r="E19" s="64" t="s">
        <v>248</v>
      </c>
      <c r="F19" s="80">
        <v>15086.96</v>
      </c>
      <c r="G19" s="80">
        <v>2263.04</v>
      </c>
      <c r="H19" s="66">
        <f t="shared" si="0"/>
        <v>17350</v>
      </c>
      <c r="I19" s="82"/>
      <c r="J19" s="80" t="s">
        <v>247</v>
      </c>
      <c r="K19" s="84">
        <v>17350</v>
      </c>
      <c r="L19" s="66">
        <f t="shared" si="1"/>
        <v>0</v>
      </c>
      <c r="M19" s="64" t="s">
        <v>249</v>
      </c>
    </row>
    <row r="20" spans="1:13" x14ac:dyDescent="0.2">
      <c r="A20" s="71"/>
      <c r="C20" s="64" t="s">
        <v>247</v>
      </c>
      <c r="D20" s="64" t="s">
        <v>250</v>
      </c>
      <c r="E20" s="64" t="s">
        <v>203</v>
      </c>
      <c r="F20" s="80">
        <v>1165.5</v>
      </c>
      <c r="G20" s="80"/>
      <c r="H20" s="66">
        <v>1165.5</v>
      </c>
      <c r="I20" s="82"/>
      <c r="J20" s="80" t="s">
        <v>247</v>
      </c>
      <c r="K20" s="84">
        <v>1165.5</v>
      </c>
    </row>
    <row r="21" spans="1:13" x14ac:dyDescent="0.2">
      <c r="A21" s="71">
        <v>45413</v>
      </c>
      <c r="C21" s="72" t="s">
        <v>251</v>
      </c>
      <c r="D21" s="73" t="s">
        <v>252</v>
      </c>
      <c r="E21" s="73" t="s">
        <v>150</v>
      </c>
      <c r="F21" s="80">
        <v>1400</v>
      </c>
      <c r="G21" s="80"/>
      <c r="H21" s="80">
        <f t="shared" ref="H21" si="2">SUM(F21:G21)</f>
        <v>1400</v>
      </c>
      <c r="I21" s="80"/>
      <c r="J21" s="80" t="s">
        <v>251</v>
      </c>
      <c r="K21" s="84">
        <v>1400</v>
      </c>
      <c r="L21" s="80">
        <f t="shared" ref="L21" si="3">+K21-H21</f>
        <v>0</v>
      </c>
    </row>
    <row r="22" spans="1:13" x14ac:dyDescent="0.2">
      <c r="A22" s="71"/>
      <c r="C22" s="64" t="s">
        <v>253</v>
      </c>
      <c r="D22" s="64" t="s">
        <v>254</v>
      </c>
      <c r="E22" s="64" t="s">
        <v>255</v>
      </c>
      <c r="F22" s="80">
        <v>10</v>
      </c>
      <c r="G22" s="80"/>
      <c r="H22" s="66">
        <v>10</v>
      </c>
      <c r="I22" s="82"/>
      <c r="J22" s="80" t="s">
        <v>253</v>
      </c>
      <c r="K22" s="84">
        <v>10</v>
      </c>
    </row>
    <row r="23" spans="1:13" x14ac:dyDescent="0.2">
      <c r="A23" s="71"/>
      <c r="C23" s="64" t="s">
        <v>253</v>
      </c>
      <c r="F23" s="80"/>
      <c r="G23" s="80"/>
      <c r="I23" s="82"/>
      <c r="J23" s="80"/>
      <c r="K23" s="84"/>
    </row>
    <row r="24" spans="1:13" x14ac:dyDescent="0.2">
      <c r="A24" s="71"/>
      <c r="F24" s="80"/>
      <c r="G24" s="80"/>
      <c r="I24" s="82"/>
      <c r="J24" s="80"/>
      <c r="K24" s="84"/>
    </row>
    <row r="25" spans="1:13" x14ac:dyDescent="0.2">
      <c r="A25" s="71"/>
      <c r="B25" s="64" t="s">
        <v>256</v>
      </c>
      <c r="C25" s="64" t="s">
        <v>257</v>
      </c>
      <c r="D25" s="64" t="s">
        <v>258</v>
      </c>
      <c r="E25" s="64" t="s">
        <v>203</v>
      </c>
      <c r="F25" s="80">
        <v>2000</v>
      </c>
      <c r="G25" s="80"/>
      <c r="H25" s="66">
        <v>2000</v>
      </c>
      <c r="I25" s="82"/>
      <c r="J25" s="80" t="s">
        <v>257</v>
      </c>
      <c r="K25" s="84">
        <v>2000</v>
      </c>
      <c r="M25" s="64" t="s">
        <v>259</v>
      </c>
    </row>
    <row r="26" spans="1:13" x14ac:dyDescent="0.2">
      <c r="A26" s="71"/>
      <c r="B26" s="64" t="s">
        <v>260</v>
      </c>
      <c r="C26" s="64" t="s">
        <v>257</v>
      </c>
      <c r="D26" s="64" t="s">
        <v>261</v>
      </c>
      <c r="E26" s="64" t="s">
        <v>235</v>
      </c>
      <c r="F26" s="80">
        <v>18000</v>
      </c>
      <c r="G26" s="80"/>
      <c r="H26" s="66">
        <v>18000</v>
      </c>
      <c r="I26" s="82"/>
      <c r="J26" s="80" t="s">
        <v>257</v>
      </c>
      <c r="K26" s="84">
        <v>18000</v>
      </c>
      <c r="M26" s="64" t="s">
        <v>245</v>
      </c>
    </row>
    <row r="28" spans="1:13" x14ac:dyDescent="0.2">
      <c r="A28" s="71"/>
      <c r="C28" s="64" t="s">
        <v>119</v>
      </c>
      <c r="F28" s="80"/>
      <c r="G28" s="80"/>
      <c r="I28" s="82"/>
      <c r="J28" s="80"/>
      <c r="K28" s="84"/>
    </row>
    <row r="29" spans="1:13" ht="16" thickBot="1" x14ac:dyDescent="0.25">
      <c r="A29" s="81">
        <v>45413</v>
      </c>
      <c r="E29" s="65" t="s">
        <v>262</v>
      </c>
      <c r="F29" s="85">
        <f t="shared" ref="F29:L29" si="4">SUM(F14:F28)</f>
        <v>90212.459999999992</v>
      </c>
      <c r="G29" s="85">
        <f t="shared" si="4"/>
        <v>2263.04</v>
      </c>
      <c r="H29" s="85">
        <f t="shared" si="4"/>
        <v>92475.5</v>
      </c>
      <c r="I29" s="85">
        <f t="shared" si="4"/>
        <v>0</v>
      </c>
      <c r="J29" s="85">
        <f t="shared" si="4"/>
        <v>0</v>
      </c>
      <c r="K29" s="86">
        <f t="shared" si="4"/>
        <v>92475.5</v>
      </c>
      <c r="L29" s="85">
        <f t="shared" si="4"/>
        <v>0</v>
      </c>
    </row>
    <row r="30" spans="1:13" x14ac:dyDescent="0.2">
      <c r="A30" s="81"/>
      <c r="F30" s="82"/>
      <c r="G30" s="82"/>
      <c r="H30" s="82"/>
      <c r="I30" s="82"/>
      <c r="J30" s="82"/>
      <c r="K30" s="83"/>
      <c r="L30" s="82"/>
    </row>
    <row r="31" spans="1:13" x14ac:dyDescent="0.2">
      <c r="A31" s="81"/>
      <c r="F31" s="82"/>
      <c r="G31" s="82"/>
      <c r="H31" s="82"/>
      <c r="I31" s="82"/>
      <c r="J31" s="82"/>
      <c r="K31" s="83"/>
      <c r="L31" s="82"/>
    </row>
    <row r="32" spans="1:13" x14ac:dyDescent="0.2">
      <c r="A32" s="81"/>
      <c r="B32" s="64" t="s">
        <v>263</v>
      </c>
      <c r="C32" s="64" t="s">
        <v>264</v>
      </c>
      <c r="D32" s="64" t="s">
        <v>265</v>
      </c>
      <c r="E32" s="64" t="s">
        <v>266</v>
      </c>
      <c r="F32" s="80">
        <v>19950</v>
      </c>
      <c r="G32" s="80"/>
      <c r="H32" s="80">
        <v>19950</v>
      </c>
      <c r="I32" s="80"/>
      <c r="J32" s="80" t="s">
        <v>264</v>
      </c>
      <c r="K32" s="84">
        <v>19950</v>
      </c>
      <c r="L32" s="82"/>
      <c r="M32" s="64" t="s">
        <v>245</v>
      </c>
    </row>
    <row r="33" spans="1:13" x14ac:dyDescent="0.2">
      <c r="A33" s="81"/>
      <c r="C33" s="64" t="s">
        <v>267</v>
      </c>
      <c r="D33" s="64" t="s">
        <v>268</v>
      </c>
      <c r="E33" s="64" t="s">
        <v>269</v>
      </c>
      <c r="F33" s="80">
        <v>138.15</v>
      </c>
      <c r="G33" s="80">
        <v>20.72</v>
      </c>
      <c r="H33" s="80">
        <v>158.87</v>
      </c>
      <c r="I33" s="80"/>
      <c r="J33" s="80" t="s">
        <v>267</v>
      </c>
      <c r="K33" s="84">
        <v>173.8</v>
      </c>
      <c r="L33" s="82">
        <f>K33-H33</f>
        <v>14.930000000000007</v>
      </c>
    </row>
    <row r="34" spans="1:13" x14ac:dyDescent="0.2">
      <c r="A34" s="81"/>
      <c r="B34" s="64" t="s">
        <v>270</v>
      </c>
      <c r="C34" s="64" t="s">
        <v>271</v>
      </c>
      <c r="D34" s="64" t="s">
        <v>272</v>
      </c>
      <c r="E34" s="64" t="s">
        <v>203</v>
      </c>
      <c r="F34" s="80">
        <v>2500</v>
      </c>
      <c r="G34" s="80"/>
      <c r="H34" s="80">
        <v>2500</v>
      </c>
      <c r="I34" s="80"/>
      <c r="J34" s="80" t="s">
        <v>271</v>
      </c>
      <c r="K34" s="84">
        <v>2500</v>
      </c>
      <c r="L34" s="82"/>
      <c r="M34" s="64" t="s">
        <v>259</v>
      </c>
    </row>
    <row r="35" spans="1:13" x14ac:dyDescent="0.2">
      <c r="A35" s="81"/>
      <c r="B35" s="64" t="s">
        <v>273</v>
      </c>
      <c r="C35" s="64" t="s">
        <v>274</v>
      </c>
      <c r="D35" s="64" t="s">
        <v>272</v>
      </c>
      <c r="E35" s="64" t="s">
        <v>203</v>
      </c>
      <c r="F35" s="80">
        <v>1500</v>
      </c>
      <c r="G35" s="80"/>
      <c r="H35" s="80">
        <v>1500</v>
      </c>
      <c r="I35" s="80"/>
      <c r="J35" s="80" t="s">
        <v>274</v>
      </c>
      <c r="K35" s="84">
        <v>1500</v>
      </c>
      <c r="L35" s="82"/>
    </row>
    <row r="36" spans="1:13" x14ac:dyDescent="0.2">
      <c r="A36" s="81"/>
      <c r="C36" s="87" t="s">
        <v>275</v>
      </c>
      <c r="D36" s="87" t="s">
        <v>276</v>
      </c>
      <c r="E36" s="87" t="s">
        <v>277</v>
      </c>
      <c r="F36" s="88">
        <v>100</v>
      </c>
      <c r="G36" s="88"/>
      <c r="H36" s="88">
        <v>100</v>
      </c>
      <c r="I36" s="88"/>
      <c r="J36" s="88" t="s">
        <v>275</v>
      </c>
      <c r="K36" s="84">
        <v>100</v>
      </c>
      <c r="L36" s="89"/>
      <c r="M36" s="87" t="s">
        <v>278</v>
      </c>
    </row>
    <row r="37" spans="1:13" x14ac:dyDescent="0.2">
      <c r="A37" s="81"/>
      <c r="B37" s="64" t="s">
        <v>279</v>
      </c>
      <c r="C37" s="64" t="s">
        <v>275</v>
      </c>
      <c r="D37" s="64" t="s">
        <v>265</v>
      </c>
      <c r="E37" s="64" t="s">
        <v>280</v>
      </c>
      <c r="F37" s="80">
        <v>19950</v>
      </c>
      <c r="G37" s="80"/>
      <c r="H37" s="80">
        <v>19950</v>
      </c>
      <c r="I37" s="80"/>
      <c r="J37" s="80" t="s">
        <v>275</v>
      </c>
      <c r="K37" s="84">
        <v>19950</v>
      </c>
      <c r="L37" s="80"/>
      <c r="M37" s="64" t="s">
        <v>245</v>
      </c>
    </row>
    <row r="38" spans="1:13" x14ac:dyDescent="0.2">
      <c r="A38" s="81"/>
      <c r="B38" s="64" t="s">
        <v>281</v>
      </c>
      <c r="C38" s="64" t="s">
        <v>275</v>
      </c>
      <c r="D38" s="64" t="s">
        <v>282</v>
      </c>
      <c r="E38" s="64" t="s">
        <v>280</v>
      </c>
      <c r="F38" s="80">
        <v>16500</v>
      </c>
      <c r="G38" s="80"/>
      <c r="H38" s="80">
        <v>16500</v>
      </c>
      <c r="I38" s="80"/>
      <c r="J38" s="80" t="s">
        <v>275</v>
      </c>
      <c r="K38" s="84">
        <v>16500</v>
      </c>
      <c r="L38" s="82"/>
      <c r="M38" s="64" t="s">
        <v>245</v>
      </c>
    </row>
    <row r="39" spans="1:13" x14ac:dyDescent="0.2">
      <c r="A39" s="81"/>
      <c r="F39" s="80"/>
      <c r="G39" s="80"/>
      <c r="H39" s="80"/>
      <c r="I39" s="80"/>
      <c r="J39" s="80"/>
      <c r="K39" s="84"/>
      <c r="L39" s="82"/>
    </row>
    <row r="40" spans="1:13" x14ac:dyDescent="0.2">
      <c r="A40" s="81"/>
      <c r="F40" s="80"/>
      <c r="G40" s="80"/>
      <c r="H40" s="80"/>
      <c r="I40" s="80"/>
      <c r="J40" s="80"/>
      <c r="K40" s="84"/>
      <c r="L40" s="82"/>
    </row>
    <row r="41" spans="1:13" x14ac:dyDescent="0.2">
      <c r="A41" s="81"/>
      <c r="F41" s="75">
        <f t="shared" ref="F41:L41" si="5">SUM(F32:F40)</f>
        <v>60638.15</v>
      </c>
      <c r="G41" s="75">
        <f t="shared" si="5"/>
        <v>20.72</v>
      </c>
      <c r="H41" s="75">
        <f t="shared" si="5"/>
        <v>60658.869999999995</v>
      </c>
      <c r="I41" s="75">
        <f t="shared" si="5"/>
        <v>0</v>
      </c>
      <c r="J41" s="75">
        <f t="shared" si="5"/>
        <v>0</v>
      </c>
      <c r="K41" s="76">
        <f t="shared" si="5"/>
        <v>60673.8</v>
      </c>
      <c r="L41" s="75">
        <f t="shared" si="5"/>
        <v>14.930000000000007</v>
      </c>
    </row>
    <row r="42" spans="1:13" x14ac:dyDescent="0.2">
      <c r="A42" s="81"/>
      <c r="F42" s="82"/>
      <c r="G42" s="82"/>
      <c r="H42" s="82"/>
      <c r="I42" s="82"/>
      <c r="J42" s="82"/>
      <c r="K42" s="83"/>
      <c r="L42" s="82"/>
    </row>
    <row r="43" spans="1:13" x14ac:dyDescent="0.2">
      <c r="A43" s="81"/>
      <c r="E43" s="65" t="s">
        <v>262</v>
      </c>
      <c r="F43" s="82">
        <f>F41+F29</f>
        <v>150850.60999999999</v>
      </c>
      <c r="G43" s="82">
        <f t="shared" ref="G43:L43" si="6">G41+G29</f>
        <v>2283.7599999999998</v>
      </c>
      <c r="H43" s="82">
        <f t="shared" si="6"/>
        <v>153134.37</v>
      </c>
      <c r="I43" s="82">
        <f t="shared" si="6"/>
        <v>0</v>
      </c>
      <c r="J43" s="82">
        <f t="shared" si="6"/>
        <v>0</v>
      </c>
      <c r="K43" s="82">
        <f t="shared" si="6"/>
        <v>153149.29999999999</v>
      </c>
      <c r="L43" s="82">
        <f t="shared" si="6"/>
        <v>14.930000000000007</v>
      </c>
    </row>
    <row r="44" spans="1:13" x14ac:dyDescent="0.2">
      <c r="A44" s="71"/>
      <c r="F44" s="82"/>
      <c r="G44" s="82"/>
      <c r="H44" s="82"/>
      <c r="I44" s="82"/>
      <c r="J44" s="82"/>
      <c r="K44" s="83"/>
      <c r="L44" s="82"/>
    </row>
    <row r="45" spans="1:13" x14ac:dyDescent="0.2">
      <c r="A45" s="71"/>
      <c r="C45" s="64" t="s">
        <v>283</v>
      </c>
      <c r="D45" s="64" t="s">
        <v>284</v>
      </c>
      <c r="E45" s="64" t="s">
        <v>285</v>
      </c>
      <c r="F45" s="80">
        <v>59</v>
      </c>
      <c r="G45" s="80"/>
      <c r="H45" s="80">
        <v>59</v>
      </c>
      <c r="I45" s="80"/>
      <c r="J45" s="80" t="s">
        <v>283</v>
      </c>
      <c r="K45" s="84">
        <v>59</v>
      </c>
      <c r="L45" s="82"/>
    </row>
    <row r="46" spans="1:13" x14ac:dyDescent="0.2">
      <c r="A46" s="71"/>
      <c r="C46" s="64" t="s">
        <v>283</v>
      </c>
      <c r="D46" s="64" t="s">
        <v>284</v>
      </c>
      <c r="E46" s="64" t="s">
        <v>285</v>
      </c>
      <c r="F46" s="80">
        <v>14.5</v>
      </c>
      <c r="G46" s="80"/>
      <c r="H46" s="80">
        <v>14.5</v>
      </c>
      <c r="I46" s="80"/>
      <c r="J46" s="80" t="s">
        <v>283</v>
      </c>
      <c r="K46" s="84">
        <v>14.5</v>
      </c>
      <c r="L46" s="82"/>
    </row>
    <row r="47" spans="1:13" x14ac:dyDescent="0.2">
      <c r="A47" s="71"/>
      <c r="C47" s="64" t="s">
        <v>283</v>
      </c>
      <c r="D47" s="64" t="s">
        <v>286</v>
      </c>
      <c r="E47" s="64" t="s">
        <v>255</v>
      </c>
      <c r="F47" s="80">
        <v>53.7</v>
      </c>
      <c r="G47" s="80">
        <v>8.0500000000000007</v>
      </c>
      <c r="H47" s="80">
        <v>61.75</v>
      </c>
      <c r="I47" s="80"/>
      <c r="J47" s="80" t="s">
        <v>283</v>
      </c>
      <c r="K47" s="84">
        <v>100</v>
      </c>
      <c r="L47" s="80">
        <f>K47-H47</f>
        <v>38.25</v>
      </c>
    </row>
    <row r="48" spans="1:13" x14ac:dyDescent="0.2">
      <c r="A48" s="71"/>
      <c r="C48" s="64" t="s">
        <v>283</v>
      </c>
      <c r="D48" s="64" t="s">
        <v>284</v>
      </c>
      <c r="E48" s="64" t="s">
        <v>285</v>
      </c>
      <c r="F48" s="80">
        <v>14.5</v>
      </c>
      <c r="G48" s="80"/>
      <c r="H48" s="80">
        <v>14.5</v>
      </c>
      <c r="I48" s="80"/>
      <c r="J48" s="80" t="s">
        <v>283</v>
      </c>
      <c r="K48" s="84">
        <v>14.5</v>
      </c>
      <c r="L48" s="80"/>
    </row>
    <row r="49" spans="1:13" x14ac:dyDescent="0.2">
      <c r="A49" s="71"/>
      <c r="C49" s="64" t="s">
        <v>283</v>
      </c>
      <c r="D49" s="64" t="s">
        <v>284</v>
      </c>
      <c r="E49" s="64" t="s">
        <v>285</v>
      </c>
      <c r="F49" s="80">
        <v>17.5</v>
      </c>
      <c r="G49" s="80"/>
      <c r="H49" s="80">
        <v>17.5</v>
      </c>
      <c r="I49" s="80"/>
      <c r="J49" s="80" t="s">
        <v>283</v>
      </c>
      <c r="K49" s="84">
        <v>17.5</v>
      </c>
      <c r="L49" s="80"/>
    </row>
    <row r="50" spans="1:13" x14ac:dyDescent="0.2">
      <c r="A50" s="71"/>
      <c r="D50" s="64" t="s">
        <v>287</v>
      </c>
      <c r="E50" s="64" t="s">
        <v>255</v>
      </c>
      <c r="F50" s="80">
        <v>19.47</v>
      </c>
      <c r="G50" s="80">
        <v>2.93</v>
      </c>
      <c r="H50" s="80">
        <v>22.4</v>
      </c>
      <c r="I50" s="80"/>
      <c r="J50" s="80"/>
      <c r="K50" s="84">
        <v>22.4</v>
      </c>
      <c r="L50" s="80"/>
    </row>
    <row r="51" spans="1:13" x14ac:dyDescent="0.2">
      <c r="A51" s="71"/>
      <c r="C51" s="87" t="s">
        <v>288</v>
      </c>
      <c r="D51" s="87" t="s">
        <v>289</v>
      </c>
      <c r="E51" s="87" t="s">
        <v>203</v>
      </c>
      <c r="F51" s="88">
        <v>400</v>
      </c>
      <c r="G51" s="88"/>
      <c r="H51" s="88">
        <v>400</v>
      </c>
      <c r="I51" s="88"/>
      <c r="J51" s="88" t="s">
        <v>288</v>
      </c>
      <c r="K51" s="84">
        <v>400</v>
      </c>
      <c r="L51" s="88"/>
      <c r="M51" s="87"/>
    </row>
    <row r="52" spans="1:13" x14ac:dyDescent="0.2">
      <c r="A52" s="71"/>
      <c r="C52" s="64" t="s">
        <v>288</v>
      </c>
      <c r="D52" s="64" t="s">
        <v>289</v>
      </c>
      <c r="E52" s="64" t="s">
        <v>203</v>
      </c>
      <c r="F52" s="90">
        <v>400</v>
      </c>
      <c r="G52" s="90"/>
      <c r="H52" s="90">
        <v>400</v>
      </c>
      <c r="I52" s="90"/>
      <c r="J52" s="90" t="s">
        <v>288</v>
      </c>
      <c r="K52" s="84">
        <v>400</v>
      </c>
      <c r="L52" s="90"/>
    </row>
    <row r="53" spans="1:13" x14ac:dyDescent="0.2">
      <c r="A53" s="71"/>
      <c r="B53" s="64" t="s">
        <v>290</v>
      </c>
      <c r="C53" s="64" t="s">
        <v>291</v>
      </c>
      <c r="D53" s="64" t="s">
        <v>292</v>
      </c>
      <c r="E53" s="64" t="s">
        <v>293</v>
      </c>
      <c r="F53" s="90">
        <v>7000</v>
      </c>
      <c r="G53" s="90"/>
      <c r="H53" s="90">
        <v>7000</v>
      </c>
      <c r="I53" s="90"/>
      <c r="J53" s="90" t="s">
        <v>291</v>
      </c>
      <c r="K53" s="84">
        <v>7000</v>
      </c>
      <c r="L53" s="90"/>
      <c r="M53" s="64" t="s">
        <v>294</v>
      </c>
    </row>
    <row r="54" spans="1:13" x14ac:dyDescent="0.2">
      <c r="A54" s="71"/>
      <c r="B54" s="64" t="s">
        <v>295</v>
      </c>
      <c r="C54" s="64" t="s">
        <v>291</v>
      </c>
      <c r="D54" s="64" t="s">
        <v>292</v>
      </c>
      <c r="E54" s="64" t="s">
        <v>296</v>
      </c>
      <c r="F54" s="90">
        <v>7000</v>
      </c>
      <c r="G54" s="90"/>
      <c r="H54" s="90">
        <v>7000</v>
      </c>
      <c r="I54" s="90"/>
      <c r="J54" s="90" t="s">
        <v>291</v>
      </c>
      <c r="K54" s="84">
        <v>7000</v>
      </c>
      <c r="L54" s="90"/>
      <c r="M54" s="64" t="s">
        <v>294</v>
      </c>
    </row>
    <row r="55" spans="1:13" x14ac:dyDescent="0.2">
      <c r="A55" s="71"/>
      <c r="B55" s="64" t="s">
        <v>297</v>
      </c>
      <c r="C55" s="64" t="s">
        <v>291</v>
      </c>
      <c r="D55" s="64" t="s">
        <v>298</v>
      </c>
      <c r="E55" s="64" t="s">
        <v>299</v>
      </c>
      <c r="F55" s="90">
        <v>7200</v>
      </c>
      <c r="G55" s="90"/>
      <c r="H55" s="90">
        <v>7200</v>
      </c>
      <c r="I55" s="90"/>
      <c r="J55" s="90" t="s">
        <v>291</v>
      </c>
      <c r="K55" s="84">
        <v>7200</v>
      </c>
      <c r="L55" s="90"/>
      <c r="M55" s="64" t="s">
        <v>294</v>
      </c>
    </row>
    <row r="56" spans="1:13" x14ac:dyDescent="0.2">
      <c r="A56" s="71"/>
      <c r="B56" s="64" t="s">
        <v>300</v>
      </c>
      <c r="C56" s="64" t="s">
        <v>291</v>
      </c>
      <c r="D56" s="64" t="s">
        <v>272</v>
      </c>
      <c r="E56" s="64" t="s">
        <v>203</v>
      </c>
      <c r="F56" s="90"/>
      <c r="G56" s="90"/>
      <c r="H56" s="90"/>
      <c r="I56" s="90"/>
      <c r="J56" s="90"/>
      <c r="K56" s="84"/>
      <c r="L56" s="90"/>
    </row>
    <row r="57" spans="1:13" ht="13.75" customHeight="1" x14ac:dyDescent="0.2">
      <c r="A57" s="71"/>
      <c r="C57" s="64" t="s">
        <v>301</v>
      </c>
      <c r="D57" s="64" t="s">
        <v>302</v>
      </c>
      <c r="E57" s="64" t="s">
        <v>159</v>
      </c>
      <c r="F57" s="90">
        <v>23010</v>
      </c>
      <c r="G57" s="90"/>
      <c r="H57" s="90">
        <v>23010</v>
      </c>
      <c r="I57" s="90"/>
      <c r="J57" s="90" t="s">
        <v>301</v>
      </c>
      <c r="K57" s="84">
        <v>23010</v>
      </c>
      <c r="L57" s="90"/>
      <c r="M57" s="64" t="s">
        <v>294</v>
      </c>
    </row>
    <row r="58" spans="1:13" ht="13.75" customHeight="1" x14ac:dyDescent="0.2">
      <c r="A58" s="71"/>
      <c r="C58" s="64" t="s">
        <v>301</v>
      </c>
      <c r="D58" s="64" t="s">
        <v>303</v>
      </c>
      <c r="E58" s="64" t="s">
        <v>304</v>
      </c>
      <c r="F58" s="90">
        <v>1956.52</v>
      </c>
      <c r="G58" s="90">
        <v>293.48</v>
      </c>
      <c r="H58" s="90">
        <v>2250</v>
      </c>
      <c r="I58" s="90"/>
      <c r="J58" s="90" t="s">
        <v>301</v>
      </c>
      <c r="K58" s="84">
        <v>2250</v>
      </c>
      <c r="L58" s="90"/>
    </row>
    <row r="59" spans="1:13" x14ac:dyDescent="0.2">
      <c r="A59" s="71"/>
      <c r="C59" s="64" t="s">
        <v>305</v>
      </c>
      <c r="D59" s="64" t="s">
        <v>306</v>
      </c>
      <c r="E59" s="64" t="s">
        <v>304</v>
      </c>
      <c r="F59" s="90">
        <v>118.99</v>
      </c>
      <c r="G59" s="90">
        <v>17.86</v>
      </c>
      <c r="H59" s="90">
        <v>136.94999999999999</v>
      </c>
      <c r="I59" s="90"/>
      <c r="J59" s="90" t="s">
        <v>305</v>
      </c>
      <c r="K59" s="84">
        <v>150</v>
      </c>
      <c r="L59" s="90">
        <f>K59-H59</f>
        <v>13.050000000000011</v>
      </c>
    </row>
    <row r="60" spans="1:13" x14ac:dyDescent="0.2">
      <c r="A60" s="71"/>
      <c r="C60" s="87" t="s">
        <v>307</v>
      </c>
      <c r="D60" s="87"/>
      <c r="E60" s="87" t="s">
        <v>203</v>
      </c>
      <c r="F60" s="88">
        <v>1403.92</v>
      </c>
      <c r="G60" s="88"/>
      <c r="H60" s="88">
        <v>1403.92</v>
      </c>
      <c r="I60" s="88"/>
      <c r="J60" s="88" t="s">
        <v>307</v>
      </c>
      <c r="K60" s="84">
        <v>1403.92</v>
      </c>
      <c r="L60" s="90">
        <f t="shared" ref="L60:L109" si="7">K60-H60</f>
        <v>0</v>
      </c>
      <c r="M60" s="87"/>
    </row>
    <row r="61" spans="1:13" x14ac:dyDescent="0.2">
      <c r="A61" s="71"/>
      <c r="C61" s="64" t="s">
        <v>307</v>
      </c>
      <c r="D61" s="64" t="s">
        <v>308</v>
      </c>
      <c r="F61" s="90">
        <v>145</v>
      </c>
      <c r="G61" s="90"/>
      <c r="H61" s="90">
        <v>145</v>
      </c>
      <c r="I61" s="90"/>
      <c r="J61" s="90" t="s">
        <v>307</v>
      </c>
      <c r="K61" s="84">
        <v>145</v>
      </c>
      <c r="L61" s="90">
        <f t="shared" si="7"/>
        <v>0</v>
      </c>
    </row>
    <row r="62" spans="1:13" x14ac:dyDescent="0.2">
      <c r="A62" s="71"/>
      <c r="C62" s="64" t="s">
        <v>307</v>
      </c>
      <c r="D62" s="64" t="s">
        <v>309</v>
      </c>
      <c r="F62" s="90">
        <v>7000</v>
      </c>
      <c r="G62" s="90"/>
      <c r="H62" s="90">
        <v>7000</v>
      </c>
      <c r="I62" s="90"/>
      <c r="J62" s="90" t="s">
        <v>307</v>
      </c>
      <c r="K62" s="84">
        <v>7000</v>
      </c>
      <c r="L62" s="90"/>
    </row>
    <row r="63" spans="1:13" x14ac:dyDescent="0.2">
      <c r="A63" s="71"/>
      <c r="C63" s="64" t="s">
        <v>307</v>
      </c>
      <c r="D63" s="64" t="s">
        <v>272</v>
      </c>
      <c r="F63" s="90">
        <v>9000</v>
      </c>
      <c r="G63" s="90"/>
      <c r="H63" s="90">
        <v>9000</v>
      </c>
      <c r="I63" s="90"/>
      <c r="J63" s="90" t="s">
        <v>307</v>
      </c>
      <c r="K63" s="84">
        <v>9000</v>
      </c>
      <c r="L63" s="90"/>
    </row>
    <row r="64" spans="1:13" x14ac:dyDescent="0.2">
      <c r="A64" s="71"/>
      <c r="C64" s="64" t="s">
        <v>310</v>
      </c>
      <c r="D64" s="64" t="s">
        <v>272</v>
      </c>
      <c r="F64" s="90">
        <v>2000</v>
      </c>
      <c r="G64" s="90"/>
      <c r="H64" s="90">
        <v>2000</v>
      </c>
      <c r="I64" s="90"/>
      <c r="J64" s="90" t="s">
        <v>310</v>
      </c>
      <c r="K64" s="84">
        <v>2000</v>
      </c>
      <c r="L64" s="90"/>
    </row>
    <row r="65" spans="1:13" ht="13.75" customHeight="1" x14ac:dyDescent="0.2">
      <c r="A65" s="71"/>
      <c r="C65" s="64" t="s">
        <v>311</v>
      </c>
      <c r="D65" s="64" t="s">
        <v>312</v>
      </c>
      <c r="E65" s="64" t="s">
        <v>304</v>
      </c>
      <c r="F65" s="90">
        <v>41063.199999999997</v>
      </c>
      <c r="G65" s="90">
        <v>6159.48</v>
      </c>
      <c r="H65" s="90">
        <v>47222.68</v>
      </c>
      <c r="I65" s="90"/>
      <c r="J65" s="90" t="s">
        <v>311</v>
      </c>
      <c r="K65" s="84">
        <v>47222.68</v>
      </c>
      <c r="L65" s="90">
        <f t="shared" si="7"/>
        <v>0</v>
      </c>
    </row>
    <row r="66" spans="1:13" x14ac:dyDescent="0.2">
      <c r="A66" s="71"/>
      <c r="C66" s="64" t="s">
        <v>311</v>
      </c>
      <c r="D66" s="64" t="s">
        <v>313</v>
      </c>
      <c r="E66" s="64" t="s">
        <v>314</v>
      </c>
      <c r="F66" s="90">
        <v>5000</v>
      </c>
      <c r="G66" s="90"/>
      <c r="H66" s="90">
        <v>5000</v>
      </c>
      <c r="I66" s="90"/>
      <c r="J66" s="90" t="s">
        <v>311</v>
      </c>
      <c r="K66" s="84">
        <v>5000</v>
      </c>
      <c r="L66" s="90">
        <f t="shared" si="7"/>
        <v>0</v>
      </c>
      <c r="M66" s="64" t="s">
        <v>294</v>
      </c>
    </row>
    <row r="67" spans="1:13" x14ac:dyDescent="0.2">
      <c r="A67" s="71"/>
      <c r="C67" s="64" t="s">
        <v>311</v>
      </c>
      <c r="D67" s="64" t="s">
        <v>315</v>
      </c>
      <c r="E67" s="64" t="s">
        <v>269</v>
      </c>
      <c r="F67" s="90">
        <v>25.99</v>
      </c>
      <c r="G67" s="90"/>
      <c r="H67" s="90">
        <v>25.99</v>
      </c>
      <c r="I67" s="90"/>
      <c r="J67" s="90" t="s">
        <v>311</v>
      </c>
      <c r="K67" s="84">
        <v>25.99</v>
      </c>
      <c r="L67" s="90">
        <f t="shared" si="7"/>
        <v>0</v>
      </c>
    </row>
    <row r="68" spans="1:13" x14ac:dyDescent="0.2">
      <c r="A68" s="71"/>
      <c r="C68" s="64" t="s">
        <v>316</v>
      </c>
      <c r="D68" s="64" t="s">
        <v>317</v>
      </c>
      <c r="E68" s="64" t="s">
        <v>203</v>
      </c>
      <c r="F68" s="90">
        <v>1068.9000000000001</v>
      </c>
      <c r="G68" s="90"/>
      <c r="H68" s="90">
        <v>1068.9000000000001</v>
      </c>
      <c r="I68" s="90"/>
      <c r="J68" s="90" t="s">
        <v>316</v>
      </c>
      <c r="K68" s="84">
        <v>1068.9000000000001</v>
      </c>
      <c r="L68" s="90">
        <f t="shared" si="7"/>
        <v>0</v>
      </c>
    </row>
    <row r="69" spans="1:13" x14ac:dyDescent="0.2">
      <c r="A69" s="71"/>
      <c r="C69" s="64" t="s">
        <v>316</v>
      </c>
      <c r="D69" s="64" t="s">
        <v>318</v>
      </c>
      <c r="E69" s="64" t="s">
        <v>319</v>
      </c>
      <c r="F69" s="90">
        <v>9615.6299999999992</v>
      </c>
      <c r="G69" s="90">
        <v>1442.35</v>
      </c>
      <c r="H69" s="90">
        <v>11057.98</v>
      </c>
      <c r="I69" s="90"/>
      <c r="J69" s="90" t="s">
        <v>316</v>
      </c>
      <c r="K69" s="84">
        <v>11057.98</v>
      </c>
      <c r="L69" s="90">
        <f t="shared" si="7"/>
        <v>0</v>
      </c>
    </row>
    <row r="70" spans="1:13" x14ac:dyDescent="0.2">
      <c r="A70" s="71"/>
      <c r="C70" s="87" t="s">
        <v>320</v>
      </c>
      <c r="D70" s="87" t="s">
        <v>303</v>
      </c>
      <c r="E70" s="87" t="s">
        <v>304</v>
      </c>
      <c r="F70" s="88">
        <v>19130.43</v>
      </c>
      <c r="G70" s="88">
        <v>2869.57</v>
      </c>
      <c r="H70" s="88">
        <v>22000</v>
      </c>
      <c r="I70" s="88"/>
      <c r="J70" s="88" t="s">
        <v>320</v>
      </c>
      <c r="K70" s="84">
        <v>22000</v>
      </c>
      <c r="L70" s="90">
        <f t="shared" si="7"/>
        <v>0</v>
      </c>
      <c r="M70" s="87" t="s">
        <v>321</v>
      </c>
    </row>
    <row r="71" spans="1:13" x14ac:dyDescent="0.2">
      <c r="A71" s="71"/>
      <c r="C71" s="87" t="s">
        <v>320</v>
      </c>
      <c r="D71" s="87" t="s">
        <v>322</v>
      </c>
      <c r="E71" s="87" t="s">
        <v>269</v>
      </c>
      <c r="F71" s="88">
        <v>391.24</v>
      </c>
      <c r="G71" s="88"/>
      <c r="H71" s="88">
        <v>391.24</v>
      </c>
      <c r="I71" s="88"/>
      <c r="J71" s="88" t="s">
        <v>320</v>
      </c>
      <c r="K71" s="84">
        <v>391.24</v>
      </c>
      <c r="L71" s="90">
        <f t="shared" si="7"/>
        <v>0</v>
      </c>
      <c r="M71" s="87" t="s">
        <v>323</v>
      </c>
    </row>
    <row r="72" spans="1:13" x14ac:dyDescent="0.2">
      <c r="A72" s="71"/>
      <c r="C72" s="64" t="s">
        <v>320</v>
      </c>
      <c r="D72" s="64" t="s">
        <v>324</v>
      </c>
      <c r="E72" s="64" t="s">
        <v>203</v>
      </c>
      <c r="F72" s="90">
        <v>1595.51</v>
      </c>
      <c r="G72" s="90"/>
      <c r="H72" s="90">
        <v>1595.51</v>
      </c>
      <c r="I72" s="90"/>
      <c r="J72" s="90" t="s">
        <v>320</v>
      </c>
      <c r="K72" s="84">
        <v>1595.51</v>
      </c>
      <c r="L72" s="90">
        <f t="shared" si="7"/>
        <v>0</v>
      </c>
    </row>
    <row r="73" spans="1:13" x14ac:dyDescent="0.2">
      <c r="A73" s="71"/>
      <c r="C73" s="64" t="s">
        <v>325</v>
      </c>
      <c r="D73" s="64" t="s">
        <v>326</v>
      </c>
      <c r="E73" s="64" t="s">
        <v>269</v>
      </c>
      <c r="F73" s="90">
        <v>52.09</v>
      </c>
      <c r="G73" s="90">
        <v>7.81</v>
      </c>
      <c r="H73" s="90">
        <v>59.9</v>
      </c>
      <c r="I73" s="90"/>
      <c r="J73" s="90" t="s">
        <v>325</v>
      </c>
      <c r="K73" s="84">
        <v>59.9</v>
      </c>
      <c r="L73" s="90">
        <f t="shared" si="7"/>
        <v>0</v>
      </c>
    </row>
    <row r="74" spans="1:13" x14ac:dyDescent="0.2">
      <c r="A74" s="71"/>
      <c r="C74" s="64" t="s">
        <v>325</v>
      </c>
      <c r="D74" s="64" t="s">
        <v>322</v>
      </c>
      <c r="E74" s="64" t="s">
        <v>269</v>
      </c>
      <c r="F74" s="90">
        <v>337.8</v>
      </c>
      <c r="G74" s="90"/>
      <c r="H74" s="90">
        <v>337.8</v>
      </c>
      <c r="I74" s="90"/>
      <c r="J74" s="90" t="s">
        <v>325</v>
      </c>
      <c r="K74" s="84">
        <v>337.8</v>
      </c>
      <c r="L74" s="90">
        <f t="shared" si="7"/>
        <v>0</v>
      </c>
    </row>
    <row r="75" spans="1:13" x14ac:dyDescent="0.2">
      <c r="A75" s="71"/>
      <c r="B75" s="64" t="s">
        <v>327</v>
      </c>
      <c r="C75" s="64" t="s">
        <v>325</v>
      </c>
      <c r="D75" s="64" t="s">
        <v>328</v>
      </c>
      <c r="E75" s="64" t="s">
        <v>329</v>
      </c>
      <c r="F75" s="90">
        <v>10000</v>
      </c>
      <c r="G75" s="90"/>
      <c r="H75" s="90">
        <v>10000</v>
      </c>
      <c r="I75" s="90"/>
      <c r="J75" s="90" t="s">
        <v>325</v>
      </c>
      <c r="K75" s="84">
        <v>10000</v>
      </c>
      <c r="L75" s="90">
        <f t="shared" si="7"/>
        <v>0</v>
      </c>
      <c r="M75" s="64" t="s">
        <v>294</v>
      </c>
    </row>
    <row r="76" spans="1:13" x14ac:dyDescent="0.2">
      <c r="A76" s="71"/>
      <c r="C76" s="64" t="s">
        <v>325</v>
      </c>
      <c r="D76" s="64" t="s">
        <v>330</v>
      </c>
      <c r="E76" s="64" t="s">
        <v>331</v>
      </c>
      <c r="F76" s="90">
        <v>11500</v>
      </c>
      <c r="G76" s="90"/>
      <c r="H76" s="90">
        <v>11500</v>
      </c>
      <c r="I76" s="90"/>
      <c r="J76" s="90" t="s">
        <v>325</v>
      </c>
      <c r="K76" s="84">
        <v>11500</v>
      </c>
      <c r="L76" s="90">
        <f t="shared" si="7"/>
        <v>0</v>
      </c>
      <c r="M76" s="64" t="s">
        <v>294</v>
      </c>
    </row>
    <row r="77" spans="1:13" x14ac:dyDescent="0.2">
      <c r="A77" s="71"/>
      <c r="B77" s="64" t="s">
        <v>332</v>
      </c>
      <c r="C77" s="64" t="s">
        <v>325</v>
      </c>
      <c r="D77" s="64" t="s">
        <v>333</v>
      </c>
      <c r="E77" s="64" t="s">
        <v>304</v>
      </c>
      <c r="F77" s="90">
        <v>407780.87</v>
      </c>
      <c r="G77" s="90">
        <v>61167.13</v>
      </c>
      <c r="H77" s="90">
        <v>468948</v>
      </c>
      <c r="I77" s="90"/>
      <c r="J77" s="90" t="s">
        <v>325</v>
      </c>
      <c r="K77" s="84">
        <v>468948</v>
      </c>
      <c r="L77" s="90"/>
      <c r="M77" s="64" t="s">
        <v>294</v>
      </c>
    </row>
    <row r="78" spans="1:13" x14ac:dyDescent="0.2">
      <c r="A78" s="71"/>
      <c r="C78" s="64" t="s">
        <v>334</v>
      </c>
      <c r="D78" s="64" t="s">
        <v>303</v>
      </c>
      <c r="E78" s="64" t="s">
        <v>304</v>
      </c>
      <c r="F78" s="90">
        <v>256.95999999999998</v>
      </c>
      <c r="G78" s="90">
        <v>38.54</v>
      </c>
      <c r="H78" s="90">
        <v>295.5</v>
      </c>
      <c r="I78" s="90"/>
      <c r="J78" s="90" t="s">
        <v>334</v>
      </c>
      <c r="K78" s="84">
        <v>295.5</v>
      </c>
      <c r="L78" s="90">
        <f t="shared" si="7"/>
        <v>0</v>
      </c>
    </row>
    <row r="79" spans="1:13" x14ac:dyDescent="0.2">
      <c r="A79" s="71"/>
      <c r="C79" s="64" t="s">
        <v>334</v>
      </c>
      <c r="D79" s="64" t="s">
        <v>284</v>
      </c>
      <c r="E79" s="64" t="s">
        <v>285</v>
      </c>
      <c r="F79" s="90">
        <v>59</v>
      </c>
      <c r="G79" s="90"/>
      <c r="H79" s="90">
        <v>59</v>
      </c>
      <c r="I79" s="90"/>
      <c r="J79" s="90" t="s">
        <v>334</v>
      </c>
      <c r="K79" s="84">
        <v>59</v>
      </c>
      <c r="L79" s="90">
        <f t="shared" si="7"/>
        <v>0</v>
      </c>
    </row>
    <row r="80" spans="1:13" x14ac:dyDescent="0.2">
      <c r="A80" s="71"/>
      <c r="C80" s="64" t="s">
        <v>334</v>
      </c>
      <c r="D80" s="64" t="s">
        <v>335</v>
      </c>
      <c r="E80" s="64" t="s">
        <v>304</v>
      </c>
      <c r="F80" s="90">
        <v>125270.76</v>
      </c>
      <c r="G80" s="90">
        <v>18790.61</v>
      </c>
      <c r="H80" s="90">
        <v>144061.37</v>
      </c>
      <c r="I80" s="90"/>
      <c r="J80" s="90" t="s">
        <v>334</v>
      </c>
      <c r="K80" s="84">
        <v>144061.37</v>
      </c>
      <c r="L80" s="90">
        <f t="shared" si="7"/>
        <v>0</v>
      </c>
    </row>
    <row r="81" spans="1:13" x14ac:dyDescent="0.2">
      <c r="A81" s="71"/>
      <c r="C81" s="87" t="s">
        <v>336</v>
      </c>
      <c r="D81" s="87" t="s">
        <v>337</v>
      </c>
      <c r="E81" s="87"/>
      <c r="F81" s="88">
        <v>1070</v>
      </c>
      <c r="G81" s="88"/>
      <c r="H81" s="88">
        <v>1070</v>
      </c>
      <c r="I81" s="88"/>
      <c r="J81" s="88" t="s">
        <v>336</v>
      </c>
      <c r="K81" s="84">
        <v>1070</v>
      </c>
      <c r="L81" s="90">
        <f t="shared" si="7"/>
        <v>0</v>
      </c>
      <c r="M81" s="87" t="s">
        <v>338</v>
      </c>
    </row>
    <row r="82" spans="1:13" x14ac:dyDescent="0.2">
      <c r="A82" s="71"/>
      <c r="C82" s="64" t="s">
        <v>336</v>
      </c>
      <c r="D82" s="64" t="s">
        <v>339</v>
      </c>
      <c r="E82" s="64" t="s">
        <v>304</v>
      </c>
      <c r="F82" s="90">
        <v>278.89999999999998</v>
      </c>
      <c r="G82" s="90"/>
      <c r="H82" s="90">
        <v>278.89999999999998</v>
      </c>
      <c r="I82" s="90"/>
      <c r="J82" s="90" t="s">
        <v>336</v>
      </c>
      <c r="K82" s="84">
        <v>278.89999999999998</v>
      </c>
      <c r="L82" s="90">
        <f t="shared" si="7"/>
        <v>0</v>
      </c>
    </row>
    <row r="83" spans="1:13" x14ac:dyDescent="0.2">
      <c r="A83" s="71"/>
      <c r="C83" s="64" t="s">
        <v>336</v>
      </c>
      <c r="D83" s="64" t="s">
        <v>306</v>
      </c>
      <c r="E83" s="64" t="s">
        <v>304</v>
      </c>
      <c r="F83" s="90">
        <v>242.52</v>
      </c>
      <c r="G83" s="90">
        <v>36.380000000000003</v>
      </c>
      <c r="H83" s="90">
        <v>278.89999999999998</v>
      </c>
      <c r="I83" s="90"/>
      <c r="J83" s="90" t="s">
        <v>336</v>
      </c>
      <c r="K83" s="84">
        <v>278.89999999999998</v>
      </c>
      <c r="L83" s="90">
        <f t="shared" si="7"/>
        <v>0</v>
      </c>
    </row>
    <row r="84" spans="1:13" x14ac:dyDescent="0.2">
      <c r="A84" s="71"/>
      <c r="D84" s="64" t="s">
        <v>340</v>
      </c>
      <c r="E84" s="64" t="s">
        <v>203</v>
      </c>
      <c r="F84" s="90">
        <v>620.9</v>
      </c>
      <c r="G84" s="90">
        <v>78.099999999999994</v>
      </c>
      <c r="H84" s="90">
        <v>699</v>
      </c>
      <c r="I84" s="90"/>
      <c r="J84" s="90"/>
      <c r="K84" s="84">
        <v>699</v>
      </c>
      <c r="L84" s="90">
        <f t="shared" si="7"/>
        <v>0</v>
      </c>
    </row>
    <row r="85" spans="1:13" x14ac:dyDescent="0.2">
      <c r="A85" s="71"/>
      <c r="C85" s="64" t="s">
        <v>336</v>
      </c>
      <c r="D85" s="64" t="s">
        <v>322</v>
      </c>
      <c r="E85" s="64" t="s">
        <v>269</v>
      </c>
      <c r="F85" s="90">
        <v>6.52</v>
      </c>
      <c r="G85" s="90">
        <v>0.98</v>
      </c>
      <c r="H85" s="90">
        <v>7.5</v>
      </c>
      <c r="I85" s="90"/>
      <c r="J85" s="90" t="s">
        <v>336</v>
      </c>
      <c r="K85" s="84">
        <v>7.5</v>
      </c>
      <c r="L85" s="90">
        <f t="shared" si="7"/>
        <v>0</v>
      </c>
    </row>
    <row r="86" spans="1:13" x14ac:dyDescent="0.2">
      <c r="A86" s="71"/>
      <c r="C86" s="64" t="s">
        <v>336</v>
      </c>
      <c r="D86" s="64" t="s">
        <v>340</v>
      </c>
      <c r="E86" s="64" t="s">
        <v>203</v>
      </c>
      <c r="F86" s="90">
        <v>1393.69</v>
      </c>
      <c r="G86" s="90"/>
      <c r="H86" s="90">
        <v>1393.69</v>
      </c>
      <c r="I86" s="90"/>
      <c r="J86" s="90" t="s">
        <v>336</v>
      </c>
      <c r="K86" s="84">
        <v>1393.69</v>
      </c>
      <c r="L86" s="90">
        <f t="shared" si="7"/>
        <v>0</v>
      </c>
    </row>
    <row r="87" spans="1:13" x14ac:dyDescent="0.2">
      <c r="A87" s="71"/>
      <c r="B87" s="64" t="s">
        <v>341</v>
      </c>
      <c r="C87" s="64" t="s">
        <v>336</v>
      </c>
      <c r="D87" s="64" t="s">
        <v>342</v>
      </c>
      <c r="E87" s="64" t="s">
        <v>244</v>
      </c>
      <c r="F87" s="90">
        <v>9347.8829999999998</v>
      </c>
      <c r="G87" s="90">
        <v>1402.17</v>
      </c>
      <c r="H87" s="90">
        <v>10750</v>
      </c>
      <c r="I87" s="90"/>
      <c r="J87" s="90" t="s">
        <v>336</v>
      </c>
      <c r="K87" s="84">
        <v>10750</v>
      </c>
      <c r="L87" s="90">
        <f t="shared" si="7"/>
        <v>0</v>
      </c>
      <c r="M87" s="64" t="s">
        <v>294</v>
      </c>
    </row>
    <row r="88" spans="1:13" x14ac:dyDescent="0.2">
      <c r="A88" s="71"/>
      <c r="C88" s="64" t="s">
        <v>343</v>
      </c>
      <c r="D88" s="64" t="s">
        <v>326</v>
      </c>
      <c r="E88" s="64" t="s">
        <v>269</v>
      </c>
      <c r="F88" s="90">
        <v>72</v>
      </c>
      <c r="G88" s="90">
        <v>10.8</v>
      </c>
      <c r="H88" s="90">
        <v>82.8</v>
      </c>
      <c r="I88" s="90"/>
      <c r="J88" s="90" t="s">
        <v>343</v>
      </c>
      <c r="K88" s="84">
        <v>82.8</v>
      </c>
      <c r="L88" s="90">
        <f t="shared" si="7"/>
        <v>0</v>
      </c>
    </row>
    <row r="89" spans="1:13" x14ac:dyDescent="0.2">
      <c r="A89" s="71"/>
      <c r="C89" s="64" t="s">
        <v>343</v>
      </c>
      <c r="F89" s="90"/>
      <c r="G89" s="90"/>
      <c r="H89" s="90"/>
      <c r="I89" s="90"/>
      <c r="J89" s="90"/>
      <c r="K89" s="84"/>
      <c r="L89" s="90">
        <f t="shared" si="7"/>
        <v>0</v>
      </c>
    </row>
    <row r="90" spans="1:13" x14ac:dyDescent="0.2">
      <c r="A90" s="71"/>
      <c r="C90" s="64" t="s">
        <v>344</v>
      </c>
      <c r="D90" s="64" t="s">
        <v>345</v>
      </c>
      <c r="E90" s="64" t="s">
        <v>269</v>
      </c>
      <c r="F90" s="90">
        <v>56.68</v>
      </c>
      <c r="G90" s="90">
        <v>8.5</v>
      </c>
      <c r="H90" s="90">
        <v>65.180000000000007</v>
      </c>
      <c r="I90" s="90"/>
      <c r="J90" s="90" t="s">
        <v>344</v>
      </c>
      <c r="K90" s="84">
        <v>65.180000000000007</v>
      </c>
      <c r="L90" s="90">
        <f t="shared" si="7"/>
        <v>0</v>
      </c>
    </row>
    <row r="91" spans="1:13" x14ac:dyDescent="0.2">
      <c r="A91" s="71"/>
      <c r="C91" s="64" t="s">
        <v>344</v>
      </c>
      <c r="D91" s="64" t="s">
        <v>326</v>
      </c>
      <c r="E91" s="64" t="s">
        <v>269</v>
      </c>
      <c r="F91" s="90">
        <v>104.17</v>
      </c>
      <c r="G91" s="90">
        <v>15.03</v>
      </c>
      <c r="H91" s="90">
        <v>119.8</v>
      </c>
      <c r="I91" s="90"/>
      <c r="J91" s="90" t="s">
        <v>344</v>
      </c>
      <c r="K91" s="84">
        <v>119.8</v>
      </c>
      <c r="L91" s="90">
        <f t="shared" si="7"/>
        <v>0</v>
      </c>
    </row>
    <row r="92" spans="1:13" x14ac:dyDescent="0.2">
      <c r="A92" s="71"/>
      <c r="C92" s="64" t="s">
        <v>344</v>
      </c>
      <c r="D92" s="64" t="s">
        <v>346</v>
      </c>
      <c r="E92" s="64" t="s">
        <v>203</v>
      </c>
      <c r="F92" s="90">
        <v>2196</v>
      </c>
      <c r="G92" s="90"/>
      <c r="H92" s="90">
        <v>2196</v>
      </c>
      <c r="I92" s="90"/>
      <c r="J92" s="90" t="s">
        <v>344</v>
      </c>
      <c r="K92" s="84">
        <v>2196</v>
      </c>
      <c r="L92" s="90">
        <f t="shared" si="7"/>
        <v>0</v>
      </c>
    </row>
    <row r="93" spans="1:13" x14ac:dyDescent="0.2">
      <c r="A93" s="71"/>
      <c r="C93" s="64" t="s">
        <v>344</v>
      </c>
      <c r="D93" s="64" t="s">
        <v>347</v>
      </c>
      <c r="E93" s="64" t="s">
        <v>269</v>
      </c>
      <c r="F93" s="90">
        <v>23.47</v>
      </c>
      <c r="G93" s="90">
        <v>3.52</v>
      </c>
      <c r="H93" s="90">
        <v>26.99</v>
      </c>
      <c r="I93" s="90"/>
      <c r="J93" s="90" t="s">
        <v>344</v>
      </c>
      <c r="K93" s="84">
        <v>26.99</v>
      </c>
      <c r="L93" s="90">
        <f t="shared" si="7"/>
        <v>0</v>
      </c>
    </row>
    <row r="94" spans="1:13" x14ac:dyDescent="0.2">
      <c r="A94" s="71"/>
      <c r="C94" s="64" t="s">
        <v>344</v>
      </c>
      <c r="D94" s="64" t="s">
        <v>326</v>
      </c>
      <c r="E94" s="64" t="s">
        <v>269</v>
      </c>
      <c r="F94" s="90">
        <v>104</v>
      </c>
      <c r="G94" s="90">
        <v>15.63</v>
      </c>
      <c r="H94" s="90">
        <v>119.8</v>
      </c>
      <c r="I94" s="90"/>
      <c r="J94" s="90" t="s">
        <v>344</v>
      </c>
      <c r="K94" s="84">
        <v>119.8</v>
      </c>
      <c r="L94" s="90">
        <f t="shared" si="7"/>
        <v>0</v>
      </c>
    </row>
    <row r="95" spans="1:13" x14ac:dyDescent="0.2">
      <c r="A95" s="71"/>
      <c r="C95" s="64" t="s">
        <v>344</v>
      </c>
      <c r="D95" s="64" t="s">
        <v>346</v>
      </c>
      <c r="E95" s="64" t="s">
        <v>255</v>
      </c>
      <c r="F95" s="90">
        <v>36.5</v>
      </c>
      <c r="G95" s="90"/>
      <c r="H95" s="90">
        <v>36.5</v>
      </c>
      <c r="I95" s="90"/>
      <c r="J95" s="90" t="s">
        <v>344</v>
      </c>
      <c r="K95" s="84">
        <v>36.5</v>
      </c>
      <c r="L95" s="90">
        <f t="shared" si="7"/>
        <v>0</v>
      </c>
    </row>
    <row r="96" spans="1:13" x14ac:dyDescent="0.2">
      <c r="A96" s="71"/>
      <c r="C96" s="87" t="s">
        <v>348</v>
      </c>
      <c r="D96" s="87" t="s">
        <v>322</v>
      </c>
      <c r="E96" s="87" t="s">
        <v>255</v>
      </c>
      <c r="F96" s="88">
        <v>71.97</v>
      </c>
      <c r="G96" s="88"/>
      <c r="H96" s="88">
        <v>71.97</v>
      </c>
      <c r="I96" s="88"/>
      <c r="J96" s="88" t="s">
        <v>348</v>
      </c>
      <c r="K96" s="84">
        <v>71.97</v>
      </c>
      <c r="L96" s="90">
        <f t="shared" si="7"/>
        <v>0</v>
      </c>
      <c r="M96" s="87" t="s">
        <v>323</v>
      </c>
    </row>
    <row r="97" spans="1:13" x14ac:dyDescent="0.2">
      <c r="A97" s="71"/>
      <c r="C97" s="64" t="s">
        <v>348</v>
      </c>
      <c r="D97" s="64" t="s">
        <v>340</v>
      </c>
      <c r="E97" s="64" t="s">
        <v>203</v>
      </c>
      <c r="F97" s="90">
        <v>500</v>
      </c>
      <c r="G97" s="90"/>
      <c r="H97" s="90">
        <v>500</v>
      </c>
      <c r="I97" s="90"/>
      <c r="J97" s="90" t="s">
        <v>348</v>
      </c>
      <c r="K97" s="84">
        <v>500</v>
      </c>
      <c r="L97" s="90">
        <f t="shared" si="7"/>
        <v>0</v>
      </c>
    </row>
    <row r="98" spans="1:13" x14ac:dyDescent="0.2">
      <c r="A98" s="71"/>
      <c r="C98" s="87" t="s">
        <v>348</v>
      </c>
      <c r="D98" s="87" t="s">
        <v>349</v>
      </c>
      <c r="E98" s="87" t="s">
        <v>350</v>
      </c>
      <c r="F98" s="88">
        <v>145</v>
      </c>
      <c r="G98" s="88"/>
      <c r="H98" s="88">
        <v>145</v>
      </c>
      <c r="I98" s="88"/>
      <c r="J98" s="88"/>
      <c r="K98" s="84"/>
      <c r="L98" s="90">
        <f t="shared" si="7"/>
        <v>-145</v>
      </c>
      <c r="M98" s="87"/>
    </row>
    <row r="99" spans="1:13" x14ac:dyDescent="0.2">
      <c r="A99" s="71"/>
      <c r="C99" s="64" t="s">
        <v>348</v>
      </c>
      <c r="D99" s="64" t="s">
        <v>322</v>
      </c>
      <c r="E99" s="64" t="s">
        <v>269</v>
      </c>
      <c r="F99" s="90">
        <v>49.92</v>
      </c>
      <c r="G99" s="90">
        <v>7.49</v>
      </c>
      <c r="H99" s="90">
        <v>57.41</v>
      </c>
      <c r="I99" s="90"/>
      <c r="J99" s="90" t="s">
        <v>348</v>
      </c>
      <c r="K99" s="84">
        <v>57.41</v>
      </c>
      <c r="L99" s="90">
        <f t="shared" si="7"/>
        <v>0</v>
      </c>
    </row>
    <row r="100" spans="1:13" x14ac:dyDescent="0.2">
      <c r="A100" s="71"/>
      <c r="C100" s="64" t="s">
        <v>348</v>
      </c>
      <c r="D100" s="64" t="s">
        <v>308</v>
      </c>
      <c r="F100" s="90">
        <v>145</v>
      </c>
      <c r="G100" s="90"/>
      <c r="H100" s="90">
        <v>145</v>
      </c>
      <c r="I100" s="90"/>
      <c r="J100" s="90" t="s">
        <v>348</v>
      </c>
      <c r="K100" s="84">
        <v>145</v>
      </c>
      <c r="L100" s="90">
        <f t="shared" si="7"/>
        <v>0</v>
      </c>
    </row>
    <row r="101" spans="1:13" x14ac:dyDescent="0.2">
      <c r="A101" s="71"/>
      <c r="C101" s="64" t="s">
        <v>348</v>
      </c>
      <c r="D101" s="64" t="s">
        <v>340</v>
      </c>
      <c r="E101" s="64" t="s">
        <v>203</v>
      </c>
      <c r="F101" s="90">
        <v>150</v>
      </c>
      <c r="G101" s="90"/>
      <c r="H101" s="90">
        <v>150</v>
      </c>
      <c r="I101" s="90"/>
      <c r="J101" s="90" t="s">
        <v>351</v>
      </c>
      <c r="K101" s="84">
        <v>150</v>
      </c>
      <c r="L101" s="90">
        <f t="shared" si="7"/>
        <v>0</v>
      </c>
    </row>
    <row r="102" spans="1:13" x14ac:dyDescent="0.2">
      <c r="A102" s="71"/>
      <c r="C102" s="64" t="s">
        <v>348</v>
      </c>
      <c r="D102" s="64" t="s">
        <v>352</v>
      </c>
      <c r="E102" s="64" t="s">
        <v>304</v>
      </c>
      <c r="F102" s="90">
        <v>7182.32</v>
      </c>
      <c r="G102" s="90">
        <v>1077.3499999999999</v>
      </c>
      <c r="H102" s="90">
        <v>8259.67</v>
      </c>
      <c r="I102" s="90"/>
      <c r="J102" s="90" t="s">
        <v>348</v>
      </c>
      <c r="K102" s="84">
        <v>8259.67</v>
      </c>
      <c r="L102" s="90">
        <f t="shared" si="7"/>
        <v>0</v>
      </c>
    </row>
    <row r="103" spans="1:13" x14ac:dyDescent="0.2">
      <c r="A103" s="71"/>
      <c r="F103" s="90"/>
      <c r="G103" s="90"/>
      <c r="H103" s="90"/>
      <c r="I103" s="90"/>
      <c r="J103" s="90"/>
      <c r="K103" s="84"/>
      <c r="L103" s="90"/>
    </row>
    <row r="104" spans="1:13" x14ac:dyDescent="0.2">
      <c r="A104" s="71"/>
      <c r="C104" s="87" t="s">
        <v>353</v>
      </c>
      <c r="D104" s="87" t="s">
        <v>354</v>
      </c>
      <c r="E104" s="87" t="s">
        <v>304</v>
      </c>
      <c r="F104" s="88">
        <v>10051.879999999999</v>
      </c>
      <c r="G104" s="88"/>
      <c r="H104" s="88">
        <v>1507.78</v>
      </c>
      <c r="I104" s="88"/>
      <c r="J104" s="88" t="s">
        <v>353</v>
      </c>
      <c r="K104" s="84">
        <v>11559.66</v>
      </c>
      <c r="L104" s="90">
        <f t="shared" si="7"/>
        <v>10051.879999999999</v>
      </c>
      <c r="M104" s="87" t="s">
        <v>323</v>
      </c>
    </row>
    <row r="105" spans="1:13" x14ac:dyDescent="0.2">
      <c r="A105" s="71"/>
      <c r="C105" s="87"/>
      <c r="D105" s="87" t="s">
        <v>322</v>
      </c>
      <c r="E105" s="87" t="s">
        <v>269</v>
      </c>
      <c r="F105" s="88">
        <v>337.8</v>
      </c>
      <c r="G105" s="88"/>
      <c r="H105" s="88">
        <v>337.8</v>
      </c>
      <c r="I105" s="88"/>
      <c r="J105" s="88"/>
      <c r="K105" s="84">
        <v>337.8</v>
      </c>
      <c r="L105" s="90">
        <f t="shared" si="7"/>
        <v>0</v>
      </c>
      <c r="M105" s="87" t="s">
        <v>338</v>
      </c>
    </row>
    <row r="106" spans="1:13" x14ac:dyDescent="0.2">
      <c r="A106" s="71"/>
      <c r="C106" s="64" t="s">
        <v>353</v>
      </c>
      <c r="E106" s="64" t="s">
        <v>203</v>
      </c>
      <c r="F106" s="80">
        <v>1300</v>
      </c>
      <c r="G106" s="80"/>
      <c r="H106" s="80">
        <v>1300</v>
      </c>
      <c r="I106" s="80"/>
      <c r="J106" s="80"/>
      <c r="K106" s="84">
        <v>1300</v>
      </c>
      <c r="L106" s="90">
        <f t="shared" si="7"/>
        <v>0</v>
      </c>
    </row>
    <row r="107" spans="1:13" x14ac:dyDescent="0.2">
      <c r="A107" s="71"/>
      <c r="C107" s="64" t="s">
        <v>353</v>
      </c>
      <c r="D107" s="64" t="s">
        <v>337</v>
      </c>
      <c r="F107" s="80">
        <v>1070</v>
      </c>
      <c r="G107" s="80"/>
      <c r="H107" s="80">
        <v>1070</v>
      </c>
      <c r="I107" s="80"/>
      <c r="J107" s="80" t="s">
        <v>353</v>
      </c>
      <c r="K107" s="84">
        <v>1070</v>
      </c>
      <c r="L107" s="90">
        <f t="shared" si="7"/>
        <v>0</v>
      </c>
    </row>
    <row r="108" spans="1:13" x14ac:dyDescent="0.2">
      <c r="A108" s="71"/>
      <c r="D108" s="64" t="s">
        <v>355</v>
      </c>
      <c r="E108" s="64" t="s">
        <v>269</v>
      </c>
      <c r="F108" s="80">
        <v>3788.59</v>
      </c>
      <c r="G108" s="80"/>
      <c r="H108" s="80">
        <v>3788.59</v>
      </c>
      <c r="I108" s="80"/>
      <c r="J108" s="80"/>
      <c r="K108" s="84">
        <v>3788.59</v>
      </c>
      <c r="L108" s="90">
        <f t="shared" si="7"/>
        <v>0</v>
      </c>
    </row>
    <row r="109" spans="1:13" x14ac:dyDescent="0.2">
      <c r="A109" s="71"/>
      <c r="D109" s="64" t="s">
        <v>355</v>
      </c>
      <c r="E109" s="64" t="s">
        <v>269</v>
      </c>
      <c r="F109" s="80">
        <v>176.05</v>
      </c>
      <c r="G109" s="80">
        <v>26.41</v>
      </c>
      <c r="H109" s="80">
        <v>202.46</v>
      </c>
      <c r="I109" s="80"/>
      <c r="J109" s="80"/>
      <c r="K109" s="84">
        <v>202.46</v>
      </c>
      <c r="L109" s="90">
        <f t="shared" si="7"/>
        <v>0</v>
      </c>
    </row>
    <row r="110" spans="1:13" x14ac:dyDescent="0.2">
      <c r="A110" s="71"/>
      <c r="F110" s="80"/>
      <c r="G110" s="80"/>
      <c r="H110" s="80" t="s">
        <v>119</v>
      </c>
      <c r="I110" s="80"/>
      <c r="J110" s="80"/>
      <c r="K110" s="84"/>
      <c r="L110" s="80"/>
    </row>
    <row r="111" spans="1:13" x14ac:dyDescent="0.2">
      <c r="A111" s="71"/>
      <c r="F111" s="75">
        <f>SUM(F45:F110)</f>
        <v>740483.24300000013</v>
      </c>
      <c r="G111" s="75">
        <f t="shared" ref="G111:L111" si="8">SUM(G45:G110)</f>
        <v>93480.170000000027</v>
      </c>
      <c r="H111" s="75">
        <f t="shared" si="8"/>
        <v>825420.13000000024</v>
      </c>
      <c r="I111" s="75">
        <f t="shared" si="8"/>
        <v>0</v>
      </c>
      <c r="J111" s="75">
        <f t="shared" si="8"/>
        <v>0</v>
      </c>
      <c r="K111" s="76">
        <f t="shared" si="8"/>
        <v>835378.31000000017</v>
      </c>
      <c r="L111" s="75">
        <f t="shared" si="8"/>
        <v>9958.1799999999985</v>
      </c>
    </row>
    <row r="112" spans="1:13" x14ac:dyDescent="0.2">
      <c r="A112" s="71"/>
      <c r="F112" s="82"/>
      <c r="G112" s="82"/>
      <c r="H112" s="82"/>
      <c r="I112" s="82"/>
      <c r="J112" s="82"/>
      <c r="K112" s="83"/>
      <c r="L112" s="82"/>
    </row>
    <row r="113" spans="1:13" x14ac:dyDescent="0.2">
      <c r="A113" s="71"/>
      <c r="E113" s="65" t="s">
        <v>262</v>
      </c>
      <c r="F113" s="82">
        <f>F43+F111</f>
        <v>891333.85300000012</v>
      </c>
      <c r="G113" s="82">
        <f t="shared" ref="G113:L113" si="9">G43+G111</f>
        <v>95763.930000000022</v>
      </c>
      <c r="H113" s="82">
        <f t="shared" si="9"/>
        <v>978554.50000000023</v>
      </c>
      <c r="I113" s="82">
        <f t="shared" si="9"/>
        <v>0</v>
      </c>
      <c r="J113" s="82">
        <f t="shared" si="9"/>
        <v>0</v>
      </c>
      <c r="K113" s="82">
        <f t="shared" si="9"/>
        <v>988527.6100000001</v>
      </c>
      <c r="L113" s="82">
        <f t="shared" si="9"/>
        <v>9973.1099999999988</v>
      </c>
    </row>
    <row r="114" spans="1:13" x14ac:dyDescent="0.2">
      <c r="A114" s="71"/>
      <c r="F114" s="80"/>
      <c r="G114" s="80"/>
      <c r="H114" s="80"/>
      <c r="I114" s="80"/>
      <c r="J114" s="80"/>
      <c r="K114" s="84"/>
      <c r="L114" s="80"/>
    </row>
    <row r="115" spans="1:13" x14ac:dyDescent="0.2">
      <c r="A115" s="71"/>
      <c r="B115" s="64" t="s">
        <v>356</v>
      </c>
      <c r="C115" s="64" t="s">
        <v>357</v>
      </c>
      <c r="D115" s="64" t="s">
        <v>358</v>
      </c>
      <c r="E115" s="64" t="s">
        <v>203</v>
      </c>
      <c r="F115" s="80">
        <v>5000</v>
      </c>
      <c r="G115" s="80"/>
      <c r="H115" s="80">
        <v>5000</v>
      </c>
      <c r="I115" s="80"/>
      <c r="J115" s="80" t="s">
        <v>357</v>
      </c>
      <c r="K115" s="84">
        <v>5000</v>
      </c>
      <c r="L115" s="80"/>
    </row>
    <row r="116" spans="1:13" x14ac:dyDescent="0.2">
      <c r="A116" s="71"/>
      <c r="C116" s="64" t="s">
        <v>357</v>
      </c>
      <c r="D116" s="64" t="s">
        <v>328</v>
      </c>
      <c r="E116" s="64" t="s">
        <v>359</v>
      </c>
      <c r="F116" s="80">
        <v>10000</v>
      </c>
      <c r="G116" s="80"/>
      <c r="H116" s="80">
        <v>10000</v>
      </c>
      <c r="I116" s="80"/>
      <c r="J116" s="80" t="s">
        <v>360</v>
      </c>
      <c r="K116" s="84">
        <v>10000</v>
      </c>
      <c r="L116" s="80"/>
    </row>
    <row r="117" spans="1:13" x14ac:dyDescent="0.2">
      <c r="A117" s="71"/>
      <c r="C117" s="64" t="s">
        <v>361</v>
      </c>
      <c r="D117" s="64" t="s">
        <v>362</v>
      </c>
      <c r="E117" s="64" t="s">
        <v>203</v>
      </c>
      <c r="F117" s="80">
        <v>1351.7</v>
      </c>
      <c r="G117" s="80"/>
      <c r="H117" s="80">
        <v>1351.7</v>
      </c>
      <c r="I117" s="80"/>
      <c r="J117" s="80" t="s">
        <v>361</v>
      </c>
      <c r="K117" s="84">
        <v>1351.7</v>
      </c>
      <c r="L117" s="80">
        <f>K117-H117</f>
        <v>0</v>
      </c>
    </row>
    <row r="118" spans="1:13" x14ac:dyDescent="0.2">
      <c r="A118" s="71"/>
      <c r="C118" s="64" t="s">
        <v>361</v>
      </c>
      <c r="D118" s="64" t="s">
        <v>363</v>
      </c>
      <c r="E118" s="64" t="s">
        <v>203</v>
      </c>
      <c r="F118" s="80">
        <v>1200</v>
      </c>
      <c r="G118" s="80"/>
      <c r="H118" s="80">
        <v>1200</v>
      </c>
      <c r="I118" s="80"/>
      <c r="J118" s="80" t="s">
        <v>361</v>
      </c>
      <c r="K118" s="84">
        <v>1200</v>
      </c>
      <c r="L118" s="80"/>
    </row>
    <row r="119" spans="1:13" x14ac:dyDescent="0.2">
      <c r="A119" s="71"/>
      <c r="C119" s="64" t="s">
        <v>361</v>
      </c>
      <c r="D119" s="64" t="s">
        <v>364</v>
      </c>
      <c r="F119" s="80">
        <v>5000</v>
      </c>
      <c r="G119" s="80"/>
      <c r="H119" s="80">
        <v>5000</v>
      </c>
      <c r="I119" s="80"/>
      <c r="J119" s="80" t="s">
        <v>361</v>
      </c>
      <c r="K119" s="84">
        <v>5000</v>
      </c>
      <c r="L119" s="80"/>
    </row>
    <row r="120" spans="1:13" x14ac:dyDescent="0.2">
      <c r="A120" s="71"/>
      <c r="C120" s="87" t="s">
        <v>365</v>
      </c>
      <c r="D120" s="87" t="s">
        <v>366</v>
      </c>
      <c r="E120" s="87" t="s">
        <v>304</v>
      </c>
      <c r="F120" s="88">
        <v>110</v>
      </c>
      <c r="G120" s="88"/>
      <c r="H120" s="88">
        <v>110</v>
      </c>
      <c r="I120" s="88"/>
      <c r="J120" s="88" t="s">
        <v>365</v>
      </c>
      <c r="K120" s="84">
        <v>110</v>
      </c>
      <c r="L120" s="80">
        <f t="shared" ref="L120:L178" si="10">K120-H120</f>
        <v>0</v>
      </c>
      <c r="M120" s="87" t="s">
        <v>338</v>
      </c>
    </row>
    <row r="121" spans="1:13" x14ac:dyDescent="0.2">
      <c r="A121" s="71"/>
      <c r="B121" s="64" t="s">
        <v>367</v>
      </c>
      <c r="C121" s="64" t="s">
        <v>365</v>
      </c>
      <c r="D121" s="64" t="s">
        <v>358</v>
      </c>
      <c r="E121" s="64" t="s">
        <v>203</v>
      </c>
      <c r="F121" s="90">
        <v>3000</v>
      </c>
      <c r="G121" s="90"/>
      <c r="H121" s="90">
        <v>3000</v>
      </c>
      <c r="I121" s="90"/>
      <c r="J121" s="90" t="s">
        <v>365</v>
      </c>
      <c r="K121" s="84">
        <v>3000</v>
      </c>
      <c r="L121" s="90"/>
      <c r="M121" s="64" t="s">
        <v>259</v>
      </c>
    </row>
    <row r="122" spans="1:13" x14ac:dyDescent="0.2">
      <c r="A122" s="71"/>
      <c r="C122" s="87" t="s">
        <v>368</v>
      </c>
      <c r="D122" s="87" t="s">
        <v>369</v>
      </c>
      <c r="E122" s="87" t="s">
        <v>203</v>
      </c>
      <c r="F122" s="88">
        <v>240</v>
      </c>
      <c r="G122" s="88"/>
      <c r="H122" s="88">
        <v>240</v>
      </c>
      <c r="I122" s="88"/>
      <c r="J122" s="88" t="s">
        <v>368</v>
      </c>
      <c r="K122" s="84">
        <v>240</v>
      </c>
      <c r="L122" s="80">
        <f t="shared" si="10"/>
        <v>0</v>
      </c>
      <c r="M122" s="87" t="s">
        <v>338</v>
      </c>
    </row>
    <row r="123" spans="1:13" x14ac:dyDescent="0.2">
      <c r="A123" s="71"/>
      <c r="C123" s="64" t="s">
        <v>368</v>
      </c>
      <c r="D123" s="64" t="s">
        <v>370</v>
      </c>
      <c r="E123" s="64" t="s">
        <v>203</v>
      </c>
      <c r="F123" s="90">
        <v>1232.93</v>
      </c>
      <c r="G123" s="90"/>
      <c r="H123" s="90">
        <v>1232.93</v>
      </c>
      <c r="I123" s="90"/>
      <c r="J123" s="90" t="s">
        <v>368</v>
      </c>
      <c r="K123" s="84">
        <v>1232.93</v>
      </c>
      <c r="L123" s="80">
        <f t="shared" si="10"/>
        <v>0</v>
      </c>
    </row>
    <row r="124" spans="1:13" x14ac:dyDescent="0.2">
      <c r="A124" s="71"/>
      <c r="C124" s="64" t="s">
        <v>368</v>
      </c>
      <c r="D124" s="64" t="s">
        <v>371</v>
      </c>
      <c r="E124" s="64" t="s">
        <v>255</v>
      </c>
      <c r="F124" s="90">
        <v>485.1</v>
      </c>
      <c r="G124" s="90"/>
      <c r="H124" s="90">
        <v>485.1</v>
      </c>
      <c r="I124" s="90"/>
      <c r="J124" s="90" t="s">
        <v>368</v>
      </c>
      <c r="K124" s="84">
        <v>485</v>
      </c>
      <c r="L124" s="90">
        <f t="shared" si="10"/>
        <v>-0.10000000000002274</v>
      </c>
      <c r="M124" s="64" t="s">
        <v>338</v>
      </c>
    </row>
    <row r="125" spans="1:13" x14ac:dyDescent="0.2">
      <c r="A125" s="71"/>
      <c r="C125" s="64" t="s">
        <v>372</v>
      </c>
      <c r="D125" s="64" t="s">
        <v>292</v>
      </c>
      <c r="E125" s="64" t="s">
        <v>373</v>
      </c>
      <c r="F125" s="90">
        <v>3500</v>
      </c>
      <c r="G125" s="90"/>
      <c r="H125" s="90">
        <v>3500</v>
      </c>
      <c r="I125" s="90"/>
      <c r="J125" s="90" t="s">
        <v>372</v>
      </c>
      <c r="K125" s="84">
        <v>3500</v>
      </c>
      <c r="L125" s="90">
        <f t="shared" si="10"/>
        <v>0</v>
      </c>
      <c r="M125" s="64" t="s">
        <v>259</v>
      </c>
    </row>
    <row r="126" spans="1:13" x14ac:dyDescent="0.2">
      <c r="A126" s="71"/>
      <c r="C126" s="64" t="s">
        <v>372</v>
      </c>
      <c r="D126" s="64" t="s">
        <v>374</v>
      </c>
      <c r="E126" s="64" t="s">
        <v>203</v>
      </c>
      <c r="F126" s="90">
        <v>1000</v>
      </c>
      <c r="G126" s="90"/>
      <c r="H126" s="90">
        <v>1000</v>
      </c>
      <c r="I126" s="90"/>
      <c r="J126" s="90" t="s">
        <v>372</v>
      </c>
      <c r="K126" s="84">
        <v>1000</v>
      </c>
      <c r="L126" s="80">
        <f t="shared" si="10"/>
        <v>0</v>
      </c>
    </row>
    <row r="127" spans="1:13" x14ac:dyDescent="0.2">
      <c r="A127" s="71"/>
      <c r="C127" s="64" t="s">
        <v>372</v>
      </c>
      <c r="D127" s="64" t="s">
        <v>292</v>
      </c>
      <c r="E127" s="64" t="s">
        <v>375</v>
      </c>
      <c r="F127" s="90">
        <v>3500</v>
      </c>
      <c r="G127" s="90"/>
      <c r="H127" s="90">
        <v>3500</v>
      </c>
      <c r="I127" s="90"/>
      <c r="J127" s="90" t="s">
        <v>372</v>
      </c>
      <c r="K127" s="84">
        <v>3500</v>
      </c>
      <c r="L127" s="80">
        <f t="shared" si="10"/>
        <v>0</v>
      </c>
    </row>
    <row r="128" spans="1:13" x14ac:dyDescent="0.2">
      <c r="A128" s="71"/>
      <c r="C128" s="64" t="s">
        <v>376</v>
      </c>
      <c r="D128" s="64" t="s">
        <v>289</v>
      </c>
      <c r="E128" s="64" t="s">
        <v>203</v>
      </c>
      <c r="F128" s="90">
        <v>1154.5</v>
      </c>
      <c r="G128" s="90"/>
      <c r="H128" s="90">
        <v>1154.5</v>
      </c>
      <c r="I128" s="90"/>
      <c r="J128" s="90" t="s">
        <v>376</v>
      </c>
      <c r="K128" s="84">
        <v>1154.5</v>
      </c>
      <c r="L128" s="80">
        <f t="shared" si="10"/>
        <v>0</v>
      </c>
    </row>
    <row r="129" spans="1:13" x14ac:dyDescent="0.2">
      <c r="A129" s="71"/>
      <c r="C129" s="64" t="s">
        <v>376</v>
      </c>
      <c r="D129" s="64" t="s">
        <v>377</v>
      </c>
      <c r="E129" s="64" t="s">
        <v>255</v>
      </c>
      <c r="F129" s="90">
        <v>26.6</v>
      </c>
      <c r="G129" s="90">
        <v>40</v>
      </c>
      <c r="H129" s="90">
        <v>30.6</v>
      </c>
      <c r="I129" s="90"/>
      <c r="J129" s="90" t="s">
        <v>376</v>
      </c>
      <c r="K129" s="84">
        <v>30.6</v>
      </c>
      <c r="L129" s="80">
        <f t="shared" si="10"/>
        <v>0</v>
      </c>
    </row>
    <row r="130" spans="1:13" x14ac:dyDescent="0.2">
      <c r="A130" s="71"/>
      <c r="C130" s="64" t="s">
        <v>376</v>
      </c>
      <c r="D130" s="64" t="s">
        <v>287</v>
      </c>
      <c r="E130" s="64" t="s">
        <v>255</v>
      </c>
      <c r="F130" s="90">
        <v>59.75</v>
      </c>
      <c r="G130" s="90">
        <v>8.9499999999999993</v>
      </c>
      <c r="H130" s="90">
        <v>68.7</v>
      </c>
      <c r="I130" s="90"/>
      <c r="J130" s="90" t="s">
        <v>376</v>
      </c>
      <c r="K130" s="84">
        <v>68.7</v>
      </c>
      <c r="L130" s="80">
        <f t="shared" si="10"/>
        <v>0</v>
      </c>
    </row>
    <row r="131" spans="1:13" x14ac:dyDescent="0.2">
      <c r="A131" s="71"/>
      <c r="C131" s="64" t="s">
        <v>378</v>
      </c>
      <c r="D131" s="64" t="s">
        <v>379</v>
      </c>
      <c r="E131" s="64" t="s">
        <v>203</v>
      </c>
      <c r="F131" s="90">
        <v>200</v>
      </c>
      <c r="G131" s="90"/>
      <c r="H131" s="90">
        <v>200</v>
      </c>
      <c r="I131" s="90"/>
      <c r="J131" s="90" t="s">
        <v>378</v>
      </c>
      <c r="K131" s="84">
        <v>200</v>
      </c>
      <c r="L131" s="80">
        <f t="shared" si="10"/>
        <v>0</v>
      </c>
    </row>
    <row r="132" spans="1:13" x14ac:dyDescent="0.2">
      <c r="A132" s="71"/>
      <c r="C132" s="64" t="s">
        <v>378</v>
      </c>
      <c r="D132" s="64" t="s">
        <v>380</v>
      </c>
      <c r="E132" s="64" t="s">
        <v>381</v>
      </c>
      <c r="F132" s="90">
        <v>15000</v>
      </c>
      <c r="G132" s="90"/>
      <c r="H132" s="90">
        <v>15000</v>
      </c>
      <c r="I132" s="90"/>
      <c r="J132" s="90" t="s">
        <v>378</v>
      </c>
      <c r="K132" s="84">
        <v>15000</v>
      </c>
      <c r="L132" s="80">
        <f t="shared" si="10"/>
        <v>0</v>
      </c>
      <c r="M132" s="64" t="s">
        <v>259</v>
      </c>
    </row>
    <row r="133" spans="1:13" x14ac:dyDescent="0.2">
      <c r="A133" s="71"/>
      <c r="C133" s="87" t="s">
        <v>382</v>
      </c>
      <c r="D133" s="87" t="s">
        <v>303</v>
      </c>
      <c r="E133" s="87" t="s">
        <v>304</v>
      </c>
      <c r="F133" s="88">
        <v>15.5</v>
      </c>
      <c r="G133" s="88"/>
      <c r="H133" s="88">
        <v>15.5</v>
      </c>
      <c r="I133" s="88"/>
      <c r="J133" s="88" t="s">
        <v>382</v>
      </c>
      <c r="K133" s="84">
        <v>15.5</v>
      </c>
      <c r="L133" s="80">
        <f t="shared" si="10"/>
        <v>0</v>
      </c>
      <c r="M133" s="87" t="s">
        <v>338</v>
      </c>
    </row>
    <row r="134" spans="1:13" x14ac:dyDescent="0.2">
      <c r="A134" s="71"/>
      <c r="C134" s="64" t="s">
        <v>382</v>
      </c>
      <c r="D134" s="64" t="s">
        <v>383</v>
      </c>
      <c r="E134" s="64" t="s">
        <v>304</v>
      </c>
      <c r="F134" s="90">
        <v>95647.83</v>
      </c>
      <c r="G134" s="90">
        <v>14347.17</v>
      </c>
      <c r="H134" s="90">
        <v>109995</v>
      </c>
      <c r="I134" s="90"/>
      <c r="J134" s="90" t="s">
        <v>382</v>
      </c>
      <c r="K134" s="84">
        <v>109995</v>
      </c>
      <c r="L134" s="90">
        <f t="shared" si="10"/>
        <v>0</v>
      </c>
      <c r="M134" s="64" t="s">
        <v>245</v>
      </c>
    </row>
    <row r="135" spans="1:13" x14ac:dyDescent="0.2">
      <c r="A135" s="71"/>
      <c r="C135" s="64" t="s">
        <v>382</v>
      </c>
      <c r="D135" s="64" t="s">
        <v>358</v>
      </c>
      <c r="F135" s="90">
        <v>5000</v>
      </c>
      <c r="G135" s="90"/>
      <c r="H135" s="90">
        <v>5000</v>
      </c>
      <c r="I135" s="90"/>
      <c r="J135" s="90" t="s">
        <v>382</v>
      </c>
      <c r="K135" s="84">
        <v>5000</v>
      </c>
      <c r="L135" s="90">
        <f t="shared" si="10"/>
        <v>0</v>
      </c>
    </row>
    <row r="136" spans="1:13" x14ac:dyDescent="0.2">
      <c r="A136" s="71"/>
      <c r="C136" s="64" t="s">
        <v>384</v>
      </c>
      <c r="D136" s="64" t="s">
        <v>385</v>
      </c>
      <c r="E136" s="64" t="s">
        <v>386</v>
      </c>
      <c r="F136" s="90">
        <v>117950</v>
      </c>
      <c r="G136" s="90">
        <v>17692.5</v>
      </c>
      <c r="H136" s="90">
        <v>135642.5</v>
      </c>
      <c r="I136" s="90"/>
      <c r="J136" s="90" t="s">
        <v>384</v>
      </c>
      <c r="K136" s="84">
        <v>135642.5</v>
      </c>
      <c r="L136" s="90">
        <f t="shared" si="10"/>
        <v>0</v>
      </c>
      <c r="M136" s="64" t="s">
        <v>245</v>
      </c>
    </row>
    <row r="137" spans="1:13" x14ac:dyDescent="0.2">
      <c r="A137" s="71"/>
      <c r="C137" s="64" t="s">
        <v>384</v>
      </c>
      <c r="D137" s="64" t="s">
        <v>303</v>
      </c>
      <c r="E137" s="64" t="s">
        <v>304</v>
      </c>
      <c r="F137" s="90">
        <v>28</v>
      </c>
      <c r="G137" s="90"/>
      <c r="H137" s="90">
        <v>28</v>
      </c>
      <c r="I137" s="90"/>
      <c r="J137" s="90" t="s">
        <v>384</v>
      </c>
      <c r="K137" s="84">
        <v>28</v>
      </c>
      <c r="L137" s="90">
        <f t="shared" si="10"/>
        <v>0</v>
      </c>
    </row>
    <row r="138" spans="1:13" x14ac:dyDescent="0.2">
      <c r="A138" s="71"/>
      <c r="C138" s="64" t="s">
        <v>387</v>
      </c>
      <c r="D138" s="64" t="s">
        <v>388</v>
      </c>
      <c r="E138" s="64" t="s">
        <v>389</v>
      </c>
      <c r="F138" s="90">
        <v>100</v>
      </c>
      <c r="G138" s="90"/>
      <c r="H138" s="90">
        <v>100</v>
      </c>
      <c r="I138" s="90"/>
      <c r="J138" s="90" t="s">
        <v>387</v>
      </c>
      <c r="K138" s="84"/>
      <c r="L138" s="80">
        <f t="shared" si="10"/>
        <v>-100</v>
      </c>
    </row>
    <row r="139" spans="1:13" x14ac:dyDescent="0.2">
      <c r="A139" s="71"/>
      <c r="C139" s="64" t="s">
        <v>387</v>
      </c>
      <c r="D139" s="64" t="s">
        <v>379</v>
      </c>
      <c r="E139" s="64" t="s">
        <v>203</v>
      </c>
      <c r="F139" s="90">
        <v>300</v>
      </c>
      <c r="G139" s="90"/>
      <c r="H139" s="90">
        <v>300</v>
      </c>
      <c r="I139" s="90"/>
      <c r="J139" s="90" t="s">
        <v>387</v>
      </c>
      <c r="K139" s="84">
        <v>300</v>
      </c>
      <c r="L139" s="80">
        <f t="shared" si="10"/>
        <v>0</v>
      </c>
    </row>
    <row r="140" spans="1:13" x14ac:dyDescent="0.2">
      <c r="A140" s="71"/>
      <c r="C140" s="64" t="s">
        <v>387</v>
      </c>
      <c r="D140" s="64" t="s">
        <v>287</v>
      </c>
      <c r="E140" s="64" t="s">
        <v>203</v>
      </c>
      <c r="F140" s="90">
        <v>1517.99</v>
      </c>
      <c r="G140" s="90"/>
      <c r="H140" s="90">
        <v>1517.99</v>
      </c>
      <c r="I140" s="90"/>
      <c r="J140" s="90" t="s">
        <v>387</v>
      </c>
      <c r="K140" s="84">
        <v>1517.99</v>
      </c>
      <c r="L140" s="80">
        <f t="shared" si="10"/>
        <v>0</v>
      </c>
    </row>
    <row r="141" spans="1:13" x14ac:dyDescent="0.2">
      <c r="A141" s="71"/>
      <c r="C141" s="64" t="s">
        <v>390</v>
      </c>
      <c r="D141" s="64" t="s">
        <v>371</v>
      </c>
      <c r="E141" s="64" t="s">
        <v>269</v>
      </c>
      <c r="F141" s="90">
        <v>69.39</v>
      </c>
      <c r="G141" s="90">
        <v>10.41</v>
      </c>
      <c r="H141" s="90">
        <v>79.8</v>
      </c>
      <c r="I141" s="90"/>
      <c r="J141" s="90" t="s">
        <v>390</v>
      </c>
      <c r="K141" s="84">
        <v>79.8</v>
      </c>
      <c r="L141" s="90">
        <f t="shared" si="10"/>
        <v>0</v>
      </c>
    </row>
    <row r="142" spans="1:13" x14ac:dyDescent="0.2">
      <c r="A142" s="71"/>
      <c r="C142" s="64" t="s">
        <v>390</v>
      </c>
      <c r="D142" s="64" t="s">
        <v>379</v>
      </c>
      <c r="E142" s="64" t="s">
        <v>203</v>
      </c>
      <c r="F142" s="90">
        <v>300</v>
      </c>
      <c r="G142" s="90"/>
      <c r="H142" s="90">
        <v>300</v>
      </c>
      <c r="I142" s="90"/>
      <c r="J142" s="90" t="s">
        <v>390</v>
      </c>
      <c r="K142" s="84">
        <v>300</v>
      </c>
      <c r="L142" s="80">
        <f>K142-H142</f>
        <v>0</v>
      </c>
      <c r="M142" s="64" t="s">
        <v>338</v>
      </c>
    </row>
    <row r="143" spans="1:13" x14ac:dyDescent="0.2">
      <c r="A143" s="71"/>
      <c r="C143" s="64" t="s">
        <v>390</v>
      </c>
      <c r="D143" s="64" t="s">
        <v>379</v>
      </c>
      <c r="E143" s="64" t="s">
        <v>203</v>
      </c>
      <c r="F143" s="90">
        <v>1200</v>
      </c>
      <c r="G143" s="90"/>
      <c r="H143" s="90">
        <v>1200</v>
      </c>
      <c r="I143" s="90"/>
      <c r="J143" s="90" t="s">
        <v>390</v>
      </c>
      <c r="K143" s="84">
        <v>1200</v>
      </c>
      <c r="L143" s="80">
        <f>K143-H143</f>
        <v>0</v>
      </c>
    </row>
    <row r="144" spans="1:13" x14ac:dyDescent="0.2">
      <c r="A144" s="71"/>
      <c r="C144" s="87" t="s">
        <v>390</v>
      </c>
      <c r="D144" s="87" t="s">
        <v>371</v>
      </c>
      <c r="E144" s="87" t="s">
        <v>255</v>
      </c>
      <c r="F144" s="88">
        <v>79.8</v>
      </c>
      <c r="G144" s="88"/>
      <c r="H144" s="88">
        <v>79.8</v>
      </c>
      <c r="I144" s="88"/>
      <c r="J144" s="88" t="s">
        <v>390</v>
      </c>
      <c r="K144" s="84">
        <v>79.8</v>
      </c>
      <c r="L144" s="80">
        <f>K144-H144</f>
        <v>0</v>
      </c>
      <c r="M144" s="87" t="s">
        <v>338</v>
      </c>
    </row>
    <row r="145" spans="1:13" x14ac:dyDescent="0.2">
      <c r="A145" s="71"/>
      <c r="C145" s="64" t="s">
        <v>390</v>
      </c>
      <c r="D145" s="64" t="s">
        <v>328</v>
      </c>
      <c r="E145" s="64" t="s">
        <v>359</v>
      </c>
      <c r="F145" s="90">
        <v>10000</v>
      </c>
      <c r="G145" s="90"/>
      <c r="H145" s="90">
        <v>10000</v>
      </c>
      <c r="I145" s="90"/>
      <c r="J145" s="90" t="s">
        <v>390</v>
      </c>
      <c r="K145" s="84">
        <v>10000</v>
      </c>
      <c r="L145" s="90">
        <f>K145-H145</f>
        <v>0</v>
      </c>
    </row>
    <row r="146" spans="1:13" x14ac:dyDescent="0.2">
      <c r="A146" s="71"/>
      <c r="C146" s="64" t="s">
        <v>390</v>
      </c>
      <c r="D146" s="64" t="s">
        <v>358</v>
      </c>
      <c r="F146" s="90">
        <v>1900</v>
      </c>
      <c r="G146" s="90"/>
      <c r="H146" s="90">
        <v>1900</v>
      </c>
      <c r="I146" s="90"/>
      <c r="J146" s="90" t="s">
        <v>390</v>
      </c>
      <c r="K146" s="84">
        <v>1900</v>
      </c>
      <c r="L146" s="90">
        <f>K146-H146</f>
        <v>0</v>
      </c>
    </row>
    <row r="147" spans="1:13" x14ac:dyDescent="0.2">
      <c r="A147" s="71"/>
      <c r="C147" s="64" t="s">
        <v>391</v>
      </c>
      <c r="D147" s="64" t="s">
        <v>379</v>
      </c>
      <c r="E147" s="64" t="s">
        <v>255</v>
      </c>
      <c r="F147" s="90">
        <v>129.9</v>
      </c>
      <c r="G147" s="90"/>
      <c r="H147" s="90">
        <v>129.9</v>
      </c>
      <c r="I147" s="90"/>
      <c r="J147" s="90" t="s">
        <v>391</v>
      </c>
      <c r="K147" s="84">
        <v>129.9</v>
      </c>
      <c r="L147" s="90">
        <f t="shared" si="10"/>
        <v>0</v>
      </c>
    </row>
    <row r="148" spans="1:13" x14ac:dyDescent="0.2">
      <c r="A148" s="71"/>
      <c r="C148" s="64" t="s">
        <v>391</v>
      </c>
      <c r="D148" s="64" t="s">
        <v>303</v>
      </c>
      <c r="E148" s="64" t="s">
        <v>304</v>
      </c>
      <c r="F148" s="90">
        <v>106.09</v>
      </c>
      <c r="G148" s="90">
        <v>15.91</v>
      </c>
      <c r="H148" s="90">
        <v>122</v>
      </c>
      <c r="I148" s="90"/>
      <c r="J148" s="90" t="s">
        <v>391</v>
      </c>
      <c r="K148" s="84">
        <v>122</v>
      </c>
      <c r="L148" s="90">
        <f t="shared" si="10"/>
        <v>0</v>
      </c>
    </row>
    <row r="149" spans="1:13" x14ac:dyDescent="0.2">
      <c r="A149" s="71"/>
      <c r="C149" s="64" t="s">
        <v>391</v>
      </c>
      <c r="D149" s="64" t="s">
        <v>379</v>
      </c>
      <c r="E149" s="64" t="s">
        <v>203</v>
      </c>
      <c r="F149" s="90">
        <v>300</v>
      </c>
      <c r="G149" s="90"/>
      <c r="H149" s="90">
        <v>300</v>
      </c>
      <c r="I149" s="90"/>
      <c r="J149" s="90" t="s">
        <v>391</v>
      </c>
      <c r="K149" s="84">
        <v>300</v>
      </c>
      <c r="L149" s="90">
        <f t="shared" si="10"/>
        <v>0</v>
      </c>
    </row>
    <row r="150" spans="1:13" x14ac:dyDescent="0.2">
      <c r="A150" s="71"/>
      <c r="C150" s="64" t="s">
        <v>391</v>
      </c>
      <c r="D150" s="64" t="s">
        <v>392</v>
      </c>
      <c r="E150" s="64" t="s">
        <v>269</v>
      </c>
      <c r="F150" s="90">
        <v>112.46</v>
      </c>
      <c r="G150" s="90">
        <v>16.87</v>
      </c>
      <c r="H150" s="90">
        <v>129.33000000000001</v>
      </c>
      <c r="I150" s="90"/>
      <c r="J150" s="90" t="s">
        <v>391</v>
      </c>
      <c r="K150" s="84">
        <v>276.45999999999998</v>
      </c>
      <c r="L150" s="90">
        <f>K150-H150</f>
        <v>147.12999999999997</v>
      </c>
    </row>
    <row r="151" spans="1:13" x14ac:dyDescent="0.2">
      <c r="A151" s="71"/>
      <c r="C151" s="64" t="s">
        <v>391</v>
      </c>
      <c r="D151" s="64" t="s">
        <v>379</v>
      </c>
      <c r="E151" s="64" t="s">
        <v>203</v>
      </c>
      <c r="F151" s="90">
        <v>300</v>
      </c>
      <c r="G151" s="90"/>
      <c r="H151" s="90">
        <v>300</v>
      </c>
      <c r="I151" s="90"/>
      <c r="J151" s="90" t="s">
        <v>391</v>
      </c>
      <c r="K151" s="84">
        <v>300</v>
      </c>
      <c r="L151" s="90">
        <f>K151-H151</f>
        <v>0</v>
      </c>
    </row>
    <row r="152" spans="1:13" x14ac:dyDescent="0.2">
      <c r="A152" s="71"/>
      <c r="B152" s="64" t="s">
        <v>393</v>
      </c>
      <c r="C152" s="64" t="s">
        <v>391</v>
      </c>
      <c r="D152" s="64" t="s">
        <v>394</v>
      </c>
      <c r="E152" s="64" t="s">
        <v>395</v>
      </c>
      <c r="F152" s="90">
        <v>13463.07</v>
      </c>
      <c r="G152" s="90"/>
      <c r="H152" s="90">
        <v>13463.07</v>
      </c>
      <c r="I152" s="90"/>
      <c r="J152" s="90" t="s">
        <v>391</v>
      </c>
      <c r="K152" s="84">
        <v>13463.07</v>
      </c>
      <c r="L152" s="90">
        <f>K152-H152</f>
        <v>0</v>
      </c>
      <c r="M152" s="64" t="s">
        <v>259</v>
      </c>
    </row>
    <row r="153" spans="1:13" x14ac:dyDescent="0.2">
      <c r="A153" s="71"/>
      <c r="C153" s="64" t="s">
        <v>396</v>
      </c>
      <c r="D153" s="64" t="s">
        <v>397</v>
      </c>
      <c r="E153" s="64" t="s">
        <v>203</v>
      </c>
      <c r="F153" s="90">
        <v>1522.25</v>
      </c>
      <c r="G153" s="90"/>
      <c r="H153" s="90">
        <v>1522.25</v>
      </c>
      <c r="I153" s="90"/>
      <c r="J153" s="90" t="s">
        <v>396</v>
      </c>
      <c r="K153" s="84">
        <v>1522.25</v>
      </c>
      <c r="L153" s="80">
        <f t="shared" si="10"/>
        <v>0</v>
      </c>
    </row>
    <row r="154" spans="1:13" x14ac:dyDescent="0.2">
      <c r="A154" s="71"/>
      <c r="C154" s="87" t="s">
        <v>398</v>
      </c>
      <c r="D154" s="87" t="s">
        <v>379</v>
      </c>
      <c r="E154" s="87" t="s">
        <v>255</v>
      </c>
      <c r="F154" s="88">
        <v>74.95</v>
      </c>
      <c r="G154" s="88"/>
      <c r="H154" s="88">
        <v>74.95</v>
      </c>
      <c r="I154" s="88"/>
      <c r="J154" s="88" t="s">
        <v>398</v>
      </c>
      <c r="K154" s="84">
        <v>74.95</v>
      </c>
      <c r="L154" s="80">
        <f t="shared" si="10"/>
        <v>0</v>
      </c>
      <c r="M154" s="87" t="s">
        <v>338</v>
      </c>
    </row>
    <row r="155" spans="1:13" x14ac:dyDescent="0.2">
      <c r="A155" s="71"/>
      <c r="C155" s="87"/>
      <c r="D155" s="87" t="s">
        <v>399</v>
      </c>
      <c r="E155" s="87" t="s">
        <v>269</v>
      </c>
      <c r="F155" s="88">
        <v>71.98</v>
      </c>
      <c r="G155" s="88"/>
      <c r="H155" s="88">
        <v>71.98</v>
      </c>
      <c r="I155" s="88"/>
      <c r="J155" s="88"/>
      <c r="K155" s="84">
        <v>71.98</v>
      </c>
      <c r="L155" s="80">
        <f t="shared" si="10"/>
        <v>0</v>
      </c>
      <c r="M155" s="87" t="s">
        <v>338</v>
      </c>
    </row>
    <row r="156" spans="1:13" x14ac:dyDescent="0.2">
      <c r="A156" s="71"/>
      <c r="C156" s="87"/>
      <c r="D156" s="87" t="s">
        <v>400</v>
      </c>
      <c r="E156" s="87" t="s">
        <v>269</v>
      </c>
      <c r="F156" s="88">
        <v>1922.43</v>
      </c>
      <c r="G156" s="88"/>
      <c r="H156" s="88">
        <v>1922.43</v>
      </c>
      <c r="I156" s="88"/>
      <c r="J156" s="88"/>
      <c r="K156" s="84">
        <v>1922.43</v>
      </c>
      <c r="L156" s="80">
        <f t="shared" si="10"/>
        <v>0</v>
      </c>
      <c r="M156" s="87" t="s">
        <v>338</v>
      </c>
    </row>
    <row r="157" spans="1:13" x14ac:dyDescent="0.2">
      <c r="A157" s="71"/>
      <c r="C157" s="64" t="s">
        <v>398</v>
      </c>
      <c r="D157" s="64" t="s">
        <v>379</v>
      </c>
      <c r="E157" s="64" t="s">
        <v>203</v>
      </c>
      <c r="F157" s="90">
        <v>300</v>
      </c>
      <c r="G157" s="90"/>
      <c r="H157" s="90">
        <v>300</v>
      </c>
      <c r="I157" s="90"/>
      <c r="J157" s="90" t="s">
        <v>398</v>
      </c>
      <c r="K157" s="84">
        <v>300</v>
      </c>
      <c r="L157" s="90">
        <f t="shared" si="10"/>
        <v>0</v>
      </c>
    </row>
    <row r="158" spans="1:13" x14ac:dyDescent="0.2">
      <c r="A158" s="71"/>
      <c r="B158" s="64" t="s">
        <v>401</v>
      </c>
      <c r="C158" s="64" t="s">
        <v>402</v>
      </c>
      <c r="D158" s="64" t="s">
        <v>403</v>
      </c>
      <c r="E158" s="64" t="s">
        <v>404</v>
      </c>
      <c r="F158" s="90">
        <v>7568.12</v>
      </c>
      <c r="G158" s="90">
        <v>1135.22</v>
      </c>
      <c r="H158" s="90">
        <v>8703</v>
      </c>
      <c r="I158" s="90"/>
      <c r="J158" s="90" t="s">
        <v>402</v>
      </c>
      <c r="K158" s="84">
        <v>8703</v>
      </c>
      <c r="L158" s="90">
        <f t="shared" si="10"/>
        <v>0</v>
      </c>
      <c r="M158" s="64" t="s">
        <v>245</v>
      </c>
    </row>
    <row r="159" spans="1:13" x14ac:dyDescent="0.2">
      <c r="A159" s="71"/>
      <c r="C159" s="64" t="s">
        <v>405</v>
      </c>
      <c r="D159" s="64" t="s">
        <v>406</v>
      </c>
      <c r="E159" s="64" t="s">
        <v>407</v>
      </c>
      <c r="F159" s="90">
        <v>104.99</v>
      </c>
      <c r="G159" s="90"/>
      <c r="H159" s="90">
        <v>104.99</v>
      </c>
      <c r="I159" s="90"/>
      <c r="J159" s="90" t="s">
        <v>405</v>
      </c>
      <c r="K159" s="84">
        <v>104.99</v>
      </c>
      <c r="L159" s="90">
        <f t="shared" si="10"/>
        <v>0</v>
      </c>
    </row>
    <row r="160" spans="1:13" x14ac:dyDescent="0.2">
      <c r="A160" s="71"/>
      <c r="C160" s="64" t="s">
        <v>396</v>
      </c>
      <c r="D160" s="64" t="s">
        <v>287</v>
      </c>
      <c r="E160" s="64" t="s">
        <v>230</v>
      </c>
      <c r="F160" s="90">
        <v>16.96</v>
      </c>
      <c r="G160" s="90">
        <v>2.54</v>
      </c>
      <c r="H160" s="90">
        <v>19.5</v>
      </c>
      <c r="I160" s="90"/>
      <c r="J160" s="90" t="s">
        <v>396</v>
      </c>
      <c r="K160" s="84">
        <v>50</v>
      </c>
      <c r="L160" s="80">
        <f t="shared" si="10"/>
        <v>30.5</v>
      </c>
    </row>
    <row r="161" spans="1:13" x14ac:dyDescent="0.2">
      <c r="A161" s="71"/>
      <c r="C161" s="64" t="s">
        <v>408</v>
      </c>
      <c r="D161" s="64" t="s">
        <v>379</v>
      </c>
      <c r="E161" s="64" t="s">
        <v>203</v>
      </c>
      <c r="F161" s="90">
        <v>3010.97</v>
      </c>
      <c r="G161" s="90"/>
      <c r="H161" s="90">
        <v>3010.97</v>
      </c>
      <c r="I161" s="90"/>
      <c r="J161" s="90" t="s">
        <v>408</v>
      </c>
      <c r="K161" s="84">
        <v>3010.97</v>
      </c>
      <c r="L161" s="80">
        <f t="shared" si="10"/>
        <v>0</v>
      </c>
    </row>
    <row r="162" spans="1:13" x14ac:dyDescent="0.2">
      <c r="A162" s="71"/>
      <c r="C162" s="64" t="s">
        <v>408</v>
      </c>
      <c r="D162" s="64" t="s">
        <v>379</v>
      </c>
      <c r="E162" s="64" t="s">
        <v>203</v>
      </c>
      <c r="F162" s="90">
        <v>200</v>
      </c>
      <c r="G162" s="90"/>
      <c r="H162" s="90">
        <v>200</v>
      </c>
      <c r="I162" s="90"/>
      <c r="J162" s="90" t="s">
        <v>408</v>
      </c>
      <c r="K162" s="84">
        <v>200</v>
      </c>
      <c r="L162" s="80">
        <f t="shared" si="10"/>
        <v>0</v>
      </c>
    </row>
    <row r="163" spans="1:13" x14ac:dyDescent="0.2">
      <c r="A163" s="71"/>
      <c r="C163" s="64" t="s">
        <v>408</v>
      </c>
      <c r="D163" s="64" t="s">
        <v>388</v>
      </c>
      <c r="E163" s="64" t="s">
        <v>409</v>
      </c>
      <c r="F163" s="90">
        <v>30</v>
      </c>
      <c r="G163" s="90"/>
      <c r="H163" s="90">
        <v>30</v>
      </c>
      <c r="I163" s="90"/>
      <c r="J163" s="90" t="s">
        <v>408</v>
      </c>
      <c r="K163" s="84">
        <v>30</v>
      </c>
      <c r="L163" s="80">
        <f t="shared" si="10"/>
        <v>0</v>
      </c>
    </row>
    <row r="164" spans="1:13" x14ac:dyDescent="0.2">
      <c r="A164" s="71"/>
      <c r="C164" s="64" t="s">
        <v>408</v>
      </c>
      <c r="D164" s="64" t="s">
        <v>371</v>
      </c>
      <c r="E164" s="64" t="s">
        <v>269</v>
      </c>
      <c r="F164" s="90">
        <v>82.8</v>
      </c>
      <c r="G164" s="90"/>
      <c r="H164" s="90">
        <v>82.8</v>
      </c>
      <c r="I164" s="90"/>
      <c r="J164" s="90" t="s">
        <v>408</v>
      </c>
      <c r="K164" s="84">
        <v>82.8</v>
      </c>
      <c r="L164" s="80">
        <f t="shared" si="10"/>
        <v>0</v>
      </c>
    </row>
    <row r="165" spans="1:13" x14ac:dyDescent="0.2">
      <c r="A165" s="71"/>
      <c r="C165" s="64" t="s">
        <v>410</v>
      </c>
      <c r="D165" s="64" t="s">
        <v>411</v>
      </c>
      <c r="E165" s="64" t="s">
        <v>412</v>
      </c>
      <c r="F165" s="90">
        <v>2140</v>
      </c>
      <c r="G165" s="90"/>
      <c r="H165" s="90">
        <v>2140</v>
      </c>
      <c r="I165" s="90"/>
      <c r="J165" s="90" t="s">
        <v>410</v>
      </c>
      <c r="K165" s="84">
        <v>2140</v>
      </c>
      <c r="L165" s="80">
        <f t="shared" si="10"/>
        <v>0</v>
      </c>
    </row>
    <row r="166" spans="1:13" x14ac:dyDescent="0.2">
      <c r="A166" s="71"/>
      <c r="B166" s="64" t="s">
        <v>413</v>
      </c>
      <c r="C166" s="64" t="s">
        <v>410</v>
      </c>
      <c r="D166" s="64" t="s">
        <v>414</v>
      </c>
      <c r="E166" s="64" t="s">
        <v>415</v>
      </c>
      <c r="F166" s="90">
        <v>32379</v>
      </c>
      <c r="G166" s="90"/>
      <c r="H166" s="90">
        <v>32379</v>
      </c>
      <c r="I166" s="90"/>
      <c r="J166" s="90" t="s">
        <v>410</v>
      </c>
      <c r="K166" s="84">
        <v>32379</v>
      </c>
      <c r="L166" s="80">
        <f t="shared" si="10"/>
        <v>0</v>
      </c>
      <c r="M166" s="64" t="s">
        <v>245</v>
      </c>
    </row>
    <row r="167" spans="1:13" x14ac:dyDescent="0.2">
      <c r="A167" s="71"/>
      <c r="B167" s="64" t="s">
        <v>416</v>
      </c>
      <c r="C167" s="64" t="s">
        <v>417</v>
      </c>
      <c r="D167" s="64" t="s">
        <v>418</v>
      </c>
      <c r="E167" s="64" t="s">
        <v>419</v>
      </c>
      <c r="F167" s="90">
        <v>3743.48</v>
      </c>
      <c r="G167" s="90">
        <v>561.52</v>
      </c>
      <c r="H167" s="90">
        <v>4305</v>
      </c>
      <c r="I167" s="90"/>
      <c r="J167" s="90" t="s">
        <v>410</v>
      </c>
      <c r="K167" s="84">
        <v>4305</v>
      </c>
      <c r="L167" s="80">
        <f t="shared" si="10"/>
        <v>0</v>
      </c>
      <c r="M167" s="64" t="s">
        <v>245</v>
      </c>
    </row>
    <row r="168" spans="1:13" x14ac:dyDescent="0.2">
      <c r="A168" s="71"/>
      <c r="C168" s="64" t="s">
        <v>410</v>
      </c>
      <c r="D168" s="64" t="s">
        <v>420</v>
      </c>
      <c r="E168" s="64" t="s">
        <v>421</v>
      </c>
      <c r="F168" s="90">
        <v>2140</v>
      </c>
      <c r="G168" s="90"/>
      <c r="H168" s="90">
        <v>2140</v>
      </c>
      <c r="I168" s="90"/>
      <c r="J168" s="90" t="s">
        <v>410</v>
      </c>
      <c r="K168" s="84">
        <v>2140</v>
      </c>
      <c r="L168" s="80">
        <f t="shared" si="10"/>
        <v>0</v>
      </c>
    </row>
    <row r="169" spans="1:13" x14ac:dyDescent="0.2">
      <c r="A169" s="71"/>
      <c r="C169" s="64" t="s">
        <v>422</v>
      </c>
      <c r="D169" s="64" t="s">
        <v>345</v>
      </c>
      <c r="E169" s="64" t="s">
        <v>269</v>
      </c>
      <c r="F169" s="90">
        <v>203.54</v>
      </c>
      <c r="G169" s="90"/>
      <c r="H169" s="90">
        <v>203.54</v>
      </c>
      <c r="I169" s="90"/>
      <c r="J169" s="90" t="s">
        <v>422</v>
      </c>
      <c r="K169" s="84">
        <v>203.54</v>
      </c>
      <c r="L169" s="80">
        <f t="shared" si="10"/>
        <v>0</v>
      </c>
    </row>
    <row r="170" spans="1:13" x14ac:dyDescent="0.2">
      <c r="A170" s="71"/>
      <c r="C170" s="64" t="s">
        <v>422</v>
      </c>
      <c r="D170" s="64" t="s">
        <v>379</v>
      </c>
      <c r="E170" s="64" t="s">
        <v>203</v>
      </c>
      <c r="F170" s="90">
        <v>200</v>
      </c>
      <c r="G170" s="90"/>
      <c r="H170" s="90">
        <v>200</v>
      </c>
      <c r="I170" s="90"/>
      <c r="J170" s="90" t="s">
        <v>422</v>
      </c>
      <c r="K170" s="84">
        <v>200</v>
      </c>
      <c r="L170" s="80">
        <f t="shared" si="10"/>
        <v>0</v>
      </c>
    </row>
    <row r="171" spans="1:13" x14ac:dyDescent="0.2">
      <c r="A171" s="71"/>
      <c r="C171" s="64" t="s">
        <v>422</v>
      </c>
      <c r="D171" s="64" t="s">
        <v>379</v>
      </c>
      <c r="E171" s="64" t="s">
        <v>203</v>
      </c>
      <c r="F171" s="90">
        <v>200</v>
      </c>
      <c r="G171" s="90"/>
      <c r="H171" s="90">
        <v>200</v>
      </c>
      <c r="I171" s="90"/>
      <c r="J171" s="90" t="s">
        <v>422</v>
      </c>
      <c r="K171" s="84">
        <v>200</v>
      </c>
      <c r="L171" s="80">
        <f t="shared" si="10"/>
        <v>0</v>
      </c>
    </row>
    <row r="172" spans="1:13" x14ac:dyDescent="0.2">
      <c r="A172" s="71"/>
      <c r="C172" s="64" t="s">
        <v>422</v>
      </c>
      <c r="D172" s="64" t="s">
        <v>358</v>
      </c>
      <c r="F172" s="90">
        <v>2600</v>
      </c>
      <c r="G172" s="90"/>
      <c r="H172" s="90">
        <v>2600</v>
      </c>
      <c r="I172" s="90"/>
      <c r="J172" s="90" t="s">
        <v>422</v>
      </c>
      <c r="K172" s="84">
        <v>2600</v>
      </c>
      <c r="L172" s="80">
        <f t="shared" si="10"/>
        <v>0</v>
      </c>
    </row>
    <row r="173" spans="1:13" x14ac:dyDescent="0.2">
      <c r="A173" s="71"/>
      <c r="C173" s="64" t="s">
        <v>423</v>
      </c>
      <c r="D173" s="64" t="s">
        <v>337</v>
      </c>
      <c r="F173" s="90">
        <v>2140</v>
      </c>
      <c r="G173" s="90"/>
      <c r="H173" s="90">
        <v>2140</v>
      </c>
      <c r="I173" s="90"/>
      <c r="J173" s="90" t="s">
        <v>423</v>
      </c>
      <c r="K173" s="84">
        <v>2140</v>
      </c>
      <c r="L173" s="80">
        <f t="shared" si="10"/>
        <v>0</v>
      </c>
    </row>
    <row r="174" spans="1:13" x14ac:dyDescent="0.2">
      <c r="A174" s="71"/>
      <c r="B174" s="64" t="s">
        <v>424</v>
      </c>
      <c r="C174" s="64" t="s">
        <v>425</v>
      </c>
      <c r="D174" s="64" t="s">
        <v>426</v>
      </c>
      <c r="E174" s="64" t="s">
        <v>427</v>
      </c>
      <c r="F174" s="90">
        <v>2500</v>
      </c>
      <c r="G174" s="90"/>
      <c r="H174" s="90">
        <v>2500</v>
      </c>
      <c r="I174" s="90"/>
      <c r="J174" s="90" t="s">
        <v>425</v>
      </c>
      <c r="K174" s="84">
        <v>2500</v>
      </c>
      <c r="L174" s="80">
        <f t="shared" si="10"/>
        <v>0</v>
      </c>
      <c r="M174" s="64" t="s">
        <v>259</v>
      </c>
    </row>
    <row r="175" spans="1:13" x14ac:dyDescent="0.2">
      <c r="A175" s="71"/>
      <c r="B175" s="64" t="s">
        <v>428</v>
      </c>
      <c r="C175" s="64" t="s">
        <v>425</v>
      </c>
      <c r="D175" s="64" t="s">
        <v>302</v>
      </c>
      <c r="E175" s="64" t="s">
        <v>429</v>
      </c>
      <c r="F175" s="90">
        <v>23010</v>
      </c>
      <c r="G175" s="90"/>
      <c r="H175" s="90">
        <v>23010</v>
      </c>
      <c r="I175" s="90"/>
      <c r="J175" s="90" t="s">
        <v>425</v>
      </c>
      <c r="K175" s="84">
        <v>23010</v>
      </c>
      <c r="L175" s="80">
        <f t="shared" si="10"/>
        <v>0</v>
      </c>
      <c r="M175" s="64" t="s">
        <v>245</v>
      </c>
    </row>
    <row r="176" spans="1:13" x14ac:dyDescent="0.2">
      <c r="A176" s="71"/>
      <c r="B176" s="64" t="s">
        <v>430</v>
      </c>
      <c r="C176" s="64" t="s">
        <v>425</v>
      </c>
      <c r="D176" s="64" t="s">
        <v>303</v>
      </c>
      <c r="E176" s="64" t="s">
        <v>304</v>
      </c>
      <c r="F176" s="90">
        <v>358.7</v>
      </c>
      <c r="G176" s="90">
        <v>53.8</v>
      </c>
      <c r="H176" s="90">
        <v>412.5</v>
      </c>
      <c r="I176" s="90"/>
      <c r="J176" s="90" t="s">
        <v>425</v>
      </c>
      <c r="K176" s="84">
        <v>412.5</v>
      </c>
      <c r="L176" s="80">
        <f t="shared" si="10"/>
        <v>0</v>
      </c>
      <c r="M176" s="64" t="s">
        <v>245</v>
      </c>
    </row>
    <row r="177" spans="1:13" x14ac:dyDescent="0.2">
      <c r="A177" s="71"/>
      <c r="B177" s="64" t="s">
        <v>431</v>
      </c>
      <c r="D177" s="64" t="s">
        <v>358</v>
      </c>
      <c r="E177" s="64" t="s">
        <v>432</v>
      </c>
      <c r="F177" s="90">
        <v>2200</v>
      </c>
      <c r="G177" s="90"/>
      <c r="H177" s="90">
        <v>2200</v>
      </c>
      <c r="I177" s="90"/>
      <c r="J177" s="90"/>
      <c r="K177" s="84">
        <v>2200</v>
      </c>
      <c r="L177" s="80">
        <f t="shared" si="10"/>
        <v>0</v>
      </c>
    </row>
    <row r="178" spans="1:13" x14ac:dyDescent="0.2">
      <c r="A178" s="71"/>
      <c r="C178" s="64" t="s">
        <v>433</v>
      </c>
      <c r="D178" s="64" t="s">
        <v>379</v>
      </c>
      <c r="F178" s="80">
        <v>74.95</v>
      </c>
      <c r="G178" s="80"/>
      <c r="H178" s="80">
        <v>74.95</v>
      </c>
      <c r="I178" s="80"/>
      <c r="J178" s="80"/>
      <c r="K178" s="84">
        <v>74.95</v>
      </c>
      <c r="L178" s="80">
        <f t="shared" si="10"/>
        <v>0</v>
      </c>
    </row>
    <row r="179" spans="1:13" x14ac:dyDescent="0.2">
      <c r="A179" s="71"/>
      <c r="C179" s="64" t="s">
        <v>433</v>
      </c>
      <c r="D179" s="64" t="s">
        <v>379</v>
      </c>
      <c r="E179" s="64" t="s">
        <v>203</v>
      </c>
      <c r="F179" s="80">
        <v>500</v>
      </c>
      <c r="G179" s="80"/>
      <c r="H179" s="80">
        <v>500</v>
      </c>
      <c r="I179" s="80"/>
      <c r="J179" s="80" t="s">
        <v>433</v>
      </c>
      <c r="K179" s="84">
        <v>500</v>
      </c>
      <c r="L179" s="80"/>
    </row>
    <row r="180" spans="1:13" x14ac:dyDescent="0.2">
      <c r="A180" s="71"/>
      <c r="C180" s="64" t="s">
        <v>433</v>
      </c>
      <c r="D180" s="64" t="s">
        <v>434</v>
      </c>
      <c r="E180" s="64" t="s">
        <v>203</v>
      </c>
      <c r="F180" s="80">
        <v>1385.15</v>
      </c>
      <c r="G180" s="80"/>
      <c r="H180" s="80">
        <v>1385.15</v>
      </c>
      <c r="I180" s="80"/>
      <c r="J180" s="80" t="s">
        <v>433</v>
      </c>
      <c r="K180" s="84">
        <v>1385.15</v>
      </c>
      <c r="L180" s="80"/>
    </row>
    <row r="181" spans="1:13" x14ac:dyDescent="0.2">
      <c r="A181" s="71"/>
      <c r="C181" s="64" t="s">
        <v>435</v>
      </c>
      <c r="D181" s="64" t="s">
        <v>303</v>
      </c>
      <c r="E181" s="64" t="s">
        <v>304</v>
      </c>
      <c r="F181" s="80">
        <v>295.5</v>
      </c>
      <c r="G181" s="80"/>
      <c r="H181" s="80">
        <v>295.5</v>
      </c>
      <c r="I181" s="80"/>
      <c r="J181" s="80" t="s">
        <v>435</v>
      </c>
      <c r="K181" s="84">
        <v>295.5</v>
      </c>
      <c r="L181" s="80"/>
    </row>
    <row r="182" spans="1:13" x14ac:dyDescent="0.2">
      <c r="A182" s="71"/>
      <c r="C182" s="64" t="s">
        <v>436</v>
      </c>
      <c r="D182" s="64" t="s">
        <v>437</v>
      </c>
      <c r="E182" s="64" t="s">
        <v>438</v>
      </c>
      <c r="F182" s="80">
        <v>1250</v>
      </c>
      <c r="G182" s="80"/>
      <c r="H182" s="80">
        <v>1250</v>
      </c>
      <c r="I182" s="80"/>
      <c r="J182" s="80" t="s">
        <v>436</v>
      </c>
      <c r="K182" s="84">
        <v>1250</v>
      </c>
      <c r="L182" s="80"/>
      <c r="M182" s="64" t="s">
        <v>245</v>
      </c>
    </row>
    <row r="183" spans="1:13" x14ac:dyDescent="0.2">
      <c r="A183" s="71"/>
      <c r="C183" s="64" t="s">
        <v>436</v>
      </c>
      <c r="D183" s="64" t="s">
        <v>439</v>
      </c>
      <c r="E183" s="64" t="s">
        <v>269</v>
      </c>
      <c r="F183" s="80">
        <v>6.52</v>
      </c>
      <c r="G183" s="80">
        <v>0.98</v>
      </c>
      <c r="H183" s="80">
        <v>7.5</v>
      </c>
      <c r="I183" s="80"/>
      <c r="J183" s="80" t="s">
        <v>436</v>
      </c>
      <c r="K183" s="84">
        <v>10</v>
      </c>
      <c r="L183" s="80">
        <f>K183-H183</f>
        <v>2.5</v>
      </c>
    </row>
    <row r="184" spans="1:13" x14ac:dyDescent="0.2">
      <c r="A184" s="71"/>
      <c r="C184" s="64" t="s">
        <v>440</v>
      </c>
      <c r="D184" s="64" t="s">
        <v>303</v>
      </c>
      <c r="E184" s="64" t="s">
        <v>304</v>
      </c>
      <c r="F184" s="80">
        <v>254</v>
      </c>
      <c r="G184" s="80"/>
      <c r="H184" s="80">
        <v>254</v>
      </c>
      <c r="I184" s="80"/>
      <c r="J184" s="80" t="s">
        <v>440</v>
      </c>
      <c r="K184" s="84">
        <v>254</v>
      </c>
      <c r="L184" s="80"/>
    </row>
    <row r="185" spans="1:13" x14ac:dyDescent="0.2">
      <c r="A185" s="71"/>
      <c r="C185" s="64" t="s">
        <v>440</v>
      </c>
      <c r="D185" s="64" t="s">
        <v>317</v>
      </c>
      <c r="E185" s="64" t="s">
        <v>203</v>
      </c>
      <c r="F185" s="80">
        <v>1397</v>
      </c>
      <c r="G185" s="80"/>
      <c r="H185" s="80">
        <v>1397</v>
      </c>
      <c r="I185" s="80"/>
      <c r="J185" s="80" t="s">
        <v>440</v>
      </c>
      <c r="K185" s="84">
        <v>1397</v>
      </c>
      <c r="L185" s="80"/>
    </row>
    <row r="186" spans="1:13" x14ac:dyDescent="0.2">
      <c r="A186" s="71"/>
      <c r="C186" s="64" t="s">
        <v>440</v>
      </c>
      <c r="D186" s="64" t="s">
        <v>441</v>
      </c>
      <c r="F186" s="80">
        <v>35</v>
      </c>
      <c r="G186" s="80"/>
      <c r="H186" s="80">
        <v>35</v>
      </c>
      <c r="I186" s="80"/>
      <c r="J186" s="80" t="s">
        <v>440</v>
      </c>
      <c r="K186" s="84">
        <v>35</v>
      </c>
      <c r="L186" s="80"/>
    </row>
    <row r="187" spans="1:13" x14ac:dyDescent="0.2">
      <c r="A187" s="71"/>
      <c r="C187" s="64" t="s">
        <v>442</v>
      </c>
      <c r="D187" s="64" t="s">
        <v>443</v>
      </c>
      <c r="E187" s="64" t="s">
        <v>203</v>
      </c>
      <c r="F187" s="80">
        <v>350</v>
      </c>
      <c r="G187" s="80"/>
      <c r="H187" s="80">
        <v>350</v>
      </c>
      <c r="I187" s="80"/>
      <c r="J187" s="80" t="s">
        <v>442</v>
      </c>
      <c r="K187" s="84">
        <v>350</v>
      </c>
      <c r="L187" s="80"/>
    </row>
    <row r="188" spans="1:13" x14ac:dyDescent="0.2">
      <c r="A188" s="71"/>
      <c r="C188" s="64" t="s">
        <v>442</v>
      </c>
      <c r="D188" s="64" t="s">
        <v>444</v>
      </c>
      <c r="E188" s="64" t="s">
        <v>203</v>
      </c>
      <c r="F188" s="80">
        <v>200</v>
      </c>
      <c r="G188" s="80"/>
      <c r="H188" s="80">
        <v>200</v>
      </c>
      <c r="I188" s="80"/>
      <c r="J188" s="80" t="s">
        <v>442</v>
      </c>
      <c r="K188" s="84">
        <v>200</v>
      </c>
      <c r="L188" s="80"/>
    </row>
    <row r="189" spans="1:13" x14ac:dyDescent="0.2">
      <c r="A189" s="71"/>
      <c r="C189" s="64" t="s">
        <v>442</v>
      </c>
      <c r="D189" s="64" t="s">
        <v>445</v>
      </c>
      <c r="E189" s="64" t="s">
        <v>203</v>
      </c>
      <c r="F189" s="80">
        <v>300</v>
      </c>
      <c r="G189" s="80"/>
      <c r="H189" s="80">
        <v>300</v>
      </c>
      <c r="I189" s="80"/>
      <c r="J189" s="80" t="s">
        <v>442</v>
      </c>
      <c r="K189" s="84">
        <v>300</v>
      </c>
      <c r="L189" s="80"/>
    </row>
    <row r="190" spans="1:13" x14ac:dyDescent="0.2">
      <c r="A190" s="71"/>
      <c r="B190" s="64" t="s">
        <v>446</v>
      </c>
      <c r="C190" s="64" t="s">
        <v>447</v>
      </c>
      <c r="D190" s="64" t="s">
        <v>292</v>
      </c>
      <c r="E190" s="64" t="s">
        <v>280</v>
      </c>
      <c r="F190" s="80">
        <v>24000</v>
      </c>
      <c r="G190" s="80"/>
      <c r="H190" s="80">
        <v>24000</v>
      </c>
      <c r="I190" s="80"/>
      <c r="J190" s="80" t="s">
        <v>447</v>
      </c>
      <c r="K190" s="84">
        <v>24000</v>
      </c>
      <c r="L190" s="80"/>
    </row>
    <row r="191" spans="1:13" x14ac:dyDescent="0.2">
      <c r="A191" s="71"/>
      <c r="C191" s="64" t="s">
        <v>447</v>
      </c>
      <c r="D191" s="64" t="s">
        <v>448</v>
      </c>
      <c r="E191" s="64" t="s">
        <v>203</v>
      </c>
      <c r="F191" s="80">
        <v>200</v>
      </c>
      <c r="G191" s="80"/>
      <c r="H191" s="80">
        <v>200</v>
      </c>
      <c r="I191" s="80"/>
      <c r="J191" s="80" t="s">
        <v>447</v>
      </c>
      <c r="K191" s="84">
        <v>200</v>
      </c>
      <c r="L191" s="80"/>
    </row>
    <row r="192" spans="1:13" x14ac:dyDescent="0.2">
      <c r="A192" s="71"/>
      <c r="F192" s="80"/>
      <c r="G192" s="80"/>
      <c r="H192" s="80"/>
      <c r="I192" s="80"/>
      <c r="J192" s="80"/>
      <c r="K192" s="84"/>
      <c r="L192" s="80"/>
    </row>
    <row r="193" spans="1:13" x14ac:dyDescent="0.2">
      <c r="A193" s="71"/>
      <c r="F193" s="80"/>
      <c r="G193" s="80"/>
      <c r="H193" s="80"/>
      <c r="I193" s="80"/>
      <c r="J193" s="80"/>
      <c r="K193" s="84"/>
      <c r="L193" s="80"/>
    </row>
    <row r="194" spans="1:13" x14ac:dyDescent="0.2">
      <c r="A194" s="71"/>
      <c r="F194" s="80"/>
      <c r="G194" s="80"/>
      <c r="H194" s="80"/>
      <c r="I194" s="80"/>
      <c r="J194" s="80"/>
      <c r="K194" s="84"/>
      <c r="L194" s="80"/>
    </row>
    <row r="195" spans="1:13" x14ac:dyDescent="0.2">
      <c r="A195" s="71"/>
      <c r="F195" s="75">
        <f>SUM(F115:F194)</f>
        <v>419548.90000000008</v>
      </c>
      <c r="G195" s="75">
        <f t="shared" ref="G195:L195" si="11">SUM(G117:G194)</f>
        <v>33885.870000000003</v>
      </c>
      <c r="H195" s="75">
        <f t="shared" si="11"/>
        <v>438398.43</v>
      </c>
      <c r="I195" s="75">
        <f t="shared" si="11"/>
        <v>0</v>
      </c>
      <c r="J195" s="75">
        <f t="shared" si="11"/>
        <v>0</v>
      </c>
      <c r="K195" s="76">
        <f t="shared" si="11"/>
        <v>438478.45999999996</v>
      </c>
      <c r="L195" s="75">
        <f t="shared" si="11"/>
        <v>80.029999999999944</v>
      </c>
    </row>
    <row r="196" spans="1:13" x14ac:dyDescent="0.2">
      <c r="A196" s="71"/>
      <c r="F196" s="82"/>
      <c r="G196" s="82"/>
      <c r="H196" s="82"/>
      <c r="I196" s="82"/>
      <c r="J196" s="82"/>
      <c r="K196" s="83"/>
      <c r="L196" s="82"/>
    </row>
    <row r="197" spans="1:13" x14ac:dyDescent="0.2">
      <c r="A197" s="71"/>
      <c r="E197" s="65" t="s">
        <v>262</v>
      </c>
      <c r="F197" s="82">
        <f>F195+F113</f>
        <v>1310882.7530000003</v>
      </c>
      <c r="G197" s="82">
        <f t="shared" ref="G197:L197" si="12">G195+G113</f>
        <v>129649.80000000002</v>
      </c>
      <c r="H197" s="82">
        <f t="shared" si="12"/>
        <v>1416952.9300000002</v>
      </c>
      <c r="I197" s="82">
        <f t="shared" si="12"/>
        <v>0</v>
      </c>
      <c r="J197" s="82">
        <f t="shared" si="12"/>
        <v>0</v>
      </c>
      <c r="K197" s="82">
        <f t="shared" si="12"/>
        <v>1427006.07</v>
      </c>
      <c r="L197" s="82">
        <f t="shared" si="12"/>
        <v>10053.14</v>
      </c>
    </row>
    <row r="198" spans="1:13" x14ac:dyDescent="0.2">
      <c r="A198" s="71"/>
      <c r="F198" s="80"/>
      <c r="G198" s="80"/>
      <c r="H198" s="80"/>
      <c r="I198" s="80"/>
      <c r="J198" s="80"/>
      <c r="K198" s="84"/>
      <c r="L198" s="80"/>
    </row>
    <row r="199" spans="1:13" x14ac:dyDescent="0.2">
      <c r="A199" s="71"/>
      <c r="C199" s="64">
        <v>0</v>
      </c>
      <c r="F199" s="80"/>
      <c r="G199" s="80"/>
      <c r="H199" s="80"/>
      <c r="I199" s="80"/>
      <c r="J199" s="80"/>
      <c r="K199" s="84"/>
      <c r="L199" s="80"/>
    </row>
    <row r="200" spans="1:13" x14ac:dyDescent="0.2">
      <c r="A200" s="71"/>
      <c r="B200" s="64" t="s">
        <v>449</v>
      </c>
      <c r="C200" s="64" t="s">
        <v>450</v>
      </c>
      <c r="D200" s="64" t="s">
        <v>451</v>
      </c>
      <c r="E200" s="64" t="s">
        <v>452</v>
      </c>
      <c r="F200" s="80">
        <v>30495.11</v>
      </c>
      <c r="G200" s="80">
        <v>4574.2700000000004</v>
      </c>
      <c r="H200" s="80">
        <v>35069.35</v>
      </c>
      <c r="I200" s="80"/>
      <c r="J200" s="80" t="s">
        <v>450</v>
      </c>
      <c r="K200" s="84">
        <v>35069.35</v>
      </c>
      <c r="L200" s="80">
        <f>K200-H200</f>
        <v>0</v>
      </c>
      <c r="M200" s="64" t="s">
        <v>453</v>
      </c>
    </row>
    <row r="201" spans="1:13" x14ac:dyDescent="0.2">
      <c r="A201" s="71"/>
      <c r="C201" s="64" t="s">
        <v>450</v>
      </c>
      <c r="D201" s="64" t="s">
        <v>454</v>
      </c>
      <c r="E201" s="64" t="s">
        <v>455</v>
      </c>
      <c r="F201" s="80">
        <v>150</v>
      </c>
      <c r="G201" s="80"/>
      <c r="H201" s="80">
        <v>150</v>
      </c>
      <c r="I201" s="80"/>
      <c r="J201" s="80" t="s">
        <v>450</v>
      </c>
      <c r="K201" s="84">
        <v>150</v>
      </c>
      <c r="L201" s="80">
        <f t="shared" ref="L201:L233" si="13">K201-H201</f>
        <v>0</v>
      </c>
    </row>
    <row r="202" spans="1:13" x14ac:dyDescent="0.2">
      <c r="A202" s="71"/>
      <c r="C202" s="64" t="s">
        <v>450</v>
      </c>
      <c r="D202" s="64" t="s">
        <v>303</v>
      </c>
      <c r="E202" s="64" t="s">
        <v>304</v>
      </c>
      <c r="F202" s="80">
        <v>10</v>
      </c>
      <c r="G202" s="80"/>
      <c r="H202" s="80">
        <v>10</v>
      </c>
      <c r="I202" s="80"/>
      <c r="J202" s="80" t="s">
        <v>450</v>
      </c>
      <c r="K202" s="84">
        <v>50</v>
      </c>
      <c r="L202" s="80">
        <f t="shared" si="13"/>
        <v>40</v>
      </c>
    </row>
    <row r="203" spans="1:13" x14ac:dyDescent="0.2">
      <c r="A203" s="71"/>
      <c r="C203" s="64" t="s">
        <v>456</v>
      </c>
      <c r="D203" s="64" t="s">
        <v>377</v>
      </c>
      <c r="E203" s="64" t="s">
        <v>203</v>
      </c>
      <c r="F203" s="80">
        <v>150</v>
      </c>
      <c r="G203" s="80"/>
      <c r="H203" s="80">
        <v>150</v>
      </c>
      <c r="I203" s="80"/>
      <c r="J203" s="80" t="s">
        <v>456</v>
      </c>
      <c r="K203" s="84">
        <v>150</v>
      </c>
      <c r="L203" s="80">
        <f t="shared" si="13"/>
        <v>0</v>
      </c>
    </row>
    <row r="204" spans="1:13" x14ac:dyDescent="0.2">
      <c r="A204" s="71"/>
      <c r="C204" s="64" t="s">
        <v>456</v>
      </c>
      <c r="D204" s="64" t="s">
        <v>454</v>
      </c>
      <c r="E204" s="64" t="s">
        <v>455</v>
      </c>
      <c r="F204" s="80">
        <v>150</v>
      </c>
      <c r="G204" s="80"/>
      <c r="H204" s="80">
        <v>150</v>
      </c>
      <c r="I204" s="80"/>
      <c r="J204" s="80" t="s">
        <v>456</v>
      </c>
      <c r="K204" s="84">
        <v>150</v>
      </c>
      <c r="L204" s="80">
        <f t="shared" si="13"/>
        <v>0</v>
      </c>
    </row>
    <row r="205" spans="1:13" x14ac:dyDescent="0.2">
      <c r="A205" s="71"/>
      <c r="C205" s="64" t="s">
        <v>457</v>
      </c>
      <c r="D205" s="64" t="s">
        <v>377</v>
      </c>
      <c r="E205" s="64" t="s">
        <v>203</v>
      </c>
      <c r="F205" s="80">
        <v>100</v>
      </c>
      <c r="G205" s="80"/>
      <c r="H205" s="80">
        <v>100</v>
      </c>
      <c r="I205" s="80"/>
      <c r="J205" s="80" t="s">
        <v>457</v>
      </c>
      <c r="K205" s="84">
        <v>100</v>
      </c>
      <c r="L205" s="80">
        <f t="shared" si="13"/>
        <v>0</v>
      </c>
    </row>
    <row r="206" spans="1:13" x14ac:dyDescent="0.2">
      <c r="A206" s="71"/>
      <c r="B206" s="64" t="s">
        <v>458</v>
      </c>
      <c r="C206" s="64" t="s">
        <v>459</v>
      </c>
      <c r="D206" s="64" t="s">
        <v>460</v>
      </c>
      <c r="E206" s="64" t="s">
        <v>421</v>
      </c>
      <c r="F206" s="80">
        <v>2140</v>
      </c>
      <c r="G206" s="80"/>
      <c r="H206" s="80">
        <v>2140</v>
      </c>
      <c r="I206" s="80"/>
      <c r="J206" s="80" t="s">
        <v>459</v>
      </c>
      <c r="K206" s="84">
        <v>2140</v>
      </c>
      <c r="L206" s="80">
        <f t="shared" si="13"/>
        <v>0</v>
      </c>
      <c r="M206" s="64" t="s">
        <v>259</v>
      </c>
    </row>
    <row r="207" spans="1:13" x14ac:dyDescent="0.2">
      <c r="A207" s="71"/>
      <c r="B207" s="64" t="s">
        <v>461</v>
      </c>
      <c r="C207" s="64" t="s">
        <v>459</v>
      </c>
      <c r="D207" s="64" t="s">
        <v>358</v>
      </c>
      <c r="E207" s="64" t="s">
        <v>203</v>
      </c>
      <c r="F207" s="80">
        <v>3000</v>
      </c>
      <c r="G207" s="80"/>
      <c r="H207" s="80">
        <v>3000</v>
      </c>
      <c r="I207" s="80"/>
      <c r="J207" s="80" t="s">
        <v>459</v>
      </c>
      <c r="K207" s="84">
        <v>3000</v>
      </c>
      <c r="L207" s="80">
        <f t="shared" si="13"/>
        <v>0</v>
      </c>
      <c r="M207" s="64" t="s">
        <v>259</v>
      </c>
    </row>
    <row r="208" spans="1:13" x14ac:dyDescent="0.2">
      <c r="A208" s="71"/>
      <c r="B208" s="64" t="s">
        <v>462</v>
      </c>
      <c r="C208" s="64" t="s">
        <v>463</v>
      </c>
      <c r="D208" s="64" t="s">
        <v>358</v>
      </c>
      <c r="E208" s="64" t="s">
        <v>464</v>
      </c>
      <c r="F208" s="80">
        <v>1050</v>
      </c>
      <c r="G208" s="80"/>
      <c r="H208" s="80">
        <v>1050</v>
      </c>
      <c r="I208" s="80"/>
      <c r="J208" s="80" t="s">
        <v>463</v>
      </c>
      <c r="K208" s="84">
        <v>1050</v>
      </c>
      <c r="L208" s="80">
        <f t="shared" si="13"/>
        <v>0</v>
      </c>
      <c r="M208" s="64" t="s">
        <v>259</v>
      </c>
    </row>
    <row r="209" spans="1:13" x14ac:dyDescent="0.2">
      <c r="A209" s="71"/>
      <c r="B209" s="64" t="s">
        <v>465</v>
      </c>
      <c r="C209" s="64" t="s">
        <v>463</v>
      </c>
      <c r="D209" s="64" t="s">
        <v>328</v>
      </c>
      <c r="E209" s="64" t="s">
        <v>359</v>
      </c>
      <c r="F209" s="80">
        <v>10000</v>
      </c>
      <c r="G209" s="80"/>
      <c r="H209" s="80">
        <v>10000</v>
      </c>
      <c r="I209" s="80"/>
      <c r="J209" s="80" t="s">
        <v>463</v>
      </c>
      <c r="K209" s="84">
        <v>10000</v>
      </c>
      <c r="L209" s="80">
        <f t="shared" si="13"/>
        <v>0</v>
      </c>
      <c r="M209" s="64" t="s">
        <v>259</v>
      </c>
    </row>
    <row r="210" spans="1:13" x14ac:dyDescent="0.2">
      <c r="A210" s="71">
        <v>45536</v>
      </c>
      <c r="B210" s="64" t="s">
        <v>466</v>
      </c>
      <c r="C210" s="64" t="s">
        <v>467</v>
      </c>
      <c r="D210" s="64" t="s">
        <v>468</v>
      </c>
      <c r="E210" s="64" t="s">
        <v>203</v>
      </c>
      <c r="F210" s="80">
        <v>500</v>
      </c>
      <c r="G210" s="80"/>
      <c r="H210" s="80">
        <v>500</v>
      </c>
      <c r="I210" s="80"/>
      <c r="J210" s="80" t="s">
        <v>467</v>
      </c>
      <c r="K210" s="84">
        <v>500</v>
      </c>
      <c r="L210" s="80">
        <f t="shared" si="13"/>
        <v>0</v>
      </c>
      <c r="M210" s="64" t="s">
        <v>259</v>
      </c>
    </row>
    <row r="211" spans="1:13" x14ac:dyDescent="0.2">
      <c r="A211" s="71"/>
      <c r="B211" s="64" t="s">
        <v>469</v>
      </c>
      <c r="C211" s="64" t="s">
        <v>467</v>
      </c>
      <c r="D211" s="64" t="s">
        <v>426</v>
      </c>
      <c r="E211" s="64" t="s">
        <v>427</v>
      </c>
      <c r="F211" s="80">
        <v>2000</v>
      </c>
      <c r="G211" s="80"/>
      <c r="H211" s="80">
        <v>2000</v>
      </c>
      <c r="I211" s="80"/>
      <c r="J211" s="80" t="s">
        <v>467</v>
      </c>
      <c r="K211" s="84">
        <v>2000</v>
      </c>
      <c r="L211" s="80">
        <f t="shared" si="13"/>
        <v>0</v>
      </c>
      <c r="M211" s="64" t="s">
        <v>259</v>
      </c>
    </row>
    <row r="212" spans="1:13" x14ac:dyDescent="0.2">
      <c r="A212" s="71"/>
      <c r="B212" s="64" t="s">
        <v>470</v>
      </c>
      <c r="D212" s="64" t="s">
        <v>358</v>
      </c>
      <c r="E212" s="64" t="s">
        <v>203</v>
      </c>
      <c r="F212" s="80">
        <v>4500</v>
      </c>
      <c r="G212" s="80"/>
      <c r="H212" s="80">
        <v>4500</v>
      </c>
      <c r="I212" s="80"/>
      <c r="J212" s="80"/>
      <c r="K212" s="84">
        <v>4500</v>
      </c>
      <c r="L212" s="80">
        <f t="shared" si="13"/>
        <v>0</v>
      </c>
    </row>
    <row r="213" spans="1:13" x14ac:dyDescent="0.2">
      <c r="A213" s="71"/>
      <c r="B213" s="64" t="s">
        <v>471</v>
      </c>
      <c r="D213" s="64" t="s">
        <v>358</v>
      </c>
      <c r="E213" s="64" t="s">
        <v>472</v>
      </c>
      <c r="F213" s="80">
        <v>1180</v>
      </c>
      <c r="G213" s="80"/>
      <c r="H213" s="80">
        <v>1180</v>
      </c>
      <c r="I213" s="80"/>
      <c r="J213" s="80"/>
      <c r="K213" s="84">
        <v>1180</v>
      </c>
      <c r="L213" s="80">
        <f t="shared" si="13"/>
        <v>0</v>
      </c>
    </row>
    <row r="214" spans="1:13" x14ac:dyDescent="0.2">
      <c r="A214" s="71"/>
      <c r="B214" s="64" t="s">
        <v>473</v>
      </c>
      <c r="C214" s="64" t="s">
        <v>467</v>
      </c>
      <c r="D214" s="64" t="s">
        <v>292</v>
      </c>
      <c r="E214" s="64" t="s">
        <v>474</v>
      </c>
      <c r="F214" s="80">
        <v>5600</v>
      </c>
      <c r="G214" s="80"/>
      <c r="H214" s="80">
        <v>5600</v>
      </c>
      <c r="I214" s="80"/>
      <c r="J214" s="80" t="s">
        <v>467</v>
      </c>
      <c r="K214" s="84">
        <v>5600</v>
      </c>
      <c r="L214" s="80">
        <f t="shared" si="13"/>
        <v>0</v>
      </c>
      <c r="M214" s="64" t="s">
        <v>259</v>
      </c>
    </row>
    <row r="215" spans="1:13" x14ac:dyDescent="0.2">
      <c r="A215" s="71"/>
      <c r="B215" s="64" t="s">
        <v>466</v>
      </c>
      <c r="C215" s="64" t="s">
        <v>467</v>
      </c>
      <c r="D215" s="64" t="s">
        <v>475</v>
      </c>
      <c r="E215" s="64" t="s">
        <v>476</v>
      </c>
      <c r="F215" s="80">
        <v>500</v>
      </c>
      <c r="G215" s="80"/>
      <c r="H215" s="80">
        <v>500</v>
      </c>
      <c r="I215" s="80"/>
      <c r="J215" s="80" t="s">
        <v>477</v>
      </c>
      <c r="K215" s="84">
        <v>500</v>
      </c>
      <c r="L215" s="80">
        <f t="shared" si="13"/>
        <v>0</v>
      </c>
    </row>
    <row r="216" spans="1:13" x14ac:dyDescent="0.2">
      <c r="A216" s="71"/>
      <c r="C216" s="64" t="s">
        <v>477</v>
      </c>
      <c r="D216" s="64" t="s">
        <v>478</v>
      </c>
      <c r="F216" s="80">
        <v>3000</v>
      </c>
      <c r="G216" s="80"/>
      <c r="H216" s="80">
        <v>3000</v>
      </c>
      <c r="I216" s="80"/>
      <c r="J216" s="80" t="s">
        <v>477</v>
      </c>
      <c r="K216" s="84">
        <v>3000</v>
      </c>
      <c r="L216" s="80">
        <f t="shared" si="13"/>
        <v>0</v>
      </c>
    </row>
    <row r="217" spans="1:13" x14ac:dyDescent="0.2">
      <c r="A217" s="71"/>
      <c r="B217" s="64" t="s">
        <v>479</v>
      </c>
      <c r="C217" s="64" t="s">
        <v>477</v>
      </c>
      <c r="D217" s="64" t="s">
        <v>414</v>
      </c>
      <c r="E217" s="64" t="s">
        <v>415</v>
      </c>
      <c r="F217" s="80">
        <v>18604</v>
      </c>
      <c r="G217" s="80"/>
      <c r="H217" s="80">
        <v>18604</v>
      </c>
      <c r="I217" s="80"/>
      <c r="J217" s="80" t="s">
        <v>477</v>
      </c>
      <c r="K217" s="84">
        <v>18604</v>
      </c>
      <c r="L217" s="80">
        <f t="shared" si="13"/>
        <v>0</v>
      </c>
      <c r="M217" s="64" t="s">
        <v>259</v>
      </c>
    </row>
    <row r="218" spans="1:13" x14ac:dyDescent="0.2">
      <c r="A218" s="71"/>
      <c r="C218" s="64" t="s">
        <v>477</v>
      </c>
      <c r="D218" s="64" t="s">
        <v>480</v>
      </c>
      <c r="F218" s="80">
        <v>1362.75</v>
      </c>
      <c r="G218" s="80"/>
      <c r="H218" s="80">
        <v>1362.75</v>
      </c>
      <c r="I218" s="80"/>
      <c r="J218" s="80" t="s">
        <v>477</v>
      </c>
      <c r="K218" s="84">
        <v>1362.75</v>
      </c>
      <c r="L218" s="80">
        <f t="shared" si="13"/>
        <v>0</v>
      </c>
    </row>
    <row r="219" spans="1:13" x14ac:dyDescent="0.2">
      <c r="A219" s="71"/>
      <c r="B219" s="64" t="s">
        <v>481</v>
      </c>
      <c r="C219" s="64" t="s">
        <v>477</v>
      </c>
      <c r="D219" s="64" t="s">
        <v>482</v>
      </c>
      <c r="E219" s="64" t="s">
        <v>483</v>
      </c>
      <c r="F219" s="80">
        <v>4305</v>
      </c>
      <c r="G219" s="80"/>
      <c r="H219" s="80">
        <v>4305</v>
      </c>
      <c r="I219" s="80"/>
      <c r="J219" s="80" t="s">
        <v>477</v>
      </c>
      <c r="K219" s="84">
        <v>4305</v>
      </c>
      <c r="L219" s="80">
        <f t="shared" si="13"/>
        <v>0</v>
      </c>
    </row>
    <row r="220" spans="1:13" x14ac:dyDescent="0.2">
      <c r="A220" s="71"/>
      <c r="B220" s="64" t="s">
        <v>484</v>
      </c>
      <c r="D220" s="64" t="s">
        <v>485</v>
      </c>
      <c r="E220" s="64" t="s">
        <v>452</v>
      </c>
      <c r="F220" s="80">
        <v>5199.84</v>
      </c>
      <c r="G220" s="80"/>
      <c r="H220" s="80">
        <v>5199.84</v>
      </c>
      <c r="I220" s="80"/>
      <c r="J220" s="80"/>
      <c r="K220" s="84">
        <v>5199.84</v>
      </c>
      <c r="L220" s="80">
        <f t="shared" si="13"/>
        <v>0</v>
      </c>
    </row>
    <row r="221" spans="1:13" x14ac:dyDescent="0.2">
      <c r="A221" s="71"/>
      <c r="C221" s="64" t="s">
        <v>486</v>
      </c>
      <c r="D221" s="64" t="s">
        <v>487</v>
      </c>
      <c r="F221" s="80">
        <v>4469.93</v>
      </c>
      <c r="G221" s="80"/>
      <c r="H221" s="80">
        <v>4469.93</v>
      </c>
      <c r="I221" s="80"/>
      <c r="J221" s="80" t="s">
        <v>486</v>
      </c>
      <c r="K221" s="84">
        <v>4469.93</v>
      </c>
      <c r="L221" s="80">
        <f t="shared" si="13"/>
        <v>0</v>
      </c>
    </row>
    <row r="222" spans="1:13" x14ac:dyDescent="0.2">
      <c r="A222" s="71"/>
      <c r="C222" s="64" t="s">
        <v>486</v>
      </c>
      <c r="D222" s="64" t="s">
        <v>292</v>
      </c>
      <c r="E222" s="64" t="s">
        <v>280</v>
      </c>
      <c r="F222" s="80">
        <v>5600</v>
      </c>
      <c r="G222" s="80"/>
      <c r="H222" s="80">
        <v>5600</v>
      </c>
      <c r="I222" s="80"/>
      <c r="J222" s="80" t="s">
        <v>486</v>
      </c>
      <c r="K222" s="84">
        <v>5600</v>
      </c>
      <c r="L222" s="80">
        <f t="shared" si="13"/>
        <v>0</v>
      </c>
    </row>
    <row r="223" spans="1:13" x14ac:dyDescent="0.2">
      <c r="A223" s="71"/>
      <c r="C223" s="64" t="s">
        <v>486</v>
      </c>
      <c r="D223" s="64" t="s">
        <v>488</v>
      </c>
      <c r="F223" s="80">
        <v>431</v>
      </c>
      <c r="G223" s="80"/>
      <c r="H223" s="80">
        <v>431</v>
      </c>
      <c r="I223" s="80"/>
      <c r="J223" s="80" t="s">
        <v>486</v>
      </c>
      <c r="K223" s="84">
        <v>431</v>
      </c>
      <c r="L223" s="80">
        <f t="shared" si="13"/>
        <v>0</v>
      </c>
    </row>
    <row r="224" spans="1:13" x14ac:dyDescent="0.2">
      <c r="A224" s="71"/>
      <c r="C224" s="91" t="s">
        <v>489</v>
      </c>
      <c r="D224" s="64" t="s">
        <v>490</v>
      </c>
      <c r="E224" s="64" t="s">
        <v>304</v>
      </c>
      <c r="F224" s="80">
        <v>600</v>
      </c>
      <c r="G224" s="80">
        <v>90</v>
      </c>
      <c r="H224" s="80">
        <v>690</v>
      </c>
      <c r="I224" s="80"/>
      <c r="J224" s="80" t="s">
        <v>489</v>
      </c>
      <c r="K224" s="84">
        <v>690</v>
      </c>
      <c r="L224" s="80">
        <f t="shared" si="13"/>
        <v>0</v>
      </c>
    </row>
    <row r="225" spans="1:13" x14ac:dyDescent="0.2">
      <c r="A225" s="71"/>
      <c r="C225" s="91" t="s">
        <v>491</v>
      </c>
      <c r="D225" s="64" t="s">
        <v>475</v>
      </c>
      <c r="E225" s="64" t="s">
        <v>421</v>
      </c>
      <c r="F225" s="80">
        <v>2140</v>
      </c>
      <c r="G225" s="80"/>
      <c r="H225" s="80">
        <v>2140</v>
      </c>
      <c r="I225" s="80"/>
      <c r="J225" s="80" t="s">
        <v>491</v>
      </c>
      <c r="K225" s="84">
        <v>2140</v>
      </c>
      <c r="L225" s="80">
        <f t="shared" si="13"/>
        <v>0</v>
      </c>
    </row>
    <row r="226" spans="1:13" x14ac:dyDescent="0.2">
      <c r="A226" s="71"/>
      <c r="C226" s="91" t="s">
        <v>492</v>
      </c>
      <c r="D226" s="64" t="s">
        <v>493</v>
      </c>
      <c r="F226" s="80">
        <v>22500</v>
      </c>
      <c r="G226" s="80"/>
      <c r="H226" s="80">
        <v>22500</v>
      </c>
      <c r="I226" s="80"/>
      <c r="J226" s="80" t="s">
        <v>492</v>
      </c>
      <c r="K226" s="84">
        <v>22500</v>
      </c>
      <c r="L226" s="80">
        <f t="shared" si="13"/>
        <v>0</v>
      </c>
    </row>
    <row r="227" spans="1:13" x14ac:dyDescent="0.2">
      <c r="A227" s="71"/>
      <c r="C227" s="91" t="s">
        <v>492</v>
      </c>
      <c r="D227" s="64" t="s">
        <v>494</v>
      </c>
      <c r="F227" s="80">
        <v>1400</v>
      </c>
      <c r="G227" s="80"/>
      <c r="H227" s="80">
        <v>1400</v>
      </c>
      <c r="I227" s="80"/>
      <c r="J227" s="80" t="s">
        <v>492</v>
      </c>
      <c r="K227" s="84">
        <v>1400</v>
      </c>
      <c r="L227" s="80">
        <f t="shared" si="13"/>
        <v>0</v>
      </c>
    </row>
    <row r="228" spans="1:13" x14ac:dyDescent="0.2">
      <c r="A228" s="71"/>
      <c r="C228" s="91" t="s">
        <v>495</v>
      </c>
      <c r="D228" s="64" t="s">
        <v>302</v>
      </c>
      <c r="E228" s="64" t="s">
        <v>159</v>
      </c>
      <c r="F228" s="80">
        <v>23010</v>
      </c>
      <c r="G228" s="80"/>
      <c r="H228" s="80">
        <v>23010</v>
      </c>
      <c r="I228" s="80"/>
      <c r="J228" s="80" t="s">
        <v>495</v>
      </c>
      <c r="K228" s="84">
        <v>23010</v>
      </c>
      <c r="L228" s="80">
        <f t="shared" si="13"/>
        <v>0</v>
      </c>
      <c r="M228" s="64" t="s">
        <v>496</v>
      </c>
    </row>
    <row r="229" spans="1:13" x14ac:dyDescent="0.2">
      <c r="A229" s="71"/>
      <c r="B229" s="64" t="s">
        <v>497</v>
      </c>
      <c r="C229" s="91" t="s">
        <v>495</v>
      </c>
      <c r="D229" s="64" t="s">
        <v>498</v>
      </c>
      <c r="E229" s="64" t="s">
        <v>230</v>
      </c>
      <c r="F229" s="80">
        <v>55394.65</v>
      </c>
      <c r="G229" s="80">
        <v>8309.2000000000007</v>
      </c>
      <c r="H229" s="80">
        <v>63703.85</v>
      </c>
      <c r="I229" s="80"/>
      <c r="J229" s="80" t="s">
        <v>499</v>
      </c>
      <c r="K229" s="84">
        <v>63703.85</v>
      </c>
      <c r="L229" s="80">
        <f t="shared" si="13"/>
        <v>0</v>
      </c>
    </row>
    <row r="230" spans="1:13" x14ac:dyDescent="0.2">
      <c r="A230" s="71"/>
      <c r="B230" s="64" t="s">
        <v>497</v>
      </c>
      <c r="C230" s="91" t="s">
        <v>495</v>
      </c>
      <c r="D230" s="64" t="s">
        <v>500</v>
      </c>
      <c r="E230" s="64" t="s">
        <v>304</v>
      </c>
      <c r="F230" s="80">
        <v>20542</v>
      </c>
      <c r="G230" s="80">
        <v>3081.3</v>
      </c>
      <c r="H230" s="80">
        <v>23623.3</v>
      </c>
      <c r="I230" s="80"/>
      <c r="J230" s="80" t="s">
        <v>501</v>
      </c>
      <c r="K230" s="84">
        <v>23623.3</v>
      </c>
      <c r="L230" s="80">
        <f t="shared" si="13"/>
        <v>0</v>
      </c>
    </row>
    <row r="231" spans="1:13" x14ac:dyDescent="0.2">
      <c r="A231" s="71"/>
      <c r="C231" s="91" t="s">
        <v>495</v>
      </c>
      <c r="D231" s="64" t="s">
        <v>502</v>
      </c>
      <c r="E231" s="64" t="s">
        <v>503</v>
      </c>
      <c r="F231" s="80">
        <v>2475</v>
      </c>
      <c r="G231" s="80">
        <v>371.25</v>
      </c>
      <c r="H231" s="80">
        <v>2846.25</v>
      </c>
      <c r="I231" s="80"/>
      <c r="J231" s="80" t="s">
        <v>501</v>
      </c>
      <c r="K231" s="84">
        <v>2846.25</v>
      </c>
      <c r="L231" s="80">
        <f t="shared" si="13"/>
        <v>0</v>
      </c>
    </row>
    <row r="232" spans="1:13" x14ac:dyDescent="0.2">
      <c r="A232" s="71"/>
      <c r="B232" s="64" t="s">
        <v>504</v>
      </c>
      <c r="C232" s="91" t="s">
        <v>495</v>
      </c>
      <c r="D232" s="64" t="s">
        <v>302</v>
      </c>
      <c r="E232" s="64" t="s">
        <v>159</v>
      </c>
      <c r="F232" s="80">
        <v>23010</v>
      </c>
      <c r="G232" s="80"/>
      <c r="H232" s="80">
        <v>23010</v>
      </c>
      <c r="I232" s="80"/>
      <c r="J232" s="80" t="s">
        <v>505</v>
      </c>
      <c r="K232" s="84">
        <v>23010</v>
      </c>
      <c r="L232" s="80">
        <f t="shared" si="13"/>
        <v>0</v>
      </c>
    </row>
    <row r="233" spans="1:13" x14ac:dyDescent="0.2">
      <c r="A233" s="71"/>
      <c r="B233" s="64" t="s">
        <v>506</v>
      </c>
      <c r="C233" s="64" t="s">
        <v>507</v>
      </c>
      <c r="D233" s="64" t="s">
        <v>403</v>
      </c>
      <c r="E233" s="64" t="s">
        <v>106</v>
      </c>
      <c r="F233" s="80">
        <v>17261.8</v>
      </c>
      <c r="G233" s="80">
        <v>2559.7800000000002</v>
      </c>
      <c r="H233" s="80">
        <v>19625.009999999998</v>
      </c>
      <c r="I233" s="80"/>
      <c r="J233" s="80" t="s">
        <v>507</v>
      </c>
      <c r="K233" s="84">
        <v>19625.009999999998</v>
      </c>
      <c r="L233" s="80">
        <f t="shared" si="13"/>
        <v>0</v>
      </c>
    </row>
    <row r="234" spans="1:13" x14ac:dyDescent="0.2">
      <c r="A234" s="71"/>
      <c r="F234" s="80"/>
      <c r="G234" s="80"/>
      <c r="H234" s="80"/>
      <c r="I234" s="80"/>
      <c r="J234" s="80"/>
      <c r="K234" s="84"/>
      <c r="L234" s="80"/>
    </row>
    <row r="235" spans="1:13" x14ac:dyDescent="0.2">
      <c r="A235" s="71"/>
      <c r="F235" s="75">
        <f t="shared" ref="F235:K235" si="14">SUM(F200:F234)</f>
        <v>272831.08</v>
      </c>
      <c r="G235" s="75">
        <f t="shared" si="14"/>
        <v>18985.8</v>
      </c>
      <c r="H235" s="75">
        <f t="shared" si="14"/>
        <v>291620.28000000003</v>
      </c>
      <c r="I235" s="75">
        <f t="shared" si="14"/>
        <v>0</v>
      </c>
      <c r="J235" s="75">
        <f t="shared" si="14"/>
        <v>0</v>
      </c>
      <c r="K235" s="76">
        <f t="shared" si="14"/>
        <v>291660.28000000003</v>
      </c>
      <c r="L235" s="80"/>
    </row>
    <row r="236" spans="1:13" x14ac:dyDescent="0.2">
      <c r="A236" s="71"/>
      <c r="F236" s="80"/>
      <c r="G236" s="80"/>
      <c r="H236" s="80"/>
      <c r="I236" s="80"/>
      <c r="J236" s="80"/>
      <c r="K236" s="84"/>
      <c r="L236" s="80"/>
    </row>
    <row r="237" spans="1:13" x14ac:dyDescent="0.2">
      <c r="A237" s="71"/>
      <c r="E237" s="65" t="s">
        <v>262</v>
      </c>
      <c r="F237" s="82">
        <f>F235+F197</f>
        <v>1583713.8330000003</v>
      </c>
      <c r="G237" s="82">
        <f t="shared" ref="G237:K237" si="15">G235+G197</f>
        <v>148635.6</v>
      </c>
      <c r="H237" s="82">
        <f t="shared" si="15"/>
        <v>1708573.2100000002</v>
      </c>
      <c r="I237" s="82">
        <f t="shared" si="15"/>
        <v>0</v>
      </c>
      <c r="J237" s="82">
        <f t="shared" si="15"/>
        <v>0</v>
      </c>
      <c r="K237" s="82">
        <f t="shared" si="15"/>
        <v>1718666.35</v>
      </c>
      <c r="L237" s="80"/>
    </row>
    <row r="238" spans="1:13" x14ac:dyDescent="0.2">
      <c r="A238" s="71"/>
      <c r="F238" s="80"/>
      <c r="G238" s="80"/>
      <c r="H238" s="80"/>
      <c r="I238" s="80"/>
      <c r="J238" s="80"/>
      <c r="K238" s="84"/>
      <c r="L238" s="80"/>
    </row>
    <row r="239" spans="1:13" x14ac:dyDescent="0.2">
      <c r="A239" s="71"/>
      <c r="F239" s="80"/>
      <c r="G239" s="80"/>
      <c r="H239" s="80"/>
      <c r="I239" s="80"/>
      <c r="J239" s="80"/>
      <c r="K239" s="84"/>
      <c r="L239" s="80"/>
    </row>
    <row r="240" spans="1:13" x14ac:dyDescent="0.2">
      <c r="A240" s="71"/>
      <c r="C240" s="64" t="s">
        <v>508</v>
      </c>
      <c r="D240" s="64" t="s">
        <v>292</v>
      </c>
      <c r="E240" s="64" t="s">
        <v>280</v>
      </c>
      <c r="F240" s="80">
        <v>24000</v>
      </c>
      <c r="G240" s="80"/>
      <c r="H240" s="80">
        <v>24000</v>
      </c>
      <c r="I240" s="80"/>
      <c r="J240" s="80" t="s">
        <v>508</v>
      </c>
      <c r="K240" s="84">
        <v>24000</v>
      </c>
      <c r="L240" s="80"/>
    </row>
    <row r="241" spans="1:13" x14ac:dyDescent="0.2">
      <c r="A241" s="71"/>
      <c r="B241" s="64" t="s">
        <v>509</v>
      </c>
      <c r="C241" s="64" t="s">
        <v>508</v>
      </c>
      <c r="D241" s="64" t="s">
        <v>510</v>
      </c>
      <c r="E241" s="64" t="s">
        <v>511</v>
      </c>
      <c r="F241" s="80">
        <v>2940</v>
      </c>
      <c r="G241" s="80"/>
      <c r="H241" s="80">
        <v>2940</v>
      </c>
      <c r="I241" s="80"/>
      <c r="J241" s="80" t="s">
        <v>508</v>
      </c>
      <c r="K241" s="84">
        <v>2940</v>
      </c>
      <c r="L241" s="80"/>
    </row>
    <row r="242" spans="1:13" x14ac:dyDescent="0.2">
      <c r="A242" s="71"/>
      <c r="D242" s="64" t="s">
        <v>512</v>
      </c>
      <c r="F242" s="80">
        <v>279.38</v>
      </c>
      <c r="G242" s="80">
        <v>41.91</v>
      </c>
      <c r="H242" s="80">
        <v>321.29000000000002</v>
      </c>
      <c r="I242" s="80"/>
      <c r="J242" s="80"/>
      <c r="K242" s="84">
        <v>321.29000000000002</v>
      </c>
      <c r="L242" s="80"/>
    </row>
    <row r="243" spans="1:13" x14ac:dyDescent="0.2">
      <c r="A243" s="71"/>
      <c r="C243" s="64" t="s">
        <v>513</v>
      </c>
      <c r="D243" s="64" t="s">
        <v>514</v>
      </c>
      <c r="E243" s="64" t="s">
        <v>427</v>
      </c>
      <c r="F243" s="80">
        <v>2000</v>
      </c>
      <c r="G243" s="80"/>
      <c r="H243" s="80">
        <v>2000</v>
      </c>
      <c r="I243" s="80"/>
      <c r="J243" s="80" t="s">
        <v>513</v>
      </c>
      <c r="K243" s="84">
        <v>2000</v>
      </c>
      <c r="L243" s="80"/>
    </row>
    <row r="244" spans="1:13" x14ac:dyDescent="0.2">
      <c r="A244" s="71"/>
      <c r="C244" s="64" t="s">
        <v>513</v>
      </c>
      <c r="D244" s="64" t="s">
        <v>515</v>
      </c>
      <c r="E244" s="64" t="s">
        <v>304</v>
      </c>
      <c r="F244" s="80">
        <v>91.29</v>
      </c>
      <c r="G244" s="80">
        <v>13.69</v>
      </c>
      <c r="H244" s="80">
        <v>104.98</v>
      </c>
      <c r="I244" s="80"/>
      <c r="J244" s="80" t="s">
        <v>508</v>
      </c>
      <c r="K244" s="84">
        <v>104.98</v>
      </c>
      <c r="L244" s="80"/>
    </row>
    <row r="245" spans="1:13" x14ac:dyDescent="0.2">
      <c r="A245" s="71"/>
      <c r="C245" s="64" t="s">
        <v>513</v>
      </c>
      <c r="D245" s="64" t="s">
        <v>322</v>
      </c>
      <c r="F245" s="80">
        <v>130.43</v>
      </c>
      <c r="G245" s="80">
        <v>19.559999999999999</v>
      </c>
      <c r="H245" s="80">
        <v>149.99</v>
      </c>
      <c r="I245" s="80"/>
      <c r="J245" s="80" t="s">
        <v>513</v>
      </c>
      <c r="K245" s="84">
        <v>149.99</v>
      </c>
      <c r="L245" s="80"/>
    </row>
    <row r="246" spans="1:13" x14ac:dyDescent="0.2">
      <c r="A246" s="71"/>
      <c r="C246" s="64" t="s">
        <v>516</v>
      </c>
      <c r="D246" s="64" t="s">
        <v>480</v>
      </c>
      <c r="E246" s="64" t="s">
        <v>517</v>
      </c>
      <c r="F246" s="80">
        <v>1050</v>
      </c>
      <c r="G246" s="80"/>
      <c r="H246" s="80">
        <v>1050</v>
      </c>
      <c r="I246" s="80"/>
      <c r="J246" s="80" t="s">
        <v>516</v>
      </c>
      <c r="K246" s="84">
        <v>1050</v>
      </c>
      <c r="L246" s="80"/>
    </row>
    <row r="247" spans="1:13" x14ac:dyDescent="0.2">
      <c r="A247" s="71"/>
      <c r="C247" s="64" t="s">
        <v>360</v>
      </c>
      <c r="D247" s="64" t="s">
        <v>328</v>
      </c>
      <c r="F247" s="80">
        <v>30000</v>
      </c>
      <c r="G247" s="80"/>
      <c r="H247" s="80">
        <v>30000</v>
      </c>
      <c r="I247" s="80"/>
      <c r="J247" s="80" t="s">
        <v>360</v>
      </c>
      <c r="K247" s="84">
        <v>30000</v>
      </c>
      <c r="L247" s="80"/>
      <c r="M247" s="64" t="s">
        <v>518</v>
      </c>
    </row>
    <row r="248" spans="1:13" x14ac:dyDescent="0.2">
      <c r="A248" s="71"/>
      <c r="C248" s="64" t="s">
        <v>519</v>
      </c>
      <c r="D248" s="64" t="s">
        <v>520</v>
      </c>
      <c r="E248" s="64" t="s">
        <v>521</v>
      </c>
      <c r="F248" s="80">
        <v>750</v>
      </c>
      <c r="G248" s="80"/>
      <c r="H248" s="80">
        <v>750</v>
      </c>
      <c r="I248" s="80"/>
      <c r="J248" s="80" t="s">
        <v>519</v>
      </c>
      <c r="K248" s="84">
        <v>750</v>
      </c>
      <c r="L248" s="80"/>
    </row>
    <row r="249" spans="1:13" x14ac:dyDescent="0.2">
      <c r="A249" s="71"/>
      <c r="C249" s="64" t="s">
        <v>519</v>
      </c>
      <c r="D249" s="64" t="s">
        <v>522</v>
      </c>
      <c r="E249" s="64" t="s">
        <v>521</v>
      </c>
      <c r="F249" s="80">
        <v>750</v>
      </c>
      <c r="G249" s="80"/>
      <c r="H249" s="80">
        <v>750</v>
      </c>
      <c r="I249" s="80"/>
      <c r="J249" s="80" t="s">
        <v>519</v>
      </c>
      <c r="K249" s="84">
        <v>750</v>
      </c>
      <c r="L249" s="80"/>
    </row>
    <row r="250" spans="1:13" x14ac:dyDescent="0.2">
      <c r="A250" s="71"/>
      <c r="C250" s="64" t="s">
        <v>519</v>
      </c>
      <c r="D250" s="64" t="s">
        <v>523</v>
      </c>
      <c r="E250" s="64" t="s">
        <v>521</v>
      </c>
      <c r="F250" s="80">
        <v>750</v>
      </c>
      <c r="G250" s="80"/>
      <c r="H250" s="80">
        <v>750</v>
      </c>
      <c r="I250" s="80"/>
      <c r="J250" s="80" t="s">
        <v>519</v>
      </c>
      <c r="K250" s="84">
        <v>750</v>
      </c>
      <c r="L250" s="80"/>
    </row>
    <row r="251" spans="1:13" x14ac:dyDescent="0.2">
      <c r="A251" s="71"/>
      <c r="C251" s="64" t="s">
        <v>519</v>
      </c>
      <c r="D251" s="64" t="s">
        <v>524</v>
      </c>
      <c r="E251" s="64" t="s">
        <v>521</v>
      </c>
      <c r="F251" s="80">
        <v>750</v>
      </c>
      <c r="G251" s="80"/>
      <c r="H251" s="80">
        <v>750</v>
      </c>
      <c r="I251" s="80"/>
      <c r="J251" s="80" t="s">
        <v>519</v>
      </c>
      <c r="K251" s="84">
        <v>750</v>
      </c>
      <c r="L251" s="80"/>
    </row>
    <row r="252" spans="1:13" x14ac:dyDescent="0.2">
      <c r="A252" s="71"/>
      <c r="C252" s="64" t="s">
        <v>519</v>
      </c>
      <c r="D252" s="64" t="s">
        <v>525</v>
      </c>
      <c r="E252" s="64" t="s">
        <v>521</v>
      </c>
      <c r="F252" s="80">
        <v>750</v>
      </c>
      <c r="G252" s="80"/>
      <c r="H252" s="80">
        <v>750</v>
      </c>
      <c r="I252" s="80"/>
      <c r="J252" s="80" t="s">
        <v>519</v>
      </c>
      <c r="K252" s="84">
        <v>750</v>
      </c>
      <c r="L252" s="80"/>
    </row>
    <row r="253" spans="1:13" x14ac:dyDescent="0.2">
      <c r="A253" s="71"/>
      <c r="C253" s="64" t="s">
        <v>519</v>
      </c>
      <c r="D253" s="64" t="s">
        <v>526</v>
      </c>
      <c r="E253" s="64" t="s">
        <v>521</v>
      </c>
      <c r="F253" s="80">
        <v>750</v>
      </c>
      <c r="G253" s="80"/>
      <c r="H253" s="80">
        <v>750</v>
      </c>
      <c r="I253" s="80"/>
      <c r="J253" s="80" t="s">
        <v>519</v>
      </c>
      <c r="K253" s="84">
        <v>750</v>
      </c>
      <c r="L253" s="80"/>
    </row>
    <row r="254" spans="1:13" x14ac:dyDescent="0.2">
      <c r="A254" s="71"/>
      <c r="C254" s="64" t="s">
        <v>519</v>
      </c>
      <c r="D254" s="64" t="s">
        <v>527</v>
      </c>
      <c r="E254" s="64" t="s">
        <v>521</v>
      </c>
      <c r="F254" s="80">
        <v>750</v>
      </c>
      <c r="G254" s="80"/>
      <c r="H254" s="80">
        <v>750</v>
      </c>
      <c r="I254" s="80"/>
      <c r="J254" s="80" t="s">
        <v>519</v>
      </c>
      <c r="K254" s="84">
        <v>750</v>
      </c>
      <c r="L254" s="80"/>
    </row>
    <row r="255" spans="1:13" x14ac:dyDescent="0.2">
      <c r="A255" s="71"/>
      <c r="C255" s="64" t="s">
        <v>519</v>
      </c>
      <c r="D255" s="64" t="s">
        <v>528</v>
      </c>
      <c r="E255" s="64" t="s">
        <v>521</v>
      </c>
      <c r="F255" s="80">
        <v>750</v>
      </c>
      <c r="G255" s="80"/>
      <c r="H255" s="80">
        <v>750</v>
      </c>
      <c r="I255" s="80"/>
      <c r="J255" s="80" t="s">
        <v>519</v>
      </c>
      <c r="K255" s="84">
        <v>750</v>
      </c>
      <c r="L255" s="80"/>
    </row>
    <row r="256" spans="1:13" x14ac:dyDescent="0.2">
      <c r="A256" s="71"/>
      <c r="C256" s="64" t="s">
        <v>529</v>
      </c>
      <c r="D256" s="64" t="s">
        <v>530</v>
      </c>
      <c r="F256" s="80">
        <v>5000</v>
      </c>
      <c r="G256" s="80"/>
      <c r="H256" s="80">
        <v>5000</v>
      </c>
      <c r="I256" s="80"/>
      <c r="J256" s="80" t="s">
        <v>529</v>
      </c>
      <c r="K256" s="84">
        <v>5000</v>
      </c>
      <c r="L256" s="80"/>
    </row>
    <row r="257" spans="1:13" x14ac:dyDescent="0.2">
      <c r="A257" s="71"/>
      <c r="F257" s="80"/>
      <c r="G257" s="80"/>
      <c r="H257" s="80"/>
      <c r="I257" s="80"/>
      <c r="J257" s="80"/>
      <c r="K257" s="84"/>
      <c r="L257" s="80"/>
    </row>
    <row r="258" spans="1:13" x14ac:dyDescent="0.2">
      <c r="A258" s="71"/>
      <c r="C258" s="64" t="s">
        <v>531</v>
      </c>
      <c r="D258" s="64" t="s">
        <v>532</v>
      </c>
      <c r="E258" s="64" t="s">
        <v>521</v>
      </c>
      <c r="F258" s="80">
        <v>750</v>
      </c>
      <c r="G258" s="80"/>
      <c r="H258" s="80">
        <v>750</v>
      </c>
      <c r="I258" s="80"/>
      <c r="J258" s="80" t="s">
        <v>531</v>
      </c>
      <c r="K258" s="84">
        <v>750</v>
      </c>
      <c r="L258" s="80"/>
    </row>
    <row r="259" spans="1:13" x14ac:dyDescent="0.2">
      <c r="A259" s="71"/>
      <c r="D259" s="64" t="s">
        <v>524</v>
      </c>
      <c r="E259" s="64" t="s">
        <v>521</v>
      </c>
      <c r="F259" s="80">
        <v>1500</v>
      </c>
      <c r="G259" s="80"/>
      <c r="H259" s="80">
        <v>1500</v>
      </c>
      <c r="I259" s="80"/>
      <c r="J259" s="80" t="s">
        <v>531</v>
      </c>
      <c r="K259" s="84">
        <v>1500</v>
      </c>
      <c r="L259" s="80"/>
    </row>
    <row r="260" spans="1:13" x14ac:dyDescent="0.2">
      <c r="A260" s="71"/>
      <c r="D260" s="64" t="s">
        <v>533</v>
      </c>
      <c r="E260" s="64" t="s">
        <v>521</v>
      </c>
      <c r="F260" s="80">
        <v>1500</v>
      </c>
      <c r="G260" s="80"/>
      <c r="H260" s="80">
        <v>1500</v>
      </c>
      <c r="I260" s="80"/>
      <c r="J260" s="80" t="s">
        <v>531</v>
      </c>
      <c r="K260" s="84">
        <v>1500</v>
      </c>
      <c r="L260" s="80"/>
    </row>
    <row r="261" spans="1:13" x14ac:dyDescent="0.2">
      <c r="A261" s="71"/>
      <c r="D261" s="64" t="s">
        <v>534</v>
      </c>
      <c r="E261" s="64" t="s">
        <v>521</v>
      </c>
      <c r="F261" s="80">
        <v>1500</v>
      </c>
      <c r="G261" s="80"/>
      <c r="H261" s="80">
        <v>1500</v>
      </c>
      <c r="I261" s="80"/>
      <c r="J261" s="80" t="s">
        <v>531</v>
      </c>
      <c r="K261" s="84">
        <v>1500</v>
      </c>
      <c r="L261" s="80"/>
    </row>
    <row r="262" spans="1:13" x14ac:dyDescent="0.2">
      <c r="A262" s="71"/>
      <c r="D262" s="64" t="s">
        <v>535</v>
      </c>
      <c r="E262" s="64" t="s">
        <v>521</v>
      </c>
      <c r="F262" s="80">
        <v>1500</v>
      </c>
      <c r="G262" s="80"/>
      <c r="H262" s="80">
        <v>1500</v>
      </c>
      <c r="I262" s="80"/>
      <c r="J262" s="80"/>
      <c r="K262" s="84">
        <v>1500</v>
      </c>
      <c r="L262" s="80"/>
    </row>
    <row r="263" spans="1:13" x14ac:dyDescent="0.2">
      <c r="A263" s="71"/>
      <c r="D263" s="64" t="s">
        <v>536</v>
      </c>
      <c r="E263" s="64" t="s">
        <v>521</v>
      </c>
      <c r="F263" s="80">
        <v>1500</v>
      </c>
      <c r="G263" s="80"/>
      <c r="H263" s="80">
        <v>1500</v>
      </c>
      <c r="I263" s="80"/>
      <c r="J263" s="80"/>
      <c r="K263" s="84">
        <v>1500</v>
      </c>
      <c r="L263" s="80"/>
    </row>
    <row r="264" spans="1:13" x14ac:dyDescent="0.2">
      <c r="A264" s="71"/>
      <c r="D264" s="64" t="s">
        <v>537</v>
      </c>
      <c r="E264" s="64" t="s">
        <v>521</v>
      </c>
      <c r="F264" s="80">
        <v>1500</v>
      </c>
      <c r="G264" s="80"/>
      <c r="H264" s="80">
        <v>1500</v>
      </c>
      <c r="I264" s="80"/>
      <c r="J264" s="80"/>
      <c r="K264" s="84">
        <v>1500</v>
      </c>
      <c r="L264" s="80"/>
    </row>
    <row r="265" spans="1:13" x14ac:dyDescent="0.2">
      <c r="A265" s="71"/>
      <c r="D265" s="64" t="s">
        <v>538</v>
      </c>
      <c r="E265" s="64" t="s">
        <v>521</v>
      </c>
      <c r="F265" s="80">
        <v>1500</v>
      </c>
      <c r="G265" s="80">
        <v>0</v>
      </c>
      <c r="H265" s="80">
        <v>1500</v>
      </c>
      <c r="I265" s="80"/>
      <c r="J265" s="80"/>
      <c r="K265" s="84">
        <v>1500</v>
      </c>
      <c r="L265" s="80"/>
    </row>
    <row r="266" spans="1:13" x14ac:dyDescent="0.2">
      <c r="A266" s="71"/>
      <c r="D266" s="64" t="s">
        <v>539</v>
      </c>
      <c r="E266" s="64" t="s">
        <v>521</v>
      </c>
      <c r="F266" s="80">
        <v>2250</v>
      </c>
      <c r="G266" s="80"/>
      <c r="H266" s="80">
        <v>2250</v>
      </c>
      <c r="I266" s="80"/>
      <c r="J266" s="80"/>
      <c r="K266" s="84">
        <v>2250</v>
      </c>
      <c r="L266" s="80"/>
    </row>
    <row r="267" spans="1:13" x14ac:dyDescent="0.2">
      <c r="A267" s="71"/>
      <c r="C267" s="64" t="s">
        <v>501</v>
      </c>
      <c r="D267" s="64" t="s">
        <v>540</v>
      </c>
      <c r="F267" s="80">
        <v>2846.25</v>
      </c>
      <c r="G267" s="80"/>
      <c r="H267" s="80">
        <v>2846.25</v>
      </c>
      <c r="I267" s="80"/>
      <c r="J267" s="80" t="s">
        <v>501</v>
      </c>
      <c r="K267" s="84">
        <v>2846.25</v>
      </c>
      <c r="L267" s="80"/>
      <c r="M267" s="64" t="s">
        <v>496</v>
      </c>
    </row>
    <row r="268" spans="1:13" x14ac:dyDescent="0.2">
      <c r="A268" s="71"/>
      <c r="C268" s="64" t="s">
        <v>501</v>
      </c>
      <c r="F268" s="80">
        <v>1693.8</v>
      </c>
      <c r="G268" s="80"/>
      <c r="H268" s="80">
        <v>1693.8</v>
      </c>
      <c r="I268" s="80"/>
      <c r="J268" s="80" t="s">
        <v>501</v>
      </c>
      <c r="K268" s="84">
        <v>1693.8</v>
      </c>
      <c r="L268" s="80"/>
    </row>
    <row r="269" spans="1:13" x14ac:dyDescent="0.2">
      <c r="A269" s="71"/>
      <c r="C269" s="64" t="s">
        <v>501</v>
      </c>
      <c r="D269" s="64" t="s">
        <v>322</v>
      </c>
      <c r="F269" s="80">
        <v>166.89</v>
      </c>
      <c r="G269" s="80">
        <v>25.03</v>
      </c>
      <c r="H269" s="80">
        <v>191.92</v>
      </c>
      <c r="I269" s="80"/>
      <c r="J269" s="80" t="s">
        <v>501</v>
      </c>
      <c r="K269" s="84">
        <v>191.92</v>
      </c>
      <c r="L269" s="80"/>
    </row>
    <row r="270" spans="1:13" x14ac:dyDescent="0.2">
      <c r="A270" s="71"/>
      <c r="B270" s="64" t="s">
        <v>541</v>
      </c>
      <c r="C270" s="64" t="s">
        <v>501</v>
      </c>
      <c r="D270" s="64" t="s">
        <v>542</v>
      </c>
      <c r="E270" s="64" t="s">
        <v>543</v>
      </c>
      <c r="F270" s="80">
        <v>3000</v>
      </c>
      <c r="G270" s="80"/>
      <c r="H270" s="80">
        <v>3000</v>
      </c>
      <c r="I270" s="80"/>
      <c r="J270" s="80" t="s">
        <v>544</v>
      </c>
      <c r="K270" s="84">
        <v>3000</v>
      </c>
      <c r="L270" s="80"/>
    </row>
    <row r="271" spans="1:13" x14ac:dyDescent="0.2">
      <c r="A271" s="71"/>
      <c r="C271" s="64" t="s">
        <v>544</v>
      </c>
      <c r="D271" s="64" t="s">
        <v>545</v>
      </c>
      <c r="F271" s="80">
        <v>7868.76</v>
      </c>
      <c r="G271" s="80"/>
      <c r="H271" s="80">
        <v>7868.76</v>
      </c>
      <c r="I271" s="80"/>
      <c r="J271" s="80" t="s">
        <v>544</v>
      </c>
      <c r="K271" s="84">
        <v>7868.76</v>
      </c>
      <c r="L271" s="80"/>
      <c r="M271" s="64" t="s">
        <v>496</v>
      </c>
    </row>
    <row r="272" spans="1:13" x14ac:dyDescent="0.2">
      <c r="A272" s="71"/>
      <c r="C272" s="64" t="s">
        <v>544</v>
      </c>
      <c r="D272" s="64" t="s">
        <v>542</v>
      </c>
      <c r="E272" s="64" t="s">
        <v>546</v>
      </c>
      <c r="F272" s="80">
        <v>3200</v>
      </c>
      <c r="G272" s="80"/>
      <c r="H272" s="80">
        <v>3200</v>
      </c>
      <c r="I272" s="80"/>
      <c r="J272" s="80" t="s">
        <v>544</v>
      </c>
      <c r="K272" s="84">
        <v>3200</v>
      </c>
      <c r="L272" s="80"/>
    </row>
    <row r="273" spans="1:12" x14ac:dyDescent="0.2">
      <c r="A273" s="71"/>
      <c r="C273" s="64" t="s">
        <v>544</v>
      </c>
      <c r="D273" s="64" t="s">
        <v>547</v>
      </c>
      <c r="F273" s="80">
        <v>1300</v>
      </c>
      <c r="G273" s="80"/>
      <c r="H273" s="80">
        <v>1300</v>
      </c>
      <c r="I273" s="80"/>
      <c r="J273" s="80" t="s">
        <v>544</v>
      </c>
      <c r="K273" s="84">
        <v>1300</v>
      </c>
      <c r="L273" s="80"/>
    </row>
    <row r="274" spans="1:12" x14ac:dyDescent="0.2">
      <c r="A274" s="71"/>
      <c r="B274" s="64" t="s">
        <v>497</v>
      </c>
      <c r="C274" s="64" t="s">
        <v>548</v>
      </c>
      <c r="D274" s="64" t="s">
        <v>549</v>
      </c>
      <c r="E274" s="64" t="s">
        <v>304</v>
      </c>
      <c r="F274" s="80">
        <v>20542</v>
      </c>
      <c r="G274" s="80">
        <v>3081.3</v>
      </c>
      <c r="H274" s="80">
        <v>23623.3</v>
      </c>
      <c r="I274" s="80"/>
      <c r="J274" s="80" t="s">
        <v>548</v>
      </c>
      <c r="K274" s="84">
        <v>23623.3</v>
      </c>
      <c r="L274" s="80"/>
    </row>
    <row r="275" spans="1:12" x14ac:dyDescent="0.2">
      <c r="A275" s="71"/>
      <c r="C275" s="64" t="s">
        <v>499</v>
      </c>
      <c r="D275" s="64" t="s">
        <v>515</v>
      </c>
      <c r="F275" s="80">
        <v>284.77999999999997</v>
      </c>
      <c r="G275" s="80">
        <v>42.72</v>
      </c>
      <c r="H275" s="80">
        <v>327.5</v>
      </c>
      <c r="I275" s="80"/>
      <c r="J275" s="80" t="s">
        <v>499</v>
      </c>
      <c r="K275" s="84">
        <v>327.5</v>
      </c>
      <c r="L275" s="80"/>
    </row>
    <row r="276" spans="1:12" x14ac:dyDescent="0.2">
      <c r="A276" s="71"/>
      <c r="C276" s="64" t="s">
        <v>499</v>
      </c>
      <c r="D276" s="64" t="s">
        <v>306</v>
      </c>
      <c r="E276" s="64" t="s">
        <v>304</v>
      </c>
      <c r="F276" s="80">
        <v>939.22</v>
      </c>
      <c r="G276" s="80">
        <v>92.83</v>
      </c>
      <c r="H276" s="80">
        <v>1032.05</v>
      </c>
      <c r="I276" s="80"/>
      <c r="J276" s="80" t="s">
        <v>499</v>
      </c>
      <c r="K276" s="84">
        <v>1032.05</v>
      </c>
      <c r="L276" s="80"/>
    </row>
    <row r="277" spans="1:12" x14ac:dyDescent="0.2">
      <c r="A277" s="71"/>
      <c r="C277" s="64" t="s">
        <v>499</v>
      </c>
      <c r="D277" s="64" t="s">
        <v>514</v>
      </c>
      <c r="E277" s="64" t="s">
        <v>427</v>
      </c>
      <c r="F277" s="80">
        <v>2000</v>
      </c>
      <c r="G277" s="80"/>
      <c r="H277" s="80">
        <v>2000</v>
      </c>
      <c r="I277" s="80"/>
      <c r="J277" s="80" t="s">
        <v>499</v>
      </c>
      <c r="K277" s="84">
        <v>2000</v>
      </c>
      <c r="L277" s="80"/>
    </row>
    <row r="278" spans="1:12" x14ac:dyDescent="0.2">
      <c r="A278" s="71"/>
      <c r="C278" s="64" t="s">
        <v>550</v>
      </c>
      <c r="D278" s="64" t="s">
        <v>498</v>
      </c>
      <c r="E278" s="64" t="s">
        <v>304</v>
      </c>
      <c r="F278" s="80">
        <v>89.9</v>
      </c>
      <c r="G278" s="80"/>
      <c r="H278" s="80">
        <v>89.9</v>
      </c>
      <c r="I278" s="80"/>
      <c r="J278" s="80" t="s">
        <v>550</v>
      </c>
      <c r="K278" s="84">
        <v>89.9</v>
      </c>
      <c r="L278" s="80"/>
    </row>
    <row r="279" spans="1:12" x14ac:dyDescent="0.2">
      <c r="A279" s="71"/>
      <c r="C279" s="64" t="s">
        <v>550</v>
      </c>
      <c r="F279" s="80">
        <v>40</v>
      </c>
      <c r="G279" s="80"/>
      <c r="H279" s="80">
        <v>40</v>
      </c>
      <c r="I279" s="80"/>
      <c r="J279" s="80" t="s">
        <v>550</v>
      </c>
      <c r="K279" s="84">
        <v>40</v>
      </c>
      <c r="L279" s="80"/>
    </row>
    <row r="280" spans="1:12" x14ac:dyDescent="0.2">
      <c r="A280" s="71"/>
      <c r="C280" s="64" t="s">
        <v>550</v>
      </c>
      <c r="D280" s="64" t="s">
        <v>337</v>
      </c>
      <c r="F280" s="80">
        <v>2140</v>
      </c>
      <c r="G280" s="80"/>
      <c r="H280" s="80">
        <v>2140</v>
      </c>
      <c r="I280" s="80"/>
      <c r="J280" s="80" t="s">
        <v>550</v>
      </c>
      <c r="K280" s="84">
        <v>2140</v>
      </c>
      <c r="L280" s="80"/>
    </row>
    <row r="281" spans="1:12" x14ac:dyDescent="0.2">
      <c r="A281" s="71"/>
      <c r="C281" s="64" t="s">
        <v>551</v>
      </c>
      <c r="D281" s="64" t="s">
        <v>322</v>
      </c>
      <c r="E281" s="64" t="s">
        <v>269</v>
      </c>
      <c r="F281" s="80">
        <v>357.3</v>
      </c>
      <c r="G281" s="80">
        <v>53.59</v>
      </c>
      <c r="H281" s="80">
        <v>510.88</v>
      </c>
      <c r="I281" s="80"/>
      <c r="J281" s="80" t="s">
        <v>551</v>
      </c>
      <c r="K281" s="84">
        <v>510.88</v>
      </c>
      <c r="L281" s="80"/>
    </row>
    <row r="282" spans="1:12" x14ac:dyDescent="0.2">
      <c r="A282" s="71"/>
      <c r="C282" s="64" t="s">
        <v>551</v>
      </c>
      <c r="D282" s="64" t="s">
        <v>552</v>
      </c>
      <c r="F282" s="80">
        <v>86.94</v>
      </c>
      <c r="G282" s="80">
        <v>13.04</v>
      </c>
      <c r="H282" s="80">
        <v>99.98</v>
      </c>
      <c r="I282" s="80"/>
      <c r="J282" s="80" t="s">
        <v>551</v>
      </c>
      <c r="K282" s="84">
        <v>99.98</v>
      </c>
      <c r="L282" s="80"/>
    </row>
    <row r="283" spans="1:12" x14ac:dyDescent="0.2">
      <c r="A283" s="71"/>
      <c r="C283" s="64" t="s">
        <v>553</v>
      </c>
      <c r="D283" s="64" t="s">
        <v>554</v>
      </c>
      <c r="E283" s="64" t="s">
        <v>304</v>
      </c>
      <c r="F283" s="80">
        <v>24.95</v>
      </c>
      <c r="G283" s="80"/>
      <c r="H283" s="80">
        <v>24.95</v>
      </c>
      <c r="I283" s="80"/>
      <c r="J283" s="80" t="s">
        <v>553</v>
      </c>
      <c r="K283" s="84">
        <v>24.95</v>
      </c>
      <c r="L283" s="80"/>
    </row>
    <row r="284" spans="1:12" x14ac:dyDescent="0.2">
      <c r="A284" s="71"/>
      <c r="C284" s="64" t="s">
        <v>555</v>
      </c>
      <c r="D284" s="64" t="s">
        <v>322</v>
      </c>
      <c r="E284" s="64" t="s">
        <v>421</v>
      </c>
      <c r="F284" s="80">
        <v>26.09</v>
      </c>
      <c r="G284" s="80">
        <v>3.91</v>
      </c>
      <c r="H284" s="80">
        <v>30</v>
      </c>
      <c r="I284" s="80"/>
      <c r="J284" s="80" t="s">
        <v>555</v>
      </c>
      <c r="K284" s="84">
        <v>30</v>
      </c>
      <c r="L284" s="80"/>
    </row>
    <row r="285" spans="1:12" x14ac:dyDescent="0.2">
      <c r="A285" s="71"/>
      <c r="C285" s="64" t="s">
        <v>556</v>
      </c>
      <c r="D285" s="64" t="s">
        <v>322</v>
      </c>
      <c r="E285" s="64" t="s">
        <v>255</v>
      </c>
      <c r="F285" s="80">
        <v>39.130000000000003</v>
      </c>
      <c r="G285" s="80">
        <v>5.87</v>
      </c>
      <c r="H285" s="80">
        <v>45</v>
      </c>
      <c r="I285" s="80"/>
      <c r="J285" s="80" t="s">
        <v>556</v>
      </c>
      <c r="K285" s="84">
        <v>45</v>
      </c>
      <c r="L285" s="80"/>
    </row>
    <row r="286" spans="1:12" x14ac:dyDescent="0.2">
      <c r="A286" s="71"/>
      <c r="C286" s="64" t="s">
        <v>556</v>
      </c>
      <c r="D286" s="64" t="s">
        <v>55</v>
      </c>
      <c r="E286" s="64" t="s">
        <v>203</v>
      </c>
      <c r="F286" s="80">
        <v>500</v>
      </c>
      <c r="G286" s="80"/>
      <c r="H286" s="80">
        <v>500</v>
      </c>
      <c r="I286" s="80"/>
      <c r="J286" s="80" t="s">
        <v>556</v>
      </c>
      <c r="K286" s="84">
        <v>500</v>
      </c>
      <c r="L286" s="80"/>
    </row>
    <row r="287" spans="1:12" x14ac:dyDescent="0.2">
      <c r="A287" s="71"/>
      <c r="C287" s="64" t="s">
        <v>556</v>
      </c>
      <c r="E287" s="64" t="s">
        <v>304</v>
      </c>
      <c r="F287" s="80">
        <v>2538.87</v>
      </c>
      <c r="G287" s="80">
        <v>380.83</v>
      </c>
      <c r="H287" s="80">
        <v>2919.7</v>
      </c>
      <c r="I287" s="80"/>
      <c r="J287" s="80" t="s">
        <v>556</v>
      </c>
      <c r="K287" s="84">
        <v>2919.7</v>
      </c>
      <c r="L287" s="80"/>
    </row>
    <row r="288" spans="1:12" x14ac:dyDescent="0.2">
      <c r="A288" s="71"/>
      <c r="C288" s="64" t="s">
        <v>557</v>
      </c>
      <c r="D288" s="64" t="s">
        <v>317</v>
      </c>
      <c r="E288" s="64" t="s">
        <v>203</v>
      </c>
      <c r="F288" s="80">
        <v>200</v>
      </c>
      <c r="G288" s="80"/>
      <c r="H288" s="80">
        <v>200</v>
      </c>
      <c r="I288" s="80"/>
      <c r="J288" s="80" t="s">
        <v>557</v>
      </c>
      <c r="K288" s="84">
        <v>200</v>
      </c>
      <c r="L288" s="80"/>
    </row>
    <row r="289" spans="1:12" x14ac:dyDescent="0.2">
      <c r="A289" s="71"/>
      <c r="C289" s="64" t="s">
        <v>558</v>
      </c>
      <c r="D289" s="64" t="s">
        <v>514</v>
      </c>
      <c r="E289" s="64" t="s">
        <v>427</v>
      </c>
      <c r="F289" s="80">
        <v>3000</v>
      </c>
      <c r="G289" s="80"/>
      <c r="H289" s="80">
        <v>3000</v>
      </c>
      <c r="I289" s="80"/>
      <c r="J289" s="80" t="s">
        <v>558</v>
      </c>
      <c r="K289" s="84">
        <v>3000</v>
      </c>
      <c r="L289" s="80"/>
    </row>
    <row r="290" spans="1:12" x14ac:dyDescent="0.2">
      <c r="A290" s="71"/>
      <c r="C290" s="64" t="s">
        <v>558</v>
      </c>
      <c r="D290" s="64" t="s">
        <v>559</v>
      </c>
      <c r="F290" s="80">
        <v>8000</v>
      </c>
      <c r="G290" s="80"/>
      <c r="H290" s="80">
        <v>8000</v>
      </c>
      <c r="I290" s="80"/>
      <c r="J290" s="80" t="s">
        <v>558</v>
      </c>
      <c r="K290" s="84">
        <v>8000</v>
      </c>
      <c r="L290" s="80"/>
    </row>
    <row r="291" spans="1:12" x14ac:dyDescent="0.2">
      <c r="A291" s="71"/>
      <c r="C291" s="64" t="s">
        <v>560</v>
      </c>
      <c r="D291" s="64" t="s">
        <v>554</v>
      </c>
      <c r="F291" s="80">
        <v>10</v>
      </c>
      <c r="G291" s="80"/>
      <c r="H291" s="80">
        <v>10</v>
      </c>
      <c r="I291" s="80"/>
      <c r="J291" s="80" t="s">
        <v>560</v>
      </c>
      <c r="K291" s="84">
        <v>10</v>
      </c>
      <c r="L291" s="80"/>
    </row>
    <row r="292" spans="1:12" x14ac:dyDescent="0.2">
      <c r="A292" s="71"/>
      <c r="C292" s="64" t="s">
        <v>560</v>
      </c>
      <c r="D292" s="64" t="s">
        <v>322</v>
      </c>
      <c r="E292" s="64" t="s">
        <v>421</v>
      </c>
      <c r="F292" s="80">
        <v>39.130000000000003</v>
      </c>
      <c r="G292" s="80">
        <v>5.87</v>
      </c>
      <c r="H292" s="80">
        <v>45</v>
      </c>
      <c r="I292" s="80"/>
      <c r="J292" s="80" t="s">
        <v>560</v>
      </c>
      <c r="K292" s="84">
        <v>45</v>
      </c>
      <c r="L292" s="80"/>
    </row>
    <row r="293" spans="1:12" x14ac:dyDescent="0.2">
      <c r="A293" s="71"/>
      <c r="C293" s="64" t="s">
        <v>560</v>
      </c>
      <c r="D293" s="64" t="s">
        <v>322</v>
      </c>
      <c r="E293" s="64" t="s">
        <v>255</v>
      </c>
      <c r="F293" s="80">
        <v>10.43</v>
      </c>
      <c r="G293" s="80">
        <v>1.57</v>
      </c>
      <c r="H293" s="80">
        <v>12</v>
      </c>
      <c r="I293" s="80"/>
      <c r="J293" s="80" t="s">
        <v>560</v>
      </c>
      <c r="K293" s="84">
        <v>12</v>
      </c>
      <c r="L293" s="80"/>
    </row>
    <row r="294" spans="1:12" x14ac:dyDescent="0.2">
      <c r="A294" s="71"/>
      <c r="C294" s="64" t="s">
        <v>560</v>
      </c>
      <c r="D294" s="64" t="s">
        <v>55</v>
      </c>
      <c r="E294" s="64" t="s">
        <v>203</v>
      </c>
      <c r="F294" s="80">
        <v>1686.43</v>
      </c>
      <c r="G294" s="80"/>
      <c r="H294" s="80">
        <v>1686.43</v>
      </c>
      <c r="I294" s="80"/>
      <c r="J294" s="80" t="s">
        <v>560</v>
      </c>
      <c r="K294" s="84">
        <v>1686.43</v>
      </c>
      <c r="L294" s="80"/>
    </row>
    <row r="295" spans="1:12" x14ac:dyDescent="0.2">
      <c r="A295" s="71"/>
      <c r="C295" s="64" t="s">
        <v>561</v>
      </c>
      <c r="D295" s="64" t="s">
        <v>322</v>
      </c>
      <c r="E295" s="64" t="s">
        <v>255</v>
      </c>
      <c r="F295" s="80">
        <v>76.48</v>
      </c>
      <c r="G295" s="80">
        <v>11.47</v>
      </c>
      <c r="H295" s="80">
        <v>87.95</v>
      </c>
      <c r="I295" s="80"/>
      <c r="J295" s="80" t="s">
        <v>561</v>
      </c>
      <c r="K295" s="84">
        <v>87.95</v>
      </c>
      <c r="L295" s="80"/>
    </row>
    <row r="296" spans="1:12" x14ac:dyDescent="0.2">
      <c r="A296" s="71"/>
      <c r="F296" s="80"/>
      <c r="G296" s="80"/>
      <c r="H296" s="80"/>
      <c r="I296" s="80"/>
      <c r="J296" s="80"/>
      <c r="K296" s="84"/>
      <c r="L296" s="80"/>
    </row>
    <row r="297" spans="1:12" x14ac:dyDescent="0.2">
      <c r="A297" s="71"/>
      <c r="F297" s="80"/>
      <c r="G297" s="80"/>
      <c r="H297" s="80"/>
      <c r="I297" s="80"/>
      <c r="J297" s="80"/>
      <c r="K297" s="84"/>
      <c r="L297" s="80"/>
    </row>
    <row r="298" spans="1:12" x14ac:dyDescent="0.2">
      <c r="A298" s="71"/>
      <c r="F298" s="75">
        <f>SUM(F240:F297)</f>
        <v>147698.45000000001</v>
      </c>
      <c r="G298" s="75">
        <f t="shared" ref="G298:L298" si="16">SUM(G240:G297)</f>
        <v>3793.1899999999996</v>
      </c>
      <c r="H298" s="75">
        <f t="shared" si="16"/>
        <v>151591.63000000006</v>
      </c>
      <c r="I298" s="75">
        <f t="shared" si="16"/>
        <v>0</v>
      </c>
      <c r="J298" s="75">
        <f t="shared" si="16"/>
        <v>0</v>
      </c>
      <c r="K298" s="76">
        <f t="shared" si="16"/>
        <v>151591.63000000006</v>
      </c>
      <c r="L298" s="75">
        <f t="shared" si="16"/>
        <v>0</v>
      </c>
    </row>
    <row r="299" spans="1:12" x14ac:dyDescent="0.2">
      <c r="A299" s="71"/>
      <c r="F299" s="80"/>
      <c r="G299" s="80"/>
      <c r="H299" s="80"/>
      <c r="I299" s="80"/>
      <c r="J299" s="80"/>
      <c r="K299" s="84"/>
      <c r="L299" s="80"/>
    </row>
    <row r="300" spans="1:12" x14ac:dyDescent="0.2">
      <c r="A300" s="71"/>
      <c r="E300" s="65" t="s">
        <v>262</v>
      </c>
      <c r="F300" s="82">
        <f>F298+F237</f>
        <v>1731412.2830000003</v>
      </c>
      <c r="G300" s="82">
        <f t="shared" ref="G300:L300" si="17">G298+G237</f>
        <v>152428.79</v>
      </c>
      <c r="H300" s="82">
        <f t="shared" si="17"/>
        <v>1860164.8400000003</v>
      </c>
      <c r="I300" s="82">
        <f t="shared" si="17"/>
        <v>0</v>
      </c>
      <c r="J300" s="82">
        <f t="shared" si="17"/>
        <v>0</v>
      </c>
      <c r="K300" s="82">
        <f t="shared" si="17"/>
        <v>1870257.9800000002</v>
      </c>
      <c r="L300" s="82">
        <f t="shared" si="17"/>
        <v>0</v>
      </c>
    </row>
    <row r="301" spans="1:12" x14ac:dyDescent="0.2">
      <c r="A301" s="71"/>
      <c r="F301" s="80"/>
      <c r="G301" s="80"/>
      <c r="H301" s="80"/>
      <c r="I301" s="80"/>
      <c r="J301" s="80"/>
      <c r="K301" s="84"/>
      <c r="L301" s="80"/>
    </row>
    <row r="302" spans="1:12" x14ac:dyDescent="0.2">
      <c r="A302" s="71"/>
      <c r="F302" s="80"/>
      <c r="G302" s="80"/>
      <c r="H302" s="80"/>
      <c r="I302" s="80"/>
      <c r="J302" s="80"/>
      <c r="K302" s="84"/>
      <c r="L302" s="80"/>
    </row>
    <row r="303" spans="1:12" x14ac:dyDescent="0.2">
      <c r="A303" s="71"/>
      <c r="C303" s="64" t="s">
        <v>562</v>
      </c>
      <c r="D303" s="64" t="s">
        <v>498</v>
      </c>
      <c r="F303" s="80">
        <v>7446</v>
      </c>
      <c r="G303" s="80"/>
      <c r="H303" s="80">
        <v>7446</v>
      </c>
      <c r="I303" s="80"/>
      <c r="J303" s="80" t="s">
        <v>562</v>
      </c>
      <c r="K303" s="84">
        <v>7446</v>
      </c>
      <c r="L303" s="80"/>
    </row>
    <row r="304" spans="1:12" x14ac:dyDescent="0.2">
      <c r="A304" s="71"/>
      <c r="C304" s="64" t="s">
        <v>563</v>
      </c>
      <c r="D304" s="64" t="s">
        <v>302</v>
      </c>
      <c r="E304" s="64" t="s">
        <v>159</v>
      </c>
      <c r="F304" s="80">
        <v>23010</v>
      </c>
      <c r="G304" s="80"/>
      <c r="H304" s="80">
        <v>23010</v>
      </c>
      <c r="I304" s="80"/>
      <c r="J304" s="80" t="s">
        <v>563</v>
      </c>
      <c r="K304" s="84">
        <v>23010</v>
      </c>
      <c r="L304" s="80"/>
    </row>
    <row r="305" spans="1:13" x14ac:dyDescent="0.2">
      <c r="A305" s="71"/>
      <c r="C305" s="64" t="s">
        <v>564</v>
      </c>
      <c r="D305" s="64" t="s">
        <v>565</v>
      </c>
      <c r="E305" s="64" t="s">
        <v>566</v>
      </c>
      <c r="F305" s="80">
        <v>10680</v>
      </c>
      <c r="G305" s="80"/>
      <c r="H305" s="80">
        <v>10680</v>
      </c>
      <c r="I305" s="80"/>
      <c r="J305" s="80" t="s">
        <v>564</v>
      </c>
      <c r="K305" s="84">
        <v>10680</v>
      </c>
      <c r="L305" s="80"/>
    </row>
    <row r="306" spans="1:13" x14ac:dyDescent="0.2">
      <c r="A306" s="71"/>
      <c r="C306" s="64" t="s">
        <v>567</v>
      </c>
      <c r="D306" s="64" t="s">
        <v>568</v>
      </c>
      <c r="E306" s="64" t="s">
        <v>203</v>
      </c>
      <c r="F306" s="80">
        <v>1200</v>
      </c>
      <c r="G306" s="80"/>
      <c r="H306" s="80">
        <v>1200</v>
      </c>
      <c r="I306" s="80"/>
      <c r="J306" s="80" t="s">
        <v>567</v>
      </c>
      <c r="K306" s="84">
        <v>1200</v>
      </c>
      <c r="L306" s="80"/>
    </row>
    <row r="307" spans="1:13" x14ac:dyDescent="0.2">
      <c r="A307" s="71"/>
      <c r="C307" s="64" t="s">
        <v>567</v>
      </c>
      <c r="D307" s="64" t="s">
        <v>569</v>
      </c>
      <c r="E307" s="64" t="s">
        <v>421</v>
      </c>
      <c r="F307" s="80">
        <v>1000</v>
      </c>
      <c r="G307" s="80"/>
      <c r="H307" s="80">
        <v>1000</v>
      </c>
      <c r="I307" s="80"/>
      <c r="J307" s="80" t="s">
        <v>567</v>
      </c>
      <c r="K307" s="84">
        <v>1000</v>
      </c>
      <c r="L307" s="80"/>
    </row>
    <row r="308" spans="1:13" x14ac:dyDescent="0.2">
      <c r="A308" s="71"/>
      <c r="C308" s="64" t="s">
        <v>567</v>
      </c>
      <c r="D308" s="64" t="s">
        <v>565</v>
      </c>
      <c r="E308" s="64" t="s">
        <v>570</v>
      </c>
      <c r="F308" s="80">
        <v>10680</v>
      </c>
      <c r="G308" s="80"/>
      <c r="H308" s="80">
        <v>10680</v>
      </c>
      <c r="I308" s="92">
        <v>1578</v>
      </c>
      <c r="J308" s="80" t="s">
        <v>564</v>
      </c>
      <c r="K308" s="84">
        <v>10680</v>
      </c>
      <c r="L308" s="80"/>
    </row>
    <row r="309" spans="1:13" x14ac:dyDescent="0.2">
      <c r="A309" s="71"/>
      <c r="C309" s="64" t="s">
        <v>571</v>
      </c>
      <c r="D309" s="64" t="s">
        <v>572</v>
      </c>
      <c r="E309" s="64" t="s">
        <v>573</v>
      </c>
      <c r="F309" s="80">
        <v>6199</v>
      </c>
      <c r="G309" s="80"/>
      <c r="H309" s="80">
        <v>6199</v>
      </c>
      <c r="I309" s="80"/>
      <c r="J309" s="80" t="s">
        <v>571</v>
      </c>
      <c r="K309" s="84">
        <v>6199</v>
      </c>
      <c r="L309" s="80"/>
    </row>
    <row r="310" spans="1:13" x14ac:dyDescent="0.2">
      <c r="A310" s="71"/>
      <c r="C310" s="64" t="s">
        <v>571</v>
      </c>
      <c r="D310" s="64" t="s">
        <v>574</v>
      </c>
      <c r="E310" s="64" t="s">
        <v>304</v>
      </c>
      <c r="F310" s="80">
        <v>137.4</v>
      </c>
      <c r="G310" s="80">
        <v>20.6</v>
      </c>
      <c r="H310" s="80">
        <v>158</v>
      </c>
      <c r="I310" s="80"/>
      <c r="J310" s="80" t="s">
        <v>571</v>
      </c>
      <c r="K310" s="84">
        <v>158</v>
      </c>
      <c r="L310" s="80"/>
    </row>
    <row r="311" spans="1:13" x14ac:dyDescent="0.2">
      <c r="A311" s="71"/>
      <c r="C311" s="64" t="s">
        <v>571</v>
      </c>
      <c r="D311" s="64" t="s">
        <v>512</v>
      </c>
      <c r="F311" s="80">
        <v>42.17</v>
      </c>
      <c r="G311" s="80">
        <v>6.33</v>
      </c>
      <c r="H311" s="80">
        <v>48.5</v>
      </c>
      <c r="I311" s="80"/>
      <c r="J311" s="80" t="s">
        <v>571</v>
      </c>
      <c r="K311" s="84">
        <v>48.5</v>
      </c>
      <c r="L311" s="80"/>
    </row>
    <row r="312" spans="1:13" x14ac:dyDescent="0.2">
      <c r="A312" s="71"/>
      <c r="C312" s="64" t="s">
        <v>571</v>
      </c>
      <c r="D312" s="64" t="s">
        <v>515</v>
      </c>
      <c r="E312" s="64" t="s">
        <v>304</v>
      </c>
      <c r="F312" s="80">
        <v>129.99</v>
      </c>
      <c r="G312" s="80"/>
      <c r="H312" s="80">
        <v>129.99</v>
      </c>
      <c r="I312" s="80"/>
      <c r="J312" s="80" t="s">
        <v>571</v>
      </c>
      <c r="K312" s="84">
        <v>129.99</v>
      </c>
      <c r="L312" s="80"/>
    </row>
    <row r="313" spans="1:13" x14ac:dyDescent="0.2">
      <c r="A313" s="71"/>
      <c r="C313" s="64" t="s">
        <v>571</v>
      </c>
      <c r="D313" s="64" t="s">
        <v>575</v>
      </c>
      <c r="E313" s="64" t="s">
        <v>203</v>
      </c>
      <c r="F313" s="80">
        <v>500</v>
      </c>
      <c r="G313" s="80"/>
      <c r="H313" s="80">
        <v>500</v>
      </c>
      <c r="I313" s="80"/>
      <c r="J313" s="80" t="s">
        <v>571</v>
      </c>
      <c r="K313" s="84">
        <v>500</v>
      </c>
      <c r="L313" s="80"/>
    </row>
    <row r="314" spans="1:13" x14ac:dyDescent="0.2">
      <c r="A314" s="71"/>
      <c r="C314" s="64" t="s">
        <v>571</v>
      </c>
      <c r="D314" s="64" t="s">
        <v>575</v>
      </c>
      <c r="E314" s="64" t="s">
        <v>203</v>
      </c>
      <c r="F314" s="80">
        <v>104</v>
      </c>
      <c r="G314" s="80"/>
      <c r="H314" s="80">
        <v>104</v>
      </c>
      <c r="I314" s="80"/>
      <c r="J314" s="80" t="s">
        <v>571</v>
      </c>
      <c r="K314" s="84">
        <v>104</v>
      </c>
      <c r="L314" s="80"/>
      <c r="M314" s="64" t="s">
        <v>576</v>
      </c>
    </row>
    <row r="315" spans="1:13" x14ac:dyDescent="0.2">
      <c r="A315" s="71"/>
      <c r="D315" s="64" t="s">
        <v>577</v>
      </c>
      <c r="E315" s="64" t="s">
        <v>578</v>
      </c>
      <c r="F315" s="80">
        <v>152.16999999999999</v>
      </c>
      <c r="G315" s="80">
        <v>22.82</v>
      </c>
      <c r="H315" s="80">
        <v>174.99</v>
      </c>
      <c r="I315" s="80"/>
      <c r="J315" s="80"/>
      <c r="K315" s="84">
        <v>174.99</v>
      </c>
      <c r="L315" s="80"/>
      <c r="M315" s="64" t="s">
        <v>579</v>
      </c>
    </row>
    <row r="316" spans="1:13" x14ac:dyDescent="0.2">
      <c r="A316" s="71"/>
      <c r="C316" s="64" t="s">
        <v>571</v>
      </c>
      <c r="D316" s="64" t="s">
        <v>580</v>
      </c>
      <c r="F316" s="80">
        <v>347.82</v>
      </c>
      <c r="G316" s="80">
        <v>52.17</v>
      </c>
      <c r="H316" s="80">
        <v>399.99</v>
      </c>
      <c r="I316" s="80"/>
      <c r="J316" s="80" t="s">
        <v>571</v>
      </c>
      <c r="K316" s="84">
        <v>399.99</v>
      </c>
      <c r="L316" s="80"/>
    </row>
    <row r="317" spans="1:13" x14ac:dyDescent="0.2">
      <c r="A317" s="71"/>
      <c r="C317" s="64" t="s">
        <v>571</v>
      </c>
      <c r="D317" s="64" t="s">
        <v>515</v>
      </c>
      <c r="E317" s="64" t="s">
        <v>304</v>
      </c>
      <c r="F317" s="80">
        <v>39.83</v>
      </c>
      <c r="G317" s="80">
        <v>5.67</v>
      </c>
      <c r="H317" s="80">
        <v>45.5</v>
      </c>
      <c r="I317" s="80"/>
      <c r="J317" s="80" t="s">
        <v>571</v>
      </c>
      <c r="K317" s="84">
        <v>100</v>
      </c>
      <c r="L317" s="80">
        <f>K317-H317</f>
        <v>54.5</v>
      </c>
    </row>
    <row r="318" spans="1:13" x14ac:dyDescent="0.2">
      <c r="A318" s="71"/>
      <c r="C318" s="64" t="s">
        <v>581</v>
      </c>
      <c r="D318" s="64" t="s">
        <v>114</v>
      </c>
      <c r="E318" s="64" t="s">
        <v>203</v>
      </c>
      <c r="F318" s="80">
        <v>500</v>
      </c>
      <c r="G318" s="80"/>
      <c r="H318" s="80">
        <v>500</v>
      </c>
      <c r="I318" s="80"/>
      <c r="J318" s="80" t="s">
        <v>581</v>
      </c>
      <c r="K318" s="84">
        <v>500</v>
      </c>
      <c r="L318" s="80"/>
    </row>
    <row r="319" spans="1:13" x14ac:dyDescent="0.2">
      <c r="A319" s="71"/>
      <c r="C319" s="64" t="s">
        <v>582</v>
      </c>
      <c r="D319" s="64" t="s">
        <v>439</v>
      </c>
      <c r="F319" s="80">
        <v>39.130000000000003</v>
      </c>
      <c r="G319" s="80">
        <v>5.87</v>
      </c>
      <c r="H319" s="80">
        <v>45</v>
      </c>
      <c r="I319" s="80"/>
      <c r="J319" s="80" t="s">
        <v>582</v>
      </c>
      <c r="K319" s="84">
        <v>45</v>
      </c>
      <c r="L319" s="80"/>
    </row>
    <row r="320" spans="1:13" x14ac:dyDescent="0.2">
      <c r="A320" s="71"/>
      <c r="C320" s="64" t="s">
        <v>582</v>
      </c>
      <c r="D320" s="64" t="s">
        <v>583</v>
      </c>
      <c r="E320" s="64" t="s">
        <v>203</v>
      </c>
      <c r="F320" s="80">
        <v>500</v>
      </c>
      <c r="G320" s="80"/>
      <c r="H320" s="80">
        <v>500</v>
      </c>
      <c r="I320" s="80"/>
      <c r="J320" s="80" t="s">
        <v>582</v>
      </c>
      <c r="K320" s="84">
        <v>500</v>
      </c>
      <c r="L320" s="80"/>
    </row>
    <row r="321" spans="1:12" x14ac:dyDescent="0.2">
      <c r="A321" s="71"/>
      <c r="C321" s="64" t="s">
        <v>582</v>
      </c>
      <c r="D321" s="64" t="s">
        <v>515</v>
      </c>
      <c r="E321" s="64" t="s">
        <v>304</v>
      </c>
      <c r="F321" s="80">
        <v>428.7</v>
      </c>
      <c r="G321" s="80">
        <v>64.3</v>
      </c>
      <c r="H321" s="80">
        <v>493</v>
      </c>
      <c r="I321" s="80"/>
      <c r="J321" s="80" t="s">
        <v>582</v>
      </c>
      <c r="K321" s="84">
        <v>493</v>
      </c>
      <c r="L321" s="80"/>
    </row>
    <row r="322" spans="1:12" x14ac:dyDescent="0.2">
      <c r="A322" s="71"/>
      <c r="C322" s="64" t="s">
        <v>584</v>
      </c>
      <c r="D322" s="64" t="s">
        <v>480</v>
      </c>
      <c r="E322" s="64" t="s">
        <v>585</v>
      </c>
      <c r="F322" s="80">
        <v>913.04</v>
      </c>
      <c r="G322" s="80">
        <v>136.96</v>
      </c>
      <c r="H322" s="80">
        <v>1050</v>
      </c>
      <c r="I322" s="80"/>
      <c r="J322" s="80" t="s">
        <v>584</v>
      </c>
      <c r="K322" s="84">
        <v>1050</v>
      </c>
      <c r="L322" s="80"/>
    </row>
    <row r="323" spans="1:12" x14ac:dyDescent="0.2">
      <c r="A323" s="71"/>
      <c r="C323" s="64" t="s">
        <v>584</v>
      </c>
      <c r="D323" s="64" t="s">
        <v>439</v>
      </c>
      <c r="F323" s="80">
        <v>133.87</v>
      </c>
      <c r="G323" s="80">
        <v>20.079999999999998</v>
      </c>
      <c r="H323" s="80">
        <v>153.94999999999999</v>
      </c>
      <c r="I323" s="80"/>
      <c r="J323" s="80" t="s">
        <v>584</v>
      </c>
      <c r="K323" s="84">
        <v>153.94999999999999</v>
      </c>
      <c r="L323" s="80"/>
    </row>
    <row r="324" spans="1:12" x14ac:dyDescent="0.2">
      <c r="A324" s="71"/>
      <c r="C324" s="64" t="s">
        <v>584</v>
      </c>
      <c r="D324" s="64" t="s">
        <v>515</v>
      </c>
      <c r="E324" s="64" t="s">
        <v>304</v>
      </c>
      <c r="F324" s="80">
        <v>129.57</v>
      </c>
      <c r="G324" s="80">
        <v>19.43</v>
      </c>
      <c r="H324" s="80">
        <v>149</v>
      </c>
      <c r="I324" s="80"/>
      <c r="J324" s="80" t="s">
        <v>584</v>
      </c>
      <c r="K324" s="84">
        <v>149</v>
      </c>
      <c r="L324" s="80"/>
    </row>
    <row r="325" spans="1:12" x14ac:dyDescent="0.2">
      <c r="A325" s="71"/>
      <c r="C325" s="64" t="s">
        <v>586</v>
      </c>
      <c r="D325" s="64" t="s">
        <v>439</v>
      </c>
      <c r="F325" s="80">
        <v>39.130000000000003</v>
      </c>
      <c r="G325" s="80">
        <v>5.87</v>
      </c>
      <c r="H325" s="80">
        <v>45</v>
      </c>
      <c r="I325" s="80"/>
      <c r="J325" s="80" t="s">
        <v>586</v>
      </c>
      <c r="K325" s="84">
        <v>45</v>
      </c>
      <c r="L325" s="80"/>
    </row>
    <row r="326" spans="1:12" x14ac:dyDescent="0.2">
      <c r="A326" s="71"/>
      <c r="B326" s="64" t="s">
        <v>587</v>
      </c>
      <c r="C326" s="64" t="s">
        <v>586</v>
      </c>
      <c r="D326" s="64" t="s">
        <v>588</v>
      </c>
      <c r="E326" s="64" t="s">
        <v>280</v>
      </c>
      <c r="F326" s="80">
        <v>1800</v>
      </c>
      <c r="G326" s="80"/>
      <c r="H326" s="80">
        <v>1800</v>
      </c>
      <c r="I326" s="80"/>
      <c r="J326" s="80" t="s">
        <v>589</v>
      </c>
      <c r="K326" s="84">
        <v>1800</v>
      </c>
      <c r="L326" s="80"/>
    </row>
    <row r="327" spans="1:12" x14ac:dyDescent="0.2">
      <c r="A327" s="71"/>
      <c r="C327" s="64" t="s">
        <v>586</v>
      </c>
      <c r="D327" s="64" t="s">
        <v>572</v>
      </c>
      <c r="F327" s="80">
        <v>14089</v>
      </c>
      <c r="G327" s="80"/>
      <c r="H327" s="80">
        <v>14089</v>
      </c>
      <c r="I327" s="80"/>
      <c r="J327" s="80" t="s">
        <v>586</v>
      </c>
      <c r="K327" s="84">
        <v>14089</v>
      </c>
      <c r="L327" s="80"/>
    </row>
    <row r="328" spans="1:12" x14ac:dyDescent="0.2">
      <c r="A328" s="71"/>
      <c r="B328" s="64" t="s">
        <v>590</v>
      </c>
      <c r="C328" s="64" t="s">
        <v>591</v>
      </c>
      <c r="D328" s="64" t="s">
        <v>592</v>
      </c>
      <c r="E328" s="64" t="s">
        <v>415</v>
      </c>
      <c r="F328" s="80">
        <v>5624.4</v>
      </c>
      <c r="G328" s="80"/>
      <c r="H328" s="80">
        <v>5624.4</v>
      </c>
      <c r="I328" s="80"/>
      <c r="J328" s="80" t="s">
        <v>591</v>
      </c>
      <c r="K328" s="84">
        <v>5624.4</v>
      </c>
      <c r="L328" s="80"/>
    </row>
    <row r="329" spans="1:12" x14ac:dyDescent="0.2">
      <c r="A329" s="71"/>
      <c r="B329" s="64" t="s">
        <v>593</v>
      </c>
      <c r="C329" s="64" t="s">
        <v>594</v>
      </c>
      <c r="D329" s="64" t="s">
        <v>595</v>
      </c>
      <c r="F329" s="80">
        <v>53667.05</v>
      </c>
      <c r="G329" s="80"/>
      <c r="H329" s="80">
        <v>53667.05</v>
      </c>
      <c r="I329" s="80"/>
      <c r="J329" s="80" t="s">
        <v>594</v>
      </c>
      <c r="K329" s="84">
        <v>53667.05</v>
      </c>
      <c r="L329" s="80"/>
    </row>
    <row r="330" spans="1:12" x14ac:dyDescent="0.2">
      <c r="A330" s="71"/>
      <c r="B330" s="64" t="s">
        <v>596</v>
      </c>
      <c r="C330" s="64" t="s">
        <v>597</v>
      </c>
      <c r="D330" s="64" t="s">
        <v>475</v>
      </c>
      <c r="E330" s="64" t="s">
        <v>240</v>
      </c>
      <c r="F330" s="80">
        <v>10000</v>
      </c>
      <c r="G330" s="80"/>
      <c r="H330" s="80">
        <v>10000</v>
      </c>
      <c r="I330" s="80"/>
      <c r="J330" s="80" t="s">
        <v>597</v>
      </c>
      <c r="K330" s="84">
        <v>10000</v>
      </c>
      <c r="L330" s="80"/>
    </row>
    <row r="331" spans="1:12" x14ac:dyDescent="0.2">
      <c r="A331" s="71"/>
      <c r="C331" s="64" t="s">
        <v>598</v>
      </c>
      <c r="D331" s="64" t="s">
        <v>599</v>
      </c>
      <c r="E331" s="64" t="s">
        <v>600</v>
      </c>
      <c r="F331" s="80">
        <v>77080</v>
      </c>
      <c r="G331" s="80"/>
      <c r="H331" s="80">
        <v>77080</v>
      </c>
      <c r="I331" s="80"/>
      <c r="J331" s="80" t="s">
        <v>601</v>
      </c>
      <c r="K331" s="84">
        <v>77080</v>
      </c>
      <c r="L331" s="80"/>
    </row>
    <row r="332" spans="1:12" x14ac:dyDescent="0.2">
      <c r="A332" s="71"/>
      <c r="F332" s="80"/>
      <c r="G332" s="80"/>
      <c r="H332" s="80"/>
      <c r="I332" s="80"/>
      <c r="J332" s="80"/>
      <c r="K332" s="84"/>
      <c r="L332" s="80"/>
    </row>
    <row r="333" spans="1:12" x14ac:dyDescent="0.2">
      <c r="A333" s="71"/>
      <c r="F333" s="80"/>
      <c r="G333" s="80"/>
      <c r="H333" s="80"/>
      <c r="I333" s="80"/>
      <c r="J333" s="80"/>
      <c r="K333" s="84"/>
      <c r="L333" s="80"/>
    </row>
    <row r="334" spans="1:12" x14ac:dyDescent="0.2">
      <c r="A334" s="71"/>
      <c r="F334" s="80"/>
      <c r="G334" s="80"/>
      <c r="H334" s="80"/>
      <c r="I334" s="80"/>
      <c r="J334" s="80"/>
      <c r="K334" s="84"/>
      <c r="L334" s="80"/>
    </row>
    <row r="335" spans="1:12" x14ac:dyDescent="0.2">
      <c r="A335" s="71"/>
      <c r="F335" s="75">
        <f>SUM(F303:F334)</f>
        <v>226612.27</v>
      </c>
      <c r="G335" s="75">
        <f t="shared" ref="G335:L335" si="18">SUM(G304:G334)</f>
        <v>360.1</v>
      </c>
      <c r="H335" s="75">
        <f t="shared" si="18"/>
        <v>219526.37</v>
      </c>
      <c r="I335" s="75">
        <f t="shared" si="18"/>
        <v>1578</v>
      </c>
      <c r="J335" s="75">
        <f t="shared" si="18"/>
        <v>0</v>
      </c>
      <c r="K335" s="76">
        <f t="shared" si="18"/>
        <v>219580.87</v>
      </c>
      <c r="L335" s="75">
        <f t="shared" si="18"/>
        <v>54.5</v>
      </c>
    </row>
    <row r="336" spans="1:12" x14ac:dyDescent="0.2">
      <c r="A336" s="71"/>
      <c r="F336" s="82"/>
      <c r="G336" s="82"/>
      <c r="H336" s="82"/>
      <c r="I336" s="82"/>
      <c r="J336" s="82"/>
      <c r="K336" s="83"/>
      <c r="L336" s="82"/>
    </row>
    <row r="337" spans="1:13" x14ac:dyDescent="0.2">
      <c r="A337" s="71"/>
      <c r="E337" s="65" t="s">
        <v>262</v>
      </c>
      <c r="F337" s="82">
        <f>F335+F300</f>
        <v>1958024.5530000003</v>
      </c>
      <c r="G337" s="82">
        <f t="shared" ref="G337:L337" si="19">G335+G300</f>
        <v>152788.89000000001</v>
      </c>
      <c r="H337" s="82">
        <f t="shared" si="19"/>
        <v>2079691.2100000004</v>
      </c>
      <c r="I337" s="82">
        <f t="shared" si="19"/>
        <v>1578</v>
      </c>
      <c r="J337" s="82">
        <f t="shared" si="19"/>
        <v>0</v>
      </c>
      <c r="K337" s="82">
        <f t="shared" si="19"/>
        <v>2089838.85</v>
      </c>
      <c r="L337" s="82">
        <f t="shared" si="19"/>
        <v>54.5</v>
      </c>
    </row>
    <row r="338" spans="1:13" x14ac:dyDescent="0.2">
      <c r="A338" s="71"/>
      <c r="F338" s="82"/>
      <c r="G338" s="82"/>
      <c r="H338" s="82"/>
      <c r="I338" s="82"/>
      <c r="J338" s="82"/>
      <c r="K338" s="83"/>
      <c r="L338" s="82"/>
    </row>
    <row r="339" spans="1:13" x14ac:dyDescent="0.2">
      <c r="A339" s="71"/>
      <c r="F339" s="80"/>
      <c r="G339" s="80"/>
      <c r="H339" s="80"/>
      <c r="I339" s="80"/>
      <c r="J339" s="80"/>
      <c r="K339" s="84"/>
      <c r="L339" s="80"/>
    </row>
    <row r="340" spans="1:13" x14ac:dyDescent="0.2">
      <c r="A340" s="71"/>
      <c r="C340" s="64" t="s">
        <v>602</v>
      </c>
      <c r="D340" s="64" t="s">
        <v>559</v>
      </c>
      <c r="F340" s="80">
        <v>8500</v>
      </c>
      <c r="G340" s="80"/>
      <c r="H340" s="80">
        <v>8500</v>
      </c>
      <c r="I340" s="80"/>
      <c r="J340" s="80" t="s">
        <v>602</v>
      </c>
      <c r="K340" s="84">
        <v>8500</v>
      </c>
      <c r="L340" s="80"/>
    </row>
    <row r="341" spans="1:13" x14ac:dyDescent="0.2">
      <c r="A341" s="71"/>
      <c r="C341" s="64" t="s">
        <v>602</v>
      </c>
      <c r="D341" s="64" t="s">
        <v>514</v>
      </c>
      <c r="E341" s="64" t="s">
        <v>427</v>
      </c>
      <c r="F341" s="80">
        <v>2000</v>
      </c>
      <c r="G341" s="80"/>
      <c r="H341" s="80">
        <v>2000</v>
      </c>
      <c r="I341" s="80"/>
      <c r="J341" s="80" t="s">
        <v>602</v>
      </c>
      <c r="K341" s="84">
        <v>2000</v>
      </c>
      <c r="L341" s="80"/>
    </row>
    <row r="342" spans="1:13" x14ac:dyDescent="0.2">
      <c r="A342" s="71"/>
      <c r="C342" s="64" t="s">
        <v>602</v>
      </c>
      <c r="D342" s="64" t="s">
        <v>603</v>
      </c>
      <c r="F342" s="80">
        <v>10650</v>
      </c>
      <c r="G342" s="80"/>
      <c r="H342" s="80">
        <v>10650</v>
      </c>
      <c r="I342" s="80"/>
      <c r="J342" s="80" t="s">
        <v>602</v>
      </c>
      <c r="K342" s="84">
        <v>10650</v>
      </c>
      <c r="L342" s="80"/>
    </row>
    <row r="343" spans="1:13" x14ac:dyDescent="0.2">
      <c r="A343" s="71"/>
      <c r="F343" s="80"/>
      <c r="G343" s="80"/>
      <c r="H343" s="80"/>
      <c r="I343" s="80"/>
      <c r="J343" s="80"/>
      <c r="K343" s="84"/>
      <c r="L343" s="80"/>
    </row>
    <row r="344" spans="1:13" x14ac:dyDescent="0.2">
      <c r="A344" s="71"/>
      <c r="F344" s="75">
        <f>SUM(F340:F343)</f>
        <v>21150</v>
      </c>
      <c r="G344" s="75">
        <f t="shared" ref="G344:L344" si="20">SUM(G341:G343)</f>
        <v>0</v>
      </c>
      <c r="H344" s="75">
        <f t="shared" si="20"/>
        <v>12650</v>
      </c>
      <c r="I344" s="75">
        <f t="shared" si="20"/>
        <v>0</v>
      </c>
      <c r="J344" s="75">
        <f t="shared" si="20"/>
        <v>0</v>
      </c>
      <c r="K344" s="76">
        <f t="shared" si="20"/>
        <v>12650</v>
      </c>
      <c r="L344" s="75">
        <f t="shared" si="20"/>
        <v>0</v>
      </c>
    </row>
    <row r="345" spans="1:13" x14ac:dyDescent="0.2">
      <c r="A345" s="71"/>
      <c r="F345" s="82"/>
      <c r="G345" s="82"/>
      <c r="H345" s="82"/>
      <c r="I345" s="82"/>
      <c r="J345" s="82"/>
      <c r="K345" s="83"/>
      <c r="L345" s="82"/>
    </row>
    <row r="346" spans="1:13" x14ac:dyDescent="0.2">
      <c r="A346" s="71"/>
      <c r="E346" s="65" t="s">
        <v>262</v>
      </c>
      <c r="F346" s="82">
        <f>F344+F337</f>
        <v>1979174.5530000003</v>
      </c>
      <c r="G346" s="82">
        <f t="shared" ref="G346:L346" si="21">G344+G337</f>
        <v>152788.89000000001</v>
      </c>
      <c r="H346" s="82">
        <f t="shared" si="21"/>
        <v>2092341.2100000004</v>
      </c>
      <c r="I346" s="82">
        <f t="shared" si="21"/>
        <v>1578</v>
      </c>
      <c r="J346" s="82">
        <f t="shared" si="21"/>
        <v>0</v>
      </c>
      <c r="K346" s="82">
        <f t="shared" si="21"/>
        <v>2102488.85</v>
      </c>
      <c r="L346" s="82">
        <f t="shared" si="21"/>
        <v>54.5</v>
      </c>
    </row>
    <row r="347" spans="1:13" x14ac:dyDescent="0.2">
      <c r="A347" s="71"/>
      <c r="F347" s="80"/>
      <c r="G347" s="80"/>
      <c r="H347" s="80"/>
      <c r="I347" s="80"/>
      <c r="J347" s="80"/>
      <c r="K347" s="84"/>
      <c r="L347" s="80"/>
    </row>
    <row r="348" spans="1:13" x14ac:dyDescent="0.2">
      <c r="A348" s="71"/>
      <c r="F348" s="80"/>
      <c r="G348" s="80"/>
      <c r="H348" s="80"/>
      <c r="I348" s="80"/>
      <c r="J348" s="80"/>
      <c r="K348" s="84"/>
      <c r="L348" s="80"/>
    </row>
    <row r="349" spans="1:13" x14ac:dyDescent="0.2">
      <c r="A349" s="71">
        <v>45658</v>
      </c>
      <c r="C349" s="64" t="s">
        <v>604</v>
      </c>
      <c r="D349" s="64" t="s">
        <v>514</v>
      </c>
      <c r="E349" s="64" t="s">
        <v>427</v>
      </c>
      <c r="F349" s="80">
        <v>2000</v>
      </c>
      <c r="G349" s="80"/>
      <c r="H349" s="80">
        <v>2000</v>
      </c>
      <c r="I349" s="80"/>
      <c r="J349" s="80" t="s">
        <v>605</v>
      </c>
      <c r="K349" s="84">
        <v>2000</v>
      </c>
      <c r="L349" s="80">
        <f>K349-H349</f>
        <v>0</v>
      </c>
    </row>
    <row r="350" spans="1:13" x14ac:dyDescent="0.2">
      <c r="A350" s="71"/>
      <c r="B350" s="64" t="s">
        <v>606</v>
      </c>
      <c r="C350" s="64" t="s">
        <v>607</v>
      </c>
      <c r="D350" s="64" t="s">
        <v>588</v>
      </c>
      <c r="E350" s="64" t="s">
        <v>203</v>
      </c>
      <c r="F350" s="80">
        <v>3000</v>
      </c>
      <c r="G350" s="80"/>
      <c r="H350" s="80">
        <v>3000</v>
      </c>
      <c r="I350" s="80"/>
      <c r="J350" s="80" t="s">
        <v>608</v>
      </c>
      <c r="K350" s="84">
        <v>3000</v>
      </c>
      <c r="L350" s="80">
        <f t="shared" ref="L350:L370" si="22">K350-H350</f>
        <v>0</v>
      </c>
      <c r="M350" s="64" t="s">
        <v>609</v>
      </c>
    </row>
    <row r="351" spans="1:13" x14ac:dyDescent="0.2">
      <c r="A351" s="71"/>
      <c r="B351" s="64" t="s">
        <v>610</v>
      </c>
      <c r="C351" s="64" t="s">
        <v>607</v>
      </c>
      <c r="D351" s="64" t="s">
        <v>328</v>
      </c>
      <c r="E351" s="64" t="s">
        <v>611</v>
      </c>
      <c r="F351" s="80">
        <v>10000</v>
      </c>
      <c r="G351" s="80"/>
      <c r="H351" s="80">
        <v>10000</v>
      </c>
      <c r="I351" s="80"/>
      <c r="J351" s="80" t="s">
        <v>608</v>
      </c>
      <c r="K351" s="84">
        <v>10000</v>
      </c>
      <c r="L351" s="80">
        <f t="shared" si="22"/>
        <v>0</v>
      </c>
      <c r="M351" s="64" t="s">
        <v>609</v>
      </c>
    </row>
    <row r="352" spans="1:13" x14ac:dyDescent="0.2">
      <c r="A352" s="71"/>
      <c r="B352" s="64" t="s">
        <v>612</v>
      </c>
      <c r="C352" s="64" t="s">
        <v>607</v>
      </c>
      <c r="D352" s="64" t="s">
        <v>480</v>
      </c>
      <c r="E352" s="64" t="s">
        <v>613</v>
      </c>
      <c r="F352" s="80">
        <v>913.04</v>
      </c>
      <c r="G352" s="80">
        <v>136.96</v>
      </c>
      <c r="H352" s="80">
        <v>1050</v>
      </c>
      <c r="I352" s="80"/>
      <c r="J352" s="80" t="s">
        <v>608</v>
      </c>
      <c r="K352" s="84">
        <v>1050</v>
      </c>
      <c r="L352" s="80">
        <f t="shared" si="22"/>
        <v>0</v>
      </c>
      <c r="M352" s="64" t="s">
        <v>609</v>
      </c>
    </row>
    <row r="353" spans="1:13" x14ac:dyDescent="0.2">
      <c r="A353" s="71"/>
      <c r="C353" s="93"/>
      <c r="F353" s="80"/>
      <c r="G353" s="80"/>
      <c r="H353" s="80"/>
      <c r="I353" s="80"/>
      <c r="J353" s="80"/>
      <c r="K353" s="84"/>
      <c r="L353" s="80"/>
    </row>
    <row r="354" spans="1:13" x14ac:dyDescent="0.2">
      <c r="A354" s="71"/>
      <c r="B354" s="64" t="s">
        <v>614</v>
      </c>
      <c r="C354" s="64" t="s">
        <v>615</v>
      </c>
      <c r="D354" s="64" t="s">
        <v>595</v>
      </c>
      <c r="E354" s="64" t="s">
        <v>616</v>
      </c>
      <c r="F354" s="80">
        <v>15200</v>
      </c>
      <c r="G354" s="80">
        <v>2280</v>
      </c>
      <c r="H354" s="80">
        <v>17480</v>
      </c>
      <c r="I354" s="80"/>
      <c r="J354" s="80" t="s">
        <v>608</v>
      </c>
      <c r="K354" s="84">
        <v>17480</v>
      </c>
      <c r="L354" s="80">
        <f t="shared" si="22"/>
        <v>0</v>
      </c>
      <c r="M354" s="64" t="s">
        <v>609</v>
      </c>
    </row>
    <row r="355" spans="1:13" x14ac:dyDescent="0.2">
      <c r="A355" s="71"/>
      <c r="B355" s="64" t="s">
        <v>617</v>
      </c>
      <c r="C355" s="64" t="s">
        <v>618</v>
      </c>
      <c r="D355" s="64" t="s">
        <v>619</v>
      </c>
      <c r="E355" s="64" t="s">
        <v>415</v>
      </c>
      <c r="F355" s="80">
        <v>10736.4</v>
      </c>
      <c r="G355" s="80"/>
      <c r="H355" s="80">
        <v>10736.4</v>
      </c>
      <c r="I355" s="80" t="s">
        <v>620</v>
      </c>
      <c r="J355" s="80" t="s">
        <v>608</v>
      </c>
      <c r="K355" s="84">
        <v>10736.4</v>
      </c>
      <c r="L355" s="80">
        <f t="shared" si="22"/>
        <v>0</v>
      </c>
      <c r="M355" s="64" t="s">
        <v>609</v>
      </c>
    </row>
    <row r="356" spans="1:13" x14ac:dyDescent="0.2">
      <c r="A356" s="71"/>
      <c r="C356" s="64" t="s">
        <v>621</v>
      </c>
      <c r="D356" s="64" t="s">
        <v>622</v>
      </c>
      <c r="E356" s="64" t="s">
        <v>429</v>
      </c>
      <c r="F356" s="80">
        <v>23010</v>
      </c>
      <c r="G356" s="80"/>
      <c r="H356" s="80">
        <v>23010</v>
      </c>
      <c r="I356" s="80"/>
      <c r="J356" s="80" t="s">
        <v>621</v>
      </c>
      <c r="K356" s="84">
        <v>23010</v>
      </c>
      <c r="L356" s="80">
        <f t="shared" si="22"/>
        <v>0</v>
      </c>
      <c r="M356" s="64" t="s">
        <v>609</v>
      </c>
    </row>
    <row r="357" spans="1:13" x14ac:dyDescent="0.2">
      <c r="A357" s="71"/>
      <c r="C357" s="64" t="s">
        <v>621</v>
      </c>
      <c r="D357" s="64" t="s">
        <v>623</v>
      </c>
      <c r="E357" s="64" t="s">
        <v>624</v>
      </c>
      <c r="F357" s="80">
        <v>950</v>
      </c>
      <c r="G357" s="80"/>
      <c r="H357" s="80">
        <v>950</v>
      </c>
      <c r="I357" s="80"/>
      <c r="J357" s="80" t="s">
        <v>621</v>
      </c>
      <c r="K357" s="84">
        <v>950</v>
      </c>
      <c r="L357" s="80">
        <f t="shared" si="22"/>
        <v>0</v>
      </c>
      <c r="M357" s="64" t="s">
        <v>625</v>
      </c>
    </row>
    <row r="358" spans="1:13" x14ac:dyDescent="0.2">
      <c r="A358" s="71"/>
      <c r="B358" s="64" t="s">
        <v>626</v>
      </c>
      <c r="C358" s="64" t="s">
        <v>621</v>
      </c>
      <c r="D358" s="64" t="s">
        <v>595</v>
      </c>
      <c r="E358" s="64" t="s">
        <v>627</v>
      </c>
      <c r="F358" s="80">
        <v>12867</v>
      </c>
      <c r="G358" s="80">
        <v>1930.05</v>
      </c>
      <c r="H358" s="80">
        <v>14797.05</v>
      </c>
      <c r="I358" s="80"/>
      <c r="J358" s="80" t="s">
        <v>608</v>
      </c>
      <c r="K358" s="84">
        <v>14797.05</v>
      </c>
      <c r="L358" s="80"/>
      <c r="M358" s="64" t="s">
        <v>609</v>
      </c>
    </row>
    <row r="359" spans="1:13" x14ac:dyDescent="0.2">
      <c r="A359" s="71"/>
      <c r="C359" s="64" t="s">
        <v>628</v>
      </c>
      <c r="D359" s="64" t="s">
        <v>629</v>
      </c>
      <c r="E359" s="64" t="s">
        <v>630</v>
      </c>
      <c r="F359" s="80">
        <v>70891.3</v>
      </c>
      <c r="G359" s="80"/>
      <c r="H359" s="80">
        <v>70891.3</v>
      </c>
      <c r="I359" s="80"/>
      <c r="J359" s="80" t="s">
        <v>628</v>
      </c>
      <c r="K359" s="84">
        <v>70891.3</v>
      </c>
      <c r="L359" s="80">
        <f t="shared" si="22"/>
        <v>0</v>
      </c>
      <c r="M359" s="64" t="s">
        <v>625</v>
      </c>
    </row>
    <row r="360" spans="1:13" x14ac:dyDescent="0.2">
      <c r="A360" s="71"/>
      <c r="B360" s="64" t="s">
        <v>631</v>
      </c>
      <c r="C360" s="64" t="s">
        <v>632</v>
      </c>
      <c r="D360" s="64" t="s">
        <v>633</v>
      </c>
      <c r="E360" s="64" t="s">
        <v>427</v>
      </c>
      <c r="F360" s="80">
        <v>6000</v>
      </c>
      <c r="G360" s="80"/>
      <c r="H360" s="80">
        <v>6000</v>
      </c>
      <c r="I360" s="80"/>
      <c r="J360" s="80" t="s">
        <v>634</v>
      </c>
      <c r="K360" s="84">
        <v>6000</v>
      </c>
      <c r="L360" s="80">
        <f t="shared" si="22"/>
        <v>0</v>
      </c>
      <c r="M360" s="64" t="s">
        <v>518</v>
      </c>
    </row>
    <row r="361" spans="1:13" x14ac:dyDescent="0.2">
      <c r="A361" s="71"/>
      <c r="B361" s="64" t="s">
        <v>635</v>
      </c>
      <c r="C361" s="64" t="s">
        <v>632</v>
      </c>
      <c r="D361" s="64" t="s">
        <v>515</v>
      </c>
      <c r="E361" s="64" t="s">
        <v>304</v>
      </c>
      <c r="F361" s="80">
        <v>623.48</v>
      </c>
      <c r="G361" s="80">
        <v>93.52</v>
      </c>
      <c r="H361" s="80">
        <v>717</v>
      </c>
      <c r="I361" s="80"/>
      <c r="J361" s="80" t="s">
        <v>632</v>
      </c>
      <c r="K361" s="84">
        <v>717</v>
      </c>
      <c r="L361" s="80">
        <f t="shared" si="22"/>
        <v>0</v>
      </c>
      <c r="M361" s="64" t="s">
        <v>609</v>
      </c>
    </row>
    <row r="362" spans="1:13" x14ac:dyDescent="0.2">
      <c r="A362" s="71"/>
      <c r="B362" s="64" t="s">
        <v>636</v>
      </c>
      <c r="C362" s="64" t="s">
        <v>632</v>
      </c>
      <c r="D362" s="64" t="s">
        <v>637</v>
      </c>
      <c r="E362" s="64" t="s">
        <v>638</v>
      </c>
      <c r="F362" s="80">
        <v>2260.87</v>
      </c>
      <c r="G362" s="80">
        <v>339.13</v>
      </c>
      <c r="H362" s="80">
        <v>2600</v>
      </c>
      <c r="I362" s="92">
        <v>628</v>
      </c>
      <c r="J362" s="80" t="s">
        <v>632</v>
      </c>
      <c r="K362" s="84">
        <v>2600</v>
      </c>
      <c r="L362" s="80">
        <f t="shared" si="22"/>
        <v>0</v>
      </c>
      <c r="M362" s="64" t="s">
        <v>609</v>
      </c>
    </row>
    <row r="363" spans="1:13" x14ac:dyDescent="0.2">
      <c r="A363" s="71"/>
      <c r="B363" s="64" t="s">
        <v>639</v>
      </c>
      <c r="C363" s="64" t="s">
        <v>632</v>
      </c>
      <c r="D363" s="64" t="s">
        <v>640</v>
      </c>
      <c r="E363" s="64" t="s">
        <v>641</v>
      </c>
      <c r="F363" s="80">
        <v>588</v>
      </c>
      <c r="G363" s="80"/>
      <c r="H363" s="80">
        <v>588</v>
      </c>
      <c r="I363" s="92"/>
      <c r="J363" s="80" t="s">
        <v>632</v>
      </c>
      <c r="K363" s="84">
        <v>588</v>
      </c>
      <c r="L363" s="80">
        <f t="shared" si="22"/>
        <v>0</v>
      </c>
      <c r="M363" s="64" t="s">
        <v>609</v>
      </c>
    </row>
    <row r="364" spans="1:13" x14ac:dyDescent="0.2">
      <c r="A364" s="71"/>
      <c r="C364" s="64" t="s">
        <v>632</v>
      </c>
      <c r="D364" s="64" t="s">
        <v>642</v>
      </c>
      <c r="E364" s="64" t="s">
        <v>230</v>
      </c>
      <c r="F364" s="80">
        <v>8195</v>
      </c>
      <c r="G364" s="80"/>
      <c r="H364" s="80">
        <v>8195</v>
      </c>
      <c r="I364" s="92"/>
      <c r="J364" s="80" t="s">
        <v>632</v>
      </c>
      <c r="K364" s="84">
        <v>8195</v>
      </c>
      <c r="L364" s="80">
        <f t="shared" si="22"/>
        <v>0</v>
      </c>
      <c r="M364" s="64" t="s">
        <v>643</v>
      </c>
    </row>
    <row r="365" spans="1:13" x14ac:dyDescent="0.2">
      <c r="A365" s="71"/>
      <c r="C365" s="64" t="s">
        <v>632</v>
      </c>
      <c r="D365" s="64" t="s">
        <v>644</v>
      </c>
      <c r="E365" s="64" t="s">
        <v>230</v>
      </c>
      <c r="F365" s="80">
        <v>14025.8</v>
      </c>
      <c r="G365" s="80"/>
      <c r="H365" s="80">
        <v>14025.8</v>
      </c>
      <c r="I365" s="92"/>
      <c r="J365" s="80" t="s">
        <v>632</v>
      </c>
      <c r="K365" s="84">
        <v>14025.8</v>
      </c>
      <c r="L365" s="80">
        <f t="shared" si="22"/>
        <v>0</v>
      </c>
      <c r="M365" s="64" t="s">
        <v>645</v>
      </c>
    </row>
    <row r="366" spans="1:13" x14ac:dyDescent="0.2">
      <c r="A366" s="71"/>
      <c r="B366" s="64" t="s">
        <v>646</v>
      </c>
      <c r="C366" s="64" t="s">
        <v>647</v>
      </c>
      <c r="D366" s="64" t="s">
        <v>622</v>
      </c>
      <c r="E366" s="64" t="s">
        <v>429</v>
      </c>
      <c r="F366" s="80">
        <v>23010</v>
      </c>
      <c r="G366" s="80"/>
      <c r="H366" s="80">
        <v>23010</v>
      </c>
      <c r="I366" s="92"/>
      <c r="J366" s="80" t="s">
        <v>648</v>
      </c>
      <c r="K366" s="84">
        <v>23010</v>
      </c>
      <c r="L366" s="80">
        <f t="shared" si="22"/>
        <v>0</v>
      </c>
      <c r="M366" s="64" t="s">
        <v>609</v>
      </c>
    </row>
    <row r="367" spans="1:13" x14ac:dyDescent="0.2">
      <c r="A367" s="71"/>
      <c r="C367" s="64" t="s">
        <v>647</v>
      </c>
      <c r="D367" s="64" t="s">
        <v>649</v>
      </c>
      <c r="E367" s="64" t="s">
        <v>650</v>
      </c>
      <c r="F367" s="80">
        <v>5600</v>
      </c>
      <c r="G367" s="80"/>
      <c r="H367" s="80">
        <v>5600</v>
      </c>
      <c r="I367" s="92">
        <v>47</v>
      </c>
      <c r="J367" s="80" t="s">
        <v>648</v>
      </c>
      <c r="K367" s="84">
        <v>5600</v>
      </c>
      <c r="L367" s="80">
        <f t="shared" si="22"/>
        <v>0</v>
      </c>
      <c r="M367" s="64" t="s">
        <v>609</v>
      </c>
    </row>
    <row r="368" spans="1:13" x14ac:dyDescent="0.2">
      <c r="A368" s="71"/>
      <c r="C368" s="64" t="s">
        <v>647</v>
      </c>
      <c r="D368" s="64" t="s">
        <v>651</v>
      </c>
      <c r="E368" s="64" t="s">
        <v>652</v>
      </c>
      <c r="F368" s="80">
        <v>1750</v>
      </c>
      <c r="G368" s="80"/>
      <c r="H368" s="80">
        <v>1750</v>
      </c>
      <c r="I368" s="92"/>
      <c r="J368" s="80" t="s">
        <v>647</v>
      </c>
      <c r="K368" s="84">
        <v>1750</v>
      </c>
      <c r="L368" s="80">
        <f t="shared" si="22"/>
        <v>0</v>
      </c>
      <c r="M368" s="64" t="s">
        <v>609</v>
      </c>
    </row>
    <row r="369" spans="1:13" x14ac:dyDescent="0.2">
      <c r="A369" s="71"/>
      <c r="B369" s="64" t="s">
        <v>653</v>
      </c>
      <c r="C369" s="64" t="s">
        <v>654</v>
      </c>
      <c r="D369" s="64" t="s">
        <v>655</v>
      </c>
      <c r="E369" s="64" t="s">
        <v>656</v>
      </c>
      <c r="F369" s="80">
        <v>1000</v>
      </c>
      <c r="G369" s="80"/>
      <c r="H369" s="80">
        <v>1000</v>
      </c>
      <c r="I369" s="80"/>
      <c r="J369" s="80" t="s">
        <v>654</v>
      </c>
      <c r="K369" s="84">
        <v>1000</v>
      </c>
      <c r="L369" s="80">
        <f t="shared" si="22"/>
        <v>0</v>
      </c>
    </row>
    <row r="370" spans="1:13" x14ac:dyDescent="0.2">
      <c r="A370" s="71"/>
      <c r="B370" s="64" t="s">
        <v>657</v>
      </c>
      <c r="C370" s="64" t="s">
        <v>658</v>
      </c>
      <c r="D370" s="64" t="s">
        <v>515</v>
      </c>
      <c r="E370" s="64" t="s">
        <v>304</v>
      </c>
      <c r="F370" s="80">
        <v>183.48</v>
      </c>
      <c r="G370" s="80">
        <v>27.52</v>
      </c>
      <c r="H370" s="80">
        <v>211</v>
      </c>
      <c r="I370" s="80"/>
      <c r="J370" s="80" t="s">
        <v>658</v>
      </c>
      <c r="K370" s="84">
        <v>211</v>
      </c>
      <c r="L370" s="80">
        <f t="shared" si="22"/>
        <v>0</v>
      </c>
      <c r="M370" s="94" t="s">
        <v>659</v>
      </c>
    </row>
    <row r="371" spans="1:13" x14ac:dyDescent="0.2">
      <c r="A371" s="71"/>
      <c r="F371" s="80"/>
      <c r="G371" s="80"/>
      <c r="H371" s="80"/>
      <c r="I371" s="80"/>
      <c r="J371" s="80"/>
      <c r="K371" s="84"/>
      <c r="L371" s="80"/>
    </row>
    <row r="372" spans="1:13" x14ac:dyDescent="0.2">
      <c r="A372" s="71"/>
      <c r="F372" s="80"/>
      <c r="G372" s="80"/>
      <c r="H372" s="80"/>
      <c r="I372" s="80"/>
      <c r="J372" s="80"/>
      <c r="K372" s="84"/>
      <c r="L372" s="80"/>
    </row>
    <row r="373" spans="1:13" x14ac:dyDescent="0.2">
      <c r="A373" s="71"/>
      <c r="F373" s="80"/>
      <c r="G373" s="80"/>
      <c r="H373" s="80"/>
      <c r="I373" s="80"/>
      <c r="J373" s="80"/>
      <c r="K373" s="84"/>
      <c r="L373" s="80"/>
    </row>
    <row r="374" spans="1:13" x14ac:dyDescent="0.2">
      <c r="A374" s="71"/>
      <c r="F374" s="80"/>
      <c r="G374" s="80"/>
      <c r="H374" s="80"/>
      <c r="I374" s="80"/>
      <c r="J374" s="80"/>
      <c r="K374" s="84"/>
      <c r="L374" s="80"/>
    </row>
    <row r="375" spans="1:13" x14ac:dyDescent="0.2">
      <c r="A375" s="71"/>
      <c r="F375" s="75">
        <f>SUM(F349:F374)</f>
        <v>212804.37</v>
      </c>
      <c r="G375" s="75">
        <f t="shared" ref="G375:L375" si="23">SUM(G349:G374)</f>
        <v>4807.1800000000012</v>
      </c>
      <c r="H375" s="75">
        <f t="shared" si="23"/>
        <v>217611.55</v>
      </c>
      <c r="I375" s="75">
        <f t="shared" si="23"/>
        <v>675</v>
      </c>
      <c r="J375" s="75">
        <f t="shared" si="23"/>
        <v>0</v>
      </c>
      <c r="K375" s="76">
        <f t="shared" si="23"/>
        <v>217611.55</v>
      </c>
      <c r="L375" s="75">
        <f t="shared" si="23"/>
        <v>0</v>
      </c>
    </row>
    <row r="376" spans="1:13" x14ac:dyDescent="0.2">
      <c r="A376" s="71"/>
      <c r="F376" s="82"/>
      <c r="G376" s="82"/>
      <c r="H376" s="82"/>
      <c r="I376" s="82"/>
      <c r="J376" s="82"/>
      <c r="K376" s="83"/>
      <c r="L376" s="82"/>
    </row>
    <row r="377" spans="1:13" x14ac:dyDescent="0.2">
      <c r="A377" s="71"/>
      <c r="E377" s="65" t="s">
        <v>262</v>
      </c>
      <c r="F377" s="82">
        <f>F375+F346</f>
        <v>2191978.9230000004</v>
      </c>
      <c r="G377" s="82">
        <f t="shared" ref="G377:L377" si="24">G375+G346</f>
        <v>157596.07</v>
      </c>
      <c r="H377" s="82">
        <f t="shared" si="24"/>
        <v>2309952.7600000002</v>
      </c>
      <c r="I377" s="82">
        <f t="shared" si="24"/>
        <v>2253</v>
      </c>
      <c r="J377" s="82">
        <f t="shared" si="24"/>
        <v>0</v>
      </c>
      <c r="K377" s="82">
        <f t="shared" si="24"/>
        <v>2320100.4</v>
      </c>
      <c r="L377" s="82">
        <f t="shared" si="24"/>
        <v>54.5</v>
      </c>
    </row>
    <row r="378" spans="1:13" x14ac:dyDescent="0.2">
      <c r="A378" s="71"/>
      <c r="F378" s="80"/>
      <c r="G378" s="80"/>
      <c r="H378" s="80"/>
      <c r="I378" s="80"/>
      <c r="J378" s="80"/>
      <c r="K378" s="84"/>
      <c r="L378" s="80"/>
    </row>
    <row r="379" spans="1:13" x14ac:dyDescent="0.2">
      <c r="A379" s="71"/>
      <c r="C379" s="93"/>
      <c r="F379" s="80"/>
      <c r="G379" s="80"/>
      <c r="H379" s="80"/>
      <c r="I379" s="80"/>
      <c r="J379" s="80"/>
      <c r="K379" s="84"/>
      <c r="L379" s="80"/>
    </row>
    <row r="380" spans="1:13" x14ac:dyDescent="0.2">
      <c r="A380" s="71"/>
      <c r="B380" s="64" t="s">
        <v>660</v>
      </c>
      <c r="C380" s="64" t="s">
        <v>661</v>
      </c>
      <c r="D380" s="64" t="s">
        <v>662</v>
      </c>
      <c r="E380" s="64" t="s">
        <v>304</v>
      </c>
      <c r="F380" s="80">
        <v>5785</v>
      </c>
      <c r="G380" s="80"/>
      <c r="H380" s="80">
        <v>5785</v>
      </c>
      <c r="I380" s="92">
        <v>64</v>
      </c>
      <c r="J380" s="80" t="s">
        <v>648</v>
      </c>
      <c r="K380" s="84">
        <v>5785</v>
      </c>
      <c r="L380" s="80">
        <f>K380-H380</f>
        <v>0</v>
      </c>
      <c r="M380" s="64" t="s">
        <v>609</v>
      </c>
    </row>
    <row r="381" spans="1:13" x14ac:dyDescent="0.2">
      <c r="A381" s="71"/>
      <c r="B381" s="64" t="s">
        <v>663</v>
      </c>
      <c r="C381" s="64" t="s">
        <v>648</v>
      </c>
      <c r="D381" s="64" t="s">
        <v>515</v>
      </c>
      <c r="E381" s="64" t="s">
        <v>304</v>
      </c>
      <c r="F381" s="80">
        <v>15675.22</v>
      </c>
      <c r="G381" s="80">
        <v>2351.2800000000002</v>
      </c>
      <c r="H381" s="80">
        <v>18026.5</v>
      </c>
      <c r="I381" s="92"/>
      <c r="J381" s="80" t="s">
        <v>664</v>
      </c>
      <c r="K381" s="84">
        <v>18026.5</v>
      </c>
      <c r="L381" s="80">
        <f t="shared" ref="L381:L403" si="25">K381-H381</f>
        <v>0</v>
      </c>
      <c r="M381" s="64" t="s">
        <v>609</v>
      </c>
    </row>
    <row r="382" spans="1:13" x14ac:dyDescent="0.2">
      <c r="A382" s="71"/>
      <c r="B382" s="64" t="s">
        <v>665</v>
      </c>
      <c r="C382" s="64" t="s">
        <v>666</v>
      </c>
      <c r="D382" s="64" t="s">
        <v>667</v>
      </c>
      <c r="E382" s="64" t="s">
        <v>668</v>
      </c>
      <c r="F382" s="80">
        <v>202537.08</v>
      </c>
      <c r="G382" s="80"/>
      <c r="H382" s="80">
        <v>202537.08</v>
      </c>
      <c r="I382" s="92"/>
      <c r="J382" s="80" t="s">
        <v>664</v>
      </c>
      <c r="K382" s="84">
        <v>202537.08</v>
      </c>
      <c r="L382" s="80">
        <f t="shared" si="25"/>
        <v>0</v>
      </c>
      <c r="M382" s="64" t="s">
        <v>609</v>
      </c>
    </row>
    <row r="383" spans="1:13" x14ac:dyDescent="0.2">
      <c r="A383" s="71"/>
      <c r="B383" s="64" t="s">
        <v>669</v>
      </c>
      <c r="C383" s="64" t="s">
        <v>666</v>
      </c>
      <c r="D383" s="64" t="s">
        <v>670</v>
      </c>
      <c r="E383" s="64" t="s">
        <v>671</v>
      </c>
      <c r="F383" s="80">
        <v>3000</v>
      </c>
      <c r="G383" s="80"/>
      <c r="H383" s="80">
        <v>3000</v>
      </c>
      <c r="I383" s="92"/>
      <c r="J383" s="80" t="s">
        <v>664</v>
      </c>
      <c r="K383" s="84">
        <v>3000</v>
      </c>
      <c r="L383" s="80">
        <f t="shared" si="25"/>
        <v>0</v>
      </c>
      <c r="M383" s="64" t="s">
        <v>609</v>
      </c>
    </row>
    <row r="384" spans="1:13" x14ac:dyDescent="0.2">
      <c r="A384" s="71"/>
      <c r="B384" s="64" t="s">
        <v>672</v>
      </c>
      <c r="C384" s="64" t="s">
        <v>666</v>
      </c>
      <c r="D384" s="64" t="s">
        <v>673</v>
      </c>
      <c r="E384" s="64" t="s">
        <v>674</v>
      </c>
      <c r="F384" s="80">
        <v>4716</v>
      </c>
      <c r="G384" s="80"/>
      <c r="H384" s="80">
        <v>4716</v>
      </c>
      <c r="I384" s="80"/>
      <c r="J384" s="80" t="s">
        <v>664</v>
      </c>
      <c r="K384" s="84">
        <v>4716</v>
      </c>
      <c r="L384" s="80">
        <f t="shared" si="25"/>
        <v>0</v>
      </c>
      <c r="M384" s="64" t="s">
        <v>609</v>
      </c>
    </row>
    <row r="385" spans="1:13" x14ac:dyDescent="0.2">
      <c r="A385" s="71"/>
      <c r="B385" s="64" t="s">
        <v>675</v>
      </c>
      <c r="C385" s="64" t="s">
        <v>676</v>
      </c>
      <c r="D385" s="64" t="s">
        <v>342</v>
      </c>
      <c r="E385" s="64" t="s">
        <v>677</v>
      </c>
      <c r="F385" s="80">
        <v>11630.43</v>
      </c>
      <c r="G385" s="80">
        <v>1744.57</v>
      </c>
      <c r="H385" s="80">
        <v>13375</v>
      </c>
      <c r="I385" s="80"/>
      <c r="J385" s="80" t="s">
        <v>678</v>
      </c>
      <c r="K385" s="84">
        <v>13375</v>
      </c>
      <c r="L385" s="80">
        <f t="shared" si="25"/>
        <v>0</v>
      </c>
      <c r="M385" s="64" t="s">
        <v>609</v>
      </c>
    </row>
    <row r="386" spans="1:13" x14ac:dyDescent="0.2">
      <c r="A386" s="71"/>
      <c r="B386" s="64" t="s">
        <v>679</v>
      </c>
      <c r="C386" s="64" t="s">
        <v>666</v>
      </c>
      <c r="D386" s="64" t="s">
        <v>680</v>
      </c>
      <c r="E386" s="64" t="s">
        <v>681</v>
      </c>
      <c r="F386" s="80">
        <v>1185</v>
      </c>
      <c r="G386" s="80">
        <v>177.75</v>
      </c>
      <c r="H386" s="80">
        <v>1362.75</v>
      </c>
      <c r="I386" s="80">
        <v>49934</v>
      </c>
      <c r="J386" s="80" t="s">
        <v>678</v>
      </c>
      <c r="K386" s="84">
        <v>1362.75</v>
      </c>
      <c r="L386" s="80">
        <f t="shared" si="25"/>
        <v>0</v>
      </c>
      <c r="M386" s="64" t="s">
        <v>609</v>
      </c>
    </row>
    <row r="387" spans="1:13" x14ac:dyDescent="0.2">
      <c r="A387" s="71"/>
      <c r="C387" s="64" t="s">
        <v>678</v>
      </c>
      <c r="D387" s="64" t="s">
        <v>682</v>
      </c>
      <c r="F387" s="80">
        <v>11151.67</v>
      </c>
      <c r="G387" s="80"/>
      <c r="H387" s="80">
        <v>11151.67</v>
      </c>
      <c r="I387" s="80"/>
      <c r="J387" s="80" t="s">
        <v>678</v>
      </c>
      <c r="K387" s="84">
        <v>11151.67</v>
      </c>
      <c r="L387" s="80">
        <f t="shared" si="25"/>
        <v>0</v>
      </c>
      <c r="M387" s="64" t="s">
        <v>625</v>
      </c>
    </row>
    <row r="388" spans="1:13" x14ac:dyDescent="0.2">
      <c r="A388" s="71"/>
      <c r="C388" s="64" t="s">
        <v>683</v>
      </c>
      <c r="D388" s="64" t="s">
        <v>684</v>
      </c>
      <c r="E388" s="64" t="s">
        <v>685</v>
      </c>
      <c r="F388" s="80">
        <v>2600</v>
      </c>
      <c r="G388" s="80"/>
      <c r="H388" s="80">
        <v>2600</v>
      </c>
      <c r="I388" s="80"/>
      <c r="J388" s="80" t="s">
        <v>683</v>
      </c>
      <c r="K388" s="84">
        <v>2600</v>
      </c>
      <c r="L388" s="80">
        <f t="shared" si="25"/>
        <v>0</v>
      </c>
      <c r="M388" s="64" t="s">
        <v>625</v>
      </c>
    </row>
    <row r="389" spans="1:13" x14ac:dyDescent="0.2">
      <c r="A389" s="71"/>
      <c r="C389" s="64" t="s">
        <v>683</v>
      </c>
      <c r="D389" s="64" t="s">
        <v>686</v>
      </c>
      <c r="F389" s="80">
        <v>13000</v>
      </c>
      <c r="G389" s="80"/>
      <c r="H389" s="80">
        <v>13000</v>
      </c>
      <c r="I389" s="80"/>
      <c r="J389" s="80" t="s">
        <v>683</v>
      </c>
      <c r="K389" s="84">
        <v>13000</v>
      </c>
      <c r="L389" s="80">
        <f t="shared" si="25"/>
        <v>0</v>
      </c>
      <c r="M389" s="64" t="s">
        <v>625</v>
      </c>
    </row>
    <row r="390" spans="1:13" x14ac:dyDescent="0.2">
      <c r="A390" s="71"/>
      <c r="C390" s="64" t="s">
        <v>683</v>
      </c>
      <c r="D390" s="64" t="s">
        <v>687</v>
      </c>
      <c r="F390" s="80">
        <v>4000</v>
      </c>
      <c r="G390" s="80"/>
      <c r="H390" s="80">
        <v>4000</v>
      </c>
      <c r="I390" s="80"/>
      <c r="J390" s="80" t="s">
        <v>683</v>
      </c>
      <c r="K390" s="84">
        <v>4000</v>
      </c>
      <c r="L390" s="80">
        <f t="shared" si="25"/>
        <v>0</v>
      </c>
      <c r="M390" s="64" t="s">
        <v>625</v>
      </c>
    </row>
    <row r="391" spans="1:13" x14ac:dyDescent="0.2">
      <c r="A391" s="71"/>
      <c r="C391" s="64" t="s">
        <v>683</v>
      </c>
      <c r="D391" s="64" t="s">
        <v>688</v>
      </c>
      <c r="F391" s="80">
        <v>2053.9</v>
      </c>
      <c r="G391" s="80"/>
      <c r="H391" s="80">
        <v>2053.9</v>
      </c>
      <c r="I391" s="80"/>
      <c r="J391" s="80" t="s">
        <v>683</v>
      </c>
      <c r="K391" s="84">
        <v>2053.9</v>
      </c>
      <c r="L391" s="80">
        <f t="shared" si="25"/>
        <v>0</v>
      </c>
      <c r="M391" s="64" t="s">
        <v>625</v>
      </c>
    </row>
    <row r="392" spans="1:13" x14ac:dyDescent="0.2">
      <c r="A392" s="71"/>
      <c r="B392" s="64" t="s">
        <v>689</v>
      </c>
      <c r="C392" s="64" t="s">
        <v>690</v>
      </c>
      <c r="D392" s="64" t="s">
        <v>691</v>
      </c>
      <c r="E392" s="64" t="s">
        <v>656</v>
      </c>
      <c r="F392" s="80">
        <v>1300</v>
      </c>
      <c r="G392" s="80"/>
      <c r="H392" s="80">
        <v>1300</v>
      </c>
      <c r="I392" s="80"/>
      <c r="J392" s="80" t="s">
        <v>692</v>
      </c>
      <c r="K392" s="84">
        <v>1300</v>
      </c>
      <c r="L392" s="80">
        <f t="shared" si="25"/>
        <v>0</v>
      </c>
      <c r="M392" s="64" t="s">
        <v>609</v>
      </c>
    </row>
    <row r="393" spans="1:13" x14ac:dyDescent="0.2">
      <c r="A393" s="71"/>
      <c r="B393" s="64" t="s">
        <v>693</v>
      </c>
      <c r="C393" s="64" t="s">
        <v>694</v>
      </c>
      <c r="D393" s="64" t="s">
        <v>695</v>
      </c>
      <c r="E393" s="64" t="s">
        <v>696</v>
      </c>
      <c r="F393" s="80">
        <v>18523.900000000001</v>
      </c>
      <c r="G393" s="80"/>
      <c r="H393" s="80">
        <v>18523.900000000001</v>
      </c>
      <c r="I393" s="80"/>
      <c r="J393" s="80" t="s">
        <v>697</v>
      </c>
      <c r="K393" s="84">
        <v>18523.900000000001</v>
      </c>
      <c r="L393" s="80">
        <f t="shared" si="25"/>
        <v>0</v>
      </c>
      <c r="M393" s="64" t="s">
        <v>609</v>
      </c>
    </row>
    <row r="394" spans="1:13" x14ac:dyDescent="0.2">
      <c r="A394" s="71"/>
      <c r="C394" s="64" t="s">
        <v>698</v>
      </c>
      <c r="D394" s="64" t="s">
        <v>699</v>
      </c>
      <c r="E394" s="64" t="s">
        <v>427</v>
      </c>
      <c r="F394" s="80">
        <v>7500</v>
      </c>
      <c r="G394" s="80"/>
      <c r="H394" s="80">
        <v>7500</v>
      </c>
      <c r="I394" s="80"/>
      <c r="J394" s="80" t="s">
        <v>698</v>
      </c>
      <c r="K394" s="84">
        <v>7500</v>
      </c>
      <c r="L394" s="80">
        <f t="shared" si="25"/>
        <v>0</v>
      </c>
      <c r="M394" s="64" t="s">
        <v>609</v>
      </c>
    </row>
    <row r="395" spans="1:13" x14ac:dyDescent="0.2">
      <c r="A395" s="71"/>
      <c r="B395" s="64" t="s">
        <v>700</v>
      </c>
      <c r="C395" s="64" t="s">
        <v>701</v>
      </c>
      <c r="D395" s="64" t="s">
        <v>702</v>
      </c>
      <c r="E395" s="64" t="s">
        <v>203</v>
      </c>
      <c r="F395" s="80">
        <v>3600</v>
      </c>
      <c r="G395" s="80"/>
      <c r="H395" s="80">
        <v>3600</v>
      </c>
      <c r="I395" s="80"/>
      <c r="J395" s="80" t="s">
        <v>701</v>
      </c>
      <c r="K395" s="84">
        <v>3600</v>
      </c>
      <c r="L395" s="80">
        <f t="shared" si="25"/>
        <v>0</v>
      </c>
      <c r="M395" s="64" t="s">
        <v>609</v>
      </c>
    </row>
    <row r="396" spans="1:13" x14ac:dyDescent="0.2">
      <c r="A396" s="71"/>
      <c r="D396" s="64" t="s">
        <v>514</v>
      </c>
      <c r="E396" s="64" t="s">
        <v>427</v>
      </c>
      <c r="F396" s="80">
        <v>7500</v>
      </c>
      <c r="G396" s="80"/>
      <c r="H396" s="80">
        <v>7500</v>
      </c>
      <c r="I396" s="80"/>
      <c r="J396" s="80"/>
      <c r="K396" s="84">
        <v>7500</v>
      </c>
      <c r="L396" s="80">
        <f t="shared" si="25"/>
        <v>0</v>
      </c>
      <c r="M396" s="64" t="s">
        <v>609</v>
      </c>
    </row>
    <row r="397" spans="1:13" x14ac:dyDescent="0.2">
      <c r="A397" s="71"/>
      <c r="B397" s="64" t="s">
        <v>703</v>
      </c>
      <c r="C397" s="64" t="s">
        <v>701</v>
      </c>
      <c r="D397" s="64" t="s">
        <v>302</v>
      </c>
      <c r="E397" s="64" t="s">
        <v>159</v>
      </c>
      <c r="F397" s="80">
        <v>23010</v>
      </c>
      <c r="G397" s="80"/>
      <c r="H397" s="80">
        <v>23010</v>
      </c>
      <c r="I397" s="80"/>
      <c r="J397" s="80" t="s">
        <v>697</v>
      </c>
      <c r="K397" s="84">
        <v>23010</v>
      </c>
      <c r="L397" s="80">
        <f t="shared" si="25"/>
        <v>0</v>
      </c>
      <c r="M397" s="64" t="s">
        <v>609</v>
      </c>
    </row>
    <row r="398" spans="1:13" x14ac:dyDescent="0.2">
      <c r="A398" s="71"/>
      <c r="B398" s="64" t="s">
        <v>704</v>
      </c>
      <c r="C398" s="64" t="s">
        <v>701</v>
      </c>
      <c r="D398" s="64" t="s">
        <v>480</v>
      </c>
      <c r="E398" s="64" t="s">
        <v>705</v>
      </c>
      <c r="F398" s="80">
        <v>1050</v>
      </c>
      <c r="G398" s="80"/>
      <c r="H398" s="80">
        <v>1050</v>
      </c>
      <c r="I398" s="80"/>
      <c r="J398" s="80" t="s">
        <v>697</v>
      </c>
      <c r="K398" s="84">
        <v>1050</v>
      </c>
      <c r="L398" s="80">
        <f t="shared" si="25"/>
        <v>0</v>
      </c>
      <c r="M398" s="64" t="s">
        <v>609</v>
      </c>
    </row>
    <row r="399" spans="1:13" x14ac:dyDescent="0.2">
      <c r="A399" s="71"/>
      <c r="B399" s="64" t="s">
        <v>706</v>
      </c>
      <c r="C399" s="64" t="s">
        <v>701</v>
      </c>
      <c r="D399" s="64" t="s">
        <v>687</v>
      </c>
      <c r="E399" s="64" t="s">
        <v>707</v>
      </c>
      <c r="F399" s="80">
        <v>1000</v>
      </c>
      <c r="G399" s="80"/>
      <c r="H399" s="80">
        <v>1000</v>
      </c>
      <c r="I399" s="80"/>
      <c r="J399" s="80" t="s">
        <v>697</v>
      </c>
      <c r="K399" s="84">
        <v>1000</v>
      </c>
      <c r="L399" s="80">
        <f t="shared" si="25"/>
        <v>0</v>
      </c>
      <c r="M399" s="64" t="s">
        <v>609</v>
      </c>
    </row>
    <row r="400" spans="1:13" x14ac:dyDescent="0.2">
      <c r="A400" s="71"/>
      <c r="F400" s="80"/>
      <c r="G400" s="80"/>
      <c r="H400" s="80"/>
      <c r="I400" s="80"/>
      <c r="J400" s="80"/>
      <c r="K400" s="84"/>
      <c r="L400" s="80"/>
    </row>
    <row r="401" spans="1:13" x14ac:dyDescent="0.2">
      <c r="A401" s="71"/>
      <c r="F401" s="80"/>
      <c r="G401" s="80"/>
      <c r="H401" s="80"/>
      <c r="I401" s="80"/>
      <c r="J401" s="80"/>
      <c r="K401" s="84"/>
      <c r="L401" s="80"/>
    </row>
    <row r="402" spans="1:13" x14ac:dyDescent="0.2">
      <c r="A402" s="71"/>
      <c r="F402" s="80"/>
      <c r="G402" s="80"/>
      <c r="H402" s="80"/>
      <c r="I402" s="80"/>
      <c r="J402" s="80"/>
      <c r="K402" s="84"/>
      <c r="L402" s="80"/>
    </row>
    <row r="403" spans="1:13" x14ac:dyDescent="0.2">
      <c r="A403" s="71"/>
      <c r="F403" s="80"/>
      <c r="G403" s="80"/>
      <c r="H403" s="80"/>
      <c r="I403" s="80"/>
      <c r="J403" s="80"/>
      <c r="K403" s="84"/>
      <c r="L403" s="80">
        <f t="shared" si="25"/>
        <v>0</v>
      </c>
    </row>
    <row r="404" spans="1:13" x14ac:dyDescent="0.2">
      <c r="A404" s="71"/>
      <c r="F404" s="75">
        <f t="shared" ref="F404:L404" si="26">SUM(F380:F403)</f>
        <v>340818.20000000007</v>
      </c>
      <c r="G404" s="75">
        <f t="shared" si="26"/>
        <v>4273.6000000000004</v>
      </c>
      <c r="H404" s="75">
        <f t="shared" si="26"/>
        <v>345091.80000000005</v>
      </c>
      <c r="I404" s="75">
        <f t="shared" si="26"/>
        <v>49998</v>
      </c>
      <c r="J404" s="75">
        <f t="shared" si="26"/>
        <v>0</v>
      </c>
      <c r="K404" s="76">
        <f t="shared" si="26"/>
        <v>345091.80000000005</v>
      </c>
      <c r="L404" s="75">
        <f t="shared" si="26"/>
        <v>0</v>
      </c>
    </row>
    <row r="405" spans="1:13" x14ac:dyDescent="0.2">
      <c r="A405" s="71"/>
      <c r="F405" s="82"/>
      <c r="G405" s="82"/>
      <c r="H405" s="82"/>
      <c r="I405" s="82"/>
      <c r="J405" s="82"/>
      <c r="K405" s="83"/>
      <c r="L405" s="82"/>
    </row>
    <row r="406" spans="1:13" x14ac:dyDescent="0.2">
      <c r="A406" s="71"/>
      <c r="E406" s="65" t="s">
        <v>262</v>
      </c>
      <c r="F406" s="82">
        <f>F404+F377</f>
        <v>2532797.1230000006</v>
      </c>
      <c r="G406" s="82">
        <f t="shared" ref="G406:L406" si="27">G404+G377</f>
        <v>161869.67000000001</v>
      </c>
      <c r="H406" s="82">
        <f t="shared" si="27"/>
        <v>2655044.5600000005</v>
      </c>
      <c r="I406" s="82">
        <f t="shared" si="27"/>
        <v>52251</v>
      </c>
      <c r="J406" s="82">
        <f t="shared" si="27"/>
        <v>0</v>
      </c>
      <c r="K406" s="82">
        <f t="shared" si="27"/>
        <v>2665192.2000000002</v>
      </c>
      <c r="L406" s="82">
        <f t="shared" si="27"/>
        <v>54.5</v>
      </c>
    </row>
    <row r="407" spans="1:13" x14ac:dyDescent="0.2">
      <c r="A407" s="71"/>
      <c r="F407" s="82"/>
      <c r="G407" s="82"/>
      <c r="H407" s="82"/>
      <c r="I407" s="82"/>
      <c r="J407" s="82"/>
      <c r="K407" s="83"/>
      <c r="L407" s="82"/>
    </row>
    <row r="408" spans="1:13" x14ac:dyDescent="0.2">
      <c r="A408" s="71"/>
      <c r="F408" s="82"/>
      <c r="G408" s="82"/>
      <c r="H408" s="82"/>
      <c r="I408" s="82"/>
      <c r="J408" s="82"/>
      <c r="K408" s="83"/>
      <c r="L408" s="82"/>
    </row>
    <row r="409" spans="1:13" x14ac:dyDescent="0.2">
      <c r="A409" s="71"/>
      <c r="C409" s="64" t="s">
        <v>708</v>
      </c>
      <c r="D409" s="64" t="s">
        <v>709</v>
      </c>
      <c r="F409" s="80">
        <v>8200</v>
      </c>
      <c r="G409" s="80"/>
      <c r="H409" s="80">
        <v>8200</v>
      </c>
      <c r="I409" s="80"/>
      <c r="J409" s="80" t="s">
        <v>708</v>
      </c>
      <c r="K409" s="84">
        <v>8200</v>
      </c>
      <c r="L409" s="80"/>
      <c r="M409" s="64" t="s">
        <v>625</v>
      </c>
    </row>
    <row r="410" spans="1:13" x14ac:dyDescent="0.2">
      <c r="A410" s="71"/>
      <c r="C410" s="64" t="s">
        <v>710</v>
      </c>
      <c r="D410" s="64" t="s">
        <v>711</v>
      </c>
      <c r="F410" s="80">
        <v>399340.66</v>
      </c>
      <c r="G410" s="80"/>
      <c r="H410" s="80">
        <v>399340.66</v>
      </c>
      <c r="I410" s="80"/>
      <c r="J410" s="80" t="s">
        <v>710</v>
      </c>
      <c r="K410" s="84">
        <v>399340.66</v>
      </c>
      <c r="L410" s="80"/>
      <c r="M410" s="64" t="s">
        <v>625</v>
      </c>
    </row>
    <row r="411" spans="1:13" x14ac:dyDescent="0.2">
      <c r="A411" s="71"/>
      <c r="C411" s="64" t="s">
        <v>712</v>
      </c>
      <c r="D411" s="64" t="s">
        <v>713</v>
      </c>
      <c r="E411" s="64" t="s">
        <v>203</v>
      </c>
      <c r="F411" s="80">
        <v>6600</v>
      </c>
      <c r="G411" s="80"/>
      <c r="H411" s="80">
        <v>6600</v>
      </c>
      <c r="I411" s="80"/>
      <c r="J411" s="80" t="s">
        <v>712</v>
      </c>
      <c r="K411" s="84">
        <v>6600</v>
      </c>
      <c r="L411" s="80"/>
      <c r="M411" s="64" t="s">
        <v>625</v>
      </c>
    </row>
    <row r="412" spans="1:13" x14ac:dyDescent="0.2">
      <c r="A412" s="71"/>
      <c r="C412" s="64" t="s">
        <v>712</v>
      </c>
      <c r="D412" s="64" t="s">
        <v>714</v>
      </c>
      <c r="E412" s="64" t="s">
        <v>304</v>
      </c>
      <c r="F412" s="80">
        <v>1950</v>
      </c>
      <c r="G412" s="80"/>
      <c r="H412" s="80">
        <v>1950</v>
      </c>
      <c r="I412" s="80"/>
      <c r="J412" s="80" t="s">
        <v>712</v>
      </c>
      <c r="K412" s="84">
        <v>1950</v>
      </c>
      <c r="L412" s="80"/>
    </row>
    <row r="413" spans="1:13" x14ac:dyDescent="0.2">
      <c r="A413" s="71"/>
      <c r="C413" s="64" t="s">
        <v>697</v>
      </c>
      <c r="D413" s="64" t="s">
        <v>713</v>
      </c>
      <c r="E413" s="64" t="s">
        <v>203</v>
      </c>
      <c r="F413" s="80">
        <v>3400</v>
      </c>
      <c r="G413" s="80"/>
      <c r="H413" s="80">
        <v>3400</v>
      </c>
      <c r="I413" s="80"/>
      <c r="J413" s="80" t="s">
        <v>697</v>
      </c>
      <c r="K413" s="84">
        <v>3400</v>
      </c>
      <c r="L413" s="80"/>
      <c r="M413" s="64" t="s">
        <v>625</v>
      </c>
    </row>
    <row r="414" spans="1:13" x14ac:dyDescent="0.2">
      <c r="A414" s="71"/>
      <c r="C414" s="64" t="s">
        <v>697</v>
      </c>
      <c r="D414" s="64" t="s">
        <v>603</v>
      </c>
      <c r="F414" s="80">
        <v>10000</v>
      </c>
      <c r="G414" s="80"/>
      <c r="H414" s="80">
        <v>10000</v>
      </c>
      <c r="I414" s="80"/>
      <c r="J414" s="80" t="s">
        <v>697</v>
      </c>
      <c r="K414" s="84">
        <v>10000</v>
      </c>
      <c r="L414" s="80"/>
      <c r="M414" s="64" t="s">
        <v>625</v>
      </c>
    </row>
    <row r="415" spans="1:13" x14ac:dyDescent="0.2">
      <c r="A415" s="71"/>
      <c r="C415" s="64" t="s">
        <v>715</v>
      </c>
      <c r="D415" s="64" t="s">
        <v>709</v>
      </c>
      <c r="F415" s="80">
        <v>4400</v>
      </c>
      <c r="G415" s="80"/>
      <c r="H415" s="80">
        <v>4400</v>
      </c>
      <c r="I415" s="80"/>
      <c r="J415" s="80" t="s">
        <v>715</v>
      </c>
      <c r="K415" s="84">
        <v>4400</v>
      </c>
      <c r="L415" s="80"/>
    </row>
    <row r="416" spans="1:13" x14ac:dyDescent="0.2">
      <c r="A416" s="71"/>
      <c r="C416" s="64" t="s">
        <v>716</v>
      </c>
      <c r="D416" s="64" t="s">
        <v>717</v>
      </c>
      <c r="E416" s="64" t="s">
        <v>713</v>
      </c>
      <c r="F416" s="80">
        <v>2000</v>
      </c>
      <c r="G416" s="80"/>
      <c r="H416" s="80">
        <v>2000</v>
      </c>
      <c r="I416" s="80"/>
      <c r="J416" s="80" t="s">
        <v>716</v>
      </c>
      <c r="K416" s="84">
        <v>2000</v>
      </c>
      <c r="L416" s="80"/>
    </row>
    <row r="417" spans="1:13" x14ac:dyDescent="0.2">
      <c r="A417" s="71"/>
      <c r="B417" s="64" t="s">
        <v>718</v>
      </c>
      <c r="C417" s="64" t="s">
        <v>719</v>
      </c>
      <c r="D417" s="64" t="s">
        <v>302</v>
      </c>
      <c r="E417" s="64" t="s">
        <v>159</v>
      </c>
      <c r="F417" s="80">
        <v>23010</v>
      </c>
      <c r="G417" s="80"/>
      <c r="H417" s="80">
        <v>23010</v>
      </c>
      <c r="I417" s="80" t="s">
        <v>720</v>
      </c>
      <c r="J417" s="80" t="s">
        <v>719</v>
      </c>
      <c r="K417" s="84">
        <v>23010</v>
      </c>
      <c r="L417" s="80"/>
      <c r="M417" s="64" t="s">
        <v>609</v>
      </c>
    </row>
    <row r="418" spans="1:13" x14ac:dyDescent="0.2">
      <c r="A418" s="71"/>
      <c r="B418" s="64" t="s">
        <v>721</v>
      </c>
      <c r="C418" s="64" t="s">
        <v>719</v>
      </c>
      <c r="D418" s="64" t="s">
        <v>687</v>
      </c>
      <c r="E418" s="64" t="s">
        <v>722</v>
      </c>
      <c r="F418" s="80">
        <v>1000</v>
      </c>
      <c r="G418" s="80"/>
      <c r="H418" s="80">
        <v>1000</v>
      </c>
      <c r="I418" s="92">
        <v>55</v>
      </c>
      <c r="J418" s="80" t="s">
        <v>719</v>
      </c>
      <c r="K418" s="84">
        <v>1000</v>
      </c>
      <c r="L418" s="80"/>
      <c r="M418" s="64" t="s">
        <v>609</v>
      </c>
    </row>
    <row r="419" spans="1:13" x14ac:dyDescent="0.2">
      <c r="A419" s="71"/>
      <c r="B419" s="64" t="s">
        <v>723</v>
      </c>
      <c r="C419" s="64" t="s">
        <v>724</v>
      </c>
      <c r="D419" s="64" t="s">
        <v>725</v>
      </c>
      <c r="E419" s="64" t="s">
        <v>726</v>
      </c>
      <c r="F419" s="80">
        <v>3500</v>
      </c>
      <c r="G419" s="80"/>
      <c r="H419" s="80">
        <v>3500</v>
      </c>
      <c r="I419" s="80">
        <v>1</v>
      </c>
      <c r="J419" s="80" t="s">
        <v>727</v>
      </c>
      <c r="K419" s="84">
        <v>3500</v>
      </c>
      <c r="L419" s="80"/>
    </row>
    <row r="420" spans="1:13" x14ac:dyDescent="0.2">
      <c r="A420" s="71"/>
      <c r="F420" s="80"/>
      <c r="G420" s="80"/>
      <c r="H420" s="80"/>
      <c r="I420" s="80"/>
      <c r="J420" s="80"/>
      <c r="K420" s="84"/>
      <c r="L420" s="80"/>
    </row>
    <row r="421" spans="1:13" x14ac:dyDescent="0.2">
      <c r="A421" s="71"/>
      <c r="F421" s="75">
        <f>SUM(F409:F420)</f>
        <v>463400.66</v>
      </c>
      <c r="G421" s="75">
        <f t="shared" ref="G421:L421" si="28">SUM(G409:G420)</f>
        <v>0</v>
      </c>
      <c r="H421" s="75">
        <f t="shared" si="28"/>
        <v>463400.66</v>
      </c>
      <c r="I421" s="75">
        <f t="shared" si="28"/>
        <v>56</v>
      </c>
      <c r="J421" s="75">
        <f t="shared" si="28"/>
        <v>0</v>
      </c>
      <c r="K421" s="76">
        <f t="shared" si="28"/>
        <v>463400.66</v>
      </c>
      <c r="L421" s="75">
        <f t="shared" si="28"/>
        <v>0</v>
      </c>
    </row>
    <row r="422" spans="1:13" x14ac:dyDescent="0.2">
      <c r="A422" s="71"/>
      <c r="F422" s="80"/>
      <c r="G422" s="80"/>
      <c r="H422" s="80"/>
      <c r="I422" s="80"/>
      <c r="J422" s="80"/>
      <c r="K422" s="84"/>
      <c r="L422" s="80"/>
    </row>
    <row r="423" spans="1:13" x14ac:dyDescent="0.2">
      <c r="A423" s="71"/>
      <c r="E423" s="65" t="s">
        <v>262</v>
      </c>
      <c r="F423" s="82">
        <f>F421+F406</f>
        <v>2996197.7830000008</v>
      </c>
      <c r="G423" s="82">
        <f t="shared" ref="G423:L423" si="29">G421+G406</f>
        <v>161869.67000000001</v>
      </c>
      <c r="H423" s="82">
        <f t="shared" si="29"/>
        <v>3118445.2200000007</v>
      </c>
      <c r="I423" s="82">
        <f t="shared" si="29"/>
        <v>52307</v>
      </c>
      <c r="J423" s="82">
        <f t="shared" si="29"/>
        <v>0</v>
      </c>
      <c r="K423" s="82">
        <f t="shared" si="29"/>
        <v>3128592.8600000003</v>
      </c>
      <c r="L423" s="82">
        <f t="shared" si="29"/>
        <v>54.5</v>
      </c>
    </row>
    <row r="424" spans="1:13" x14ac:dyDescent="0.2">
      <c r="A424" s="71"/>
      <c r="F424" s="80"/>
      <c r="G424" s="80"/>
      <c r="H424" s="80"/>
      <c r="I424" s="80"/>
      <c r="J424" s="80"/>
      <c r="K424" s="84"/>
      <c r="L424" s="80"/>
    </row>
    <row r="425" spans="1:13" x14ac:dyDescent="0.2">
      <c r="A425" s="71"/>
      <c r="F425" s="80"/>
      <c r="G425" s="80"/>
      <c r="H425" s="80"/>
      <c r="I425" s="80"/>
      <c r="J425" s="80"/>
      <c r="K425" s="84"/>
      <c r="L425" s="80"/>
    </row>
    <row r="426" spans="1:13" x14ac:dyDescent="0.2">
      <c r="A426" s="71"/>
      <c r="B426" s="64" t="s">
        <v>728</v>
      </c>
      <c r="C426" s="64" t="s">
        <v>729</v>
      </c>
      <c r="D426" s="64" t="s">
        <v>313</v>
      </c>
      <c r="E426" s="64" t="s">
        <v>730</v>
      </c>
      <c r="F426" s="80">
        <v>3850</v>
      </c>
      <c r="G426" s="80">
        <v>577.5</v>
      </c>
      <c r="H426" s="80">
        <v>4427.5</v>
      </c>
      <c r="I426" s="80">
        <v>1</v>
      </c>
      <c r="J426" s="80" t="s">
        <v>731</v>
      </c>
      <c r="K426" s="84">
        <v>4427.5</v>
      </c>
      <c r="L426" s="80"/>
      <c r="M426" s="64" t="s">
        <v>609</v>
      </c>
    </row>
    <row r="427" spans="1:13" x14ac:dyDescent="0.2">
      <c r="A427" s="71"/>
      <c r="C427" s="64" t="s">
        <v>732</v>
      </c>
      <c r="D427" s="64" t="s">
        <v>514</v>
      </c>
      <c r="E427" s="64" t="s">
        <v>427</v>
      </c>
      <c r="F427" s="80">
        <v>7000</v>
      </c>
      <c r="G427" s="80"/>
      <c r="H427" s="80">
        <v>7000</v>
      </c>
      <c r="I427" s="80"/>
      <c r="J427" s="80" t="s">
        <v>732</v>
      </c>
      <c r="K427" s="84">
        <v>7000</v>
      </c>
      <c r="L427" s="80"/>
      <c r="M427" s="64" t="s">
        <v>609</v>
      </c>
    </row>
    <row r="428" spans="1:13" x14ac:dyDescent="0.2">
      <c r="A428" s="71"/>
      <c r="B428" s="64" t="s">
        <v>733</v>
      </c>
      <c r="C428" s="64" t="s">
        <v>734</v>
      </c>
      <c r="D428" s="64" t="s">
        <v>735</v>
      </c>
      <c r="E428" s="64" t="s">
        <v>304</v>
      </c>
      <c r="F428" s="80">
        <v>10500</v>
      </c>
      <c r="G428" s="80"/>
      <c r="H428" s="80">
        <v>10500</v>
      </c>
      <c r="I428" s="80"/>
      <c r="J428" s="80" t="s">
        <v>734</v>
      </c>
      <c r="K428" s="84">
        <v>10500</v>
      </c>
      <c r="L428" s="80"/>
      <c r="M428" s="64" t="s">
        <v>609</v>
      </c>
    </row>
    <row r="429" spans="1:13" x14ac:dyDescent="0.2">
      <c r="A429" s="71"/>
      <c r="B429" s="64" t="s">
        <v>736</v>
      </c>
      <c r="C429" s="64" t="s">
        <v>737</v>
      </c>
      <c r="D429" s="64" t="s">
        <v>595</v>
      </c>
      <c r="E429" s="64" t="s">
        <v>738</v>
      </c>
      <c r="F429" s="80">
        <v>33526</v>
      </c>
      <c r="G429" s="80">
        <v>5028.8999999999996</v>
      </c>
      <c r="H429" s="80">
        <v>38554.9</v>
      </c>
      <c r="I429" s="80" t="s">
        <v>739</v>
      </c>
      <c r="J429" s="80" t="s">
        <v>727</v>
      </c>
      <c r="K429" s="84">
        <v>38554.9</v>
      </c>
      <c r="L429" s="80"/>
      <c r="M429" s="64" t="s">
        <v>609</v>
      </c>
    </row>
    <row r="430" spans="1:13" s="96" customFormat="1" x14ac:dyDescent="0.2">
      <c r="A430" s="95"/>
      <c r="B430" s="96" t="s">
        <v>740</v>
      </c>
      <c r="C430" s="96" t="s">
        <v>741</v>
      </c>
      <c r="D430" s="96" t="s">
        <v>742</v>
      </c>
      <c r="E430" s="96" t="s">
        <v>743</v>
      </c>
      <c r="F430" s="84">
        <v>6000</v>
      </c>
      <c r="G430" s="84"/>
      <c r="H430" s="84">
        <v>6000</v>
      </c>
      <c r="I430" s="84"/>
      <c r="J430" s="84" t="s">
        <v>744</v>
      </c>
      <c r="K430" s="84">
        <v>6000</v>
      </c>
      <c r="L430" s="84"/>
      <c r="M430" s="96" t="s">
        <v>609</v>
      </c>
    </row>
    <row r="431" spans="1:13" s="94" customFormat="1" x14ac:dyDescent="0.2">
      <c r="A431" s="97"/>
      <c r="B431" s="94" t="s">
        <v>745</v>
      </c>
      <c r="C431" s="98">
        <v>45758</v>
      </c>
      <c r="D431" s="94" t="s">
        <v>746</v>
      </c>
      <c r="E431" s="94" t="s">
        <v>747</v>
      </c>
      <c r="F431" s="99">
        <v>4400</v>
      </c>
      <c r="G431" s="99"/>
      <c r="H431" s="99" t="s">
        <v>748</v>
      </c>
      <c r="I431" s="99"/>
      <c r="J431" s="99"/>
      <c r="K431" s="99"/>
      <c r="L431" s="99"/>
    </row>
    <row r="432" spans="1:13" s="94" customFormat="1" x14ac:dyDescent="0.2">
      <c r="A432" s="97"/>
      <c r="B432" s="94" t="s">
        <v>749</v>
      </c>
      <c r="C432" s="98">
        <v>45762</v>
      </c>
      <c r="D432" s="94" t="s">
        <v>750</v>
      </c>
      <c r="E432" s="94" t="s">
        <v>751</v>
      </c>
      <c r="F432" s="100">
        <v>3500</v>
      </c>
      <c r="G432" s="100"/>
      <c r="H432" s="100" t="s">
        <v>748</v>
      </c>
      <c r="I432" s="100"/>
      <c r="J432" s="100"/>
      <c r="K432" s="101"/>
      <c r="L432" s="100"/>
    </row>
    <row r="433" spans="1:12" s="94" customFormat="1" x14ac:dyDescent="0.2">
      <c r="A433" s="97"/>
      <c r="B433" s="94" t="s">
        <v>752</v>
      </c>
      <c r="C433" s="102">
        <v>45777</v>
      </c>
      <c r="D433" s="94" t="s">
        <v>753</v>
      </c>
      <c r="E433" s="94" t="s">
        <v>754</v>
      </c>
      <c r="F433" s="100">
        <v>38540</v>
      </c>
      <c r="G433" s="100"/>
      <c r="H433" s="100" t="s">
        <v>748</v>
      </c>
      <c r="I433" s="100"/>
      <c r="J433" s="100"/>
      <c r="K433" s="101"/>
      <c r="L433" s="100"/>
    </row>
    <row r="434" spans="1:12" s="94" customFormat="1" x14ac:dyDescent="0.2">
      <c r="A434" s="97"/>
      <c r="C434" s="102"/>
      <c r="D434" s="94" t="s">
        <v>753</v>
      </c>
      <c r="E434" s="94" t="s">
        <v>755</v>
      </c>
      <c r="F434" s="100">
        <v>38540</v>
      </c>
      <c r="G434" s="100"/>
      <c r="H434" s="100" t="s">
        <v>748</v>
      </c>
      <c r="I434" s="100"/>
      <c r="J434" s="100"/>
      <c r="K434" s="101"/>
      <c r="L434" s="100"/>
    </row>
    <row r="435" spans="1:12" s="94" customFormat="1" x14ac:dyDescent="0.2">
      <c r="A435" s="97"/>
      <c r="C435" s="102"/>
      <c r="F435" s="100"/>
      <c r="G435" s="100"/>
      <c r="H435" s="100"/>
      <c r="I435" s="100"/>
      <c r="J435" s="100"/>
      <c r="K435" s="101"/>
      <c r="L435" s="100"/>
    </row>
    <row r="436" spans="1:12" s="94" customFormat="1" x14ac:dyDescent="0.2">
      <c r="A436" s="97"/>
      <c r="C436" s="102">
        <v>45777</v>
      </c>
      <c r="D436" s="94" t="s">
        <v>756</v>
      </c>
      <c r="F436" s="100">
        <v>14030.29</v>
      </c>
      <c r="G436" s="100"/>
      <c r="H436" s="100"/>
      <c r="I436" s="100"/>
      <c r="J436" s="100"/>
      <c r="K436" s="101"/>
      <c r="L436" s="100"/>
    </row>
    <row r="437" spans="1:12" s="94" customFormat="1" x14ac:dyDescent="0.2">
      <c r="A437" s="97"/>
      <c r="C437" s="102">
        <v>45777</v>
      </c>
      <c r="D437" s="94" t="s">
        <v>757</v>
      </c>
      <c r="F437" s="100">
        <v>0</v>
      </c>
      <c r="G437" s="100"/>
      <c r="H437" s="100"/>
      <c r="I437" s="100"/>
      <c r="J437" s="100"/>
      <c r="K437" s="101"/>
      <c r="L437" s="100"/>
    </row>
    <row r="438" spans="1:12" s="94" customFormat="1" x14ac:dyDescent="0.2">
      <c r="A438" s="97"/>
      <c r="C438" s="102"/>
      <c r="E438" s="103" t="s">
        <v>758</v>
      </c>
      <c r="F438" s="104">
        <f>SUM(F431:F437)</f>
        <v>99010.290000000008</v>
      </c>
      <c r="G438" s="100"/>
      <c r="H438" s="100"/>
      <c r="I438" s="100"/>
      <c r="J438" s="100"/>
      <c r="K438" s="101"/>
      <c r="L438" s="100"/>
    </row>
    <row r="439" spans="1:12" x14ac:dyDescent="0.2">
      <c r="A439" s="71"/>
      <c r="F439" s="80"/>
      <c r="G439" s="80"/>
      <c r="H439" s="80"/>
      <c r="I439" s="80"/>
      <c r="J439" s="80"/>
      <c r="K439" s="84"/>
      <c r="L439" s="80"/>
    </row>
    <row r="440" spans="1:12" x14ac:dyDescent="0.2">
      <c r="A440" s="71"/>
      <c r="F440" s="75">
        <f>SUM(F426:F437)</f>
        <v>159886.29</v>
      </c>
      <c r="G440" s="75">
        <f t="shared" ref="G440:L440" si="30">SUM(G426:G439)</f>
        <v>5606.4</v>
      </c>
      <c r="H440" s="75">
        <f t="shared" si="30"/>
        <v>66482.399999999994</v>
      </c>
      <c r="I440" s="75">
        <f t="shared" si="30"/>
        <v>1</v>
      </c>
      <c r="J440" s="75">
        <f t="shared" si="30"/>
        <v>0</v>
      </c>
      <c r="K440" s="76">
        <f t="shared" si="30"/>
        <v>66482.399999999994</v>
      </c>
      <c r="L440" s="75">
        <f t="shared" si="30"/>
        <v>0</v>
      </c>
    </row>
    <row r="441" spans="1:12" x14ac:dyDescent="0.2">
      <c r="A441" s="71"/>
      <c r="F441" s="82"/>
      <c r="G441" s="82"/>
      <c r="H441" s="82"/>
      <c r="I441" s="82"/>
      <c r="J441" s="82"/>
      <c r="K441" s="83"/>
      <c r="L441" s="82"/>
    </row>
    <row r="442" spans="1:12" x14ac:dyDescent="0.2">
      <c r="A442" s="71"/>
      <c r="E442" s="65" t="s">
        <v>262</v>
      </c>
      <c r="F442" s="82">
        <f>F440+F423</f>
        <v>3156084.0730000008</v>
      </c>
      <c r="G442" s="82">
        <f t="shared" ref="G442:L442" si="31">G440+G423</f>
        <v>167476.07</v>
      </c>
      <c r="H442" s="82">
        <f t="shared" si="31"/>
        <v>3184927.6200000006</v>
      </c>
      <c r="I442" s="82">
        <f t="shared" si="31"/>
        <v>52308</v>
      </c>
      <c r="J442" s="82">
        <f t="shared" si="31"/>
        <v>0</v>
      </c>
      <c r="K442" s="82">
        <f t="shared" si="31"/>
        <v>3195075.2600000002</v>
      </c>
      <c r="L442" s="82">
        <f t="shared" si="31"/>
        <v>54.5</v>
      </c>
    </row>
    <row r="443" spans="1:12" x14ac:dyDescent="0.2">
      <c r="A443" s="71"/>
      <c r="F443" s="82"/>
      <c r="G443" s="82"/>
      <c r="H443" s="82"/>
      <c r="I443" s="82"/>
      <c r="J443" s="82"/>
      <c r="K443" s="83"/>
      <c r="L443" s="82"/>
    </row>
    <row r="444" spans="1:12" x14ac:dyDescent="0.2">
      <c r="A444" s="71"/>
      <c r="C444" s="64" t="s">
        <v>759</v>
      </c>
      <c r="D444" s="64" t="s">
        <v>760</v>
      </c>
      <c r="F444" s="80">
        <v>40000</v>
      </c>
      <c r="G444" s="80"/>
      <c r="H444" s="80">
        <v>40000</v>
      </c>
      <c r="I444" s="80"/>
      <c r="J444" s="80" t="s">
        <v>759</v>
      </c>
      <c r="K444" s="84">
        <v>40000</v>
      </c>
      <c r="L444" s="82"/>
    </row>
    <row r="445" spans="1:12" x14ac:dyDescent="0.2">
      <c r="A445" s="71"/>
      <c r="C445" s="64" t="s">
        <v>759</v>
      </c>
      <c r="D445" s="64" t="s">
        <v>468</v>
      </c>
      <c r="F445" s="80">
        <v>22515.77</v>
      </c>
      <c r="G445" s="80"/>
      <c r="H445" s="80">
        <v>22515.77</v>
      </c>
      <c r="I445" s="80"/>
      <c r="J445" s="80" t="s">
        <v>759</v>
      </c>
      <c r="K445" s="84">
        <v>22515.77</v>
      </c>
      <c r="L445" s="82"/>
    </row>
    <row r="446" spans="1:12" x14ac:dyDescent="0.2">
      <c r="A446" s="71"/>
      <c r="C446" s="64" t="s">
        <v>759</v>
      </c>
      <c r="D446" s="64" t="s">
        <v>559</v>
      </c>
      <c r="F446" s="80">
        <v>27377.81</v>
      </c>
      <c r="G446" s="80"/>
      <c r="H446" s="80">
        <v>27377.81</v>
      </c>
      <c r="I446" s="80"/>
      <c r="J446" s="80" t="s">
        <v>759</v>
      </c>
      <c r="K446" s="84">
        <v>27377.81</v>
      </c>
      <c r="L446" s="82"/>
    </row>
    <row r="447" spans="1:12" x14ac:dyDescent="0.2">
      <c r="A447" s="71"/>
      <c r="C447" s="64" t="s">
        <v>759</v>
      </c>
      <c r="D447" s="64" t="s">
        <v>761</v>
      </c>
      <c r="F447" s="80">
        <v>23563.75</v>
      </c>
      <c r="G447" s="80"/>
      <c r="H447" s="80">
        <v>23563.75</v>
      </c>
      <c r="I447" s="80"/>
      <c r="J447" s="80" t="s">
        <v>759</v>
      </c>
      <c r="K447" s="84">
        <v>23563.75</v>
      </c>
      <c r="L447" s="82"/>
    </row>
    <row r="448" spans="1:12" x14ac:dyDescent="0.2">
      <c r="A448" s="71"/>
      <c r="C448" s="64" t="s">
        <v>759</v>
      </c>
      <c r="D448" s="64" t="s">
        <v>762</v>
      </c>
      <c r="F448" s="80">
        <v>7916.25</v>
      </c>
      <c r="G448" s="80"/>
      <c r="H448" s="80">
        <v>7916.25</v>
      </c>
      <c r="I448" s="80"/>
      <c r="J448" s="80" t="s">
        <v>759</v>
      </c>
      <c r="K448" s="84">
        <v>7916.25</v>
      </c>
      <c r="L448" s="82"/>
    </row>
    <row r="449" spans="1:13" x14ac:dyDescent="0.2">
      <c r="A449" s="71"/>
      <c r="C449" s="64" t="s">
        <v>763</v>
      </c>
      <c r="D449" s="64" t="s">
        <v>559</v>
      </c>
      <c r="E449" s="64" t="s">
        <v>764</v>
      </c>
      <c r="F449" s="80">
        <v>3000</v>
      </c>
      <c r="G449" s="80"/>
      <c r="H449" s="80">
        <v>3000</v>
      </c>
      <c r="I449" s="80"/>
      <c r="J449" s="80" t="s">
        <v>763</v>
      </c>
      <c r="K449" s="84">
        <v>3000</v>
      </c>
      <c r="L449" s="82"/>
    </row>
    <row r="450" spans="1:13" x14ac:dyDescent="0.2">
      <c r="A450" s="71"/>
      <c r="B450" s="64" t="s">
        <v>765</v>
      </c>
      <c r="C450" s="64" t="s">
        <v>766</v>
      </c>
      <c r="D450" s="64" t="s">
        <v>767</v>
      </c>
      <c r="E450" s="64" t="s">
        <v>768</v>
      </c>
      <c r="F450" s="80">
        <v>1000</v>
      </c>
      <c r="G450" s="80"/>
      <c r="H450" s="80">
        <v>1000</v>
      </c>
      <c r="I450" s="80"/>
      <c r="J450" s="80" t="s">
        <v>766</v>
      </c>
      <c r="K450" s="84">
        <v>1000</v>
      </c>
      <c r="L450" s="82"/>
      <c r="M450" s="64" t="s">
        <v>609</v>
      </c>
    </row>
    <row r="451" spans="1:13" x14ac:dyDescent="0.2">
      <c r="A451" s="71"/>
      <c r="B451" s="64" t="s">
        <v>769</v>
      </c>
      <c r="C451" s="64" t="s">
        <v>770</v>
      </c>
      <c r="D451" s="64" t="s">
        <v>480</v>
      </c>
      <c r="E451" s="64" t="s">
        <v>771</v>
      </c>
      <c r="F451" s="80">
        <v>913.04</v>
      </c>
      <c r="G451" s="80">
        <v>136.96</v>
      </c>
      <c r="H451" s="80">
        <v>1050</v>
      </c>
      <c r="I451" s="80"/>
      <c r="J451" s="80" t="s">
        <v>727</v>
      </c>
      <c r="K451" s="84">
        <v>1050</v>
      </c>
      <c r="L451" s="82"/>
      <c r="M451" s="64" t="s">
        <v>609</v>
      </c>
    </row>
    <row r="452" spans="1:13" x14ac:dyDescent="0.2">
      <c r="A452" s="71"/>
      <c r="C452" s="64" t="s">
        <v>727</v>
      </c>
      <c r="D452" s="64" t="s">
        <v>302</v>
      </c>
      <c r="E452" s="64" t="s">
        <v>429</v>
      </c>
      <c r="F452" s="80">
        <v>23010</v>
      </c>
      <c r="G452" s="80"/>
      <c r="H452" s="80">
        <v>23010</v>
      </c>
      <c r="I452" s="80"/>
      <c r="J452" s="80" t="s">
        <v>727</v>
      </c>
      <c r="K452" s="84">
        <v>23010</v>
      </c>
      <c r="L452" s="82"/>
      <c r="M452" s="64" t="s">
        <v>609</v>
      </c>
    </row>
    <row r="453" spans="1:13" x14ac:dyDescent="0.2">
      <c r="A453" s="71"/>
      <c r="C453" s="64" t="s">
        <v>727</v>
      </c>
      <c r="D453" s="64" t="s">
        <v>772</v>
      </c>
      <c r="E453" s="64" t="s">
        <v>415</v>
      </c>
      <c r="F453" s="80">
        <v>1073.6400000000001</v>
      </c>
      <c r="G453" s="80"/>
      <c r="H453" s="80">
        <v>1073.6400000000001</v>
      </c>
      <c r="I453" s="80"/>
      <c r="J453" s="80" t="s">
        <v>727</v>
      </c>
      <c r="K453" s="84">
        <v>1073.6400000000001</v>
      </c>
      <c r="L453" s="82"/>
      <c r="M453" s="64" t="s">
        <v>609</v>
      </c>
    </row>
    <row r="454" spans="1:13" x14ac:dyDescent="0.2">
      <c r="A454" s="71"/>
      <c r="C454" s="64" t="s">
        <v>727</v>
      </c>
      <c r="D454" s="64" t="s">
        <v>328</v>
      </c>
      <c r="E454" s="64" t="s">
        <v>773</v>
      </c>
      <c r="F454" s="80">
        <v>20000</v>
      </c>
      <c r="G454" s="80"/>
      <c r="H454" s="80">
        <v>20000</v>
      </c>
      <c r="I454" s="80"/>
      <c r="J454" s="80" t="s">
        <v>727</v>
      </c>
      <c r="K454" s="84">
        <v>20000</v>
      </c>
      <c r="L454" s="82"/>
      <c r="M454" s="64" t="s">
        <v>609</v>
      </c>
    </row>
    <row r="455" spans="1:13" x14ac:dyDescent="0.2">
      <c r="A455" s="71"/>
      <c r="B455" s="64" t="s">
        <v>774</v>
      </c>
      <c r="C455" s="64" t="s">
        <v>727</v>
      </c>
      <c r="D455" s="64" t="s">
        <v>303</v>
      </c>
      <c r="E455" s="64" t="s">
        <v>304</v>
      </c>
      <c r="F455" s="80">
        <v>4525</v>
      </c>
      <c r="G455" s="80"/>
      <c r="H455" s="80">
        <v>4525</v>
      </c>
      <c r="I455" s="80"/>
      <c r="J455" s="80" t="s">
        <v>727</v>
      </c>
      <c r="K455" s="84">
        <v>4525</v>
      </c>
      <c r="L455" s="82"/>
      <c r="M455" s="64" t="s">
        <v>609</v>
      </c>
    </row>
    <row r="456" spans="1:13" x14ac:dyDescent="0.2">
      <c r="A456" s="71"/>
      <c r="C456" s="64" t="s">
        <v>775</v>
      </c>
      <c r="D456" s="64" t="s">
        <v>514</v>
      </c>
      <c r="E456" s="64" t="s">
        <v>427</v>
      </c>
      <c r="F456" s="80">
        <v>7500</v>
      </c>
      <c r="G456" s="80"/>
      <c r="H456" s="80">
        <v>7500</v>
      </c>
      <c r="I456" s="80"/>
      <c r="J456" s="80" t="s">
        <v>775</v>
      </c>
      <c r="K456" s="84">
        <v>7500</v>
      </c>
      <c r="L456" s="80"/>
      <c r="M456" s="64" t="s">
        <v>609</v>
      </c>
    </row>
    <row r="457" spans="1:13" x14ac:dyDescent="0.2">
      <c r="A457" s="71"/>
      <c r="C457" s="64" t="s">
        <v>776</v>
      </c>
      <c r="D457" s="64" t="s">
        <v>443</v>
      </c>
      <c r="E457" s="64" t="s">
        <v>203</v>
      </c>
      <c r="F457" s="80">
        <v>6000</v>
      </c>
      <c r="G457" s="80"/>
      <c r="H457" s="80">
        <v>6000</v>
      </c>
      <c r="I457" s="80"/>
      <c r="J457" s="80" t="s">
        <v>776</v>
      </c>
      <c r="K457" s="84">
        <v>6000</v>
      </c>
      <c r="L457" s="80"/>
      <c r="M457" s="64" t="s">
        <v>609</v>
      </c>
    </row>
    <row r="458" spans="1:13" x14ac:dyDescent="0.2">
      <c r="A458" s="71"/>
      <c r="B458" s="64" t="s">
        <v>777</v>
      </c>
      <c r="C458" s="64" t="s">
        <v>778</v>
      </c>
      <c r="D458" s="64" t="s">
        <v>302</v>
      </c>
      <c r="E458" s="64" t="s">
        <v>429</v>
      </c>
      <c r="F458" s="80">
        <v>23010</v>
      </c>
      <c r="G458" s="80"/>
      <c r="H458" s="80">
        <v>23010</v>
      </c>
      <c r="I458" s="80"/>
      <c r="J458" s="80" t="s">
        <v>779</v>
      </c>
      <c r="K458" s="84">
        <v>23010</v>
      </c>
      <c r="L458" s="80"/>
      <c r="M458" s="64" t="s">
        <v>609</v>
      </c>
    </row>
    <row r="459" spans="1:13" x14ac:dyDescent="0.2">
      <c r="A459" s="71"/>
      <c r="B459" s="64" t="s">
        <v>780</v>
      </c>
      <c r="C459" s="64" t="s">
        <v>778</v>
      </c>
      <c r="D459" s="64" t="s">
        <v>328</v>
      </c>
      <c r="E459" s="64" t="s">
        <v>773</v>
      </c>
      <c r="F459" s="80">
        <v>10000</v>
      </c>
      <c r="G459" s="80"/>
      <c r="H459" s="80">
        <v>10000</v>
      </c>
      <c r="I459" s="80"/>
      <c r="J459" s="80" t="s">
        <v>779</v>
      </c>
      <c r="K459" s="84">
        <v>10000</v>
      </c>
      <c r="L459" s="80"/>
      <c r="M459" s="64" t="s">
        <v>609</v>
      </c>
    </row>
    <row r="460" spans="1:13" x14ac:dyDescent="0.2">
      <c r="A460" s="71"/>
      <c r="B460" s="64" t="s">
        <v>781</v>
      </c>
      <c r="C460" s="64" t="s">
        <v>778</v>
      </c>
      <c r="D460" s="64" t="s">
        <v>480</v>
      </c>
      <c r="E460" s="64" t="s">
        <v>613</v>
      </c>
      <c r="F460" s="80">
        <v>1739.13</v>
      </c>
      <c r="G460" s="80">
        <v>260.87</v>
      </c>
      <c r="H460" s="80">
        <v>2000</v>
      </c>
      <c r="I460" s="80"/>
      <c r="J460" s="80" t="s">
        <v>779</v>
      </c>
      <c r="K460" s="84">
        <v>200</v>
      </c>
      <c r="L460" s="80"/>
      <c r="M460" s="64" t="s">
        <v>609</v>
      </c>
    </row>
    <row r="461" spans="1:13" x14ac:dyDescent="0.2">
      <c r="A461" s="71"/>
      <c r="B461" s="64" t="s">
        <v>782</v>
      </c>
      <c r="C461" s="64" t="s">
        <v>778</v>
      </c>
      <c r="D461" s="64" t="s">
        <v>783</v>
      </c>
      <c r="E461" s="64" t="s">
        <v>784</v>
      </c>
      <c r="F461" s="80">
        <v>7800</v>
      </c>
      <c r="G461" s="80"/>
      <c r="H461" s="80">
        <v>7800</v>
      </c>
      <c r="I461" s="80"/>
      <c r="J461" s="80" t="s">
        <v>785</v>
      </c>
      <c r="K461" s="84">
        <v>7800</v>
      </c>
      <c r="L461" s="80"/>
      <c r="M461" s="64" t="s">
        <v>609</v>
      </c>
    </row>
    <row r="462" spans="1:13" x14ac:dyDescent="0.2">
      <c r="A462" s="71"/>
      <c r="B462" s="64" t="s">
        <v>786</v>
      </c>
      <c r="C462" s="64" t="s">
        <v>787</v>
      </c>
      <c r="D462" s="64" t="s">
        <v>788</v>
      </c>
      <c r="E462" s="64" t="s">
        <v>789</v>
      </c>
      <c r="F462" s="80">
        <v>152659.9</v>
      </c>
      <c r="G462" s="80"/>
      <c r="H462" s="80">
        <v>152659.9</v>
      </c>
      <c r="I462" s="80"/>
      <c r="J462" s="80" t="s">
        <v>779</v>
      </c>
      <c r="K462" s="84">
        <v>152659.9</v>
      </c>
      <c r="L462" s="80"/>
      <c r="M462" s="64" t="s">
        <v>609</v>
      </c>
    </row>
    <row r="463" spans="1:13" x14ac:dyDescent="0.2">
      <c r="A463" s="71"/>
      <c r="B463" s="64" t="s">
        <v>790</v>
      </c>
      <c r="C463" s="64" t="s">
        <v>787</v>
      </c>
      <c r="D463" s="64" t="s">
        <v>791</v>
      </c>
      <c r="E463" s="64" t="s">
        <v>230</v>
      </c>
      <c r="F463" s="80">
        <v>2860.25</v>
      </c>
      <c r="G463" s="80"/>
      <c r="H463" s="80">
        <v>2860.25</v>
      </c>
      <c r="I463" s="80"/>
      <c r="J463" s="80" t="s">
        <v>779</v>
      </c>
      <c r="K463" s="84">
        <v>2860.25</v>
      </c>
      <c r="L463" s="80"/>
      <c r="M463" s="64" t="s">
        <v>609</v>
      </c>
    </row>
    <row r="464" spans="1:13" x14ac:dyDescent="0.2">
      <c r="A464" s="71"/>
      <c r="B464" s="64" t="s">
        <v>792</v>
      </c>
      <c r="C464" s="64" t="s">
        <v>787</v>
      </c>
      <c r="D464" s="64" t="s">
        <v>793</v>
      </c>
      <c r="E464" s="64" t="s">
        <v>789</v>
      </c>
      <c r="F464" s="80">
        <v>229811.15</v>
      </c>
      <c r="G464" s="80"/>
      <c r="H464" s="80">
        <v>229811.15</v>
      </c>
      <c r="I464" s="80"/>
      <c r="J464" s="80" t="s">
        <v>779</v>
      </c>
      <c r="K464" s="84">
        <v>229811.15</v>
      </c>
      <c r="L464" s="80"/>
      <c r="M464" s="64" t="s">
        <v>609</v>
      </c>
    </row>
    <row r="465" spans="1:13" x14ac:dyDescent="0.2">
      <c r="A465" s="71"/>
      <c r="B465" s="64" t="s">
        <v>794</v>
      </c>
      <c r="C465" s="64" t="s">
        <v>787</v>
      </c>
      <c r="D465" s="64" t="s">
        <v>795</v>
      </c>
      <c r="E465" s="64" t="s">
        <v>789</v>
      </c>
      <c r="F465" s="80">
        <v>119914.39</v>
      </c>
      <c r="G465" s="80"/>
      <c r="H465" s="80">
        <v>119914.39</v>
      </c>
      <c r="I465" s="80"/>
      <c r="J465" s="80" t="s">
        <v>779</v>
      </c>
      <c r="K465" s="84">
        <v>119914.39</v>
      </c>
      <c r="L465" s="80"/>
      <c r="M465" s="64" t="s">
        <v>609</v>
      </c>
    </row>
    <row r="466" spans="1:13" x14ac:dyDescent="0.2">
      <c r="A466" s="71"/>
      <c r="C466" s="64" t="s">
        <v>787</v>
      </c>
      <c r="D466" s="64" t="s">
        <v>796</v>
      </c>
      <c r="F466" s="80">
        <v>347500</v>
      </c>
      <c r="G466" s="80">
        <v>52125</v>
      </c>
      <c r="H466" s="80">
        <v>399625</v>
      </c>
      <c r="I466" s="80" t="s">
        <v>797</v>
      </c>
      <c r="J466" s="80" t="s">
        <v>787</v>
      </c>
      <c r="K466" s="84">
        <v>399625</v>
      </c>
      <c r="L466" s="80"/>
    </row>
    <row r="467" spans="1:13" s="94" customFormat="1" x14ac:dyDescent="0.2">
      <c r="A467" s="97"/>
      <c r="B467" s="94" t="s">
        <v>798</v>
      </c>
      <c r="C467" s="105">
        <v>45786</v>
      </c>
      <c r="D467" s="94" t="s">
        <v>799</v>
      </c>
      <c r="E467" s="94" t="s">
        <v>800</v>
      </c>
      <c r="F467" s="100">
        <v>1000</v>
      </c>
      <c r="G467" s="100" t="s">
        <v>748</v>
      </c>
      <c r="H467" s="100"/>
      <c r="I467" s="100"/>
      <c r="J467" s="100"/>
      <c r="K467" s="101"/>
      <c r="L467" s="100"/>
    </row>
    <row r="468" spans="1:13" s="94" customFormat="1" x14ac:dyDescent="0.2">
      <c r="A468" s="97"/>
      <c r="B468" s="94" t="s">
        <v>801</v>
      </c>
      <c r="C468" s="102">
        <v>45797</v>
      </c>
      <c r="D468" s="94" t="s">
        <v>802</v>
      </c>
      <c r="E468" s="94" t="s">
        <v>803</v>
      </c>
      <c r="F468" s="100">
        <v>30701.55</v>
      </c>
      <c r="G468" s="100" t="s">
        <v>748</v>
      </c>
      <c r="H468" s="100"/>
      <c r="I468" s="100"/>
      <c r="J468" s="100"/>
      <c r="K468" s="101"/>
      <c r="L468" s="100"/>
    </row>
    <row r="469" spans="1:13" s="94" customFormat="1" x14ac:dyDescent="0.2">
      <c r="A469" s="97"/>
      <c r="B469" s="94" t="s">
        <v>804</v>
      </c>
      <c r="C469" s="102">
        <v>45803</v>
      </c>
      <c r="D469" s="94" t="s">
        <v>799</v>
      </c>
      <c r="E469" s="94" t="s">
        <v>800</v>
      </c>
      <c r="F469" s="100">
        <v>1000</v>
      </c>
      <c r="G469" s="100" t="s">
        <v>748</v>
      </c>
      <c r="H469" s="100"/>
      <c r="I469" s="100"/>
      <c r="J469" s="100"/>
      <c r="K469" s="101"/>
      <c r="L469" s="100"/>
    </row>
    <row r="470" spans="1:13" s="94" customFormat="1" x14ac:dyDescent="0.2">
      <c r="A470" s="97"/>
      <c r="C470" s="102"/>
      <c r="F470" s="100"/>
      <c r="G470" s="100"/>
      <c r="H470" s="100"/>
      <c r="I470" s="100"/>
      <c r="J470" s="100"/>
      <c r="K470" s="101"/>
      <c r="L470" s="100"/>
    </row>
    <row r="471" spans="1:13" s="94" customFormat="1" x14ac:dyDescent="0.2">
      <c r="A471" s="97"/>
      <c r="C471" s="102">
        <v>45807</v>
      </c>
      <c r="D471" s="94" t="s">
        <v>756</v>
      </c>
      <c r="F471" s="100">
        <v>738.79</v>
      </c>
      <c r="G471" s="100"/>
      <c r="H471" s="100"/>
      <c r="I471" s="100"/>
      <c r="J471" s="100"/>
      <c r="K471" s="101"/>
      <c r="L471" s="100"/>
    </row>
    <row r="472" spans="1:13" s="94" customFormat="1" x14ac:dyDescent="0.2">
      <c r="A472" s="97"/>
      <c r="C472" s="102">
        <v>45807</v>
      </c>
      <c r="D472" s="94" t="s">
        <v>757</v>
      </c>
      <c r="F472" s="100">
        <v>5510.1</v>
      </c>
      <c r="G472" s="100"/>
      <c r="H472" s="100"/>
      <c r="I472" s="100"/>
      <c r="J472" s="100"/>
      <c r="K472" s="101"/>
      <c r="L472" s="100"/>
    </row>
    <row r="473" spans="1:13" s="94" customFormat="1" x14ac:dyDescent="0.2">
      <c r="A473" s="97"/>
      <c r="C473" s="102"/>
      <c r="E473" s="103" t="s">
        <v>758</v>
      </c>
      <c r="F473" s="104">
        <f>SUM(F467:F472)</f>
        <v>38950.439999999995</v>
      </c>
      <c r="G473" s="100"/>
      <c r="H473" s="100"/>
      <c r="I473" s="100"/>
      <c r="J473" s="100"/>
      <c r="K473" s="101"/>
      <c r="L473" s="100"/>
    </row>
    <row r="474" spans="1:13" s="94" customFormat="1" x14ac:dyDescent="0.2">
      <c r="A474" s="97"/>
      <c r="F474" s="100"/>
      <c r="G474" s="100"/>
      <c r="H474" s="100"/>
      <c r="I474" s="100"/>
      <c r="J474" s="100"/>
      <c r="K474" s="101"/>
      <c r="L474" s="100"/>
    </row>
    <row r="475" spans="1:13" x14ac:dyDescent="0.2">
      <c r="A475" s="71"/>
      <c r="F475" s="75">
        <f>SUM(F444:F472)</f>
        <v>1122640.5200000003</v>
      </c>
      <c r="G475" s="75">
        <f t="shared" ref="G475:L475" si="32">SUM(G444:G474)</f>
        <v>52522.83</v>
      </c>
      <c r="H475" s="75">
        <f t="shared" si="32"/>
        <v>1136212.9100000001</v>
      </c>
      <c r="I475" s="75">
        <f t="shared" si="32"/>
        <v>0</v>
      </c>
      <c r="J475" s="75">
        <f t="shared" si="32"/>
        <v>0</v>
      </c>
      <c r="K475" s="76">
        <f t="shared" si="32"/>
        <v>1134412.9100000001</v>
      </c>
      <c r="L475" s="75">
        <f t="shared" si="32"/>
        <v>0</v>
      </c>
      <c r="M475" s="106"/>
    </row>
    <row r="476" spans="1:13" x14ac:dyDescent="0.2">
      <c r="A476" s="71"/>
      <c r="F476" s="82"/>
      <c r="G476" s="82"/>
      <c r="H476" s="82"/>
      <c r="I476" s="82"/>
      <c r="J476" s="82"/>
      <c r="K476" s="83"/>
      <c r="L476" s="82"/>
      <c r="M476" s="65"/>
    </row>
    <row r="477" spans="1:13" x14ac:dyDescent="0.2">
      <c r="A477" s="71"/>
      <c r="E477" s="65" t="s">
        <v>262</v>
      </c>
      <c r="F477" s="82">
        <f>F475+F442</f>
        <v>4278724.5930000013</v>
      </c>
      <c r="G477" s="82">
        <f t="shared" ref="G477:L477" si="33">G475+G442</f>
        <v>219998.90000000002</v>
      </c>
      <c r="H477" s="82">
        <f t="shared" si="33"/>
        <v>4321140.5300000012</v>
      </c>
      <c r="I477" s="82">
        <f t="shared" si="33"/>
        <v>52308</v>
      </c>
      <c r="J477" s="82">
        <f t="shared" si="33"/>
        <v>0</v>
      </c>
      <c r="K477" s="82">
        <f t="shared" si="33"/>
        <v>4329488.17</v>
      </c>
      <c r="L477" s="82">
        <f t="shared" si="33"/>
        <v>54.5</v>
      </c>
      <c r="M477" s="65"/>
    </row>
    <row r="478" spans="1:13" ht="15" customHeight="1" x14ac:dyDescent="0.2">
      <c r="A478" s="71"/>
      <c r="F478" s="80"/>
      <c r="G478" s="80"/>
      <c r="H478" s="80"/>
      <c r="I478" s="80"/>
      <c r="J478" s="80"/>
      <c r="K478" s="84"/>
      <c r="L478" s="80"/>
    </row>
    <row r="479" spans="1:13" s="94" customFormat="1" ht="15" customHeight="1" x14ac:dyDescent="0.2">
      <c r="A479" s="97"/>
      <c r="B479" s="94" t="s">
        <v>805</v>
      </c>
      <c r="C479" s="102">
        <v>45814</v>
      </c>
      <c r="D479" s="94" t="s">
        <v>806</v>
      </c>
      <c r="E479" s="94" t="s">
        <v>807</v>
      </c>
      <c r="F479" s="100">
        <v>7000</v>
      </c>
      <c r="G479" s="100" t="s">
        <v>748</v>
      </c>
      <c r="H479" s="100"/>
      <c r="I479" s="100"/>
      <c r="J479" s="100"/>
      <c r="K479" s="101"/>
      <c r="L479" s="100"/>
    </row>
    <row r="480" spans="1:13" s="94" customFormat="1" ht="15" customHeight="1" x14ac:dyDescent="0.2">
      <c r="A480" s="97"/>
      <c r="B480" s="94" t="s">
        <v>808</v>
      </c>
      <c r="C480" s="102">
        <v>45814</v>
      </c>
      <c r="D480" s="94" t="s">
        <v>502</v>
      </c>
      <c r="E480" s="94" t="s">
        <v>809</v>
      </c>
      <c r="F480" s="100">
        <v>5692.5</v>
      </c>
      <c r="G480" s="100" t="s">
        <v>748</v>
      </c>
      <c r="H480" s="100"/>
      <c r="I480" s="100"/>
      <c r="J480" s="100"/>
      <c r="K480" s="101"/>
      <c r="L480" s="100"/>
    </row>
    <row r="481" spans="1:13" s="94" customFormat="1" ht="15" customHeight="1" x14ac:dyDescent="0.2">
      <c r="A481" s="97"/>
      <c r="B481" s="94" t="s">
        <v>810</v>
      </c>
      <c r="C481" s="102">
        <v>45818</v>
      </c>
      <c r="D481" s="94" t="s">
        <v>811</v>
      </c>
      <c r="E481" s="94" t="s">
        <v>812</v>
      </c>
      <c r="F481" s="100">
        <v>6610</v>
      </c>
      <c r="G481" s="100" t="s">
        <v>748</v>
      </c>
      <c r="H481" s="100"/>
      <c r="I481" s="100"/>
      <c r="J481" s="100"/>
      <c r="K481" s="101"/>
      <c r="L481" s="100"/>
    </row>
    <row r="482" spans="1:13" s="94" customFormat="1" ht="15" customHeight="1" x14ac:dyDescent="0.2">
      <c r="A482" s="97"/>
      <c r="B482" s="94" t="s">
        <v>813</v>
      </c>
      <c r="C482" s="102">
        <v>45828</v>
      </c>
      <c r="D482" s="94" t="s">
        <v>814</v>
      </c>
      <c r="E482" s="94" t="s">
        <v>815</v>
      </c>
      <c r="F482" s="100">
        <v>49701.56</v>
      </c>
      <c r="G482" s="100" t="s">
        <v>748</v>
      </c>
      <c r="H482" s="100"/>
      <c r="I482" s="100"/>
      <c r="J482" s="100"/>
      <c r="K482" s="101"/>
      <c r="L482" s="100"/>
    </row>
    <row r="483" spans="1:13" s="94" customFormat="1" ht="15" customHeight="1" x14ac:dyDescent="0.2">
      <c r="A483" s="97"/>
      <c r="B483" s="94" t="s">
        <v>816</v>
      </c>
      <c r="C483" s="102">
        <v>45828</v>
      </c>
      <c r="D483" s="94" t="s">
        <v>817</v>
      </c>
      <c r="E483" s="94" t="s">
        <v>818</v>
      </c>
      <c r="F483" s="100">
        <v>34615</v>
      </c>
      <c r="G483" s="100" t="s">
        <v>748</v>
      </c>
      <c r="H483" s="100"/>
      <c r="I483" s="100"/>
      <c r="J483" s="100"/>
      <c r="K483" s="101"/>
      <c r="L483" s="100"/>
    </row>
    <row r="484" spans="1:13" ht="15" customHeight="1" x14ac:dyDescent="0.2">
      <c r="A484" s="71"/>
      <c r="B484" s="64" t="s">
        <v>819</v>
      </c>
      <c r="C484" s="64" t="s">
        <v>820</v>
      </c>
      <c r="D484" s="64" t="s">
        <v>821</v>
      </c>
      <c r="E484" s="64" t="s">
        <v>822</v>
      </c>
      <c r="F484" s="80">
        <v>10850</v>
      </c>
      <c r="G484" s="80"/>
      <c r="H484" s="80">
        <v>10850</v>
      </c>
      <c r="I484" s="80"/>
      <c r="J484" s="80" t="s">
        <v>820</v>
      </c>
      <c r="K484" s="84">
        <v>10850</v>
      </c>
      <c r="L484" s="80"/>
      <c r="M484" s="64" t="s">
        <v>609</v>
      </c>
    </row>
    <row r="485" spans="1:13" s="94" customFormat="1" ht="15" customHeight="1" x14ac:dyDescent="0.2">
      <c r="A485" s="97"/>
      <c r="B485" s="94" t="s">
        <v>823</v>
      </c>
      <c r="C485" s="102">
        <v>45832</v>
      </c>
      <c r="D485" s="94" t="s">
        <v>806</v>
      </c>
      <c r="E485" s="94" t="s">
        <v>807</v>
      </c>
      <c r="F485" s="100">
        <v>7000</v>
      </c>
      <c r="G485" s="100" t="s">
        <v>748</v>
      </c>
      <c r="H485" s="100"/>
      <c r="I485" s="100"/>
      <c r="J485" s="100"/>
      <c r="K485" s="101"/>
      <c r="L485" s="100"/>
    </row>
    <row r="486" spans="1:13" s="94" customFormat="1" ht="15" customHeight="1" x14ac:dyDescent="0.2">
      <c r="A486" s="97"/>
      <c r="B486" s="94" t="s">
        <v>824</v>
      </c>
      <c r="C486" s="102">
        <v>45838</v>
      </c>
      <c r="D486" s="94" t="s">
        <v>825</v>
      </c>
      <c r="E486" s="94" t="s">
        <v>826</v>
      </c>
      <c r="F486" s="100">
        <v>908.21</v>
      </c>
      <c r="G486" s="100" t="s">
        <v>748</v>
      </c>
      <c r="H486" s="100"/>
      <c r="I486" s="100"/>
      <c r="J486" s="100"/>
      <c r="K486" s="101"/>
      <c r="L486" s="100"/>
    </row>
    <row r="487" spans="1:13" s="94" customFormat="1" ht="15" customHeight="1" x14ac:dyDescent="0.2">
      <c r="A487" s="97"/>
      <c r="B487" s="94" t="s">
        <v>827</v>
      </c>
      <c r="C487" s="102">
        <v>45838</v>
      </c>
      <c r="D487" s="94" t="s">
        <v>828</v>
      </c>
      <c r="E487" s="94" t="s">
        <v>829</v>
      </c>
      <c r="F487" s="100">
        <v>32500</v>
      </c>
      <c r="G487" s="100" t="s">
        <v>748</v>
      </c>
      <c r="H487" s="100"/>
      <c r="I487" s="100"/>
      <c r="J487" s="100"/>
      <c r="K487" s="101"/>
      <c r="L487" s="100"/>
    </row>
    <row r="488" spans="1:13" s="94" customFormat="1" ht="15" customHeight="1" x14ac:dyDescent="0.2">
      <c r="A488" s="97"/>
      <c r="C488" s="102"/>
      <c r="F488" s="100"/>
      <c r="G488" s="100"/>
      <c r="H488" s="100"/>
      <c r="I488" s="100"/>
      <c r="J488" s="100"/>
      <c r="K488" s="101"/>
      <c r="L488" s="100"/>
    </row>
    <row r="489" spans="1:13" s="94" customFormat="1" ht="15" customHeight="1" x14ac:dyDescent="0.2">
      <c r="A489" s="97"/>
      <c r="C489" s="102">
        <v>45838</v>
      </c>
      <c r="D489" s="94" t="s">
        <v>756</v>
      </c>
      <c r="F489" s="100">
        <v>40</v>
      </c>
      <c r="G489" s="100"/>
      <c r="H489" s="100"/>
      <c r="I489" s="100"/>
      <c r="J489" s="100"/>
      <c r="K489" s="101"/>
      <c r="L489" s="100"/>
    </row>
    <row r="490" spans="1:13" s="94" customFormat="1" ht="15" customHeight="1" x14ac:dyDescent="0.2">
      <c r="A490" s="97"/>
      <c r="C490" s="102">
        <v>45838</v>
      </c>
      <c r="D490" s="94" t="s">
        <v>757</v>
      </c>
      <c r="F490" s="100">
        <v>47526.83</v>
      </c>
      <c r="G490" s="100"/>
      <c r="H490" s="100"/>
      <c r="I490" s="100"/>
      <c r="J490" s="100"/>
      <c r="K490" s="101"/>
      <c r="L490" s="100"/>
    </row>
    <row r="491" spans="1:13" s="94" customFormat="1" ht="15" customHeight="1" x14ac:dyDescent="0.2">
      <c r="A491" s="97"/>
      <c r="C491" s="102">
        <v>45838</v>
      </c>
      <c r="D491" s="94" t="s">
        <v>830</v>
      </c>
      <c r="F491" s="100">
        <v>767.7</v>
      </c>
      <c r="G491" s="100"/>
      <c r="H491" s="100"/>
      <c r="I491" s="100"/>
      <c r="J491" s="100"/>
      <c r="K491" s="101"/>
      <c r="L491" s="100"/>
    </row>
    <row r="492" spans="1:13" s="94" customFormat="1" ht="15" customHeight="1" x14ac:dyDescent="0.2">
      <c r="A492" s="97"/>
      <c r="C492" s="102"/>
      <c r="E492" s="103" t="s">
        <v>758</v>
      </c>
      <c r="F492" s="104">
        <f>SUM(F479:F491)-F484</f>
        <v>192361.80000000005</v>
      </c>
      <c r="G492" s="100"/>
      <c r="H492" s="100"/>
      <c r="I492" s="100"/>
      <c r="J492" s="100"/>
      <c r="K492" s="101"/>
      <c r="L492" s="100"/>
    </row>
    <row r="493" spans="1:13" s="94" customFormat="1" ht="15" customHeight="1" x14ac:dyDescent="0.2">
      <c r="A493" s="97"/>
      <c r="F493" s="100"/>
      <c r="G493" s="100"/>
      <c r="H493" s="100"/>
      <c r="I493" s="100"/>
      <c r="J493" s="100"/>
      <c r="K493" s="101"/>
      <c r="L493" s="100"/>
    </row>
    <row r="494" spans="1:13" ht="15" customHeight="1" x14ac:dyDescent="0.2">
      <c r="A494" s="71"/>
      <c r="F494" s="107">
        <f>SUM(F479:F491)</f>
        <v>203211.80000000005</v>
      </c>
      <c r="G494" s="107">
        <f t="shared" ref="G494:L494" si="34">SUM(G479:G493)</f>
        <v>0</v>
      </c>
      <c r="H494" s="107">
        <f t="shared" si="34"/>
        <v>10850</v>
      </c>
      <c r="I494" s="107">
        <f t="shared" si="34"/>
        <v>0</v>
      </c>
      <c r="J494" s="107">
        <f t="shared" si="34"/>
        <v>0</v>
      </c>
      <c r="K494" s="108">
        <f t="shared" si="34"/>
        <v>10850</v>
      </c>
      <c r="L494" s="107">
        <f t="shared" si="34"/>
        <v>0</v>
      </c>
    </row>
    <row r="495" spans="1:13" x14ac:dyDescent="0.2">
      <c r="A495" s="71"/>
      <c r="F495" s="80"/>
      <c r="G495" s="80"/>
      <c r="H495" s="80"/>
      <c r="I495" s="80"/>
      <c r="J495" s="80"/>
      <c r="K495" s="84"/>
      <c r="L495" s="80"/>
    </row>
    <row r="496" spans="1:13" x14ac:dyDescent="0.2">
      <c r="A496" s="71"/>
      <c r="E496" s="64" t="s">
        <v>262</v>
      </c>
      <c r="F496" s="75">
        <f>F494+F477</f>
        <v>4481936.3930000011</v>
      </c>
      <c r="G496" s="75">
        <f t="shared" ref="G496:L496" si="35">G494+G477</f>
        <v>219998.90000000002</v>
      </c>
      <c r="H496" s="75">
        <f t="shared" si="35"/>
        <v>4331990.5300000012</v>
      </c>
      <c r="I496" s="75">
        <f t="shared" si="35"/>
        <v>52308</v>
      </c>
      <c r="J496" s="75">
        <f t="shared" si="35"/>
        <v>0</v>
      </c>
      <c r="K496" s="75">
        <f t="shared" si="35"/>
        <v>4340338.17</v>
      </c>
      <c r="L496" s="75">
        <f t="shared" si="35"/>
        <v>54.5</v>
      </c>
    </row>
    <row r="497" spans="1:12" x14ac:dyDescent="0.2">
      <c r="A497" s="71"/>
      <c r="C497" s="91"/>
      <c r="F497" s="80"/>
      <c r="G497" s="80"/>
      <c r="H497" s="80"/>
      <c r="I497" s="80"/>
      <c r="J497" s="80"/>
      <c r="K497" s="84"/>
      <c r="L497" s="80"/>
    </row>
    <row r="498" spans="1:12" s="94" customFormat="1" ht="13.75" customHeight="1" x14ac:dyDescent="0.2">
      <c r="A498" s="97"/>
      <c r="B498" s="94" t="s">
        <v>831</v>
      </c>
      <c r="C498" s="102">
        <v>45840</v>
      </c>
      <c r="D498" s="94" t="s">
        <v>799</v>
      </c>
      <c r="E498" s="94" t="s">
        <v>832</v>
      </c>
      <c r="F498" s="100">
        <v>2000</v>
      </c>
      <c r="G498" s="100" t="s">
        <v>748</v>
      </c>
      <c r="H498" s="100"/>
      <c r="I498" s="100"/>
      <c r="J498" s="100"/>
      <c r="K498" s="101"/>
      <c r="L498" s="100"/>
    </row>
    <row r="499" spans="1:12" s="94" customFormat="1" x14ac:dyDescent="0.2">
      <c r="A499" s="97"/>
      <c r="B499" s="94" t="s">
        <v>833</v>
      </c>
      <c r="C499" s="102">
        <v>45846</v>
      </c>
      <c r="D499" s="94" t="s">
        <v>799</v>
      </c>
      <c r="E499" s="94" t="s">
        <v>832</v>
      </c>
      <c r="F499" s="100">
        <v>1000</v>
      </c>
      <c r="G499" s="100" t="s">
        <v>748</v>
      </c>
      <c r="H499" s="100"/>
      <c r="I499" s="100"/>
      <c r="J499" s="100"/>
      <c r="K499" s="101"/>
      <c r="L499" s="100"/>
    </row>
    <row r="500" spans="1:12" s="94" customFormat="1" x14ac:dyDescent="0.2">
      <c r="A500" s="97"/>
      <c r="B500" s="94" t="s">
        <v>834</v>
      </c>
      <c r="C500" s="102">
        <v>45847</v>
      </c>
      <c r="D500" s="94" t="s">
        <v>835</v>
      </c>
      <c r="E500" s="94" t="s">
        <v>836</v>
      </c>
      <c r="F500" s="100">
        <v>900</v>
      </c>
      <c r="G500" s="100" t="s">
        <v>748</v>
      </c>
      <c r="H500" s="100"/>
      <c r="I500" s="100"/>
      <c r="J500" s="100"/>
      <c r="K500" s="101"/>
      <c r="L500" s="100"/>
    </row>
    <row r="501" spans="1:12" s="94" customFormat="1" x14ac:dyDescent="0.2">
      <c r="A501" s="97"/>
      <c r="B501" s="94" t="s">
        <v>837</v>
      </c>
      <c r="C501" s="102">
        <v>45849</v>
      </c>
      <c r="D501" s="94" t="s">
        <v>838</v>
      </c>
      <c r="E501" s="94" t="s">
        <v>839</v>
      </c>
      <c r="F501" s="100">
        <v>6344.6</v>
      </c>
      <c r="G501" s="100" t="s">
        <v>748</v>
      </c>
      <c r="H501" s="100"/>
      <c r="I501" s="100"/>
      <c r="J501" s="100"/>
      <c r="K501" s="101"/>
      <c r="L501" s="100"/>
    </row>
    <row r="502" spans="1:12" s="94" customFormat="1" x14ac:dyDescent="0.2">
      <c r="A502" s="97"/>
      <c r="B502" s="94" t="s">
        <v>840</v>
      </c>
      <c r="C502" s="102">
        <v>45854</v>
      </c>
      <c r="D502" s="94" t="s">
        <v>799</v>
      </c>
      <c r="E502" s="94" t="s">
        <v>832</v>
      </c>
      <c r="F502" s="100">
        <v>1000</v>
      </c>
      <c r="G502" s="100" t="s">
        <v>748</v>
      </c>
      <c r="H502" s="100"/>
      <c r="I502" s="100"/>
      <c r="J502" s="100"/>
      <c r="K502" s="101"/>
      <c r="L502" s="100"/>
    </row>
    <row r="503" spans="1:12" s="94" customFormat="1" x14ac:dyDescent="0.2">
      <c r="A503" s="97"/>
      <c r="B503" s="94" t="s">
        <v>841</v>
      </c>
      <c r="C503" s="102">
        <v>45861</v>
      </c>
      <c r="D503" s="94" t="s">
        <v>842</v>
      </c>
      <c r="E503" s="94" t="s">
        <v>843</v>
      </c>
      <c r="F503" s="100">
        <v>8000</v>
      </c>
      <c r="G503" s="100" t="s">
        <v>748</v>
      </c>
      <c r="H503" s="100"/>
      <c r="I503" s="100"/>
      <c r="J503" s="100"/>
      <c r="K503" s="101"/>
      <c r="L503" s="100"/>
    </row>
    <row r="504" spans="1:12" s="94" customFormat="1" x14ac:dyDescent="0.2">
      <c r="A504" s="97"/>
      <c r="B504" s="94" t="s">
        <v>844</v>
      </c>
      <c r="C504" s="102">
        <v>45861</v>
      </c>
      <c r="D504" s="94" t="s">
        <v>845</v>
      </c>
      <c r="E504" s="94" t="s">
        <v>846</v>
      </c>
      <c r="F504" s="100">
        <v>2000</v>
      </c>
      <c r="G504" s="100" t="s">
        <v>748</v>
      </c>
      <c r="H504" s="100"/>
      <c r="I504" s="100"/>
      <c r="J504" s="100"/>
      <c r="K504" s="101"/>
      <c r="L504" s="100"/>
    </row>
    <row r="505" spans="1:12" s="94" customFormat="1" x14ac:dyDescent="0.2">
      <c r="A505" s="97"/>
      <c r="B505" s="94" t="s">
        <v>847</v>
      </c>
      <c r="C505" s="102">
        <v>45861</v>
      </c>
      <c r="D505" s="94" t="s">
        <v>328</v>
      </c>
      <c r="E505" s="94" t="s">
        <v>848</v>
      </c>
      <c r="F505" s="100">
        <v>20000</v>
      </c>
      <c r="G505" s="100" t="s">
        <v>748</v>
      </c>
      <c r="H505" s="100"/>
      <c r="I505" s="100"/>
      <c r="J505" s="100"/>
      <c r="K505" s="101"/>
      <c r="L505" s="100"/>
    </row>
    <row r="506" spans="1:12" s="94" customFormat="1" x14ac:dyDescent="0.2">
      <c r="B506" s="94" t="s">
        <v>849</v>
      </c>
      <c r="C506" s="102">
        <v>45861</v>
      </c>
      <c r="D506" s="94" t="s">
        <v>850</v>
      </c>
      <c r="E506" s="94" t="s">
        <v>851</v>
      </c>
      <c r="F506" s="109">
        <v>23010</v>
      </c>
      <c r="G506" s="100" t="s">
        <v>748</v>
      </c>
      <c r="H506" s="109"/>
      <c r="K506" s="110"/>
      <c r="L506" s="109"/>
    </row>
    <row r="507" spans="1:12" s="94" customFormat="1" x14ac:dyDescent="0.2">
      <c r="B507" s="94" t="s">
        <v>852</v>
      </c>
      <c r="C507" s="102">
        <v>45869</v>
      </c>
      <c r="D507" s="94" t="s">
        <v>853</v>
      </c>
      <c r="E507" s="94" t="s">
        <v>854</v>
      </c>
      <c r="F507" s="109">
        <v>45325.46</v>
      </c>
      <c r="G507" s="100" t="s">
        <v>748</v>
      </c>
      <c r="H507" s="109"/>
      <c r="K507" s="110"/>
      <c r="L507" s="109"/>
    </row>
    <row r="508" spans="1:12" s="94" customFormat="1" x14ac:dyDescent="0.2">
      <c r="B508" s="94" t="s">
        <v>855</v>
      </c>
      <c r="C508" s="102">
        <v>45869</v>
      </c>
      <c r="D508" s="94" t="s">
        <v>795</v>
      </c>
      <c r="E508" s="94" t="s">
        <v>854</v>
      </c>
      <c r="F508" s="109">
        <v>5850.23</v>
      </c>
      <c r="G508" s="100" t="s">
        <v>748</v>
      </c>
      <c r="H508" s="109"/>
      <c r="K508" s="110"/>
      <c r="L508" s="109"/>
    </row>
    <row r="509" spans="1:12" s="94" customFormat="1" x14ac:dyDescent="0.2">
      <c r="B509" s="94" t="s">
        <v>856</v>
      </c>
      <c r="C509" s="102">
        <v>45869</v>
      </c>
      <c r="D509" s="94" t="s">
        <v>857</v>
      </c>
      <c r="E509" s="94" t="s">
        <v>858</v>
      </c>
      <c r="F509" s="109">
        <v>4385</v>
      </c>
      <c r="G509" s="100" t="s">
        <v>748</v>
      </c>
      <c r="H509" s="109"/>
      <c r="K509" s="110"/>
      <c r="L509" s="109"/>
    </row>
    <row r="510" spans="1:12" s="94" customFormat="1" x14ac:dyDescent="0.2">
      <c r="F510" s="109"/>
      <c r="G510" s="109"/>
      <c r="H510" s="109"/>
      <c r="K510" s="110"/>
      <c r="L510" s="109"/>
    </row>
    <row r="511" spans="1:12" s="94" customFormat="1" x14ac:dyDescent="0.2">
      <c r="C511" s="102">
        <v>45868</v>
      </c>
      <c r="D511" s="94" t="s">
        <v>756</v>
      </c>
      <c r="F511" s="100">
        <v>487.4</v>
      </c>
      <c r="G511" s="109"/>
      <c r="H511" s="109"/>
      <c r="K511" s="110"/>
      <c r="L511" s="109"/>
    </row>
    <row r="512" spans="1:12" s="94" customFormat="1" x14ac:dyDescent="0.2">
      <c r="C512" s="102">
        <v>45868</v>
      </c>
      <c r="D512" s="94" t="s">
        <v>757</v>
      </c>
      <c r="F512" s="100">
        <v>41810.449999999997</v>
      </c>
      <c r="G512" s="109"/>
      <c r="H512" s="109"/>
      <c r="K512" s="110"/>
      <c r="L512" s="109"/>
    </row>
    <row r="513" spans="2:12" s="94" customFormat="1" x14ac:dyDescent="0.2">
      <c r="C513" s="102">
        <v>45868</v>
      </c>
      <c r="D513" s="94" t="s">
        <v>830</v>
      </c>
      <c r="F513" s="100">
        <v>615</v>
      </c>
      <c r="G513" s="109"/>
      <c r="H513" s="109"/>
      <c r="K513" s="110"/>
      <c r="L513" s="109"/>
    </row>
    <row r="514" spans="2:12" s="94" customFormat="1" x14ac:dyDescent="0.2">
      <c r="E514" s="103" t="s">
        <v>758</v>
      </c>
      <c r="F514" s="104">
        <f>SUM(F498:F512)</f>
        <v>162113.13999999998</v>
      </c>
      <c r="G514" s="109"/>
      <c r="H514" s="109"/>
      <c r="K514" s="110"/>
      <c r="L514" s="109"/>
    </row>
    <row r="515" spans="2:12" s="94" customFormat="1" x14ac:dyDescent="0.2">
      <c r="F515" s="109"/>
      <c r="G515" s="109"/>
      <c r="H515" s="109"/>
      <c r="K515" s="110"/>
      <c r="L515" s="109"/>
    </row>
    <row r="516" spans="2:12" s="94" customFormat="1" x14ac:dyDescent="0.2">
      <c r="F516" s="107">
        <f>SUM(F498:F513)</f>
        <v>162728.13999999998</v>
      </c>
      <c r="G516" s="107">
        <f t="shared" ref="G516:L516" si="36">SUM(G498:G510)</f>
        <v>0</v>
      </c>
      <c r="H516" s="107">
        <f t="shared" si="36"/>
        <v>0</v>
      </c>
      <c r="I516" s="107">
        <f t="shared" si="36"/>
        <v>0</v>
      </c>
      <c r="J516" s="107">
        <f t="shared" si="36"/>
        <v>0</v>
      </c>
      <c r="K516" s="108">
        <f t="shared" si="36"/>
        <v>0</v>
      </c>
      <c r="L516" s="107">
        <f t="shared" si="36"/>
        <v>0</v>
      </c>
    </row>
    <row r="517" spans="2:12" s="94" customFormat="1" x14ac:dyDescent="0.2">
      <c r="F517" s="80"/>
      <c r="G517" s="80"/>
      <c r="H517" s="80"/>
      <c r="I517" s="80"/>
      <c r="J517" s="80"/>
      <c r="K517" s="84"/>
      <c r="L517" s="80"/>
    </row>
    <row r="518" spans="2:12" s="94" customFormat="1" x14ac:dyDescent="0.2">
      <c r="E518" s="103" t="s">
        <v>262</v>
      </c>
      <c r="F518" s="75">
        <f>F516+F496</f>
        <v>4644664.5330000008</v>
      </c>
      <c r="G518" s="75"/>
      <c r="H518" s="75"/>
      <c r="I518" s="75"/>
      <c r="J518" s="75"/>
      <c r="K518" s="76"/>
      <c r="L518" s="75"/>
    </row>
    <row r="519" spans="2:12" s="94" customFormat="1" x14ac:dyDescent="0.2">
      <c r="F519" s="109"/>
      <c r="G519" s="109"/>
      <c r="H519" s="109"/>
      <c r="K519" s="110"/>
      <c r="L519" s="109"/>
    </row>
    <row r="520" spans="2:12" s="94" customFormat="1" x14ac:dyDescent="0.2">
      <c r="B520" s="94" t="s">
        <v>859</v>
      </c>
      <c r="C520" s="102">
        <v>45874</v>
      </c>
      <c r="D520" s="94" t="s">
        <v>860</v>
      </c>
      <c r="E520" s="94" t="s">
        <v>861</v>
      </c>
      <c r="F520" s="109">
        <v>9120</v>
      </c>
      <c r="G520" s="109" t="s">
        <v>748</v>
      </c>
      <c r="H520" s="109"/>
      <c r="K520" s="110"/>
      <c r="L520" s="109"/>
    </row>
    <row r="521" spans="2:12" s="94" customFormat="1" x14ac:dyDescent="0.2">
      <c r="B521" s="94" t="s">
        <v>862</v>
      </c>
      <c r="C521" s="102">
        <v>45874</v>
      </c>
      <c r="D521" s="94" t="s">
        <v>863</v>
      </c>
      <c r="E521" s="94" t="s">
        <v>864</v>
      </c>
      <c r="F521" s="109">
        <v>1800</v>
      </c>
      <c r="G521" s="109" t="s">
        <v>748</v>
      </c>
      <c r="H521" s="109"/>
      <c r="K521" s="110"/>
      <c r="L521" s="109"/>
    </row>
    <row r="522" spans="2:12" s="94" customFormat="1" x14ac:dyDescent="0.2">
      <c r="B522" s="94" t="s">
        <v>865</v>
      </c>
      <c r="C522" s="102">
        <v>45877</v>
      </c>
      <c r="D522" s="94" t="s">
        <v>866</v>
      </c>
      <c r="E522" s="94" t="s">
        <v>867</v>
      </c>
      <c r="F522" s="109">
        <v>10400</v>
      </c>
      <c r="G522" s="109" t="s">
        <v>748</v>
      </c>
      <c r="H522" s="109"/>
      <c r="K522" s="110"/>
      <c r="L522" s="109"/>
    </row>
    <row r="523" spans="2:12" s="94" customFormat="1" x14ac:dyDescent="0.2">
      <c r="B523" s="94" t="s">
        <v>868</v>
      </c>
      <c r="C523" s="102">
        <v>45877</v>
      </c>
      <c r="D523" s="94" t="s">
        <v>869</v>
      </c>
      <c r="E523" s="94" t="s">
        <v>870</v>
      </c>
      <c r="F523" s="109">
        <v>7800</v>
      </c>
      <c r="G523" s="109" t="s">
        <v>748</v>
      </c>
      <c r="H523" s="109"/>
      <c r="K523" s="110"/>
      <c r="L523" s="109"/>
    </row>
    <row r="524" spans="2:12" s="94" customFormat="1" x14ac:dyDescent="0.2">
      <c r="C524" s="102"/>
      <c r="F524" s="109"/>
      <c r="G524" s="109"/>
      <c r="H524" s="109"/>
      <c r="K524" s="110"/>
      <c r="L524" s="109"/>
    </row>
    <row r="525" spans="2:12" s="94" customFormat="1" x14ac:dyDescent="0.2">
      <c r="C525" s="102">
        <v>45899</v>
      </c>
      <c r="D525" s="94" t="s">
        <v>756</v>
      </c>
      <c r="F525" s="100">
        <v>60</v>
      </c>
      <c r="G525" s="109"/>
      <c r="H525" s="109"/>
      <c r="K525" s="110"/>
      <c r="L525" s="109"/>
    </row>
    <row r="526" spans="2:12" s="94" customFormat="1" x14ac:dyDescent="0.2">
      <c r="C526" s="102">
        <v>45899</v>
      </c>
      <c r="D526" s="94" t="s">
        <v>757</v>
      </c>
      <c r="F526" s="100">
        <v>1862.5</v>
      </c>
      <c r="G526" s="109"/>
      <c r="H526" s="109"/>
      <c r="K526" s="110"/>
      <c r="L526" s="109"/>
    </row>
    <row r="527" spans="2:12" s="94" customFormat="1" x14ac:dyDescent="0.2">
      <c r="E527" s="103" t="s">
        <v>758</v>
      </c>
      <c r="F527" s="104">
        <f>SUM(F520:F526)</f>
        <v>31042.5</v>
      </c>
      <c r="G527" s="109"/>
      <c r="H527" s="109"/>
      <c r="K527" s="110"/>
      <c r="L527" s="109"/>
    </row>
    <row r="528" spans="2:12" s="94" customFormat="1" x14ac:dyDescent="0.2">
      <c r="F528" s="109"/>
      <c r="G528" s="109"/>
      <c r="H528" s="109"/>
      <c r="K528" s="110"/>
      <c r="L528" s="109"/>
    </row>
    <row r="529" spans="1:12" s="94" customFormat="1" x14ac:dyDescent="0.2">
      <c r="F529" s="107">
        <f>SUM(F520:F526)</f>
        <v>31042.5</v>
      </c>
      <c r="G529" s="107">
        <f>SUM(G507:G526)</f>
        <v>0</v>
      </c>
      <c r="H529" s="107"/>
      <c r="I529" s="107">
        <f>SUM(I507:I526)</f>
        <v>0</v>
      </c>
      <c r="J529" s="107">
        <f>SUM(J507:J526)</f>
        <v>0</v>
      </c>
      <c r="K529" s="108">
        <f>SUM(K507:K526)</f>
        <v>0</v>
      </c>
      <c r="L529" s="107">
        <f>SUM(L507:L526)</f>
        <v>0</v>
      </c>
    </row>
    <row r="530" spans="1:12" s="94" customFormat="1" x14ac:dyDescent="0.2">
      <c r="F530" s="80"/>
      <c r="G530" s="80"/>
      <c r="H530" s="80"/>
      <c r="I530" s="80"/>
      <c r="J530" s="80"/>
      <c r="K530" s="84"/>
      <c r="L530" s="80"/>
    </row>
    <row r="531" spans="1:12" s="94" customFormat="1" x14ac:dyDescent="0.2">
      <c r="E531" s="94" t="s">
        <v>262</v>
      </c>
      <c r="F531" s="75">
        <f>F529+F518</f>
        <v>4675707.0330000008</v>
      </c>
      <c r="G531" s="75"/>
      <c r="H531" s="75"/>
      <c r="I531" s="75"/>
      <c r="J531" s="75"/>
      <c r="K531" s="76"/>
      <c r="L531" s="75"/>
    </row>
    <row r="532" spans="1:12" s="94" customFormat="1" x14ac:dyDescent="0.2">
      <c r="F532" s="109"/>
      <c r="G532" s="109"/>
      <c r="H532" s="109"/>
      <c r="K532" s="110"/>
      <c r="L532" s="109"/>
    </row>
    <row r="533" spans="1:12" s="94" customFormat="1" x14ac:dyDescent="0.2">
      <c r="E533" s="94" t="s">
        <v>871</v>
      </c>
      <c r="F533" s="111">
        <f>F527+F514+F492+F473+F438</f>
        <v>523478.17000000004</v>
      </c>
      <c r="G533" s="109"/>
      <c r="H533" s="109"/>
      <c r="K533" s="110"/>
      <c r="L533" s="109"/>
    </row>
    <row r="534" spans="1:12" s="94" customFormat="1" x14ac:dyDescent="0.2">
      <c r="E534" s="94" t="s">
        <v>872</v>
      </c>
      <c r="F534" s="112">
        <v>298294.18000000005</v>
      </c>
      <c r="G534" s="109"/>
      <c r="H534" s="109"/>
      <c r="K534" s="110"/>
      <c r="L534" s="109"/>
    </row>
    <row r="535" spans="1:12" s="94" customFormat="1" x14ac:dyDescent="0.2">
      <c r="E535" s="94" t="s">
        <v>873</v>
      </c>
      <c r="F535" s="112">
        <v>325000</v>
      </c>
      <c r="G535" s="109"/>
      <c r="H535" s="109"/>
      <c r="K535" s="110"/>
      <c r="L535" s="109"/>
    </row>
    <row r="536" spans="1:12" s="94" customFormat="1" x14ac:dyDescent="0.2">
      <c r="E536" s="103" t="s">
        <v>55</v>
      </c>
      <c r="F536" s="113">
        <f>F533+F534+F535</f>
        <v>1146772.3500000001</v>
      </c>
      <c r="G536" s="109"/>
      <c r="H536" s="109"/>
      <c r="K536" s="110"/>
      <c r="L536" s="109"/>
    </row>
    <row r="537" spans="1:12" s="94" customFormat="1" x14ac:dyDescent="0.2">
      <c r="F537" s="109"/>
      <c r="G537" s="109"/>
      <c r="H537" s="109"/>
      <c r="K537" s="110"/>
      <c r="L537" s="109"/>
    </row>
    <row r="538" spans="1:12" s="94" customFormat="1" x14ac:dyDescent="0.2">
      <c r="F538" s="109"/>
      <c r="G538" s="109"/>
      <c r="H538" s="109"/>
      <c r="K538" s="110"/>
      <c r="L538" s="109"/>
    </row>
    <row r="539" spans="1:12" s="94" customFormat="1" x14ac:dyDescent="0.2">
      <c r="F539" s="109"/>
      <c r="G539" s="109"/>
      <c r="H539" s="109"/>
      <c r="K539" s="110"/>
      <c r="L539" s="109"/>
    </row>
    <row r="540" spans="1:12" s="94" customFormat="1" x14ac:dyDescent="0.2">
      <c r="F540" s="109"/>
      <c r="G540" s="109"/>
      <c r="H540" s="109"/>
      <c r="K540" s="110"/>
      <c r="L540" s="109"/>
    </row>
    <row r="541" spans="1:12" s="94" customFormat="1" x14ac:dyDescent="0.2">
      <c r="F541" s="109"/>
      <c r="G541" s="109"/>
      <c r="H541" s="109"/>
      <c r="K541" s="110"/>
      <c r="L541" s="109"/>
    </row>
    <row r="542" spans="1:12" s="94" customFormat="1" x14ac:dyDescent="0.2">
      <c r="F542" s="109"/>
      <c r="G542" s="109"/>
      <c r="H542" s="109"/>
      <c r="K542" s="110"/>
      <c r="L542" s="109"/>
    </row>
    <row r="543" spans="1:12" s="94" customFormat="1" x14ac:dyDescent="0.2">
      <c r="F543" s="109"/>
      <c r="G543" s="109"/>
      <c r="H543" s="109"/>
      <c r="K543" s="110"/>
      <c r="L543" s="109"/>
    </row>
    <row r="544" spans="1:12" x14ac:dyDescent="0.2">
      <c r="A544" s="64" t="s">
        <v>874</v>
      </c>
      <c r="B544" s="176"/>
      <c r="C544" s="176"/>
    </row>
    <row r="545" spans="1:3" x14ac:dyDescent="0.2">
      <c r="B545" s="177" t="s">
        <v>875</v>
      </c>
      <c r="C545" s="177"/>
    </row>
    <row r="546" spans="1:3" x14ac:dyDescent="0.2">
      <c r="B546" s="72"/>
      <c r="C546" s="72"/>
    </row>
    <row r="547" spans="1:3" x14ac:dyDescent="0.2">
      <c r="B547" s="72"/>
      <c r="C547" s="72"/>
    </row>
    <row r="549" spans="1:3" x14ac:dyDescent="0.2">
      <c r="A549" s="64" t="s">
        <v>876</v>
      </c>
      <c r="B549" s="176"/>
      <c r="C549" s="176"/>
    </row>
    <row r="550" spans="1:3" x14ac:dyDescent="0.2">
      <c r="B550" s="177" t="s">
        <v>877</v>
      </c>
      <c r="C550" s="177"/>
    </row>
    <row r="551" spans="1:3" x14ac:dyDescent="0.2">
      <c r="B551" s="72"/>
      <c r="C551" s="72"/>
    </row>
    <row r="552" spans="1:3" x14ac:dyDescent="0.2">
      <c r="B552" s="72"/>
      <c r="C552" s="72"/>
    </row>
    <row r="554" spans="1:3" x14ac:dyDescent="0.2">
      <c r="A554" s="64" t="s">
        <v>878</v>
      </c>
      <c r="B554" s="176"/>
      <c r="C554" s="176"/>
    </row>
    <row r="555" spans="1:3" x14ac:dyDescent="0.2">
      <c r="B555" s="177" t="s">
        <v>879</v>
      </c>
      <c r="C555" s="177"/>
    </row>
  </sheetData>
  <mergeCells count="6">
    <mergeCell ref="B555:C555"/>
    <mergeCell ref="B544:C544"/>
    <mergeCell ref="B545:C545"/>
    <mergeCell ref="B549:C549"/>
    <mergeCell ref="B550:C550"/>
    <mergeCell ref="B554:C554"/>
  </mergeCells>
  <pageMargins left="0.7" right="0.7" top="0.75" bottom="0.75" header="0.3" footer="0.3"/>
  <pageSetup paperSize="9" scale="48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5463-1FF1-ED4C-878B-0FB5C7E3095C}">
  <dimension ref="A3:L38"/>
  <sheetViews>
    <sheetView topLeftCell="B3" workbookViewId="0">
      <selection activeCell="D37" sqref="D37"/>
    </sheetView>
  </sheetViews>
  <sheetFormatPr baseColWidth="10" defaultColWidth="8.83203125" defaultRowHeight="15" x14ac:dyDescent="0.2"/>
  <cols>
    <col min="1" max="1" width="46.83203125" style="33" bestFit="1" customWidth="1"/>
    <col min="2" max="2" width="35" style="33" bestFit="1" customWidth="1"/>
    <col min="3" max="3" width="28.5" style="33" customWidth="1"/>
    <col min="4" max="4" width="15.33203125" style="33" bestFit="1" customWidth="1"/>
    <col min="5" max="5" width="14.1640625" style="33" bestFit="1" customWidth="1"/>
    <col min="6" max="6" width="14.33203125" style="33" bestFit="1" customWidth="1"/>
    <col min="7" max="7" width="14.1640625" style="33" bestFit="1" customWidth="1"/>
    <col min="8" max="9" width="12.5" style="33" bestFit="1" customWidth="1"/>
    <col min="10" max="10" width="14.1640625" style="33" bestFit="1" customWidth="1"/>
    <col min="11" max="11" width="8.83203125" style="33"/>
    <col min="12" max="12" width="15.33203125" style="33" bestFit="1" customWidth="1"/>
    <col min="13" max="14" width="8.83203125" style="33"/>
    <col min="15" max="15" width="15" style="33" bestFit="1" customWidth="1"/>
    <col min="16" max="16384" width="8.83203125" style="33"/>
  </cols>
  <sheetData>
    <row r="3" spans="1:12" x14ac:dyDescent="0.2">
      <c r="F3" s="175" t="s">
        <v>176</v>
      </c>
      <c r="G3" s="175"/>
      <c r="H3" s="175"/>
    </row>
    <row r="5" spans="1:12" x14ac:dyDescent="0.2">
      <c r="D5" s="33" t="s">
        <v>175</v>
      </c>
      <c r="E5" s="33" t="s">
        <v>174</v>
      </c>
      <c r="F5" s="33" t="s">
        <v>173</v>
      </c>
      <c r="G5" s="33" t="s">
        <v>172</v>
      </c>
    </row>
    <row r="6" spans="1:12" ht="16" thickBot="1" x14ac:dyDescent="0.25">
      <c r="F6" s="178" t="s">
        <v>880</v>
      </c>
      <c r="G6" s="178"/>
    </row>
    <row r="7" spans="1:12" ht="33" thickBot="1" x14ac:dyDescent="0.25">
      <c r="A7" s="56" t="s">
        <v>171</v>
      </c>
      <c r="B7" s="56" t="s">
        <v>14</v>
      </c>
      <c r="C7" s="56" t="s">
        <v>170</v>
      </c>
      <c r="D7" s="55" t="s">
        <v>169</v>
      </c>
      <c r="E7" s="55" t="s">
        <v>168</v>
      </c>
      <c r="F7" s="55" t="s">
        <v>167</v>
      </c>
      <c r="G7" s="55" t="s">
        <v>166</v>
      </c>
      <c r="H7" s="55" t="s">
        <v>165</v>
      </c>
      <c r="I7" s="55" t="s">
        <v>164</v>
      </c>
      <c r="J7" s="55" t="s">
        <v>163</v>
      </c>
      <c r="K7" s="55" t="s">
        <v>162</v>
      </c>
      <c r="L7" s="55" t="s">
        <v>161</v>
      </c>
    </row>
    <row r="8" spans="1:12" ht="16" x14ac:dyDescent="0.2">
      <c r="A8" s="58" t="s">
        <v>160</v>
      </c>
      <c r="B8" s="38" t="s">
        <v>159</v>
      </c>
      <c r="C8" s="38" t="s">
        <v>113</v>
      </c>
      <c r="D8" s="114">
        <v>160322</v>
      </c>
      <c r="E8" s="114"/>
      <c r="F8" s="61">
        <v>165000</v>
      </c>
      <c r="G8" s="61"/>
      <c r="H8" s="54"/>
      <c r="I8" s="54"/>
      <c r="J8" s="54"/>
      <c r="K8" s="54"/>
      <c r="L8" s="54">
        <f t="shared" ref="L8:L32" si="0">SUM(D8:K8)</f>
        <v>325322</v>
      </c>
    </row>
    <row r="9" spans="1:12" ht="16" x14ac:dyDescent="0.2">
      <c r="A9" s="58" t="s">
        <v>158</v>
      </c>
      <c r="B9" s="38" t="s">
        <v>157</v>
      </c>
      <c r="C9" s="38" t="s">
        <v>113</v>
      </c>
      <c r="D9" s="114">
        <v>26600</v>
      </c>
      <c r="E9" s="114">
        <v>26600</v>
      </c>
      <c r="F9" s="61"/>
      <c r="G9" s="61"/>
      <c r="H9" s="54"/>
      <c r="I9" s="54"/>
      <c r="J9" s="54"/>
      <c r="K9" s="54"/>
      <c r="L9" s="54">
        <f t="shared" si="0"/>
        <v>53200</v>
      </c>
    </row>
    <row r="10" spans="1:12" ht="16" x14ac:dyDescent="0.2">
      <c r="A10" s="58" t="s">
        <v>156</v>
      </c>
      <c r="B10" s="38" t="s">
        <v>155</v>
      </c>
      <c r="C10" s="38" t="s">
        <v>113</v>
      </c>
      <c r="D10" s="114"/>
      <c r="E10" s="114"/>
      <c r="F10" s="61"/>
      <c r="G10" s="61">
        <v>108838</v>
      </c>
      <c r="H10" s="54"/>
      <c r="I10" s="54"/>
      <c r="J10" s="54"/>
      <c r="K10" s="54"/>
      <c r="L10" s="54">
        <f t="shared" si="0"/>
        <v>108838</v>
      </c>
    </row>
    <row r="11" spans="1:12" ht="16" x14ac:dyDescent="0.2">
      <c r="A11" s="58" t="s">
        <v>154</v>
      </c>
      <c r="B11" s="38" t="s">
        <v>150</v>
      </c>
      <c r="C11" s="38" t="s">
        <v>113</v>
      </c>
      <c r="D11" s="114">
        <v>3500</v>
      </c>
      <c r="E11" s="114"/>
      <c r="F11" s="61"/>
      <c r="G11" s="61"/>
      <c r="H11" s="54"/>
      <c r="I11" s="54"/>
      <c r="J11" s="54"/>
      <c r="K11" s="54"/>
      <c r="L11" s="54">
        <f t="shared" si="0"/>
        <v>3500</v>
      </c>
    </row>
    <row r="12" spans="1:12" ht="16" x14ac:dyDescent="0.2">
      <c r="A12" s="58" t="s">
        <v>153</v>
      </c>
      <c r="B12" s="38" t="s">
        <v>150</v>
      </c>
      <c r="C12" s="38" t="s">
        <v>113</v>
      </c>
      <c r="D12" s="114">
        <v>7000</v>
      </c>
      <c r="E12" s="114"/>
      <c r="F12" s="61"/>
      <c r="G12" s="61"/>
      <c r="H12" s="54"/>
      <c r="I12" s="54"/>
      <c r="J12" s="54"/>
      <c r="K12" s="54"/>
      <c r="L12" s="54">
        <f t="shared" si="0"/>
        <v>7000</v>
      </c>
    </row>
    <row r="13" spans="1:12" ht="16" x14ac:dyDescent="0.2">
      <c r="A13" s="58" t="s">
        <v>152</v>
      </c>
      <c r="B13" s="38" t="s">
        <v>150</v>
      </c>
      <c r="C13" s="38" t="s">
        <v>113</v>
      </c>
      <c r="D13" s="114"/>
      <c r="E13" s="114"/>
      <c r="F13" s="61">
        <v>12000</v>
      </c>
      <c r="G13" s="61"/>
      <c r="H13" s="54"/>
      <c r="I13" s="54"/>
      <c r="J13" s="54"/>
      <c r="K13" s="54"/>
      <c r="L13" s="54">
        <f t="shared" si="0"/>
        <v>12000</v>
      </c>
    </row>
    <row r="14" spans="1:12" ht="16" x14ac:dyDescent="0.2">
      <c r="A14" s="39" t="s">
        <v>151</v>
      </c>
      <c r="B14" s="38" t="s">
        <v>150</v>
      </c>
      <c r="C14" s="38" t="s">
        <v>113</v>
      </c>
      <c r="D14" s="114"/>
      <c r="E14" s="114"/>
      <c r="F14" s="61"/>
      <c r="G14" s="61"/>
      <c r="H14" s="54"/>
      <c r="I14" s="54"/>
      <c r="J14" s="54"/>
      <c r="K14" s="54"/>
      <c r="L14" s="54">
        <f t="shared" si="0"/>
        <v>0</v>
      </c>
    </row>
    <row r="15" spans="1:12" ht="16" x14ac:dyDescent="0.2">
      <c r="A15" s="58" t="s">
        <v>149</v>
      </c>
      <c r="B15" s="38" t="s">
        <v>148</v>
      </c>
      <c r="C15" s="38" t="s">
        <v>113</v>
      </c>
      <c r="D15" s="114"/>
      <c r="E15" s="114"/>
      <c r="F15" s="61">
        <v>133633.23000000001</v>
      </c>
      <c r="G15" s="61"/>
      <c r="H15" s="54"/>
      <c r="I15" s="54"/>
      <c r="J15" s="54"/>
      <c r="K15" s="54"/>
      <c r="L15" s="54">
        <f t="shared" si="0"/>
        <v>133633.23000000001</v>
      </c>
    </row>
    <row r="16" spans="1:12" ht="16" x14ac:dyDescent="0.2">
      <c r="A16" s="58" t="s">
        <v>147</v>
      </c>
      <c r="B16" s="38" t="s">
        <v>146</v>
      </c>
      <c r="C16" s="38" t="s">
        <v>113</v>
      </c>
      <c r="D16" s="114"/>
      <c r="E16" s="114">
        <v>60000</v>
      </c>
      <c r="F16" s="61"/>
      <c r="G16" s="61"/>
      <c r="H16" s="54"/>
      <c r="I16" s="54"/>
      <c r="J16" s="54"/>
      <c r="K16" s="54"/>
      <c r="L16" s="54">
        <f t="shared" si="0"/>
        <v>60000</v>
      </c>
    </row>
    <row r="17" spans="1:12" ht="16" x14ac:dyDescent="0.2">
      <c r="A17" s="58" t="s">
        <v>145</v>
      </c>
      <c r="B17" s="38" t="s">
        <v>144</v>
      </c>
      <c r="C17" s="38" t="s">
        <v>113</v>
      </c>
      <c r="D17" s="114"/>
      <c r="E17" s="114">
        <v>27830</v>
      </c>
      <c r="F17" s="61">
        <v>29636.3</v>
      </c>
      <c r="G17" s="61">
        <v>21246.16</v>
      </c>
      <c r="H17" s="54"/>
      <c r="I17" s="54"/>
      <c r="J17" s="54"/>
      <c r="K17" s="54"/>
      <c r="L17" s="54">
        <f t="shared" si="0"/>
        <v>78712.460000000006</v>
      </c>
    </row>
    <row r="18" spans="1:12" ht="16" x14ac:dyDescent="0.2">
      <c r="A18" s="58" t="s">
        <v>143</v>
      </c>
      <c r="B18" s="38" t="s">
        <v>142</v>
      </c>
      <c r="C18" s="38" t="s">
        <v>113</v>
      </c>
      <c r="D18" s="114"/>
      <c r="E18" s="114"/>
      <c r="F18" s="61">
        <v>246862.4</v>
      </c>
      <c r="G18" s="61"/>
      <c r="H18" s="54"/>
      <c r="I18" s="54"/>
      <c r="J18" s="54"/>
      <c r="K18" s="54"/>
      <c r="L18" s="54">
        <f t="shared" si="0"/>
        <v>246862.4</v>
      </c>
    </row>
    <row r="19" spans="1:12" ht="16" x14ac:dyDescent="0.2">
      <c r="A19" s="58" t="s">
        <v>141</v>
      </c>
      <c r="B19" s="38" t="s">
        <v>137</v>
      </c>
      <c r="C19" s="38" t="s">
        <v>113</v>
      </c>
      <c r="D19" s="114"/>
      <c r="E19" s="114">
        <v>36225</v>
      </c>
      <c r="F19" s="61">
        <v>88550</v>
      </c>
      <c r="G19" s="61"/>
      <c r="H19" s="54"/>
      <c r="I19" s="54"/>
      <c r="J19" s="54"/>
      <c r="K19" s="54"/>
      <c r="L19" s="54">
        <f t="shared" si="0"/>
        <v>124775</v>
      </c>
    </row>
    <row r="20" spans="1:12" ht="16" x14ac:dyDescent="0.2">
      <c r="A20" s="58" t="s">
        <v>140</v>
      </c>
      <c r="B20" s="38" t="s">
        <v>139</v>
      </c>
      <c r="C20" s="38" t="s">
        <v>113</v>
      </c>
      <c r="D20" s="114"/>
      <c r="E20" s="114"/>
      <c r="F20" s="61">
        <v>30000</v>
      </c>
      <c r="G20" s="61"/>
      <c r="H20" s="54"/>
      <c r="I20" s="54"/>
      <c r="J20" s="54"/>
      <c r="K20" s="54"/>
      <c r="L20" s="54">
        <f t="shared" si="0"/>
        <v>30000</v>
      </c>
    </row>
    <row r="21" spans="1:12" ht="16" x14ac:dyDescent="0.2">
      <c r="A21" s="58" t="s">
        <v>138</v>
      </c>
      <c r="B21" s="38" t="s">
        <v>137</v>
      </c>
      <c r="C21" s="38" t="s">
        <v>113</v>
      </c>
      <c r="D21" s="114"/>
      <c r="E21" s="114"/>
      <c r="F21" s="61">
        <v>37000</v>
      </c>
      <c r="G21" s="61"/>
      <c r="H21" s="54"/>
      <c r="I21" s="54"/>
      <c r="J21" s="54"/>
      <c r="K21" s="54"/>
      <c r="L21" s="54">
        <f t="shared" si="0"/>
        <v>37000</v>
      </c>
    </row>
    <row r="22" spans="1:12" ht="16" x14ac:dyDescent="0.2">
      <c r="A22" s="58" t="s">
        <v>136</v>
      </c>
      <c r="B22" s="38" t="s">
        <v>135</v>
      </c>
      <c r="C22" s="38" t="s">
        <v>113</v>
      </c>
      <c r="D22" s="114">
        <v>23314.44</v>
      </c>
      <c r="E22" s="114">
        <f>54225.72+31938.38</f>
        <v>86164.1</v>
      </c>
      <c r="F22" s="61"/>
      <c r="G22" s="61"/>
      <c r="H22" s="54"/>
      <c r="I22" s="54"/>
      <c r="J22" s="54"/>
      <c r="K22" s="54"/>
      <c r="L22" s="54">
        <f t="shared" si="0"/>
        <v>109478.54000000001</v>
      </c>
    </row>
    <row r="23" spans="1:12" ht="16" x14ac:dyDescent="0.2">
      <c r="A23" s="58" t="s">
        <v>134</v>
      </c>
      <c r="B23" s="38" t="s">
        <v>133</v>
      </c>
      <c r="C23" s="38" t="s">
        <v>113</v>
      </c>
      <c r="D23" s="114">
        <v>20000</v>
      </c>
      <c r="E23" s="114">
        <v>20000</v>
      </c>
      <c r="F23" s="61">
        <v>20000</v>
      </c>
      <c r="G23" s="61"/>
      <c r="H23" s="54"/>
      <c r="I23" s="54"/>
      <c r="J23" s="54"/>
      <c r="K23" s="54"/>
      <c r="L23" s="54">
        <f t="shared" si="0"/>
        <v>60000</v>
      </c>
    </row>
    <row r="24" spans="1:12" ht="16" x14ac:dyDescent="0.2">
      <c r="A24" s="58" t="s">
        <v>132</v>
      </c>
      <c r="B24" s="38" t="s">
        <v>131</v>
      </c>
      <c r="C24" s="38" t="s">
        <v>113</v>
      </c>
      <c r="D24" s="114"/>
      <c r="E24" s="114"/>
      <c r="F24" s="61">
        <v>5286.92</v>
      </c>
      <c r="G24" s="61"/>
      <c r="H24" s="54"/>
      <c r="I24" s="54"/>
      <c r="J24" s="54"/>
      <c r="K24" s="54"/>
      <c r="L24" s="54">
        <f t="shared" si="0"/>
        <v>5286.92</v>
      </c>
    </row>
    <row r="25" spans="1:12" ht="16" x14ac:dyDescent="0.2">
      <c r="A25" s="58" t="s">
        <v>130</v>
      </c>
      <c r="B25" s="38" t="s">
        <v>125</v>
      </c>
      <c r="C25" s="38" t="s">
        <v>113</v>
      </c>
      <c r="D25" s="114"/>
      <c r="E25" s="114">
        <v>21500</v>
      </c>
      <c r="F25" s="61"/>
      <c r="G25" s="61"/>
      <c r="H25" s="54"/>
      <c r="I25" s="54"/>
      <c r="J25" s="54"/>
      <c r="K25" s="54"/>
      <c r="L25" s="54">
        <f t="shared" si="0"/>
        <v>21500</v>
      </c>
    </row>
    <row r="26" spans="1:12" ht="16" x14ac:dyDescent="0.2">
      <c r="A26" s="58" t="s">
        <v>129</v>
      </c>
      <c r="B26" s="38" t="s">
        <v>125</v>
      </c>
      <c r="C26" s="38" t="s">
        <v>113</v>
      </c>
      <c r="D26" s="114"/>
      <c r="E26" s="114">
        <v>20800</v>
      </c>
      <c r="F26" s="61">
        <v>45050</v>
      </c>
      <c r="G26" s="61"/>
      <c r="H26" s="54"/>
      <c r="I26" s="54"/>
      <c r="J26" s="54"/>
      <c r="K26" s="54"/>
      <c r="L26" s="54">
        <f t="shared" si="0"/>
        <v>65850</v>
      </c>
    </row>
    <row r="27" spans="1:12" ht="16" x14ac:dyDescent="0.2">
      <c r="A27" s="58" t="s">
        <v>128</v>
      </c>
      <c r="B27" s="38" t="s">
        <v>125</v>
      </c>
      <c r="C27" s="38" t="s">
        <v>113</v>
      </c>
      <c r="D27" s="114"/>
      <c r="E27" s="114"/>
      <c r="F27" s="61">
        <v>132825</v>
      </c>
      <c r="G27" s="61"/>
      <c r="H27" s="54"/>
      <c r="I27" s="54"/>
      <c r="J27" s="54"/>
      <c r="K27" s="54"/>
      <c r="L27" s="54">
        <f t="shared" si="0"/>
        <v>132825</v>
      </c>
    </row>
    <row r="28" spans="1:12" ht="16" x14ac:dyDescent="0.2">
      <c r="A28" s="58" t="s">
        <v>127</v>
      </c>
      <c r="B28" s="38" t="s">
        <v>125</v>
      </c>
      <c r="C28" s="38" t="s">
        <v>113</v>
      </c>
      <c r="D28" s="114"/>
      <c r="E28" s="114">
        <v>61860</v>
      </c>
      <c r="F28" s="61">
        <v>128500</v>
      </c>
      <c r="G28" s="61">
        <v>43000</v>
      </c>
      <c r="H28" s="54"/>
      <c r="I28" s="54"/>
      <c r="J28" s="54"/>
      <c r="K28" s="54"/>
      <c r="L28" s="54">
        <f t="shared" si="0"/>
        <v>233360</v>
      </c>
    </row>
    <row r="29" spans="1:12" ht="16" x14ac:dyDescent="0.2">
      <c r="A29" s="58" t="s">
        <v>126</v>
      </c>
      <c r="B29" s="38" t="s">
        <v>125</v>
      </c>
      <c r="C29" s="38" t="s">
        <v>113</v>
      </c>
      <c r="D29" s="114"/>
      <c r="E29" s="114">
        <f>74750+173305</f>
        <v>248055</v>
      </c>
      <c r="F29" s="61">
        <v>181383.75</v>
      </c>
      <c r="G29" s="61">
        <v>130857.24</v>
      </c>
      <c r="H29" s="54"/>
      <c r="I29" s="54"/>
      <c r="J29" s="54"/>
      <c r="K29" s="54"/>
      <c r="L29" s="54">
        <f t="shared" si="0"/>
        <v>560295.99</v>
      </c>
    </row>
    <row r="30" spans="1:12" ht="16" x14ac:dyDescent="0.2">
      <c r="A30" s="39" t="s">
        <v>124</v>
      </c>
      <c r="B30" s="38" t="s">
        <v>123</v>
      </c>
      <c r="C30" s="38" t="s">
        <v>113</v>
      </c>
      <c r="D30" s="114"/>
      <c r="E30" s="114"/>
      <c r="F30" s="61">
        <v>94971.6</v>
      </c>
      <c r="G30" s="61"/>
      <c r="H30" s="54"/>
      <c r="I30" s="54"/>
      <c r="J30" s="54"/>
      <c r="K30" s="54"/>
      <c r="L30" s="54">
        <f t="shared" si="0"/>
        <v>94971.6</v>
      </c>
    </row>
    <row r="31" spans="1:12" ht="16" x14ac:dyDescent="0.2">
      <c r="A31" s="58" t="s">
        <v>122</v>
      </c>
      <c r="B31" s="38" t="s">
        <v>121</v>
      </c>
      <c r="C31" s="38" t="s">
        <v>113</v>
      </c>
      <c r="D31" s="114"/>
      <c r="E31" s="114"/>
      <c r="F31" s="61"/>
      <c r="G31" s="61"/>
      <c r="H31" s="54"/>
      <c r="I31" s="54"/>
      <c r="J31" s="54"/>
      <c r="K31" s="54"/>
      <c r="L31" s="54">
        <f t="shared" si="0"/>
        <v>0</v>
      </c>
    </row>
    <row r="32" spans="1:12" ht="16" x14ac:dyDescent="0.2">
      <c r="A32" s="39"/>
      <c r="B32" s="38"/>
      <c r="C32" s="38"/>
      <c r="D32" s="54"/>
      <c r="E32" s="54"/>
      <c r="F32" s="54"/>
      <c r="G32" s="54"/>
      <c r="H32" s="54"/>
      <c r="I32" s="54"/>
      <c r="J32" s="54"/>
      <c r="K32" s="54"/>
      <c r="L32" s="54">
        <f t="shared" si="0"/>
        <v>0</v>
      </c>
    </row>
    <row r="34" spans="1:12" ht="16" thickBot="1" x14ac:dyDescent="0.25">
      <c r="A34" s="48" t="s">
        <v>120</v>
      </c>
      <c r="D34" s="47">
        <f t="shared" ref="D34:L34" si="1">SUM(D8:D32)</f>
        <v>240736.44</v>
      </c>
      <c r="E34" s="47">
        <f t="shared" si="1"/>
        <v>609034.1</v>
      </c>
      <c r="F34" s="47">
        <f t="shared" si="1"/>
        <v>1350699.2000000002</v>
      </c>
      <c r="G34" s="47">
        <f t="shared" si="1"/>
        <v>303941.40000000002</v>
      </c>
      <c r="H34" s="47">
        <f t="shared" si="1"/>
        <v>0</v>
      </c>
      <c r="I34" s="47">
        <f t="shared" si="1"/>
        <v>0</v>
      </c>
      <c r="J34" s="47">
        <f t="shared" si="1"/>
        <v>0</v>
      </c>
      <c r="K34" s="47">
        <f t="shared" si="1"/>
        <v>0</v>
      </c>
      <c r="L34" s="47">
        <f t="shared" si="1"/>
        <v>2504411.14</v>
      </c>
    </row>
    <row r="35" spans="1:12" ht="16" thickTop="1" x14ac:dyDescent="0.2"/>
    <row r="36" spans="1:12" x14ac:dyDescent="0.2">
      <c r="D36" s="63">
        <f>D34+E34</f>
        <v>849770.54</v>
      </c>
    </row>
    <row r="37" spans="1:12" x14ac:dyDescent="0.2">
      <c r="C37" s="33" t="s">
        <v>881</v>
      </c>
    </row>
    <row r="38" spans="1:12" x14ac:dyDescent="0.2">
      <c r="G38" s="43"/>
    </row>
  </sheetData>
  <mergeCells count="2">
    <mergeCell ref="F3:H3"/>
    <mergeCell ref="F6:G6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E603-EA64-4C47-A022-BFE03D306C23}">
  <sheetPr>
    <pageSetUpPr fitToPage="1"/>
  </sheetPr>
  <dimension ref="A1:Z24"/>
  <sheetViews>
    <sheetView topLeftCell="A5" zoomScaleNormal="100" workbookViewId="0">
      <pane xSplit="3" ySplit="4" topLeftCell="D9" activePane="bottomRight" state="frozen"/>
      <selection activeCell="A5" sqref="A5"/>
      <selection pane="topRight" activeCell="D5" sqref="D5"/>
      <selection pane="bottomLeft" activeCell="A9" sqref="A9"/>
      <selection pane="bottomRight" activeCell="D27" sqref="D27"/>
    </sheetView>
  </sheetViews>
  <sheetFormatPr baseColWidth="10" defaultColWidth="9.1640625" defaultRowHeight="15" x14ac:dyDescent="0.2"/>
  <cols>
    <col min="1" max="1" width="9" style="33" customWidth="1"/>
    <col min="2" max="2" width="27.6640625" style="33" customWidth="1"/>
    <col min="3" max="3" width="24.5" style="33" customWidth="1"/>
    <col min="4" max="4" width="12.5" style="33" customWidth="1"/>
    <col min="5" max="9" width="9.1640625" style="33"/>
    <col min="10" max="10" width="12.6640625" style="33" customWidth="1"/>
    <col min="11" max="11" width="12.83203125" style="33" customWidth="1"/>
    <col min="12" max="12" width="14.83203125" style="33" customWidth="1"/>
    <col min="13" max="13" width="14.1640625" style="33" bestFit="1" customWidth="1"/>
    <col min="14" max="20" width="12.5" style="33" customWidth="1"/>
    <col min="21" max="21" width="13.5" style="33" customWidth="1"/>
    <col min="22" max="22" width="13.6640625" style="33" customWidth="1"/>
    <col min="23" max="23" width="13.1640625" style="33" bestFit="1" customWidth="1"/>
    <col min="24" max="24" width="12" style="33" bestFit="1" customWidth="1"/>
    <col min="25" max="25" width="23.5" style="33" customWidth="1"/>
    <col min="26" max="27" width="23.33203125" style="33" bestFit="1" customWidth="1"/>
    <col min="28" max="16384" width="9.1640625" style="33"/>
  </cols>
  <sheetData>
    <row r="1" spans="1:26" x14ac:dyDescent="0.2">
      <c r="A1" s="180"/>
      <c r="B1" s="181"/>
      <c r="C1" s="181"/>
      <c r="D1" s="181"/>
      <c r="E1" s="181"/>
      <c r="F1" s="181"/>
      <c r="G1" s="181"/>
      <c r="H1" s="181"/>
      <c r="I1" s="182"/>
    </row>
    <row r="2" spans="1:26" x14ac:dyDescent="0.2">
      <c r="A2" s="183" t="s">
        <v>883</v>
      </c>
      <c r="B2" s="184"/>
      <c r="C2" s="118"/>
      <c r="D2" s="185" t="s">
        <v>334</v>
      </c>
      <c r="E2" s="186"/>
      <c r="F2" s="186"/>
      <c r="G2" s="186"/>
      <c r="H2" s="186"/>
      <c r="I2" s="187"/>
    </row>
    <row r="3" spans="1:26" x14ac:dyDescent="0.2">
      <c r="A3" s="45"/>
      <c r="B3" s="45"/>
      <c r="C3" s="45" t="s">
        <v>884</v>
      </c>
      <c r="D3" s="45" t="s">
        <v>885</v>
      </c>
    </row>
    <row r="4" spans="1:26" x14ac:dyDescent="0.2">
      <c r="E4" s="188" t="s">
        <v>886</v>
      </c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2"/>
    </row>
    <row r="5" spans="1:26" x14ac:dyDescent="0.2">
      <c r="E5" s="189">
        <v>45863</v>
      </c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1"/>
    </row>
    <row r="6" spans="1:26" ht="16" thickBot="1" x14ac:dyDescent="0.25">
      <c r="E6" s="119"/>
      <c r="F6" s="119"/>
      <c r="G6" s="119"/>
      <c r="H6" s="119"/>
      <c r="I6" s="120"/>
      <c r="J6" s="120"/>
      <c r="K6" s="120"/>
      <c r="L6" s="120"/>
      <c r="M6" s="120"/>
      <c r="N6" s="180" t="s">
        <v>887</v>
      </c>
      <c r="O6" s="181"/>
      <c r="P6" s="181"/>
      <c r="Q6" s="181"/>
      <c r="R6" s="182"/>
      <c r="S6" s="120"/>
      <c r="T6" s="180" t="s">
        <v>888</v>
      </c>
      <c r="U6" s="181"/>
      <c r="V6" s="182"/>
      <c r="W6" s="117"/>
      <c r="X6" s="120"/>
      <c r="Y6" s="121"/>
      <c r="Z6" s="121"/>
    </row>
    <row r="7" spans="1:26" ht="60" customHeight="1" thickBot="1" x14ac:dyDescent="0.25">
      <c r="A7" s="34" t="s">
        <v>889</v>
      </c>
      <c r="B7" s="34" t="s">
        <v>890</v>
      </c>
      <c r="C7" s="34" t="s">
        <v>891</v>
      </c>
      <c r="D7" s="34" t="s">
        <v>892</v>
      </c>
      <c r="E7" s="34" t="s">
        <v>893</v>
      </c>
      <c r="F7" s="35" t="s">
        <v>894</v>
      </c>
      <c r="G7" s="35" t="s">
        <v>895</v>
      </c>
      <c r="H7" s="35" t="s">
        <v>896</v>
      </c>
      <c r="I7" s="35" t="s">
        <v>897</v>
      </c>
      <c r="J7" s="34" t="s">
        <v>898</v>
      </c>
      <c r="K7" s="35" t="s">
        <v>89</v>
      </c>
      <c r="L7" s="35" t="s">
        <v>90</v>
      </c>
      <c r="M7" s="36" t="s">
        <v>91</v>
      </c>
      <c r="N7" s="36" t="s">
        <v>92</v>
      </c>
      <c r="O7" s="36" t="s">
        <v>93</v>
      </c>
      <c r="P7" s="36" t="s">
        <v>94</v>
      </c>
      <c r="Q7" s="36" t="s">
        <v>95</v>
      </c>
      <c r="R7" s="35" t="s">
        <v>96</v>
      </c>
      <c r="S7" s="36" t="s">
        <v>97</v>
      </c>
      <c r="T7" s="36" t="s">
        <v>98</v>
      </c>
      <c r="U7" s="36" t="s">
        <v>99</v>
      </c>
      <c r="V7" s="36" t="s">
        <v>100</v>
      </c>
      <c r="W7" s="122" t="s">
        <v>899</v>
      </c>
      <c r="X7" s="123" t="s">
        <v>900</v>
      </c>
      <c r="Y7" s="34" t="s">
        <v>901</v>
      </c>
      <c r="Z7" s="118" t="s">
        <v>902</v>
      </c>
    </row>
    <row r="8" spans="1:26" x14ac:dyDescent="0.2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124"/>
      <c r="Z8" s="125"/>
    </row>
    <row r="9" spans="1:26" x14ac:dyDescent="0.2">
      <c r="A9" s="126">
        <v>1</v>
      </c>
      <c r="B9" s="38" t="s">
        <v>760</v>
      </c>
      <c r="C9" s="38" t="s">
        <v>903</v>
      </c>
      <c r="D9" s="127">
        <v>45863</v>
      </c>
      <c r="E9" s="126">
        <v>123</v>
      </c>
      <c r="F9" s="126">
        <v>0</v>
      </c>
      <c r="G9" s="126">
        <v>0</v>
      </c>
      <c r="H9" s="128">
        <f t="shared" ref="H9:H17" si="0">E9/9</f>
        <v>13.666666666666666</v>
      </c>
      <c r="I9" s="34"/>
      <c r="J9" s="41">
        <v>52312.160000000003</v>
      </c>
      <c r="K9" s="34"/>
      <c r="L9" s="34"/>
      <c r="M9" s="41">
        <f t="shared" ref="M9:M12" si="1">J9+K9-Q9</f>
        <v>52312.160000000003</v>
      </c>
      <c r="N9" s="41">
        <v>12135.04</v>
      </c>
      <c r="O9" s="129">
        <v>177.12</v>
      </c>
      <c r="P9" s="130"/>
      <c r="Q9" s="130"/>
      <c r="R9" s="41">
        <f t="shared" ref="R9" si="2">SUM(N9:P9)</f>
        <v>12312.160000000002</v>
      </c>
      <c r="S9" s="129">
        <f t="shared" ref="S9:S15" si="3">+M9-R9</f>
        <v>40000</v>
      </c>
      <c r="T9" s="129">
        <v>177.12</v>
      </c>
      <c r="U9" s="129">
        <v>371.25300000000004</v>
      </c>
      <c r="V9" s="129">
        <v>548.37300000000005</v>
      </c>
      <c r="W9" s="131">
        <v>209917</v>
      </c>
      <c r="X9" s="131">
        <v>63086028305</v>
      </c>
      <c r="Y9" s="124"/>
      <c r="Z9" s="125"/>
    </row>
    <row r="10" spans="1:26" x14ac:dyDescent="0.2">
      <c r="A10" s="126">
        <v>2</v>
      </c>
      <c r="B10" s="38" t="s">
        <v>904</v>
      </c>
      <c r="C10" s="38" t="s">
        <v>905</v>
      </c>
      <c r="D10" s="127">
        <v>45863</v>
      </c>
      <c r="E10" s="126">
        <v>103</v>
      </c>
      <c r="F10" s="126">
        <v>12</v>
      </c>
      <c r="G10" s="126">
        <v>6</v>
      </c>
      <c r="H10" s="128">
        <f t="shared" si="0"/>
        <v>11.444444444444445</v>
      </c>
      <c r="I10" s="34"/>
      <c r="J10" s="41">
        <v>29946.22</v>
      </c>
      <c r="K10" s="34"/>
      <c r="L10" s="34"/>
      <c r="M10" s="41">
        <v>29946.22</v>
      </c>
      <c r="N10" s="41">
        <v>4769.1000000000004</v>
      </c>
      <c r="O10" s="129">
        <v>177.12</v>
      </c>
      <c r="P10" s="130"/>
      <c r="Q10" s="130"/>
      <c r="R10" s="41">
        <f>SUM(N10:P10)</f>
        <v>4946.22</v>
      </c>
      <c r="S10" s="129">
        <f t="shared" si="3"/>
        <v>25000</v>
      </c>
      <c r="T10" s="129">
        <v>177.12</v>
      </c>
      <c r="U10" s="129">
        <v>371.25300000000004</v>
      </c>
      <c r="V10" s="129">
        <v>548.37300000000005</v>
      </c>
      <c r="W10" s="131">
        <v>470010</v>
      </c>
      <c r="X10" s="131">
        <v>1423377786</v>
      </c>
      <c r="Y10" s="124"/>
      <c r="Z10" s="125"/>
    </row>
    <row r="11" spans="1:26" x14ac:dyDescent="0.2">
      <c r="A11" s="126">
        <v>3</v>
      </c>
      <c r="B11" s="38" t="s">
        <v>906</v>
      </c>
      <c r="C11" s="38" t="s">
        <v>907</v>
      </c>
      <c r="D11" s="127">
        <v>45863</v>
      </c>
      <c r="E11" s="38">
        <v>162</v>
      </c>
      <c r="F11" s="38">
        <v>5</v>
      </c>
      <c r="G11" s="38">
        <v>6</v>
      </c>
      <c r="H11" s="128">
        <f t="shared" si="0"/>
        <v>18</v>
      </c>
      <c r="I11" s="38"/>
      <c r="J11" s="41">
        <v>37125.300000000003</v>
      </c>
      <c r="K11" s="41">
        <v>0</v>
      </c>
      <c r="L11" s="41"/>
      <c r="M11" s="41">
        <f t="shared" si="1"/>
        <v>37125.300000000003</v>
      </c>
      <c r="N11" s="41">
        <v>6948.18</v>
      </c>
      <c r="O11" s="129">
        <v>177.12</v>
      </c>
      <c r="P11" s="129"/>
      <c r="Q11" s="129"/>
      <c r="R11" s="41">
        <f t="shared" ref="R11:R14" si="4">SUM(N11:P11)</f>
        <v>7125.3</v>
      </c>
      <c r="S11" s="129">
        <f t="shared" si="3"/>
        <v>30000.000000000004</v>
      </c>
      <c r="T11" s="129">
        <v>177.12</v>
      </c>
      <c r="U11" s="129">
        <v>371.25300000000004</v>
      </c>
      <c r="V11" s="129">
        <v>548.37300000000005</v>
      </c>
      <c r="W11" s="131">
        <v>470010</v>
      </c>
      <c r="X11" s="131">
        <v>1421377606</v>
      </c>
      <c r="Y11" s="38" t="s">
        <v>119</v>
      </c>
      <c r="Z11" s="38"/>
    </row>
    <row r="12" spans="1:26" ht="14.25" customHeight="1" x14ac:dyDescent="0.2">
      <c r="A12" s="126">
        <v>4</v>
      </c>
      <c r="B12" s="38" t="s">
        <v>908</v>
      </c>
      <c r="C12" s="132" t="s">
        <v>909</v>
      </c>
      <c r="D12" s="127">
        <v>45863</v>
      </c>
      <c r="E12" s="38">
        <v>151</v>
      </c>
      <c r="F12" s="38">
        <v>5</v>
      </c>
      <c r="G12" s="38">
        <v>0</v>
      </c>
      <c r="H12" s="128">
        <f t="shared" si="0"/>
        <v>16.777777777777779</v>
      </c>
      <c r="I12" s="38"/>
      <c r="J12" s="41">
        <v>10572.54</v>
      </c>
      <c r="K12" s="41">
        <f t="shared" ref="K12:K14" si="5">I12*1.5*F12</f>
        <v>0</v>
      </c>
      <c r="L12" s="41"/>
      <c r="M12" s="41">
        <f t="shared" si="1"/>
        <v>10572.54</v>
      </c>
      <c r="N12" s="41">
        <v>466.81</v>
      </c>
      <c r="O12" s="129">
        <f t="shared" ref="O12:O15" si="6">+M12*1%</f>
        <v>105.72540000000001</v>
      </c>
      <c r="P12" s="129"/>
      <c r="Q12" s="129">
        <v>0</v>
      </c>
      <c r="R12" s="41">
        <f t="shared" si="4"/>
        <v>572.53539999999998</v>
      </c>
      <c r="S12" s="129">
        <f t="shared" si="3"/>
        <v>10000.0046</v>
      </c>
      <c r="T12" s="129">
        <f t="shared" ref="T12" si="7">+M12*1%</f>
        <v>105.72540000000001</v>
      </c>
      <c r="U12" s="129">
        <f t="shared" ref="U12:U15" si="8">+M12*1%</f>
        <v>105.72540000000001</v>
      </c>
      <c r="V12" s="129">
        <f t="shared" ref="V12:V13" si="9">SUM(T12:U12)</f>
        <v>211.45080000000002</v>
      </c>
      <c r="W12" s="131">
        <v>470010</v>
      </c>
      <c r="X12" s="131">
        <v>1734053737</v>
      </c>
      <c r="Y12" s="38"/>
      <c r="Z12" s="38"/>
    </row>
    <row r="13" spans="1:26" x14ac:dyDescent="0.2">
      <c r="A13" s="126">
        <v>5</v>
      </c>
      <c r="B13" s="38" t="s">
        <v>910</v>
      </c>
      <c r="C13" s="38" t="s">
        <v>911</v>
      </c>
      <c r="D13" s="127">
        <v>45863</v>
      </c>
      <c r="E13" s="38">
        <v>160</v>
      </c>
      <c r="F13" s="38">
        <v>5</v>
      </c>
      <c r="G13" s="38">
        <v>9</v>
      </c>
      <c r="H13" s="128">
        <f t="shared" si="0"/>
        <v>17.777777777777779</v>
      </c>
      <c r="I13" s="38"/>
      <c r="J13" s="41">
        <v>9337.9599999999991</v>
      </c>
      <c r="K13" s="41">
        <f t="shared" si="5"/>
        <v>0</v>
      </c>
      <c r="L13" s="41"/>
      <c r="M13" s="41">
        <f t="shared" ref="M13" si="10">K13+J13-Q13</f>
        <v>9337.9599999999991</v>
      </c>
      <c r="N13" s="41">
        <v>244.58</v>
      </c>
      <c r="O13" s="41">
        <f t="shared" si="6"/>
        <v>93.379599999999996</v>
      </c>
      <c r="P13" s="41"/>
      <c r="Q13" s="41"/>
      <c r="R13" s="41">
        <f t="shared" si="4"/>
        <v>337.95960000000002</v>
      </c>
      <c r="S13" s="129">
        <f t="shared" si="3"/>
        <v>9000.000399999999</v>
      </c>
      <c r="T13" s="41">
        <f t="shared" ref="T13:T15" si="11">O13</f>
        <v>93.379599999999996</v>
      </c>
      <c r="U13" s="41">
        <f t="shared" si="8"/>
        <v>93.379599999999996</v>
      </c>
      <c r="V13" s="41">
        <f t="shared" si="9"/>
        <v>186.75919999999999</v>
      </c>
      <c r="W13" s="131">
        <v>470010</v>
      </c>
      <c r="X13" s="131">
        <v>1670270503</v>
      </c>
      <c r="Y13" s="38"/>
      <c r="Z13" s="38"/>
    </row>
    <row r="14" spans="1:26" x14ac:dyDescent="0.2">
      <c r="A14" s="126">
        <v>6</v>
      </c>
      <c r="B14" s="38" t="s">
        <v>912</v>
      </c>
      <c r="C14" s="38" t="s">
        <v>913</v>
      </c>
      <c r="D14" s="127">
        <v>45863</v>
      </c>
      <c r="E14" s="38">
        <v>149</v>
      </c>
      <c r="F14" s="38">
        <v>0</v>
      </c>
      <c r="G14" s="38">
        <v>0</v>
      </c>
      <c r="H14" s="128">
        <f t="shared" si="0"/>
        <v>16.555555555555557</v>
      </c>
      <c r="I14" s="38"/>
      <c r="J14" s="41">
        <v>30000</v>
      </c>
      <c r="K14" s="41">
        <f t="shared" si="5"/>
        <v>0</v>
      </c>
      <c r="L14" s="41"/>
      <c r="M14" s="41">
        <f>K14+J14-Q14</f>
        <v>30000</v>
      </c>
      <c r="N14" s="41">
        <v>4783.08</v>
      </c>
      <c r="O14" s="129">
        <v>177.12</v>
      </c>
      <c r="P14" s="41"/>
      <c r="Q14" s="41"/>
      <c r="R14" s="41">
        <f t="shared" si="4"/>
        <v>4960.2</v>
      </c>
      <c r="S14" s="129">
        <f t="shared" si="3"/>
        <v>25039.8</v>
      </c>
      <c r="T14" s="41">
        <f t="shared" si="11"/>
        <v>177.12</v>
      </c>
      <c r="U14" s="41">
        <f t="shared" si="8"/>
        <v>300</v>
      </c>
      <c r="V14" s="41">
        <f t="shared" ref="V14" si="12">SUM(T14:U14)</f>
        <v>477.12</v>
      </c>
      <c r="W14" s="131">
        <v>678910</v>
      </c>
      <c r="X14" s="131">
        <v>51044756168</v>
      </c>
      <c r="Y14" s="38"/>
      <c r="Z14" s="38"/>
    </row>
    <row r="15" spans="1:26" x14ac:dyDescent="0.2">
      <c r="A15" s="126">
        <v>7</v>
      </c>
      <c r="B15" s="38" t="s">
        <v>914</v>
      </c>
      <c r="C15" s="38" t="s">
        <v>915</v>
      </c>
      <c r="D15" s="127">
        <v>45863</v>
      </c>
      <c r="E15" s="38">
        <v>140</v>
      </c>
      <c r="F15" s="38">
        <v>0</v>
      </c>
      <c r="G15" s="38">
        <v>6</v>
      </c>
      <c r="H15" s="128">
        <f t="shared" si="0"/>
        <v>15.555555555555555</v>
      </c>
      <c r="I15" s="38"/>
      <c r="J15" s="41">
        <v>13000</v>
      </c>
      <c r="K15" s="41"/>
      <c r="L15" s="41"/>
      <c r="M15" s="41">
        <f>K15+J15-Q15</f>
        <v>13000</v>
      </c>
      <c r="N15" s="41">
        <v>903.75</v>
      </c>
      <c r="O15" s="129">
        <f t="shared" si="6"/>
        <v>130</v>
      </c>
      <c r="P15" s="41"/>
      <c r="Q15" s="41">
        <v>0</v>
      </c>
      <c r="R15" s="41">
        <f>SUM(N15:P15)</f>
        <v>1033.75</v>
      </c>
      <c r="S15" s="129">
        <f t="shared" si="3"/>
        <v>11966.25</v>
      </c>
      <c r="T15" s="41">
        <f t="shared" si="11"/>
        <v>130</v>
      </c>
      <c r="U15" s="41">
        <f t="shared" si="8"/>
        <v>130</v>
      </c>
      <c r="V15" s="41">
        <f t="shared" ref="V15" si="13">SUM(T15:U15)</f>
        <v>260</v>
      </c>
      <c r="W15" s="131">
        <v>470010</v>
      </c>
      <c r="X15" s="131">
        <v>1382422464</v>
      </c>
      <c r="Y15" s="38"/>
      <c r="Z15" s="38"/>
    </row>
    <row r="16" spans="1:26" x14ac:dyDescent="0.2">
      <c r="A16" s="126">
        <v>26</v>
      </c>
      <c r="B16" s="38" t="s">
        <v>670</v>
      </c>
      <c r="C16" s="38" t="s">
        <v>916</v>
      </c>
      <c r="D16" s="127">
        <v>45863</v>
      </c>
      <c r="E16" s="38">
        <v>203</v>
      </c>
      <c r="F16" s="38">
        <v>0</v>
      </c>
      <c r="G16" s="38"/>
      <c r="H16" s="128">
        <v>22.555555555555557</v>
      </c>
      <c r="I16" s="38">
        <v>51</v>
      </c>
      <c r="J16" s="41">
        <v>10353</v>
      </c>
      <c r="K16" s="41">
        <v>0</v>
      </c>
      <c r="L16" s="41">
        <v>0</v>
      </c>
      <c r="M16" s="41">
        <v>10353</v>
      </c>
      <c r="N16" s="41"/>
      <c r="O16" s="129">
        <v>103.53</v>
      </c>
      <c r="P16" s="129"/>
      <c r="Q16" s="129"/>
      <c r="R16" s="41">
        <v>103.53</v>
      </c>
      <c r="S16" s="41">
        <v>10249.469999999999</v>
      </c>
      <c r="T16" s="41">
        <v>103.53</v>
      </c>
      <c r="U16" s="41">
        <v>103.53</v>
      </c>
      <c r="V16" s="41">
        <v>207.06</v>
      </c>
      <c r="W16" s="131">
        <v>470010</v>
      </c>
      <c r="X16" s="133">
        <v>1767524283</v>
      </c>
      <c r="Y16" s="38"/>
      <c r="Z16" s="38"/>
    </row>
    <row r="17" spans="1:26" x14ac:dyDescent="0.2">
      <c r="A17" s="126">
        <v>9</v>
      </c>
      <c r="B17" s="38" t="s">
        <v>917</v>
      </c>
      <c r="C17" s="38" t="s">
        <v>918</v>
      </c>
      <c r="D17" s="127">
        <v>45863</v>
      </c>
      <c r="E17" s="38">
        <v>169</v>
      </c>
      <c r="F17" s="38">
        <v>0</v>
      </c>
      <c r="G17" s="38">
        <v>0</v>
      </c>
      <c r="H17" s="128">
        <f t="shared" si="0"/>
        <v>18.777777777777779</v>
      </c>
      <c r="I17" s="38"/>
      <c r="J17" s="41">
        <v>20000</v>
      </c>
      <c r="K17" s="41"/>
      <c r="L17" s="41"/>
      <c r="M17" s="41">
        <f>K17+J17-Q17</f>
        <v>20000</v>
      </c>
      <c r="N17" s="41">
        <v>2183.08</v>
      </c>
      <c r="O17" s="129">
        <v>177.12</v>
      </c>
      <c r="P17" s="129"/>
      <c r="Q17" s="129"/>
      <c r="R17" s="41">
        <f t="shared" ref="R17" si="14">SUM(N17:P17)</f>
        <v>2360.1999999999998</v>
      </c>
      <c r="S17" s="41">
        <f t="shared" ref="S17" si="15">+M17-R17</f>
        <v>17639.8</v>
      </c>
      <c r="T17" s="41">
        <f t="shared" ref="T17" si="16">O17</f>
        <v>177.12</v>
      </c>
      <c r="U17" s="41">
        <f t="shared" ref="U17" si="17">+M17*1%</f>
        <v>200</v>
      </c>
      <c r="V17" s="41">
        <f t="shared" ref="V17" si="18">SUM(T17:U17)</f>
        <v>377.12</v>
      </c>
      <c r="W17" s="131">
        <v>470010</v>
      </c>
      <c r="X17" s="133">
        <v>1448302569</v>
      </c>
      <c r="Y17" s="38"/>
      <c r="Z17" s="38"/>
    </row>
    <row r="18" spans="1:26" x14ac:dyDescent="0.2">
      <c r="A18" s="38"/>
      <c r="B18" s="38"/>
      <c r="C18" s="38"/>
      <c r="D18" s="134"/>
      <c r="E18" s="38"/>
      <c r="F18" s="38"/>
      <c r="G18" s="38"/>
      <c r="H18" s="38"/>
      <c r="I18" s="118"/>
      <c r="J18" s="135"/>
      <c r="K18" s="135"/>
      <c r="L18" s="135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118"/>
      <c r="Y18" s="38"/>
      <c r="Z18" s="38"/>
    </row>
    <row r="19" spans="1:26" ht="16" thickBot="1" x14ac:dyDescent="0.25">
      <c r="A19" s="38"/>
      <c r="B19" s="118" t="s">
        <v>114</v>
      </c>
      <c r="C19" s="38"/>
      <c r="D19" s="134"/>
      <c r="E19" s="38"/>
      <c r="F19" s="38"/>
      <c r="G19" s="38"/>
      <c r="H19" s="38"/>
      <c r="I19" s="118"/>
      <c r="J19" s="136">
        <f>SUM(J9:J18)</f>
        <v>212647.18</v>
      </c>
      <c r="K19" s="136">
        <f t="shared" ref="K19:V19" si="19">SUM(K9:K18)</f>
        <v>0</v>
      </c>
      <c r="L19" s="136">
        <f t="shared" si="19"/>
        <v>0</v>
      </c>
      <c r="M19" s="136">
        <f t="shared" si="19"/>
        <v>212647.18</v>
      </c>
      <c r="N19" s="136">
        <f t="shared" si="19"/>
        <v>32433.620000000003</v>
      </c>
      <c r="O19" s="136">
        <f t="shared" si="19"/>
        <v>1318.2350000000001</v>
      </c>
      <c r="P19" s="136">
        <f t="shared" si="19"/>
        <v>0</v>
      </c>
      <c r="Q19" s="136">
        <f t="shared" si="19"/>
        <v>0</v>
      </c>
      <c r="R19" s="136">
        <f t="shared" si="19"/>
        <v>33751.854999999996</v>
      </c>
      <c r="S19" s="136">
        <f t="shared" si="19"/>
        <v>178895.32499999998</v>
      </c>
      <c r="T19" s="136">
        <f t="shared" si="19"/>
        <v>1318.2350000000001</v>
      </c>
      <c r="U19" s="136">
        <f t="shared" si="19"/>
        <v>2046.394</v>
      </c>
      <c r="V19" s="136">
        <f t="shared" si="19"/>
        <v>3364.6289999999999</v>
      </c>
      <c r="W19" s="137"/>
      <c r="X19" s="45"/>
    </row>
    <row r="20" spans="1:26" ht="16" thickTop="1" x14ac:dyDescent="0.2">
      <c r="B20" s="45"/>
      <c r="D20" s="138"/>
      <c r="I20" s="45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5"/>
    </row>
    <row r="21" spans="1:26" x14ac:dyDescent="0.2">
      <c r="B21" s="45"/>
      <c r="D21" s="138"/>
      <c r="I21" s="45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5"/>
    </row>
    <row r="23" spans="1:26" ht="16" x14ac:dyDescent="0.2">
      <c r="A23" s="33">
        <f>COUNTA(A9:A17)</f>
        <v>9</v>
      </c>
      <c r="B23" s="139" t="s">
        <v>919</v>
      </c>
      <c r="C23" s="139"/>
      <c r="E23" s="45" t="s">
        <v>920</v>
      </c>
      <c r="F23" s="45"/>
      <c r="G23" s="45"/>
      <c r="H23" s="45"/>
      <c r="I23" s="179" t="s">
        <v>921</v>
      </c>
      <c r="J23" s="179"/>
    </row>
    <row r="24" spans="1:26" x14ac:dyDescent="0.2">
      <c r="S24" s="33" t="s">
        <v>119</v>
      </c>
    </row>
  </sheetData>
  <mergeCells count="8">
    <mergeCell ref="I23:J23"/>
    <mergeCell ref="A1:I1"/>
    <mergeCell ref="A2:B2"/>
    <mergeCell ref="D2:I2"/>
    <mergeCell ref="E4:Z4"/>
    <mergeCell ref="E5:Z5"/>
    <mergeCell ref="N6:R6"/>
    <mergeCell ref="T6:V6"/>
  </mergeCells>
  <pageMargins left="0.7" right="0.7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N2 - expenditure sheet </vt:lpstr>
      <vt:lpstr>Summary</vt:lpstr>
      <vt:lpstr>Creditors Age Analysis- mooi pl</vt:lpstr>
      <vt:lpstr>Creditors Age - carolina 1</vt:lpstr>
      <vt:lpstr>Routine Maint N2</vt:lpstr>
      <vt:lpstr>Creditors Age Analysis- moo (2)</vt:lpstr>
      <vt:lpstr>Key Personnel SANRAL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ghriske de jager</dc:creator>
  <cp:lastModifiedBy>ghriske de jager</cp:lastModifiedBy>
  <dcterms:created xsi:type="dcterms:W3CDTF">2025-08-06T05:39:01Z</dcterms:created>
  <dcterms:modified xsi:type="dcterms:W3CDTF">2025-08-22T06:57:39Z</dcterms:modified>
</cp:coreProperties>
</file>
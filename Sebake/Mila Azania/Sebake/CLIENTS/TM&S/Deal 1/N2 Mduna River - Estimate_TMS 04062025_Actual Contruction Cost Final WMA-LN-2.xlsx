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inda\Desktop\SANRAL Hluhluwe\Project Costing\"/>
    </mc:Choice>
  </mc:AlternateContent>
  <xr:revisionPtr revIDLastSave="0" documentId="13_ncr:1_{74BFE846-929F-478C-A8C4-FB20CEC86653}" xr6:coauthVersionLast="47" xr6:coauthVersionMax="47" xr10:uidLastSave="{00000000-0000-0000-0000-000000000000}"/>
  <bookViews>
    <workbookView xWindow="-108" yWindow="-108" windowWidth="23256" windowHeight="12456" tabRatio="914" xr2:uid="{D4CBD15D-95FB-4320-8E9F-E83AACE210EB}"/>
  </bookViews>
  <sheets>
    <sheet name="BOQ" sheetId="1" r:id="rId1"/>
    <sheet name="BoQ Summary" sheetId="2" r:id="rId2"/>
    <sheet name="Guardrails" sheetId="7" r:id="rId3"/>
    <sheet name="Road Marking" sheetId="9" r:id="rId4"/>
    <sheet name="Acc Traffic" sheetId="15" r:id="rId5"/>
    <sheet name="Road signs" sheetId="14" r:id="rId6"/>
    <sheet name="Overlay" sheetId="11" r:id="rId7"/>
    <sheet name="Water-cutting" sheetId="16" r:id="rId8"/>
    <sheet name="Drains" sheetId="17" r:id="rId9"/>
    <sheet name="Kerbs_conc drains" sheetId="18" r:id="rId10"/>
    <sheet name="Patching" sheetId="10" r:id="rId11"/>
    <sheet name="Clear and Grub" sheetId="12" r:id="rId12"/>
  </sheets>
  <definedNames>
    <definedName name="_xlnm.Print_Area" localSheetId="0">BOQ!$A$1:$Z$485</definedName>
    <definedName name="_xlnm.Print_Area" localSheetId="1">'BoQ Summary'!$A$1:$G$43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2" l="1"/>
  <c r="H26" i="2"/>
  <c r="G15" i="2"/>
  <c r="H16" i="2"/>
  <c r="G26" i="2"/>
  <c r="G28" i="2" s="1"/>
  <c r="G39" i="2" s="1"/>
  <c r="G41" i="2" s="1"/>
  <c r="G21" i="2"/>
  <c r="G20" i="2"/>
  <c r="G19" i="2"/>
  <c r="G16" i="2"/>
  <c r="G14" i="2"/>
  <c r="G6" i="2"/>
  <c r="Z435" i="1"/>
  <c r="Z432" i="1"/>
  <c r="Z431" i="1"/>
  <c r="Z426" i="1"/>
  <c r="Z425" i="1"/>
  <c r="Z421" i="1"/>
  <c r="Z419" i="1"/>
  <c r="Z418" i="1"/>
  <c r="Z417" i="1"/>
  <c r="Z416" i="1"/>
  <c r="Z415" i="1"/>
  <c r="Z408" i="1"/>
  <c r="Z407" i="1"/>
  <c r="Z404" i="1"/>
  <c r="Z403" i="1"/>
  <c r="Z402" i="1"/>
  <c r="Z401" i="1"/>
  <c r="Z347" i="1"/>
  <c r="Z343" i="1"/>
  <c r="Z342" i="1"/>
  <c r="Z340" i="1"/>
  <c r="AA332" i="1"/>
  <c r="O332" i="1"/>
  <c r="Z332" i="1"/>
  <c r="Z329" i="1"/>
  <c r="Z328" i="1"/>
  <c r="Z326" i="1"/>
  <c r="Z324" i="1"/>
  <c r="Z319" i="1"/>
  <c r="Z314" i="1"/>
  <c r="Z308" i="1"/>
  <c r="Z306" i="1"/>
  <c r="Z305" i="1"/>
  <c r="Z304" i="1"/>
  <c r="Z301" i="1"/>
  <c r="Z300" i="1"/>
  <c r="Z299" i="1"/>
  <c r="Z298" i="1"/>
  <c r="Z296" i="1"/>
  <c r="Z295" i="1"/>
  <c r="Z294" i="1"/>
  <c r="Z289" i="1"/>
  <c r="Z291" i="1"/>
  <c r="Z76" i="1"/>
  <c r="Z68" i="1"/>
  <c r="Z64" i="1"/>
  <c r="N332" i="1"/>
  <c r="F6" i="2"/>
  <c r="F7" i="2"/>
  <c r="F8" i="2"/>
  <c r="F9" i="2"/>
  <c r="F10" i="2"/>
  <c r="F11" i="2"/>
  <c r="F12" i="2"/>
  <c r="F13" i="2"/>
  <c r="F14" i="2"/>
  <c r="F15" i="2"/>
  <c r="F17" i="2"/>
  <c r="F18" i="2"/>
  <c r="F20" i="2"/>
  <c r="F21" i="2"/>
  <c r="F22" i="2"/>
  <c r="F5" i="2"/>
  <c r="F31" i="2"/>
  <c r="F33" i="2" s="1"/>
  <c r="E35" i="2"/>
  <c r="E33" i="2"/>
  <c r="E31" i="2"/>
  <c r="E28" i="2"/>
  <c r="S43" i="11"/>
  <c r="S41" i="11"/>
  <c r="Q47" i="11"/>
  <c r="Q46" i="11"/>
  <c r="Q43" i="11"/>
  <c r="Q41" i="11"/>
  <c r="J46" i="11"/>
  <c r="L44" i="11"/>
  <c r="N38" i="11"/>
  <c r="L38" i="11"/>
  <c r="C16" i="2"/>
  <c r="C14" i="2"/>
  <c r="J42" i="11"/>
  <c r="O200" i="1"/>
  <c r="N200" i="1"/>
  <c r="O199" i="1"/>
  <c r="N199" i="1"/>
  <c r="O198" i="1"/>
  <c r="N198" i="1"/>
  <c r="O196" i="1"/>
  <c r="N196" i="1"/>
  <c r="O195" i="1"/>
  <c r="N195" i="1"/>
  <c r="O194" i="1"/>
  <c r="N194" i="1"/>
  <c r="O193" i="1"/>
  <c r="N193" i="1"/>
  <c r="O192" i="1"/>
  <c r="N192" i="1"/>
  <c r="O191" i="1"/>
  <c r="N191" i="1"/>
  <c r="O190" i="1"/>
  <c r="N190" i="1"/>
  <c r="O189" i="1"/>
  <c r="N189" i="1"/>
  <c r="O188" i="1"/>
  <c r="N188" i="1"/>
  <c r="O187" i="1"/>
  <c r="N187" i="1"/>
  <c r="O186" i="1"/>
  <c r="N186" i="1"/>
  <c r="O185" i="1"/>
  <c r="N185" i="1"/>
  <c r="O184" i="1"/>
  <c r="N184" i="1"/>
  <c r="O182" i="1"/>
  <c r="N182" i="1"/>
  <c r="O179" i="1"/>
  <c r="N179" i="1"/>
  <c r="O178" i="1"/>
  <c r="N178" i="1"/>
  <c r="O177" i="1"/>
  <c r="N177" i="1"/>
  <c r="O176" i="1"/>
  <c r="N176" i="1"/>
  <c r="O175" i="1"/>
  <c r="N175" i="1"/>
  <c r="O173" i="1"/>
  <c r="N173" i="1"/>
  <c r="O172" i="1"/>
  <c r="N172" i="1"/>
  <c r="O171" i="1"/>
  <c r="N171" i="1"/>
  <c r="O170" i="1"/>
  <c r="N170" i="1"/>
  <c r="O169" i="1"/>
  <c r="N169" i="1"/>
  <c r="O165" i="1"/>
  <c r="N165" i="1"/>
  <c r="N163" i="1"/>
  <c r="P165" i="1"/>
  <c r="O163" i="1"/>
  <c r="O161" i="1"/>
  <c r="N161" i="1"/>
  <c r="O159" i="1"/>
  <c r="N159" i="1"/>
  <c r="O157" i="1"/>
  <c r="N157" i="1"/>
  <c r="O152" i="1"/>
  <c r="N152" i="1"/>
  <c r="O150" i="1"/>
  <c r="N150" i="1"/>
  <c r="P150" i="1" s="1"/>
  <c r="N143" i="1"/>
  <c r="P444" i="1"/>
  <c r="P445" i="1"/>
  <c r="P440" i="1"/>
  <c r="P431" i="1"/>
  <c r="P483" i="1"/>
  <c r="P435" i="1"/>
  <c r="P426" i="1"/>
  <c r="P397" i="1"/>
  <c r="P365" i="1"/>
  <c r="P319" i="1"/>
  <c r="P284" i="1"/>
  <c r="P273" i="1"/>
  <c r="P262" i="1"/>
  <c r="P246" i="1"/>
  <c r="P210" i="1"/>
  <c r="P76" i="1"/>
  <c r="D6" i="2"/>
  <c r="D7" i="2"/>
  <c r="D9" i="2"/>
  <c r="D10" i="2"/>
  <c r="D11" i="2"/>
  <c r="D12" i="2"/>
  <c r="D13" i="2"/>
  <c r="D15" i="2"/>
  <c r="D17" i="2"/>
  <c r="D18" i="2"/>
  <c r="O235" i="1"/>
  <c r="O229" i="1"/>
  <c r="O222" i="1"/>
  <c r="O217" i="1"/>
  <c r="O214" i="1"/>
  <c r="P217" i="1"/>
  <c r="O144" i="1"/>
  <c r="O143" i="1"/>
  <c r="O136" i="1"/>
  <c r="O135" i="1"/>
  <c r="O132" i="1"/>
  <c r="O131" i="1"/>
  <c r="O128" i="1"/>
  <c r="O127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98" i="1"/>
  <c r="O97" i="1"/>
  <c r="O96" i="1"/>
  <c r="O95" i="1"/>
  <c r="O94" i="1"/>
  <c r="O93" i="1"/>
  <c r="O92" i="1"/>
  <c r="O89" i="1"/>
  <c r="O88" i="1"/>
  <c r="O87" i="1"/>
  <c r="O85" i="1"/>
  <c r="O84" i="1"/>
  <c r="O83" i="1"/>
  <c r="O82" i="1"/>
  <c r="O81" i="1"/>
  <c r="O80" i="1"/>
  <c r="O75" i="1"/>
  <c r="O73" i="1"/>
  <c r="O72" i="1"/>
  <c r="O71" i="1"/>
  <c r="O70" i="1"/>
  <c r="O68" i="1"/>
  <c r="O67" i="1"/>
  <c r="O65" i="1"/>
  <c r="O64" i="1"/>
  <c r="O55" i="1"/>
  <c r="O54" i="1"/>
  <c r="O51" i="1"/>
  <c r="O50" i="1"/>
  <c r="O49" i="1"/>
  <c r="O44" i="1"/>
  <c r="O43" i="1"/>
  <c r="O40" i="1"/>
  <c r="O39" i="1"/>
  <c r="O38" i="1"/>
  <c r="O37" i="1"/>
  <c r="O36" i="1"/>
  <c r="O35" i="1"/>
  <c r="O25" i="1"/>
  <c r="O24" i="1"/>
  <c r="O21" i="1"/>
  <c r="O19" i="1"/>
  <c r="O18" i="1"/>
  <c r="O17" i="1"/>
  <c r="O14" i="1"/>
  <c r="O13" i="1"/>
  <c r="O12" i="1"/>
  <c r="O11" i="1"/>
  <c r="O8" i="1"/>
  <c r="O7" i="1"/>
  <c r="N7" i="1"/>
  <c r="G42" i="2" l="1"/>
  <c r="G43" i="2" s="1"/>
  <c r="P7" i="1"/>
  <c r="G24" i="11"/>
  <c r="G7" i="11"/>
  <c r="G6" i="16"/>
  <c r="G5" i="12" l="1"/>
  <c r="I24" i="10"/>
  <c r="I22" i="10"/>
  <c r="I21" i="10"/>
  <c r="I20" i="10"/>
  <c r="I17" i="10"/>
  <c r="I16" i="10"/>
  <c r="I15" i="10"/>
  <c r="I14" i="10"/>
  <c r="I12" i="10"/>
  <c r="I11" i="10"/>
  <c r="I10" i="10"/>
  <c r="I7" i="10"/>
  <c r="I5" i="10"/>
  <c r="I252" i="1"/>
  <c r="I254" i="1"/>
  <c r="I255" i="1"/>
  <c r="I256" i="1"/>
  <c r="I258" i="1"/>
  <c r="I251" i="1"/>
  <c r="J15" i="18"/>
  <c r="H12" i="18"/>
  <c r="J12" i="18" s="1"/>
  <c r="H10" i="18"/>
  <c r="J10" i="18" s="1"/>
  <c r="H9" i="18"/>
  <c r="J9" i="18" s="1"/>
  <c r="H8" i="18"/>
  <c r="J8" i="18" s="1"/>
  <c r="H6" i="18"/>
  <c r="J6" i="18" s="1"/>
  <c r="H5" i="18"/>
  <c r="J5" i="18" s="1"/>
  <c r="I245" i="1"/>
  <c r="O245" i="1" s="1"/>
  <c r="I35" i="17"/>
  <c r="M34" i="17"/>
  <c r="I34" i="17"/>
  <c r="M33" i="17"/>
  <c r="I33" i="17"/>
  <c r="M32" i="17"/>
  <c r="I32" i="17"/>
  <c r="M31" i="17"/>
  <c r="I31" i="17"/>
  <c r="M30" i="17"/>
  <c r="I30" i="17"/>
  <c r="M29" i="17"/>
  <c r="I29" i="17"/>
  <c r="M28" i="17"/>
  <c r="I28" i="17"/>
  <c r="M27" i="17"/>
  <c r="K27" i="17"/>
  <c r="I27" i="17"/>
  <c r="M26" i="17"/>
  <c r="I26" i="17"/>
  <c r="M25" i="17"/>
  <c r="I25" i="17"/>
  <c r="M24" i="17"/>
  <c r="I24" i="17"/>
  <c r="K23" i="17"/>
  <c r="M23" i="17" s="1"/>
  <c r="I23" i="17"/>
  <c r="M22" i="17"/>
  <c r="I22" i="17"/>
  <c r="K21" i="17"/>
  <c r="M21" i="17" s="1"/>
  <c r="I21" i="17"/>
  <c r="M20" i="17"/>
  <c r="I20" i="17"/>
  <c r="M19" i="17"/>
  <c r="I19" i="17"/>
  <c r="M18" i="17"/>
  <c r="I18" i="17"/>
  <c r="M17" i="17"/>
  <c r="K17" i="17"/>
  <c r="I17" i="17"/>
  <c r="M16" i="17"/>
  <c r="I16" i="17"/>
  <c r="M15" i="17"/>
  <c r="I15" i="17"/>
  <c r="M14" i="17"/>
  <c r="I14" i="17"/>
  <c r="K13" i="17"/>
  <c r="M13" i="17" s="1"/>
  <c r="I13" i="17"/>
  <c r="M12" i="17"/>
  <c r="I12" i="17"/>
  <c r="K11" i="17"/>
  <c r="K35" i="17" s="1"/>
  <c r="M35" i="17" s="1"/>
  <c r="I11" i="17"/>
  <c r="M10" i="17"/>
  <c r="I10" i="17"/>
  <c r="M9" i="17"/>
  <c r="I9" i="17"/>
  <c r="M8" i="17"/>
  <c r="I8" i="17"/>
  <c r="M7" i="17"/>
  <c r="I7" i="17"/>
  <c r="M6" i="17"/>
  <c r="I6" i="17"/>
  <c r="M5" i="17"/>
  <c r="I5" i="17"/>
  <c r="M4" i="17"/>
  <c r="I4" i="17"/>
  <c r="I37" i="17" s="1"/>
  <c r="I237" i="1"/>
  <c r="I233" i="1"/>
  <c r="O233" i="1" s="1"/>
  <c r="I231" i="1"/>
  <c r="O231" i="1" s="1"/>
  <c r="I227" i="1"/>
  <c r="O227" i="1" s="1"/>
  <c r="I223" i="1"/>
  <c r="O223" i="1" s="1"/>
  <c r="I221" i="1"/>
  <c r="O221" i="1" s="1"/>
  <c r="I479" i="1"/>
  <c r="I478" i="1"/>
  <c r="I466" i="1"/>
  <c r="I454" i="1"/>
  <c r="I431" i="1"/>
  <c r="J16" i="18" l="1"/>
  <c r="J18" i="18" s="1"/>
  <c r="M37" i="17"/>
  <c r="M11" i="17"/>
  <c r="I417" i="1" l="1"/>
  <c r="I418" i="1"/>
  <c r="I419" i="1"/>
  <c r="I410" i="1"/>
  <c r="I411" i="1"/>
  <c r="I412" i="1"/>
  <c r="I413" i="1"/>
  <c r="I403" i="1"/>
  <c r="I404" i="1"/>
  <c r="AF63" i="9"/>
  <c r="G7" i="9"/>
  <c r="G5" i="9"/>
  <c r="G11" i="9" s="1"/>
  <c r="G20" i="9"/>
  <c r="G4" i="9"/>
  <c r="G10" i="9" s="1"/>
  <c r="G18" i="9" s="1"/>
  <c r="G19" i="9" s="1"/>
  <c r="AE14" i="9"/>
  <c r="AG14" i="9" s="1"/>
  <c r="AE18" i="9"/>
  <c r="AG18" i="9" s="1"/>
  <c r="AE22" i="9"/>
  <c r="AE28" i="9"/>
  <c r="AG28" i="9" s="1"/>
  <c r="AE31" i="9"/>
  <c r="AG31" i="9" s="1"/>
  <c r="AE34" i="9"/>
  <c r="AE39" i="9"/>
  <c r="AG39" i="9" s="1"/>
  <c r="AE45" i="9"/>
  <c r="AE47" i="9"/>
  <c r="AG47" i="9" s="1"/>
  <c r="AE53" i="9"/>
  <c r="AG53" i="9" s="1"/>
  <c r="AE57" i="9"/>
  <c r="AG57" i="9" s="1"/>
  <c r="AF64" i="9"/>
  <c r="AW10" i="9"/>
  <c r="AW9" i="9"/>
  <c r="AW8" i="9"/>
  <c r="AW7" i="9"/>
  <c r="AW6" i="9"/>
  <c r="AW5" i="9"/>
  <c r="AW4" i="9"/>
  <c r="AG13" i="9"/>
  <c r="AG59" i="9"/>
  <c r="AG58" i="9"/>
  <c r="AG56" i="9"/>
  <c r="AG55" i="9"/>
  <c r="AG54" i="9"/>
  <c r="AG52" i="9"/>
  <c r="AG51" i="9"/>
  <c r="AG50" i="9"/>
  <c r="AG49" i="9"/>
  <c r="AG48" i="9"/>
  <c r="AG46" i="9"/>
  <c r="AG44" i="9"/>
  <c r="AG43" i="9"/>
  <c r="AG42" i="9"/>
  <c r="AG41" i="9"/>
  <c r="AG40" i="9"/>
  <c r="AG38" i="9"/>
  <c r="AG37" i="9"/>
  <c r="AG36" i="9"/>
  <c r="AG35" i="9"/>
  <c r="AG34" i="9"/>
  <c r="AG33" i="9"/>
  <c r="AG32" i="9"/>
  <c r="AG30" i="9"/>
  <c r="AG29" i="9"/>
  <c r="AG27" i="9"/>
  <c r="AG26" i="9"/>
  <c r="AG25" i="9"/>
  <c r="AG24" i="9"/>
  <c r="AG23" i="9"/>
  <c r="AG22" i="9"/>
  <c r="AG21" i="9"/>
  <c r="AG20" i="9"/>
  <c r="AG19" i="9"/>
  <c r="AG17" i="9"/>
  <c r="AG16" i="9"/>
  <c r="AG15" i="9"/>
  <c r="AG12" i="9"/>
  <c r="AG11" i="9"/>
  <c r="AG10" i="9"/>
  <c r="AG9" i="9"/>
  <c r="AG8" i="9"/>
  <c r="AG7" i="9"/>
  <c r="AG6" i="9"/>
  <c r="AG5" i="9"/>
  <c r="AG4" i="9"/>
  <c r="AG45" i="9" l="1"/>
  <c r="R58" i="7" l="1"/>
  <c r="T57" i="7"/>
  <c r="U57" i="7" s="1"/>
  <c r="Q57" i="7"/>
  <c r="T56" i="7"/>
  <c r="U56" i="7" s="1"/>
  <c r="S56" i="7" s="1"/>
  <c r="U55" i="7"/>
  <c r="T55" i="7"/>
  <c r="S55" i="7" s="1"/>
  <c r="T54" i="7"/>
  <c r="U54" i="7" s="1"/>
  <c r="T53" i="7"/>
  <c r="U53" i="7" s="1"/>
  <c r="S53" i="7" s="1"/>
  <c r="T52" i="7"/>
  <c r="U52" i="7" s="1"/>
  <c r="S52" i="7" s="1"/>
  <c r="U51" i="7"/>
  <c r="T51" i="7"/>
  <c r="S51" i="7" s="1"/>
  <c r="T50" i="7"/>
  <c r="U50" i="7" s="1"/>
  <c r="U49" i="7"/>
  <c r="T49" i="7"/>
  <c r="S49" i="7"/>
  <c r="T48" i="7"/>
  <c r="U48" i="7" s="1"/>
  <c r="S48" i="7" s="1"/>
  <c r="U47" i="7"/>
  <c r="T47" i="7"/>
  <c r="S47" i="7" s="1"/>
  <c r="T46" i="7"/>
  <c r="U46" i="7" s="1"/>
  <c r="U45" i="7"/>
  <c r="T45" i="7"/>
  <c r="S45" i="7"/>
  <c r="T44" i="7"/>
  <c r="U44" i="7" s="1"/>
  <c r="S44" i="7" s="1"/>
  <c r="U43" i="7"/>
  <c r="T43" i="7"/>
  <c r="S43" i="7" s="1"/>
  <c r="T42" i="7"/>
  <c r="U42" i="7" s="1"/>
  <c r="U41" i="7"/>
  <c r="T41" i="7"/>
  <c r="S41" i="7"/>
  <c r="T40" i="7"/>
  <c r="U40" i="7" s="1"/>
  <c r="S40" i="7" s="1"/>
  <c r="U39" i="7"/>
  <c r="T39" i="7"/>
  <c r="S39" i="7" s="1"/>
  <c r="T38" i="7"/>
  <c r="U38" i="7" s="1"/>
  <c r="U37" i="7"/>
  <c r="T37" i="7"/>
  <c r="S37" i="7"/>
  <c r="T36" i="7"/>
  <c r="U36" i="7" s="1"/>
  <c r="S36" i="7" s="1"/>
  <c r="U35" i="7"/>
  <c r="R27" i="7"/>
  <c r="U26" i="7"/>
  <c r="T26" i="7"/>
  <c r="S26" i="7"/>
  <c r="Q26" i="7"/>
  <c r="P26" i="7"/>
  <c r="U25" i="7"/>
  <c r="T25" i="7"/>
  <c r="S25" i="7" s="1"/>
  <c r="P25" i="7"/>
  <c r="T24" i="7"/>
  <c r="U24" i="7" s="1"/>
  <c r="P24" i="7"/>
  <c r="T23" i="7"/>
  <c r="U23" i="7" s="1"/>
  <c r="S23" i="7" s="1"/>
  <c r="P23" i="7"/>
  <c r="U22" i="7"/>
  <c r="T22" i="7"/>
  <c r="S22" i="7" s="1"/>
  <c r="P22" i="7"/>
  <c r="T21" i="7"/>
  <c r="U21" i="7" s="1"/>
  <c r="P21" i="7"/>
  <c r="T20" i="7"/>
  <c r="U20" i="7" s="1"/>
  <c r="S20" i="7" s="1"/>
  <c r="P20" i="7"/>
  <c r="U19" i="7"/>
  <c r="T19" i="7"/>
  <c r="S19" i="7" s="1"/>
  <c r="P19" i="7"/>
  <c r="T18" i="7"/>
  <c r="U18" i="7" s="1"/>
  <c r="P18" i="7"/>
  <c r="T17" i="7"/>
  <c r="U17" i="7" s="1"/>
  <c r="S17" i="7" s="1"/>
  <c r="P17" i="7"/>
  <c r="U16" i="7"/>
  <c r="T16" i="7"/>
  <c r="S16" i="7" s="1"/>
  <c r="P16" i="7"/>
  <c r="T15" i="7"/>
  <c r="U15" i="7" s="1"/>
  <c r="P15" i="7"/>
  <c r="T14" i="7"/>
  <c r="U14" i="7" s="1"/>
  <c r="S14" i="7" s="1"/>
  <c r="P14" i="7"/>
  <c r="U13" i="7"/>
  <c r="T13" i="7"/>
  <c r="S13" i="7" s="1"/>
  <c r="P13" i="7"/>
  <c r="T12" i="7"/>
  <c r="U12" i="7" s="1"/>
  <c r="P12" i="7"/>
  <c r="T11" i="7"/>
  <c r="U11" i="7" s="1"/>
  <c r="S11" i="7" s="1"/>
  <c r="P11" i="7"/>
  <c r="U10" i="7"/>
  <c r="T10" i="7"/>
  <c r="S10" i="7" s="1"/>
  <c r="P10" i="7"/>
  <c r="T9" i="7"/>
  <c r="U9" i="7" s="1"/>
  <c r="P9" i="7"/>
  <c r="T8" i="7"/>
  <c r="U8" i="7" s="1"/>
  <c r="S8" i="7" s="1"/>
  <c r="P8" i="7"/>
  <c r="U7" i="7"/>
  <c r="T7" i="7"/>
  <c r="S7" i="7" s="1"/>
  <c r="P7" i="7"/>
  <c r="T6" i="7"/>
  <c r="U6" i="7" s="1"/>
  <c r="P6" i="7"/>
  <c r="S5" i="7"/>
  <c r="P5" i="7"/>
  <c r="T4" i="7"/>
  <c r="T27" i="7" s="1"/>
  <c r="P4" i="7"/>
  <c r="U58" i="7" l="1"/>
  <c r="S57" i="7"/>
  <c r="U4" i="7"/>
  <c r="S6" i="7"/>
  <c r="S9" i="7"/>
  <c r="S12" i="7"/>
  <c r="S15" i="7"/>
  <c r="S18" i="7"/>
  <c r="S21" i="7"/>
  <c r="S24" i="7"/>
  <c r="S38" i="7"/>
  <c r="S42" i="7"/>
  <c r="S46" i="7"/>
  <c r="S50" i="7"/>
  <c r="S54" i="7"/>
  <c r="T58" i="7"/>
  <c r="S35" i="7"/>
  <c r="U27" i="7" l="1"/>
  <c r="S4" i="7"/>
  <c r="S27" i="7" s="1"/>
  <c r="S58" i="7"/>
  <c r="I22" i="9"/>
  <c r="I21" i="9"/>
  <c r="I20" i="9"/>
  <c r="I19" i="9"/>
  <c r="I18" i="9"/>
  <c r="I16" i="9"/>
  <c r="I15" i="9"/>
  <c r="I14" i="9"/>
  <c r="I13" i="9"/>
  <c r="I12" i="9"/>
  <c r="I11" i="9"/>
  <c r="I10" i="9"/>
  <c r="I5" i="9"/>
  <c r="I6" i="9"/>
  <c r="I7" i="9"/>
  <c r="I4" i="9"/>
  <c r="I55" i="15"/>
  <c r="I24" i="9" l="1"/>
  <c r="I387" i="1" l="1"/>
  <c r="I388" i="1"/>
  <c r="I389" i="1"/>
  <c r="I390" i="1"/>
  <c r="I391" i="1"/>
  <c r="I392" i="1"/>
  <c r="I393" i="1"/>
  <c r="I394" i="1"/>
  <c r="I378" i="1"/>
  <c r="I379" i="1"/>
  <c r="I380" i="1"/>
  <c r="I381" i="1"/>
  <c r="I382" i="1"/>
  <c r="I383" i="1"/>
  <c r="I384" i="1"/>
  <c r="I385" i="1"/>
  <c r="I386" i="1"/>
  <c r="I371" i="1"/>
  <c r="I372" i="1"/>
  <c r="I373" i="1"/>
  <c r="I374" i="1"/>
  <c r="I375" i="1"/>
  <c r="I376" i="1"/>
  <c r="I377" i="1"/>
  <c r="I370" i="1"/>
  <c r="I31" i="14"/>
  <c r="I21" i="14"/>
  <c r="I22" i="14"/>
  <c r="I23" i="14"/>
  <c r="I24" i="14"/>
  <c r="I25" i="14"/>
  <c r="I26" i="14"/>
  <c r="I27" i="14"/>
  <c r="I28" i="14"/>
  <c r="I29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5" i="14"/>
  <c r="F4" i="14"/>
  <c r="I353" i="1" l="1"/>
  <c r="I354" i="1"/>
  <c r="I355" i="1"/>
  <c r="I357" i="1"/>
  <c r="I359" i="1"/>
  <c r="I361" i="1"/>
  <c r="G5" i="7"/>
  <c r="G9" i="7" s="1"/>
  <c r="I9" i="7" s="1"/>
  <c r="G11" i="7"/>
  <c r="I358" i="1" s="1"/>
  <c r="I10" i="7"/>
  <c r="G10" i="7"/>
  <c r="I352" i="1" l="1"/>
  <c r="I356" i="1"/>
  <c r="G13" i="7"/>
  <c r="I360" i="1" s="1"/>
  <c r="I14" i="7" l="1"/>
  <c r="I13" i="7"/>
  <c r="I12" i="7"/>
  <c r="I11" i="7"/>
  <c r="I7" i="7"/>
  <c r="I5" i="7"/>
  <c r="I336" i="1"/>
  <c r="I337" i="1"/>
  <c r="I338" i="1"/>
  <c r="I340" i="1"/>
  <c r="I341" i="1"/>
  <c r="I342" i="1"/>
  <c r="I334" i="1"/>
  <c r="J38" i="11"/>
  <c r="J41" i="11" s="1"/>
  <c r="I326" i="1"/>
  <c r="G38" i="11"/>
  <c r="G40" i="11" s="1"/>
  <c r="G9" i="11" s="1"/>
  <c r="I9" i="11" s="1"/>
  <c r="I324" i="1"/>
  <c r="I21" i="11"/>
  <c r="I23" i="11"/>
  <c r="I24" i="11"/>
  <c r="I7" i="11"/>
  <c r="I10" i="11"/>
  <c r="I15" i="11"/>
  <c r="I17" i="11"/>
  <c r="I18" i="11"/>
  <c r="I19" i="11"/>
  <c r="I5" i="11"/>
  <c r="I7" i="16"/>
  <c r="I6" i="16"/>
  <c r="I8" i="16" s="1"/>
  <c r="I5" i="16"/>
  <c r="I314" i="1"/>
  <c r="I315" i="1"/>
  <c r="I313" i="1"/>
  <c r="G16" i="16"/>
  <c r="I16" i="7" l="1"/>
  <c r="J44" i="11" l="1"/>
  <c r="G13" i="11" s="1"/>
  <c r="I13" i="11" s="1"/>
  <c r="I27" i="11" s="1"/>
  <c r="I198" i="1"/>
  <c r="G47" i="15"/>
  <c r="I47" i="15" s="1"/>
  <c r="G46" i="15"/>
  <c r="I192" i="1" s="1"/>
  <c r="G43" i="15"/>
  <c r="I43" i="15" s="1"/>
  <c r="G38" i="15"/>
  <c r="I196" i="1"/>
  <c r="I197" i="1"/>
  <c r="I199" i="1"/>
  <c r="I180" i="1"/>
  <c r="I181" i="1"/>
  <c r="I182" i="1"/>
  <c r="I184" i="1"/>
  <c r="I185" i="1"/>
  <c r="I186" i="1"/>
  <c r="I187" i="1"/>
  <c r="I188" i="1"/>
  <c r="I190" i="1"/>
  <c r="I191" i="1"/>
  <c r="I195" i="1"/>
  <c r="I175" i="1"/>
  <c r="I176" i="1"/>
  <c r="I177" i="1"/>
  <c r="I178" i="1"/>
  <c r="I179" i="1"/>
  <c r="G40" i="15"/>
  <c r="I40" i="15" s="1"/>
  <c r="I38" i="15"/>
  <c r="G36" i="15"/>
  <c r="I36" i="15" s="1"/>
  <c r="I172" i="1"/>
  <c r="I173" i="1"/>
  <c r="I170" i="1"/>
  <c r="I171" i="1"/>
  <c r="I169" i="1"/>
  <c r="G25" i="15"/>
  <c r="M29" i="15"/>
  <c r="M30" i="15"/>
  <c r="M31" i="15"/>
  <c r="M32" i="15"/>
  <c r="M33" i="15"/>
  <c r="M34" i="15"/>
  <c r="M28" i="15"/>
  <c r="I26" i="15"/>
  <c r="I165" i="1"/>
  <c r="I53" i="15"/>
  <c r="I52" i="15"/>
  <c r="I51" i="15"/>
  <c r="I50" i="15"/>
  <c r="I49" i="15"/>
  <c r="I48" i="15"/>
  <c r="I45" i="15"/>
  <c r="I44" i="15"/>
  <c r="I42" i="15"/>
  <c r="I41" i="15"/>
  <c r="I39" i="15"/>
  <c r="I37" i="15"/>
  <c r="I35" i="15"/>
  <c r="I34" i="15"/>
  <c r="I33" i="15"/>
  <c r="I32" i="15"/>
  <c r="I31" i="15"/>
  <c r="I30" i="15"/>
  <c r="I29" i="15"/>
  <c r="I28" i="15"/>
  <c r="I27" i="15"/>
  <c r="I24" i="15"/>
  <c r="I23" i="15"/>
  <c r="I68" i="15"/>
  <c r="G18" i="15" s="1"/>
  <c r="I163" i="1" s="1"/>
  <c r="I46" i="15" l="1"/>
  <c r="I193" i="1"/>
  <c r="I189" i="1"/>
  <c r="I25" i="15"/>
  <c r="I159" i="1"/>
  <c r="G14" i="15"/>
  <c r="I14" i="15" s="1"/>
  <c r="I20" i="15"/>
  <c r="I18" i="15"/>
  <c r="I16" i="15"/>
  <c r="I12" i="15"/>
  <c r="I7" i="15"/>
  <c r="I5" i="15"/>
  <c r="F66" i="15"/>
  <c r="F68" i="15" s="1"/>
  <c r="F71" i="15" s="1"/>
  <c r="F73" i="15" s="1"/>
  <c r="F74" i="15" s="1"/>
  <c r="F75" i="15" s="1"/>
  <c r="I140" i="1"/>
  <c r="O140" i="1" s="1"/>
  <c r="I139" i="1"/>
  <c r="O139" i="1" s="1"/>
  <c r="I129" i="1"/>
  <c r="O129" i="1" s="1"/>
  <c r="I209" i="1"/>
  <c r="O209" i="1" s="1"/>
  <c r="I206" i="1"/>
  <c r="O206" i="1" s="1"/>
  <c r="I204" i="1"/>
  <c r="O204" i="1" s="1"/>
  <c r="I5" i="12"/>
  <c r="G10" i="12"/>
  <c r="G7" i="12"/>
  <c r="I7" i="12" s="1"/>
  <c r="G16" i="12"/>
  <c r="G18" i="12" s="1"/>
  <c r="G19" i="12"/>
  <c r="I10" i="12"/>
  <c r="I12" i="12" l="1"/>
  <c r="I14" i="12" s="1"/>
  <c r="G24" i="12"/>
  <c r="G20" i="12"/>
  <c r="G22" i="12" s="1"/>
  <c r="I28" i="1"/>
  <c r="O28" i="1" s="1"/>
  <c r="I30" i="1"/>
  <c r="O30" i="1" s="1"/>
  <c r="I31" i="1" l="1"/>
  <c r="O31" i="1" s="1"/>
  <c r="I29" i="1"/>
  <c r="O29" i="1" s="1"/>
  <c r="G369" i="1"/>
  <c r="P420" i="1" l="1"/>
  <c r="O306" i="1"/>
  <c r="O305" i="1"/>
  <c r="O304" i="1"/>
  <c r="P74" i="1"/>
  <c r="R9" i="1" l="1"/>
  <c r="R10" i="1"/>
  <c r="R15" i="1"/>
  <c r="R20" i="1"/>
  <c r="R22" i="1"/>
  <c r="R26" i="1"/>
  <c r="R32" i="1"/>
  <c r="R41" i="1"/>
  <c r="R47" i="1"/>
  <c r="R52" i="1"/>
  <c r="R56" i="1"/>
  <c r="R57" i="1"/>
  <c r="R7" i="1"/>
  <c r="O417" i="1"/>
  <c r="O408" i="1"/>
  <c r="O401" i="1"/>
  <c r="O358" i="1"/>
  <c r="K100" i="1"/>
  <c r="N482" i="1"/>
  <c r="P481" i="1"/>
  <c r="O481" i="1"/>
  <c r="N481" i="1"/>
  <c r="K481" i="1"/>
  <c r="P480" i="1"/>
  <c r="O480" i="1"/>
  <c r="N480" i="1"/>
  <c r="K480" i="1"/>
  <c r="O479" i="1"/>
  <c r="N479" i="1"/>
  <c r="K479" i="1"/>
  <c r="O478" i="1"/>
  <c r="N478" i="1"/>
  <c r="K478" i="1"/>
  <c r="O477" i="1"/>
  <c r="N477" i="1"/>
  <c r="K477" i="1"/>
  <c r="O476" i="1"/>
  <c r="N476" i="1"/>
  <c r="P476" i="1" s="1"/>
  <c r="K476" i="1"/>
  <c r="O475" i="1"/>
  <c r="N475" i="1"/>
  <c r="K475" i="1"/>
  <c r="O474" i="1"/>
  <c r="N474" i="1"/>
  <c r="K474" i="1"/>
  <c r="P473" i="1"/>
  <c r="O473" i="1"/>
  <c r="N473" i="1"/>
  <c r="P472" i="1"/>
  <c r="O472" i="1"/>
  <c r="N472" i="1"/>
  <c r="O471" i="1"/>
  <c r="N471" i="1"/>
  <c r="K471" i="1"/>
  <c r="O470" i="1"/>
  <c r="N470" i="1"/>
  <c r="K470" i="1"/>
  <c r="O469" i="1"/>
  <c r="N469" i="1"/>
  <c r="K469" i="1"/>
  <c r="O468" i="1"/>
  <c r="N468" i="1"/>
  <c r="K468" i="1"/>
  <c r="P467" i="1"/>
  <c r="O467" i="1"/>
  <c r="N467" i="1"/>
  <c r="O466" i="1"/>
  <c r="N466" i="1"/>
  <c r="K466" i="1"/>
  <c r="O465" i="1"/>
  <c r="N465" i="1"/>
  <c r="K465" i="1"/>
  <c r="O464" i="1"/>
  <c r="N464" i="1"/>
  <c r="P464" i="1" s="1"/>
  <c r="K464" i="1"/>
  <c r="P463" i="1"/>
  <c r="O463" i="1"/>
  <c r="N463" i="1"/>
  <c r="O462" i="1"/>
  <c r="N462" i="1"/>
  <c r="K462" i="1"/>
  <c r="O461" i="1"/>
  <c r="N461" i="1"/>
  <c r="K461" i="1"/>
  <c r="O460" i="1"/>
  <c r="N460" i="1"/>
  <c r="K460" i="1"/>
  <c r="O459" i="1"/>
  <c r="N459" i="1"/>
  <c r="K459" i="1"/>
  <c r="O458" i="1"/>
  <c r="N458" i="1"/>
  <c r="K458" i="1"/>
  <c r="P457" i="1"/>
  <c r="O457" i="1"/>
  <c r="N457" i="1"/>
  <c r="P456" i="1"/>
  <c r="O456" i="1"/>
  <c r="N456" i="1"/>
  <c r="N455" i="1"/>
  <c r="K455" i="1"/>
  <c r="O454" i="1"/>
  <c r="I455" i="1" s="1"/>
  <c r="N454" i="1"/>
  <c r="K454" i="1"/>
  <c r="P453" i="1"/>
  <c r="O453" i="1"/>
  <c r="N453" i="1"/>
  <c r="O452" i="1"/>
  <c r="N452" i="1"/>
  <c r="K452" i="1"/>
  <c r="P451" i="1"/>
  <c r="P450" i="1"/>
  <c r="P449" i="1"/>
  <c r="O445" i="1"/>
  <c r="N445" i="1"/>
  <c r="O444" i="1"/>
  <c r="N444" i="1"/>
  <c r="O442" i="1"/>
  <c r="P442" i="1" s="1"/>
  <c r="P448" i="1" s="1"/>
  <c r="N442" i="1"/>
  <c r="O441" i="1"/>
  <c r="P441" i="1" s="1"/>
  <c r="N441" i="1"/>
  <c r="O440" i="1"/>
  <c r="N440" i="1"/>
  <c r="P438" i="1"/>
  <c r="P437" i="1"/>
  <c r="P436" i="1"/>
  <c r="P434" i="1"/>
  <c r="O433" i="1"/>
  <c r="N433" i="1"/>
  <c r="K433" i="1"/>
  <c r="O432" i="1"/>
  <c r="N432" i="1"/>
  <c r="K432" i="1"/>
  <c r="O431" i="1"/>
  <c r="N431" i="1"/>
  <c r="K431" i="1"/>
  <c r="P430" i="1"/>
  <c r="P429" i="1"/>
  <c r="P428" i="1"/>
  <c r="P427" i="1"/>
  <c r="O425" i="1"/>
  <c r="O426" i="1" s="1"/>
  <c r="D20" i="2" s="1"/>
  <c r="N425" i="1"/>
  <c r="K425" i="1"/>
  <c r="P424" i="1"/>
  <c r="P423" i="1"/>
  <c r="P422" i="1"/>
  <c r="P419" i="1"/>
  <c r="O419" i="1"/>
  <c r="N419" i="1"/>
  <c r="K419" i="1"/>
  <c r="O418" i="1"/>
  <c r="N418" i="1"/>
  <c r="K418" i="1"/>
  <c r="N417" i="1"/>
  <c r="K417" i="1"/>
  <c r="N416" i="1"/>
  <c r="K416" i="1"/>
  <c r="N415" i="1"/>
  <c r="K415" i="1"/>
  <c r="P414" i="1"/>
  <c r="O414" i="1"/>
  <c r="N414" i="1"/>
  <c r="P413" i="1"/>
  <c r="N413" i="1"/>
  <c r="P412" i="1"/>
  <c r="N412" i="1"/>
  <c r="P411" i="1"/>
  <c r="N411" i="1"/>
  <c r="P410" i="1"/>
  <c r="N410" i="1"/>
  <c r="P409" i="1"/>
  <c r="O409" i="1"/>
  <c r="N409" i="1"/>
  <c r="N408" i="1"/>
  <c r="K408" i="1"/>
  <c r="N407" i="1"/>
  <c r="K407" i="1"/>
  <c r="P406" i="1"/>
  <c r="O406" i="1"/>
  <c r="N406" i="1"/>
  <c r="P405" i="1"/>
  <c r="O405" i="1"/>
  <c r="N405" i="1"/>
  <c r="O404" i="1"/>
  <c r="N404" i="1"/>
  <c r="K404" i="1"/>
  <c r="O403" i="1"/>
  <c r="N403" i="1"/>
  <c r="K403" i="1"/>
  <c r="O402" i="1"/>
  <c r="N402" i="1"/>
  <c r="K402" i="1"/>
  <c r="N401" i="1"/>
  <c r="K401" i="1"/>
  <c r="P400" i="1"/>
  <c r="P399" i="1"/>
  <c r="P398" i="1"/>
  <c r="N395" i="1"/>
  <c r="O394" i="1"/>
  <c r="N394" i="1"/>
  <c r="K394" i="1"/>
  <c r="O393" i="1"/>
  <c r="N393" i="1"/>
  <c r="K393" i="1"/>
  <c r="O392" i="1"/>
  <c r="N392" i="1"/>
  <c r="K392" i="1"/>
  <c r="O391" i="1"/>
  <c r="N391" i="1"/>
  <c r="K391" i="1"/>
  <c r="P390" i="1"/>
  <c r="O390" i="1"/>
  <c r="N390" i="1"/>
  <c r="O389" i="1"/>
  <c r="N389" i="1"/>
  <c r="K389" i="1"/>
  <c r="O388" i="1"/>
  <c r="N388" i="1"/>
  <c r="K388" i="1"/>
  <c r="P387" i="1"/>
  <c r="O387" i="1"/>
  <c r="N387" i="1"/>
  <c r="O386" i="1"/>
  <c r="N386" i="1"/>
  <c r="K386" i="1"/>
  <c r="O385" i="1"/>
  <c r="N385" i="1"/>
  <c r="K385" i="1"/>
  <c r="P384" i="1"/>
  <c r="O384" i="1"/>
  <c r="N384" i="1"/>
  <c r="O383" i="1"/>
  <c r="N383" i="1"/>
  <c r="K383" i="1"/>
  <c r="P382" i="1"/>
  <c r="O382" i="1"/>
  <c r="N382" i="1"/>
  <c r="O381" i="1"/>
  <c r="N381" i="1"/>
  <c r="K381" i="1"/>
  <c r="P380" i="1"/>
  <c r="O380" i="1"/>
  <c r="N380" i="1"/>
  <c r="P379" i="1"/>
  <c r="O379" i="1"/>
  <c r="N379" i="1"/>
  <c r="O378" i="1"/>
  <c r="N378" i="1"/>
  <c r="K378" i="1"/>
  <c r="O377" i="1"/>
  <c r="N377" i="1"/>
  <c r="K377" i="1"/>
  <c r="N376" i="1"/>
  <c r="O375" i="1"/>
  <c r="N375" i="1"/>
  <c r="K375" i="1"/>
  <c r="P374" i="1"/>
  <c r="O374" i="1"/>
  <c r="N374" i="1"/>
  <c r="O373" i="1"/>
  <c r="N373" i="1"/>
  <c r="K373" i="1"/>
  <c r="O372" i="1"/>
  <c r="N372" i="1"/>
  <c r="K372" i="1"/>
  <c r="O371" i="1"/>
  <c r="N371" i="1"/>
  <c r="K371" i="1"/>
  <c r="O370" i="1"/>
  <c r="N370" i="1"/>
  <c r="K370" i="1"/>
  <c r="P369" i="1"/>
  <c r="P368" i="1"/>
  <c r="P367" i="1"/>
  <c r="P366" i="1"/>
  <c r="O361" i="1"/>
  <c r="N361" i="1"/>
  <c r="P361" i="1" s="1"/>
  <c r="K361" i="1"/>
  <c r="O360" i="1"/>
  <c r="N360" i="1"/>
  <c r="K360" i="1"/>
  <c r="P359" i="1"/>
  <c r="O359" i="1"/>
  <c r="N359" i="1"/>
  <c r="N358" i="1"/>
  <c r="K358" i="1"/>
  <c r="O357" i="1"/>
  <c r="N357" i="1"/>
  <c r="K357" i="1"/>
  <c r="N356" i="1"/>
  <c r="K356" i="1"/>
  <c r="P355" i="1"/>
  <c r="O355" i="1"/>
  <c r="N355" i="1"/>
  <c r="O354" i="1"/>
  <c r="N354" i="1"/>
  <c r="K354" i="1"/>
  <c r="P353" i="1"/>
  <c r="O353" i="1"/>
  <c r="N353" i="1"/>
  <c r="N352" i="1"/>
  <c r="K352" i="1"/>
  <c r="P350" i="1"/>
  <c r="P349" i="1"/>
  <c r="P348" i="1"/>
  <c r="O343" i="1"/>
  <c r="N343" i="1"/>
  <c r="K343" i="1"/>
  <c r="O342" i="1"/>
  <c r="N342" i="1"/>
  <c r="K342" i="1"/>
  <c r="P341" i="1"/>
  <c r="O341" i="1"/>
  <c r="N341" i="1"/>
  <c r="O340" i="1"/>
  <c r="N340" i="1"/>
  <c r="K340" i="1"/>
  <c r="P339" i="1"/>
  <c r="O339" i="1"/>
  <c r="N339" i="1"/>
  <c r="P338" i="1"/>
  <c r="N338" i="1"/>
  <c r="P337" i="1"/>
  <c r="N337" i="1"/>
  <c r="P336" i="1"/>
  <c r="N336" i="1"/>
  <c r="P335" i="1"/>
  <c r="O335" i="1"/>
  <c r="N335" i="1"/>
  <c r="O334" i="1"/>
  <c r="N334" i="1"/>
  <c r="K334" i="1"/>
  <c r="P333" i="1"/>
  <c r="O333" i="1"/>
  <c r="N333" i="1"/>
  <c r="K332" i="1"/>
  <c r="P331" i="1"/>
  <c r="O331" i="1"/>
  <c r="N331" i="1"/>
  <c r="P330" i="1"/>
  <c r="O330" i="1"/>
  <c r="N330" i="1"/>
  <c r="O329" i="1"/>
  <c r="N329" i="1"/>
  <c r="K329" i="1"/>
  <c r="O328" i="1"/>
  <c r="N328" i="1"/>
  <c r="K328" i="1"/>
  <c r="P327" i="1"/>
  <c r="O327" i="1"/>
  <c r="N327" i="1"/>
  <c r="O326" i="1"/>
  <c r="N326" i="1"/>
  <c r="K326" i="1"/>
  <c r="O324" i="1"/>
  <c r="N324" i="1"/>
  <c r="K324" i="1"/>
  <c r="P323" i="1"/>
  <c r="P322" i="1"/>
  <c r="P321" i="1"/>
  <c r="P320" i="1"/>
  <c r="P318" i="1"/>
  <c r="O318" i="1"/>
  <c r="N318" i="1"/>
  <c r="O315" i="1"/>
  <c r="N315" i="1"/>
  <c r="K315" i="1"/>
  <c r="O314" i="1"/>
  <c r="N314" i="1"/>
  <c r="K314" i="1"/>
  <c r="O313" i="1"/>
  <c r="N313" i="1"/>
  <c r="K313" i="1"/>
  <c r="P312" i="1"/>
  <c r="P310" i="1"/>
  <c r="P309" i="1"/>
  <c r="N306" i="1"/>
  <c r="P306" i="1" s="1"/>
  <c r="Q306" i="1" s="1"/>
  <c r="K306" i="1"/>
  <c r="N305" i="1"/>
  <c r="P305" i="1" s="1"/>
  <c r="Q305" i="1" s="1"/>
  <c r="K305" i="1"/>
  <c r="N304" i="1"/>
  <c r="P304" i="1" s="1"/>
  <c r="K304" i="1"/>
  <c r="P303" i="1"/>
  <c r="N303" i="1"/>
  <c r="P302" i="1"/>
  <c r="N302" i="1"/>
  <c r="O301" i="1"/>
  <c r="N301" i="1"/>
  <c r="K301" i="1"/>
  <c r="O300" i="1"/>
  <c r="N300" i="1"/>
  <c r="K300" i="1"/>
  <c r="O299" i="1"/>
  <c r="N299" i="1"/>
  <c r="K299" i="1"/>
  <c r="O298" i="1"/>
  <c r="N298" i="1"/>
  <c r="K298" i="1"/>
  <c r="P297" i="1"/>
  <c r="N297" i="1"/>
  <c r="O296" i="1"/>
  <c r="N296" i="1"/>
  <c r="K296" i="1"/>
  <c r="O295" i="1"/>
  <c r="N295" i="1"/>
  <c r="K295" i="1"/>
  <c r="O294" i="1"/>
  <c r="N294" i="1"/>
  <c r="K294" i="1"/>
  <c r="P293" i="1"/>
  <c r="N293" i="1"/>
  <c r="P292" i="1"/>
  <c r="N292" i="1"/>
  <c r="O291" i="1"/>
  <c r="N291" i="1"/>
  <c r="K291" i="1"/>
  <c r="N290" i="1"/>
  <c r="O289" i="1"/>
  <c r="N289" i="1"/>
  <c r="K289" i="1"/>
  <c r="P288" i="1"/>
  <c r="P287" i="1"/>
  <c r="P286" i="1"/>
  <c r="P285" i="1"/>
  <c r="P283" i="1"/>
  <c r="O283" i="1"/>
  <c r="N283" i="1"/>
  <c r="O282" i="1"/>
  <c r="N282" i="1"/>
  <c r="K282" i="1"/>
  <c r="P281" i="1"/>
  <c r="O281" i="1"/>
  <c r="N281" i="1"/>
  <c r="O280" i="1"/>
  <c r="N280" i="1"/>
  <c r="K280" i="1"/>
  <c r="O279" i="1"/>
  <c r="N279" i="1"/>
  <c r="K279" i="1"/>
  <c r="O278" i="1"/>
  <c r="N278" i="1"/>
  <c r="K278" i="1"/>
  <c r="P277" i="1"/>
  <c r="P276" i="1"/>
  <c r="P275" i="1"/>
  <c r="P274" i="1"/>
  <c r="P272" i="1"/>
  <c r="O272" i="1"/>
  <c r="N272" i="1"/>
  <c r="P271" i="1"/>
  <c r="O271" i="1"/>
  <c r="N271" i="1"/>
  <c r="P270" i="1"/>
  <c r="O269" i="1"/>
  <c r="N269" i="1"/>
  <c r="K269" i="1"/>
  <c r="O268" i="1"/>
  <c r="N268" i="1"/>
  <c r="K268" i="1"/>
  <c r="P267" i="1"/>
  <c r="P264" i="1"/>
  <c r="P263" i="1"/>
  <c r="P261" i="1"/>
  <c r="N261" i="1"/>
  <c r="O258" i="1"/>
  <c r="N258" i="1"/>
  <c r="K258" i="1"/>
  <c r="O256" i="1"/>
  <c r="N256" i="1"/>
  <c r="K256" i="1"/>
  <c r="O255" i="1"/>
  <c r="N255" i="1"/>
  <c r="K255" i="1"/>
  <c r="O254" i="1"/>
  <c r="N254" i="1"/>
  <c r="K254" i="1"/>
  <c r="P253" i="1"/>
  <c r="O252" i="1"/>
  <c r="N252" i="1"/>
  <c r="K252" i="1"/>
  <c r="O251" i="1"/>
  <c r="N251" i="1"/>
  <c r="K251" i="1"/>
  <c r="P250" i="1"/>
  <c r="P248" i="1"/>
  <c r="N245" i="1"/>
  <c r="K245" i="1"/>
  <c r="O244" i="1"/>
  <c r="O243" i="1"/>
  <c r="N243" i="1"/>
  <c r="K243" i="1"/>
  <c r="O242" i="1"/>
  <c r="N242" i="1"/>
  <c r="K242" i="1"/>
  <c r="O241" i="1"/>
  <c r="N241" i="1"/>
  <c r="K241" i="1"/>
  <c r="O240" i="1"/>
  <c r="O239" i="1"/>
  <c r="N239" i="1"/>
  <c r="K239" i="1"/>
  <c r="O238" i="1"/>
  <c r="O237" i="1"/>
  <c r="N237" i="1"/>
  <c r="P237" i="1" s="1"/>
  <c r="K237" i="1"/>
  <c r="O236" i="1"/>
  <c r="N235" i="1"/>
  <c r="K235" i="1"/>
  <c r="O234" i="1"/>
  <c r="N233" i="1"/>
  <c r="K233" i="1"/>
  <c r="O232" i="1"/>
  <c r="N231" i="1"/>
  <c r="P231" i="1" s="1"/>
  <c r="K231" i="1"/>
  <c r="O230" i="1"/>
  <c r="N230" i="1"/>
  <c r="N229" i="1"/>
  <c r="K229" i="1"/>
  <c r="O228" i="1"/>
  <c r="N228" i="1"/>
  <c r="N227" i="1"/>
  <c r="K227" i="1"/>
  <c r="O226" i="1"/>
  <c r="N226" i="1"/>
  <c r="O225" i="1"/>
  <c r="N225" i="1"/>
  <c r="O224" i="1"/>
  <c r="N224" i="1"/>
  <c r="N223" i="1"/>
  <c r="P223" i="1" s="1"/>
  <c r="K223" i="1"/>
  <c r="N222" i="1"/>
  <c r="P222" i="1" s="1"/>
  <c r="K222" i="1"/>
  <c r="N221" i="1"/>
  <c r="P221" i="1" s="1"/>
  <c r="K221" i="1"/>
  <c r="P220" i="1"/>
  <c r="O220" i="1"/>
  <c r="N220" i="1"/>
  <c r="P219" i="1"/>
  <c r="O219" i="1"/>
  <c r="N219" i="1"/>
  <c r="O218" i="1"/>
  <c r="N218" i="1"/>
  <c r="N217" i="1"/>
  <c r="K217" i="1"/>
  <c r="P216" i="1"/>
  <c r="O216" i="1"/>
  <c r="N216" i="1"/>
  <c r="O215" i="1"/>
  <c r="N215" i="1"/>
  <c r="N214" i="1"/>
  <c r="K214" i="1"/>
  <c r="P213" i="1"/>
  <c r="P212" i="1"/>
  <c r="P211" i="1"/>
  <c r="N209" i="1"/>
  <c r="K209" i="1"/>
  <c r="P207" i="1"/>
  <c r="N206" i="1"/>
  <c r="K206" i="1"/>
  <c r="P205" i="1"/>
  <c r="N204" i="1"/>
  <c r="K204" i="1"/>
  <c r="P203" i="1"/>
  <c r="P202" i="1"/>
  <c r="P201" i="1"/>
  <c r="K199" i="1"/>
  <c r="P197" i="1"/>
  <c r="P194" i="1"/>
  <c r="J190" i="1"/>
  <c r="P183" i="1"/>
  <c r="O183" i="1"/>
  <c r="N183" i="1"/>
  <c r="P181" i="1"/>
  <c r="O181" i="1"/>
  <c r="N181" i="1"/>
  <c r="P180" i="1"/>
  <c r="O180" i="1"/>
  <c r="N180" i="1"/>
  <c r="P174" i="1"/>
  <c r="O174" i="1"/>
  <c r="N174" i="1"/>
  <c r="P168" i="1"/>
  <c r="P167" i="1"/>
  <c r="K165" i="1"/>
  <c r="K161" i="1"/>
  <c r="K159" i="1"/>
  <c r="K157" i="1"/>
  <c r="P155" i="1"/>
  <c r="P154" i="1"/>
  <c r="K150" i="1"/>
  <c r="P149" i="1"/>
  <c r="O149" i="1"/>
  <c r="N149" i="1"/>
  <c r="P148" i="1"/>
  <c r="P147" i="1"/>
  <c r="P146" i="1"/>
  <c r="N144" i="1"/>
  <c r="P142" i="1"/>
  <c r="O142" i="1"/>
  <c r="N142" i="1"/>
  <c r="O141" i="1"/>
  <c r="N141" i="1"/>
  <c r="N140" i="1"/>
  <c r="K140" i="1"/>
  <c r="N139" i="1"/>
  <c r="K139" i="1"/>
  <c r="P138" i="1"/>
  <c r="O138" i="1"/>
  <c r="N138" i="1"/>
  <c r="O137" i="1"/>
  <c r="N137" i="1"/>
  <c r="N136" i="1"/>
  <c r="N135" i="1"/>
  <c r="P135" i="1" s="1"/>
  <c r="P134" i="1"/>
  <c r="O134" i="1"/>
  <c r="N134" i="1"/>
  <c r="O133" i="1"/>
  <c r="N133" i="1"/>
  <c r="N132" i="1"/>
  <c r="K132" i="1"/>
  <c r="N131" i="1"/>
  <c r="K131" i="1"/>
  <c r="N130" i="1"/>
  <c r="K130" i="1"/>
  <c r="I130" i="1"/>
  <c r="O130" i="1" s="1"/>
  <c r="N129" i="1"/>
  <c r="K129" i="1"/>
  <c r="N128" i="1"/>
  <c r="K128" i="1"/>
  <c r="N127" i="1"/>
  <c r="P126" i="1"/>
  <c r="O126" i="1"/>
  <c r="N126" i="1"/>
  <c r="P125" i="1"/>
  <c r="O125" i="1"/>
  <c r="N125" i="1"/>
  <c r="N124" i="1"/>
  <c r="N123" i="1"/>
  <c r="N122" i="1"/>
  <c r="P122" i="1" s="1"/>
  <c r="N121" i="1"/>
  <c r="N120" i="1"/>
  <c r="P120" i="1" s="1"/>
  <c r="K120" i="1"/>
  <c r="N119" i="1"/>
  <c r="N118" i="1"/>
  <c r="N117" i="1"/>
  <c r="K117" i="1"/>
  <c r="N116" i="1"/>
  <c r="K116" i="1"/>
  <c r="N115" i="1"/>
  <c r="N114" i="1"/>
  <c r="N113" i="1"/>
  <c r="K113" i="1"/>
  <c r="N112" i="1"/>
  <c r="P112" i="1" s="1"/>
  <c r="N111" i="1"/>
  <c r="K111" i="1"/>
  <c r="N110" i="1"/>
  <c r="N109" i="1"/>
  <c r="K109" i="1"/>
  <c r="N108" i="1"/>
  <c r="L108" i="1"/>
  <c r="N107" i="1"/>
  <c r="N106" i="1"/>
  <c r="K106" i="1"/>
  <c r="X105" i="1"/>
  <c r="N105" i="1"/>
  <c r="N104" i="1"/>
  <c r="K104" i="1"/>
  <c r="N103" i="1"/>
  <c r="P103" i="1" s="1"/>
  <c r="N102" i="1"/>
  <c r="N101" i="1"/>
  <c r="P100" i="1"/>
  <c r="O100" i="1"/>
  <c r="N100" i="1"/>
  <c r="P99" i="1"/>
  <c r="O99" i="1"/>
  <c r="N99" i="1"/>
  <c r="K99" i="1"/>
  <c r="N98" i="1"/>
  <c r="N97" i="1"/>
  <c r="N96" i="1"/>
  <c r="N95" i="1"/>
  <c r="K95" i="1"/>
  <c r="N94" i="1"/>
  <c r="K94" i="1"/>
  <c r="N93" i="1"/>
  <c r="K93" i="1"/>
  <c r="N92" i="1"/>
  <c r="P92" i="1" s="1"/>
  <c r="K92" i="1"/>
  <c r="P91" i="1"/>
  <c r="O91" i="1"/>
  <c r="N91" i="1"/>
  <c r="K91" i="1"/>
  <c r="P90" i="1"/>
  <c r="O90" i="1"/>
  <c r="N90" i="1"/>
  <c r="K90" i="1"/>
  <c r="N89" i="1"/>
  <c r="L89" i="1"/>
  <c r="N88" i="1"/>
  <c r="L88" i="1"/>
  <c r="N87" i="1"/>
  <c r="L87" i="1"/>
  <c r="P86" i="1"/>
  <c r="O86" i="1"/>
  <c r="N86" i="1"/>
  <c r="K86" i="1"/>
  <c r="N85" i="1"/>
  <c r="P85" i="1" s="1"/>
  <c r="L85" i="1"/>
  <c r="N84" i="1"/>
  <c r="N83" i="1"/>
  <c r="L83" i="1"/>
  <c r="N82" i="1"/>
  <c r="P82" i="1" s="1"/>
  <c r="L82" i="1"/>
  <c r="N81" i="1"/>
  <c r="L81" i="1"/>
  <c r="N80" i="1"/>
  <c r="L80" i="1"/>
  <c r="P79" i="1"/>
  <c r="P78" i="1"/>
  <c r="P77" i="1"/>
  <c r="N75" i="1"/>
  <c r="K75" i="1"/>
  <c r="N73" i="1"/>
  <c r="K73" i="1"/>
  <c r="N72" i="1"/>
  <c r="K72" i="1"/>
  <c r="N71" i="1"/>
  <c r="K71" i="1"/>
  <c r="N70" i="1"/>
  <c r="K70" i="1"/>
  <c r="O69" i="1"/>
  <c r="N69" i="1"/>
  <c r="N68" i="1"/>
  <c r="P68" i="1" s="1"/>
  <c r="L68" i="1"/>
  <c r="N67" i="1"/>
  <c r="L67" i="1"/>
  <c r="P66" i="1"/>
  <c r="O66" i="1"/>
  <c r="N66" i="1"/>
  <c r="N65" i="1"/>
  <c r="K65" i="1"/>
  <c r="N64" i="1"/>
  <c r="L64" i="1"/>
  <c r="P63" i="1"/>
  <c r="P62" i="1"/>
  <c r="P61" i="1"/>
  <c r="O59" i="1"/>
  <c r="N59" i="1"/>
  <c r="K59" i="1"/>
  <c r="P58" i="1"/>
  <c r="O58" i="1"/>
  <c r="N58" i="1"/>
  <c r="N55" i="1"/>
  <c r="R55" i="1" s="1"/>
  <c r="K55" i="1"/>
  <c r="N54" i="1"/>
  <c r="R54" i="1" s="1"/>
  <c r="K54" i="1"/>
  <c r="P53" i="1"/>
  <c r="O53" i="1"/>
  <c r="N53" i="1"/>
  <c r="N51" i="1"/>
  <c r="R51" i="1" s="1"/>
  <c r="K51" i="1"/>
  <c r="N50" i="1"/>
  <c r="R50" i="1" s="1"/>
  <c r="K50" i="1"/>
  <c r="N49" i="1"/>
  <c r="R49" i="1" s="1"/>
  <c r="K49" i="1"/>
  <c r="P48" i="1"/>
  <c r="O48" i="1"/>
  <c r="N48" i="1"/>
  <c r="P46" i="1"/>
  <c r="O46" i="1"/>
  <c r="N46" i="1"/>
  <c r="R46" i="1" s="1"/>
  <c r="P45" i="1"/>
  <c r="O45" i="1"/>
  <c r="N45" i="1"/>
  <c r="R45" i="1" s="1"/>
  <c r="N44" i="1"/>
  <c r="R44" i="1" s="1"/>
  <c r="K44" i="1"/>
  <c r="N43" i="1"/>
  <c r="R43" i="1" s="1"/>
  <c r="K43" i="1"/>
  <c r="P42" i="1"/>
  <c r="O42" i="1"/>
  <c r="N42" i="1"/>
  <c r="N40" i="1"/>
  <c r="R40" i="1" s="1"/>
  <c r="K40" i="1"/>
  <c r="N39" i="1"/>
  <c r="R39" i="1" s="1"/>
  <c r="K39" i="1"/>
  <c r="N38" i="1"/>
  <c r="R38" i="1" s="1"/>
  <c r="K38" i="1"/>
  <c r="N37" i="1"/>
  <c r="R37" i="1" s="1"/>
  <c r="K37" i="1"/>
  <c r="N36" i="1"/>
  <c r="R36" i="1" s="1"/>
  <c r="K36" i="1"/>
  <c r="N35" i="1"/>
  <c r="P35" i="1" s="1"/>
  <c r="K35" i="1"/>
  <c r="P34" i="1"/>
  <c r="O34" i="1"/>
  <c r="N34" i="1"/>
  <c r="P33" i="1"/>
  <c r="O33" i="1"/>
  <c r="N33" i="1"/>
  <c r="N31" i="1"/>
  <c r="P31" i="1" s="1"/>
  <c r="K31" i="1"/>
  <c r="N30" i="1"/>
  <c r="P30" i="1" s="1"/>
  <c r="K30" i="1"/>
  <c r="N29" i="1"/>
  <c r="R29" i="1" s="1"/>
  <c r="K29" i="1"/>
  <c r="N28" i="1"/>
  <c r="P28" i="1" s="1"/>
  <c r="K28" i="1"/>
  <c r="P27" i="1"/>
  <c r="O27" i="1"/>
  <c r="N27" i="1"/>
  <c r="N25" i="1"/>
  <c r="R25" i="1" s="1"/>
  <c r="L25" i="1"/>
  <c r="N24" i="1"/>
  <c r="P24" i="1" s="1"/>
  <c r="L24" i="1"/>
  <c r="P23" i="1"/>
  <c r="O23" i="1"/>
  <c r="N23" i="1"/>
  <c r="N21" i="1"/>
  <c r="P21" i="1" s="1"/>
  <c r="L21" i="1"/>
  <c r="N19" i="1"/>
  <c r="R19" i="1" s="1"/>
  <c r="K19" i="1"/>
  <c r="N18" i="1"/>
  <c r="P18" i="1" s="1"/>
  <c r="K18" i="1"/>
  <c r="N17" i="1"/>
  <c r="R17" i="1" s="1"/>
  <c r="K17" i="1"/>
  <c r="P16" i="1"/>
  <c r="O16" i="1"/>
  <c r="N16" i="1"/>
  <c r="N14" i="1"/>
  <c r="R14" i="1" s="1"/>
  <c r="K14" i="1"/>
  <c r="N13" i="1"/>
  <c r="P13" i="1" s="1"/>
  <c r="K13" i="1"/>
  <c r="N12" i="1"/>
  <c r="L12" i="1"/>
  <c r="N11" i="1"/>
  <c r="P11" i="1" s="1"/>
  <c r="L11" i="1"/>
  <c r="P10" i="1"/>
  <c r="N8" i="1"/>
  <c r="P8" i="1" s="1"/>
  <c r="K8" i="1"/>
  <c r="K7" i="1"/>
  <c r="P298" i="1" l="1"/>
  <c r="Q298" i="1" s="1"/>
  <c r="Q304" i="1"/>
  <c r="D8" i="2"/>
  <c r="P188" i="1"/>
  <c r="P452" i="1"/>
  <c r="P357" i="1"/>
  <c r="P38" i="1"/>
  <c r="P43" i="1"/>
  <c r="P159" i="1"/>
  <c r="P169" i="1"/>
  <c r="P206" i="1"/>
  <c r="P176" i="1"/>
  <c r="P192" i="1"/>
  <c r="P469" i="1"/>
  <c r="P96" i="1"/>
  <c r="P101" i="1"/>
  <c r="P294" i="1"/>
  <c r="Q294" i="1" s="1"/>
  <c r="P388" i="1"/>
  <c r="P392" i="1"/>
  <c r="P17" i="1"/>
  <c r="P71" i="1"/>
  <c r="P124" i="1"/>
  <c r="P128" i="1"/>
  <c r="P170" i="1"/>
  <c r="P235" i="1"/>
  <c r="P241" i="1"/>
  <c r="P334" i="1"/>
  <c r="P29" i="1"/>
  <c r="P88" i="1"/>
  <c r="P144" i="1"/>
  <c r="P171" i="1"/>
  <c r="P187" i="1"/>
  <c r="P209" i="1"/>
  <c r="P110" i="1"/>
  <c r="P115" i="1"/>
  <c r="P242" i="1"/>
  <c r="R28" i="1"/>
  <c r="P65" i="1"/>
  <c r="P102" i="1"/>
  <c r="P111" i="1"/>
  <c r="P116" i="1"/>
  <c r="P121" i="1"/>
  <c r="P140" i="1"/>
  <c r="P173" i="1"/>
  <c r="P189" i="1"/>
  <c r="P289" i="1"/>
  <c r="P295" i="1"/>
  <c r="Q295" i="1" s="1"/>
  <c r="P131" i="1"/>
  <c r="P184" i="1"/>
  <c r="N210" i="1"/>
  <c r="C9" i="2" s="1"/>
  <c r="P94" i="1"/>
  <c r="P108" i="1"/>
  <c r="P123" i="1"/>
  <c r="P185" i="1"/>
  <c r="P332" i="1"/>
  <c r="P255" i="1"/>
  <c r="P251" i="1"/>
  <c r="P227" i="1"/>
  <c r="P245" i="1"/>
  <c r="P229" i="1"/>
  <c r="P460" i="1"/>
  <c r="O435" i="1"/>
  <c r="D21" i="2" s="1"/>
  <c r="P418" i="1"/>
  <c r="P403" i="1"/>
  <c r="P394" i="1"/>
  <c r="P391" i="1"/>
  <c r="P378" i="1"/>
  <c r="P383" i="1"/>
  <c r="P386" i="1"/>
  <c r="P370" i="1"/>
  <c r="P354" i="1"/>
  <c r="P342" i="1"/>
  <c r="P329" i="1"/>
  <c r="P326" i="1"/>
  <c r="P314" i="1"/>
  <c r="P282" i="1"/>
  <c r="P280" i="1"/>
  <c r="P72" i="1"/>
  <c r="P55" i="1"/>
  <c r="P59" i="1"/>
  <c r="P70" i="1"/>
  <c r="P75" i="1"/>
  <c r="P117" i="1"/>
  <c r="P127" i="1"/>
  <c r="P190" i="1"/>
  <c r="P299" i="1"/>
  <c r="Q299" i="1" s="1"/>
  <c r="O352" i="1"/>
  <c r="P352" i="1" s="1"/>
  <c r="P371" i="1"/>
  <c r="P375" i="1"/>
  <c r="N397" i="1"/>
  <c r="C18" i="2" s="1"/>
  <c r="P404" i="1"/>
  <c r="P408" i="1"/>
  <c r="P461" i="1"/>
  <c r="P465" i="1"/>
  <c r="P477" i="1"/>
  <c r="R35" i="1"/>
  <c r="N273" i="1"/>
  <c r="C12" i="2" s="1"/>
  <c r="P268" i="1"/>
  <c r="N284" i="1"/>
  <c r="C13" i="2" s="1"/>
  <c r="P278" i="1"/>
  <c r="P12" i="1"/>
  <c r="P83" i="1"/>
  <c r="P87" i="1"/>
  <c r="P104" i="1"/>
  <c r="P113" i="1"/>
  <c r="P118" i="1"/>
  <c r="P175" i="1"/>
  <c r="P191" i="1"/>
  <c r="P198" i="1"/>
  <c r="N262" i="1"/>
  <c r="C11" i="2" s="1"/>
  <c r="P254" i="1"/>
  <c r="O284" i="1"/>
  <c r="N347" i="1"/>
  <c r="P324" i="1"/>
  <c r="P401" i="1"/>
  <c r="N421" i="1"/>
  <c r="C19" i="2" s="1"/>
  <c r="P433" i="1"/>
  <c r="R31" i="1"/>
  <c r="N145" i="1"/>
  <c r="C7" i="2" s="1"/>
  <c r="P80" i="1"/>
  <c r="P50" i="1"/>
  <c r="R18" i="1"/>
  <c r="P143" i="1"/>
  <c r="P145" i="1" s="1"/>
  <c r="P161" i="1"/>
  <c r="P186" i="1"/>
  <c r="P291" i="1"/>
  <c r="P300" i="1"/>
  <c r="Q300" i="1" s="1"/>
  <c r="O347" i="1"/>
  <c r="D16" i="2" s="1"/>
  <c r="F16" i="2" s="1"/>
  <c r="P372" i="1"/>
  <c r="P458" i="1"/>
  <c r="P462" i="1"/>
  <c r="P466" i="1"/>
  <c r="P470" i="1"/>
  <c r="P474" i="1"/>
  <c r="P478" i="1"/>
  <c r="R30" i="1"/>
  <c r="R13" i="1"/>
  <c r="P39" i="1"/>
  <c r="P44" i="1"/>
  <c r="P49" i="1"/>
  <c r="P54" i="1"/>
  <c r="P84" i="1"/>
  <c r="P95" i="1"/>
  <c r="P105" i="1"/>
  <c r="P109" i="1"/>
  <c r="P114" i="1"/>
  <c r="P119" i="1"/>
  <c r="P152" i="1"/>
  <c r="P279" i="1"/>
  <c r="P296" i="1"/>
  <c r="Q296" i="1" s="1"/>
  <c r="P315" i="1"/>
  <c r="P377" i="1"/>
  <c r="P381" i="1"/>
  <c r="P385" i="1"/>
  <c r="P389" i="1"/>
  <c r="P393" i="1"/>
  <c r="P454" i="1"/>
  <c r="R59" i="1"/>
  <c r="P139" i="1"/>
  <c r="P172" i="1"/>
  <c r="P177" i="1"/>
  <c r="P182" i="1"/>
  <c r="P193" i="1"/>
  <c r="P301" i="1"/>
  <c r="Q301" i="1" s="1"/>
  <c r="P343" i="1"/>
  <c r="P373" i="1"/>
  <c r="P402" i="1"/>
  <c r="P459" i="1"/>
  <c r="P471" i="1"/>
  <c r="P475" i="1"/>
  <c r="P479" i="1"/>
  <c r="R12" i="1"/>
  <c r="P358" i="1"/>
  <c r="N76" i="1"/>
  <c r="C6" i="2" s="1"/>
  <c r="P64" i="1"/>
  <c r="P40" i="1"/>
  <c r="O455" i="1"/>
  <c r="P455" i="1" s="1"/>
  <c r="R11" i="1"/>
  <c r="P14" i="1"/>
  <c r="P19" i="1"/>
  <c r="P25" i="1"/>
  <c r="P73" i="1"/>
  <c r="P81" i="1"/>
  <c r="P89" i="1"/>
  <c r="P97" i="1"/>
  <c r="P106" i="1"/>
  <c r="P178" i="1"/>
  <c r="P195" i="1"/>
  <c r="O262" i="1"/>
  <c r="P256" i="1"/>
  <c r="O273" i="1"/>
  <c r="P340" i="1"/>
  <c r="N448" i="1"/>
  <c r="C22" i="2" s="1"/>
  <c r="R24" i="1"/>
  <c r="P36" i="1"/>
  <c r="P37" i="1"/>
  <c r="P51" i="1"/>
  <c r="P93" i="1"/>
  <c r="P98" i="1"/>
  <c r="P107" i="1"/>
  <c r="P136" i="1"/>
  <c r="P157" i="1"/>
  <c r="P179" i="1"/>
  <c r="N246" i="1"/>
  <c r="C10" i="2" s="1"/>
  <c r="P214" i="1"/>
  <c r="P243" i="1"/>
  <c r="P252" i="1"/>
  <c r="P269" i="1"/>
  <c r="N319" i="1"/>
  <c r="C15" i="2" s="1"/>
  <c r="P313" i="1"/>
  <c r="O397" i="1"/>
  <c r="P417" i="1"/>
  <c r="N483" i="1"/>
  <c r="C31" i="2" s="1"/>
  <c r="P468" i="1"/>
  <c r="O356" i="1"/>
  <c r="P356" i="1" s="1"/>
  <c r="R21" i="1"/>
  <c r="R8" i="1"/>
  <c r="O246" i="1"/>
  <c r="P233" i="1"/>
  <c r="P239" i="1"/>
  <c r="P258" i="1"/>
  <c r="N308" i="1"/>
  <c r="P328" i="1"/>
  <c r="P360" i="1"/>
  <c r="N426" i="1"/>
  <c r="C20" i="2" s="1"/>
  <c r="P425" i="1"/>
  <c r="R426" i="1" s="1"/>
  <c r="N435" i="1"/>
  <c r="C21" i="2" s="1"/>
  <c r="P432" i="1"/>
  <c r="N60" i="1"/>
  <c r="P130" i="1"/>
  <c r="P129" i="1"/>
  <c r="O210" i="1"/>
  <c r="P204" i="1"/>
  <c r="O76" i="1"/>
  <c r="P67" i="1"/>
  <c r="P132" i="1"/>
  <c r="O60" i="1"/>
  <c r="P163" i="1"/>
  <c r="O448" i="1"/>
  <c r="N365" i="1"/>
  <c r="C17" i="2" s="1"/>
  <c r="O319" i="1"/>
  <c r="O308" i="1"/>
  <c r="D14" i="2" s="1"/>
  <c r="P347" i="1" l="1"/>
  <c r="R347" i="1" s="1"/>
  <c r="P308" i="1"/>
  <c r="R308" i="1" s="1"/>
  <c r="C8" i="2"/>
  <c r="Z200" i="1"/>
  <c r="C5" i="2"/>
  <c r="N486" i="1"/>
  <c r="D5" i="2"/>
  <c r="R210" i="1"/>
  <c r="P60" i="1"/>
  <c r="R435" i="1"/>
  <c r="R145" i="1"/>
  <c r="O145" i="1"/>
  <c r="R365" i="1"/>
  <c r="R397" i="1"/>
  <c r="O365" i="1"/>
  <c r="R284" i="1"/>
  <c r="R246" i="1"/>
  <c r="C33" i="2"/>
  <c r="C40" i="2" s="1"/>
  <c r="R273" i="1"/>
  <c r="R76" i="1"/>
  <c r="R483" i="1"/>
  <c r="O483" i="1"/>
  <c r="D31" i="2" s="1"/>
  <c r="D33" i="2" s="1"/>
  <c r="D40" i="2" s="1"/>
  <c r="O407" i="1"/>
  <c r="D22" i="2"/>
  <c r="C26" i="2" l="1"/>
  <c r="C28" i="2" s="1"/>
  <c r="P407" i="1"/>
  <c r="O415" i="1"/>
  <c r="P415" i="1" s="1"/>
  <c r="O416" i="1"/>
  <c r="P416" i="1" s="1"/>
  <c r="R448" i="1"/>
  <c r="P421" i="1" l="1"/>
  <c r="R421" i="1" s="1"/>
  <c r="C39" i="2"/>
  <c r="C41" i="2" s="1"/>
  <c r="C42" i="2" s="1"/>
  <c r="C43" i="2" s="1"/>
  <c r="C35" i="2"/>
  <c r="O421" i="1"/>
  <c r="D19" i="2" s="1"/>
  <c r="F19" i="2" l="1"/>
  <c r="F26" i="2"/>
  <c r="F28" i="2" s="1"/>
  <c r="F35" i="2" s="1"/>
  <c r="F36" i="2" s="1"/>
  <c r="D26" i="2"/>
  <c r="D28" i="2" s="1"/>
  <c r="D39" i="2" s="1"/>
  <c r="D41" i="2" s="1"/>
  <c r="D42" i="2" s="1"/>
  <c r="D43" i="2" s="1"/>
  <c r="D44" i="2" s="1"/>
  <c r="O486" i="1"/>
  <c r="P486" i="1" s="1"/>
  <c r="S46" i="11"/>
  <c r="D35" i="2" l="1"/>
  <c r="K191" i="1"/>
  <c r="J191" i="1"/>
  <c r="J172" i="1"/>
  <c r="K172" i="1"/>
  <c r="R200" i="1"/>
  <c r="P200" i="1"/>
  <c r="P196" i="1"/>
  <c r="J185" i="1"/>
  <c r="K185" i="1"/>
  <c r="J175" i="1"/>
  <c r="K175" i="1"/>
  <c r="J192" i="1"/>
  <c r="K192" i="1"/>
  <c r="K188" i="1"/>
  <c r="J188" i="1"/>
  <c r="J178" i="1"/>
  <c r="K178" i="1"/>
  <c r="K198" i="1"/>
  <c r="J198" i="1"/>
  <c r="K189" i="1"/>
  <c r="J189" i="1"/>
  <c r="K163" i="1"/>
  <c r="J163" i="1"/>
  <c r="J176" i="1"/>
  <c r="K176" i="1"/>
  <c r="K445" i="1"/>
  <c r="J445" i="1"/>
  <c r="L444" i="1"/>
  <c r="K444" i="1"/>
  <c r="J444" i="1"/>
  <c r="L441" i="1"/>
  <c r="K441" i="1"/>
  <c r="J441" i="1"/>
  <c r="L442" i="1"/>
  <c r="K442" i="1"/>
  <c r="J442" i="1"/>
  <c r="L186" i="1"/>
  <c r="K186" i="1"/>
  <c r="J186" i="1"/>
  <c r="J182" i="1"/>
  <c r="K182" i="1"/>
  <c r="L193" i="1"/>
  <c r="K193" i="1"/>
  <c r="J193" i="1"/>
  <c r="L196" i="1"/>
  <c r="K196" i="1"/>
  <c r="J196" i="1"/>
  <c r="J440" i="1"/>
  <c r="K440" i="1"/>
  <c r="J169" i="1"/>
  <c r="K169" i="1"/>
  <c r="L184" i="1"/>
  <c r="K184" i="1"/>
  <c r="J184" i="1"/>
  <c r="J173" i="1"/>
  <c r="K173" i="1"/>
  <c r="J195" i="1"/>
  <c r="K195" i="1"/>
  <c r="K179" i="1"/>
  <c r="J179" i="1"/>
  <c r="K177" i="1"/>
  <c r="J177" i="1"/>
  <c r="L187" i="1"/>
  <c r="K187" i="1"/>
  <c r="J187" i="1"/>
  <c r="K171" i="1"/>
  <c r="J171" i="1"/>
  <c r="J170" i="1"/>
  <c r="K17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tc={D9AAB80C-A7D1-47C9-9E1C-91CEEA8BEEFB}</author>
  </authors>
  <commentList>
    <comment ref="I171" authorId="0" shapeId="0" xr:uid="{D9AAB80C-A7D1-47C9-9E1C-91CEEA8BEEFB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No rate for 1200 signs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<sst xmlns="http://schemas.openxmlformats.org/spreadsheetml/2006/main" count="2454" uniqueCount="989">
  <si>
    <t>CONTRACT SANRAL N.002-300-2022/2R</t>
  </si>
  <si>
    <t>ITEM</t>
  </si>
  <si>
    <t>DESCRIPTION</t>
  </si>
  <si>
    <t>UNIT</t>
  </si>
  <si>
    <t>SCHEDULED
QTY</t>
  </si>
  <si>
    <t>FINAL EST.
QTY</t>
  </si>
  <si>
    <t>PREVIOUS
QTY</t>
  </si>
  <si>
    <t>CURRENT
QTY</t>
  </si>
  <si>
    <t>TO DATE
QTY</t>
  </si>
  <si>
    <t>RATE
R</t>
  </si>
  <si>
    <t>SCHEDULED 
AMOUNT</t>
  </si>
  <si>
    <t>FINAL EST.
 AMOUNT</t>
  </si>
  <si>
    <t>C1.2</t>
  </si>
  <si>
    <t>GENERAL REQUIREMENTS AND PROVISIONS</t>
  </si>
  <si>
    <t>C1.2.1</t>
  </si>
  <si>
    <t>ENVIRONMENTAL MANAGEMENT</t>
  </si>
  <si>
    <t>C1.2.1.1</t>
  </si>
  <si>
    <t>Monitoring of compliance with and reporting on the EMP</t>
  </si>
  <si>
    <t>month</t>
  </si>
  <si>
    <t>C1.2.1.2</t>
  </si>
  <si>
    <r>
      <t xml:space="preserve">Dedicated environmental officer </t>
    </r>
    <r>
      <rPr>
        <i/>
        <sz val="9"/>
        <rFont val="Arial"/>
        <family val="2"/>
      </rPr>
      <t>(if specified in the Contract Documentation)</t>
    </r>
  </si>
  <si>
    <t xml:space="preserve"> </t>
  </si>
  <si>
    <t>C1.2.2</t>
  </si>
  <si>
    <t>Programming and Reporting</t>
  </si>
  <si>
    <t>C1.2.2.3</t>
  </si>
  <si>
    <t>Reviewing and updating a Scheme 2 Initial Programme</t>
  </si>
  <si>
    <t>lump sum</t>
  </si>
  <si>
    <t>C1.2.2.4</t>
  </si>
  <si>
    <t>Reviewing and updating a Scheme 2 Full Programme</t>
  </si>
  <si>
    <t>C1.2.2.5</t>
  </si>
  <si>
    <t>Reviewing and updating a Scheme 2 programme every month</t>
  </si>
  <si>
    <t>C1.2.2.6</t>
  </si>
  <si>
    <t>Preparation and submission of all information and reports specified in the Contract Documentation</t>
  </si>
  <si>
    <t>C1.2.3</t>
  </si>
  <si>
    <t>Routine road maintenance of existing public roads within the Site of Works or other public roads outside the Site of the Works which are used as detours</t>
  </si>
  <si>
    <t>C1.2.3.7</t>
  </si>
  <si>
    <t>Base and/or surface patching using hot plant mixed asphalt</t>
  </si>
  <si>
    <t>ton (t)</t>
  </si>
  <si>
    <t>C1.2.3.8</t>
  </si>
  <si>
    <t>Replacement of damaged guardrails including posts</t>
  </si>
  <si>
    <t>metre (m)</t>
  </si>
  <si>
    <t>C1.2.3.13</t>
  </si>
  <si>
    <t>Liaison with the routine road maintenance contractor</t>
  </si>
  <si>
    <t>C1.2.4</t>
  </si>
  <si>
    <t>Stakeholder Liaison</t>
  </si>
  <si>
    <t>C1.2.5</t>
  </si>
  <si>
    <t>SAFETY</t>
  </si>
  <si>
    <t>C1.2.5.1</t>
  </si>
  <si>
    <t>Health and Safety Plan</t>
  </si>
  <si>
    <t>C1.2.5.2</t>
  </si>
  <si>
    <t>Implementation of health and safety plan</t>
  </si>
  <si>
    <t>PC1.2.7</t>
  </si>
  <si>
    <t>Road Safety Audits</t>
  </si>
  <si>
    <t>C1.2.7.1</t>
  </si>
  <si>
    <t>Stage 4 work zone traffic management audit</t>
  </si>
  <si>
    <t>provisional sum</t>
  </si>
  <si>
    <t>C1.2.7.2</t>
  </si>
  <si>
    <t>Handling cost, profit and all other charges in respect of item C1.2.7.1</t>
  </si>
  <si>
    <t>percentage (%)</t>
  </si>
  <si>
    <t>C1.2.7.3</t>
  </si>
  <si>
    <t>Stage 5 pre-opening stage traffic safety audit</t>
  </si>
  <si>
    <t>C1.2.7.4</t>
  </si>
  <si>
    <t>Handling cost, profit and all other charges in respect of item C1.2.7.3</t>
  </si>
  <si>
    <t>C1.2.8</t>
  </si>
  <si>
    <t>DAYWORKS</t>
  </si>
  <si>
    <t>C1.2.8.1</t>
  </si>
  <si>
    <t>Personnel</t>
  </si>
  <si>
    <t>(a)</t>
  </si>
  <si>
    <t>Unskilled labourer</t>
  </si>
  <si>
    <t>hour (h)</t>
  </si>
  <si>
    <t>(b)</t>
  </si>
  <si>
    <t>Semi-skilled labourer</t>
  </si>
  <si>
    <t>(c)</t>
  </si>
  <si>
    <t>Skilled labourer</t>
  </si>
  <si>
    <t>(d)</t>
  </si>
  <si>
    <t>Gang leader</t>
  </si>
  <si>
    <t>(e)</t>
  </si>
  <si>
    <t>Foreman</t>
  </si>
  <si>
    <t>(f)</t>
  </si>
  <si>
    <t>Skilled artisan</t>
  </si>
  <si>
    <t>C1.2.8.2</t>
  </si>
  <si>
    <t>Construction Equipment</t>
  </si>
  <si>
    <t>(b)Vibratory roller (self-propelled, 9 - 12 ton mass)</t>
  </si>
  <si>
    <t>(c)Pneumatic roller (9 - 12 ton mass)</t>
  </si>
  <si>
    <t>Excavator (14.7 tonnes)</t>
  </si>
  <si>
    <t>h</t>
  </si>
  <si>
    <t>(g)</t>
  </si>
  <si>
    <t>Compressor (including hammers, tools, etc. capacity 0.02m³/s @ 620kPa)</t>
  </si>
  <si>
    <t>C1.2.8.3</t>
  </si>
  <si>
    <t>Vehicles</t>
  </si>
  <si>
    <t>(a)Light delivery vehicle (minimum load capacity 1 ton)</t>
  </si>
  <si>
    <t>kilometre (km)</t>
  </si>
  <si>
    <t>(b)Flatbed truck  (crane included, minimum load capacity 10 ton)</t>
  </si>
  <si>
    <t>(c)Dump truck  (load capacity approx 10 m3)</t>
  </si>
  <si>
    <t>C1.2.8.4</t>
  </si>
  <si>
    <t>Materials</t>
  </si>
  <si>
    <t>Procurement of materials</t>
  </si>
  <si>
    <t>Contractor's handling costs, profit and all other charges in respect of item C1.2.8.4(a)</t>
  </si>
  <si>
    <t>PC1.2.10</t>
  </si>
  <si>
    <t>Dispute Adjudication Board (DAB)</t>
  </si>
  <si>
    <t>C1.2.10.1</t>
  </si>
  <si>
    <t>Employer’s contribution to DAB (50%)</t>
  </si>
  <si>
    <t>prime cost (PC) Sum</t>
  </si>
  <si>
    <t>TOTAL CARRIED FORWARD TO SUMMARY</t>
  </si>
  <si>
    <t>C1.3</t>
  </si>
  <si>
    <t>THE CONTRACTOR'S SITE ESTABLISHMENT AND GENERAL OBLIGATIONS</t>
  </si>
  <si>
    <t>PC1.3.1</t>
  </si>
  <si>
    <t>THE CONTRACTOR'S GENERAL OBLIGATIONS</t>
  </si>
  <si>
    <t>C1.3.1.1</t>
  </si>
  <si>
    <t>Fixed obligations</t>
  </si>
  <si>
    <t>Lump Sum</t>
  </si>
  <si>
    <t>C1.3.1.2</t>
  </si>
  <si>
    <t>Value-related obligations</t>
  </si>
  <si>
    <t>C1.3.1.3</t>
  </si>
  <si>
    <t>Time-related obligations</t>
  </si>
  <si>
    <t>Mobilisation period</t>
  </si>
  <si>
    <t>Execution of the works</t>
  </si>
  <si>
    <t>C1.3.1.4</t>
  </si>
  <si>
    <t>Suspension Cost</t>
  </si>
  <si>
    <t>De-establishment</t>
  </si>
  <si>
    <t>number</t>
  </si>
  <si>
    <t xml:space="preserve">Re-establishment </t>
  </si>
  <si>
    <t>Suspension period</t>
  </si>
  <si>
    <t>Engineer's cost</t>
  </si>
  <si>
    <t>C1.3.2</t>
  </si>
  <si>
    <t>Contract Signboards</t>
  </si>
  <si>
    <t>square metre (m²)</t>
  </si>
  <si>
    <t>C1.4</t>
  </si>
  <si>
    <t>FACILITIES FOR THE ENGINEER</t>
  </si>
  <si>
    <t>C1.4.1</t>
  </si>
  <si>
    <t>SITE ACCOMMODATION</t>
  </si>
  <si>
    <t>C1.4.1.1</t>
  </si>
  <si>
    <t xml:space="preserve">Offices and conference room </t>
  </si>
  <si>
    <t>C1.4.1.2</t>
  </si>
  <si>
    <t>Laboratories</t>
  </si>
  <si>
    <t>C1.4.1.3</t>
  </si>
  <si>
    <t>Open concrete working floors and verandas</t>
  </si>
  <si>
    <t>C1.4.1.4</t>
  </si>
  <si>
    <t>Roofs over open concrete working floors and verandas</t>
  </si>
  <si>
    <t>C1.4.1.5</t>
  </si>
  <si>
    <t>Store rooms inside the laboratory</t>
  </si>
  <si>
    <t>C1.4.1.6</t>
  </si>
  <si>
    <t>Car ports</t>
  </si>
  <si>
    <t>number (No.)</t>
  </si>
  <si>
    <t>C1.4.1.7</t>
  </si>
  <si>
    <r>
      <t xml:space="preserve">Ablution unit </t>
    </r>
    <r>
      <rPr>
        <i/>
        <sz val="9"/>
        <color indexed="8"/>
        <rFont val="Arial"/>
        <family val="2"/>
      </rPr>
      <t>(equipped as specified)</t>
    </r>
  </si>
  <si>
    <t>Smaller unit</t>
  </si>
  <si>
    <t>Larger unit</t>
  </si>
  <si>
    <t>C1.4.1.9</t>
  </si>
  <si>
    <t>Kitchen unit (equipped as per A1.4.7.1(g)))</t>
  </si>
  <si>
    <t>C1.4.2</t>
  </si>
  <si>
    <t>ITEMS MEASURED BY AREA</t>
  </si>
  <si>
    <t>C1.4.2.1</t>
  </si>
  <si>
    <t>Shelving as specified, complete with brackets</t>
  </si>
  <si>
    <t>C1.4.2.2</t>
  </si>
  <si>
    <t>Work benches with a concrete slab top</t>
  </si>
  <si>
    <t>C1.4.2.3</t>
  </si>
  <si>
    <t>Work-benches with a wooden top</t>
  </si>
  <si>
    <t>C1.4.2.6</t>
  </si>
  <si>
    <t>Roller blinds, opaque type</t>
  </si>
  <si>
    <t>C1.4.2.7</t>
  </si>
  <si>
    <t>Venetian blinds</t>
  </si>
  <si>
    <t>C1.4.2.8</t>
  </si>
  <si>
    <t>Notice boards</t>
  </si>
  <si>
    <t>C1.4.2.9</t>
  </si>
  <si>
    <t>White boards</t>
  </si>
  <si>
    <t>C1.4.3</t>
  </si>
  <si>
    <t>ITEMS MEASURED BY NUMBER</t>
  </si>
  <si>
    <t>C1.4.3.1</t>
  </si>
  <si>
    <t>Office swivel chair</t>
  </si>
  <si>
    <t>C1.4.3.2</t>
  </si>
  <si>
    <t xml:space="preserve">Office chair </t>
  </si>
  <si>
    <t>C1.4.3.5</t>
  </si>
  <si>
    <r>
      <t xml:space="preserve">Office desk with 3 drawers </t>
    </r>
    <r>
      <rPr>
        <i/>
        <sz val="9"/>
        <color indexed="8"/>
        <rFont val="Arial"/>
        <family val="2"/>
      </rPr>
      <t>(at least one lockable drawer)</t>
    </r>
  </si>
  <si>
    <t>C1.4.3.6</t>
  </si>
  <si>
    <t>Typist desk (L-shaped)</t>
  </si>
  <si>
    <t>C1.4.3.8</t>
  </si>
  <si>
    <t>Conference table</t>
  </si>
  <si>
    <t>C1.4.3.9</t>
  </si>
  <si>
    <t>Bookcase</t>
  </si>
  <si>
    <t>C1.4.3.11</t>
  </si>
  <si>
    <t>General purpose steel cabinet with shelves</t>
  </si>
  <si>
    <t>C1.4.3.13</t>
  </si>
  <si>
    <t>220/250 volt power outlet plug point</t>
  </si>
  <si>
    <t>C1.4.3.14</t>
  </si>
  <si>
    <t>400/231 volt 3-phase power outlet plug point</t>
  </si>
  <si>
    <t>C1.4.3.15</t>
  </si>
  <si>
    <t>Single 1500 mm, 58 watt fluorescent tube ceiling light</t>
  </si>
  <si>
    <t>C1.4.3.18</t>
  </si>
  <si>
    <t>7 watt LED bulb ceiling light</t>
  </si>
  <si>
    <t>C1.4.3.19</t>
  </si>
  <si>
    <t xml:space="preserve">Wash-hand basin </t>
  </si>
  <si>
    <t>C1.4.3.21</t>
  </si>
  <si>
    <t>Extractor fan</t>
  </si>
  <si>
    <t>C1.4.3.23</t>
  </si>
  <si>
    <t>Fire extinguisher 9,0 kg, dry powder type</t>
  </si>
  <si>
    <t>C1.4.3.24</t>
  </si>
  <si>
    <t>Air-conditioning unit</t>
  </si>
  <si>
    <t>C1.4.3.27</t>
  </si>
  <si>
    <t>Waste paper basket</t>
  </si>
  <si>
    <t>C1.4.3.28</t>
  </si>
  <si>
    <t>UPS / Voltage stabiliser</t>
  </si>
  <si>
    <t>C1.4.3.29</t>
  </si>
  <si>
    <t>A3 / A4 colour printer, copier, scanner</t>
  </si>
  <si>
    <t>C1.4.3.31</t>
  </si>
  <si>
    <t>Rain gauge</t>
  </si>
  <si>
    <t>C1.4.3.33</t>
  </si>
  <si>
    <t>Digital thermometer</t>
  </si>
  <si>
    <t>C1.4.3.34</t>
  </si>
  <si>
    <t>Mobile outdoor weather station</t>
  </si>
  <si>
    <t>C1.4.3.36</t>
  </si>
  <si>
    <t>Measuring wheel</t>
  </si>
  <si>
    <t>C1.4.3.37</t>
  </si>
  <si>
    <t>First aid kit</t>
  </si>
  <si>
    <t>C1.4.3.38</t>
  </si>
  <si>
    <t>Standpipe complete with 30m of 19mm dia. heavy duty hose pipe</t>
  </si>
  <si>
    <t>C1.4.4</t>
  </si>
  <si>
    <t>PRIME COST ITEMS</t>
  </si>
  <si>
    <t>C1.4.4.5</t>
  </si>
  <si>
    <t>The provision of internet connectivity and WiFi data for Engineer’s site staff</t>
  </si>
  <si>
    <t>C1.4.4.6</t>
  </si>
  <si>
    <t>Handling costs and profit in respect of item C1.4.4.5</t>
  </si>
  <si>
    <t>C1.4.4.11</t>
  </si>
  <si>
    <t>The provision of a complete 440/231 volt three phase electrical power installation, including all poles, insulators, wiring, switchboards, mains connections, meters etc.</t>
  </si>
  <si>
    <t>C1.4.4.12</t>
  </si>
  <si>
    <t>Handling costs and profit in respect of item C1.4.4.11</t>
  </si>
  <si>
    <t>C1.4.4.15</t>
  </si>
  <si>
    <t>The provision of all gas installations required at the site offices, laboratories and at the Engineer’s staff accommodation (if required), including gas storage cylinders, tubing, regulators, gas burners and shut-off cocks</t>
  </si>
  <si>
    <t>C1.4.4.16</t>
  </si>
  <si>
    <t>Handling costs and profit in respect of item C1.4.4.15</t>
  </si>
  <si>
    <t>C1.4.5</t>
  </si>
  <si>
    <t>SERVICES AT SITE OFFICES, LABORATORIES AND SITE ACCOMMODATION</t>
  </si>
  <si>
    <t>C1.4.5.1</t>
  </si>
  <si>
    <t>Fixed costs</t>
  </si>
  <si>
    <t>C1.4.5.2</t>
  </si>
  <si>
    <t>Running costs</t>
  </si>
  <si>
    <t>C1.4.7</t>
  </si>
  <si>
    <t>SITE INSPECTION TRANSPORT</t>
  </si>
  <si>
    <t>C1.4.7.1</t>
  </si>
  <si>
    <r>
      <t xml:space="preserve">Provision of a bus, mini-bus or combi van for site inspection purposes </t>
    </r>
    <r>
      <rPr>
        <i/>
        <sz val="9"/>
        <color indexed="8"/>
        <rFont val="Arial"/>
        <family val="2"/>
      </rPr>
      <t>(10 seater with air conditioning)</t>
    </r>
  </si>
  <si>
    <t>per day</t>
  </si>
  <si>
    <t>C1.4.7.2</t>
  </si>
  <si>
    <t>Travel on site</t>
  </si>
  <si>
    <t>C1.4.8</t>
  </si>
  <si>
    <t>SITE SECURITY MEASURES FOR THE ENGINEER'S FACILITIES</t>
  </si>
  <si>
    <t>C1.4.8.1</t>
  </si>
  <si>
    <t>Supply and installation of all required security measures at the Engineer’s site offices and laboratories</t>
  </si>
  <si>
    <t>C1.4.8.2</t>
  </si>
  <si>
    <t>Provision of security guards / watchmen and an armed response service at the Engineer’s site offices and laboratories</t>
  </si>
  <si>
    <t>C1.5</t>
  </si>
  <si>
    <t>ACCOMMODATION OF TRAFFIC</t>
  </si>
  <si>
    <t>C1.5.1</t>
  </si>
  <si>
    <t>ACCOMMODATION OF PEDESTRIAN AND NON-MOTORISED TRAFFIC</t>
  </si>
  <si>
    <t>C1.5.1.1</t>
  </si>
  <si>
    <t>Accommodation of pedestrian and non-motorised traffic</t>
  </si>
  <si>
    <t>C1.5.2</t>
  </si>
  <si>
    <t>Accommodation of vehicular traffic</t>
  </si>
  <si>
    <t>C1.5.3</t>
  </si>
  <si>
    <t>Liaison with traffic authorities</t>
  </si>
  <si>
    <t>PC1.5.7</t>
  </si>
  <si>
    <t>Temporary traffic control facilities</t>
  </si>
  <si>
    <t>C1.5.7.1</t>
  </si>
  <si>
    <t>Delineators including mounting bases and ballast:</t>
  </si>
  <si>
    <t>Single sided, reversible left or right</t>
  </si>
  <si>
    <t>(i)</t>
  </si>
  <si>
    <r>
      <t xml:space="preserve">Size </t>
    </r>
    <r>
      <rPr>
        <sz val="9"/>
        <color indexed="8"/>
        <rFont val="Arial"/>
        <family val="2"/>
      </rPr>
      <t>250 mm x 800mm</t>
    </r>
  </si>
  <si>
    <t>number (No)</t>
  </si>
  <si>
    <t>Double sided, reversible left or right</t>
  </si>
  <si>
    <t>C1.5.7.2</t>
  </si>
  <si>
    <t>Traffic cones, minimum height 750mm</t>
  </si>
  <si>
    <t>C1.5.7.3</t>
  </si>
  <si>
    <t>Flagmen</t>
  </si>
  <si>
    <t>man-shift</t>
  </si>
  <si>
    <t>C1.5.7.4</t>
  </si>
  <si>
    <t>Traffic controllers</t>
  </si>
  <si>
    <t>C1.5.7.5</t>
  </si>
  <si>
    <t>Provision of illuminated traffic signs</t>
  </si>
  <si>
    <r>
      <t>Sign mounted amber flashing lights (</t>
    </r>
    <r>
      <rPr>
        <i/>
        <sz val="9"/>
        <color indexed="8"/>
        <rFont val="Arial"/>
        <family val="2"/>
      </rPr>
      <t>2 lights with the specified power supply</t>
    </r>
    <r>
      <rPr>
        <sz val="9"/>
        <color indexed="8"/>
        <rFont val="Arial"/>
        <family val="2"/>
      </rPr>
      <t>) mounted on a backing board which is:</t>
    </r>
  </si>
  <si>
    <t>(ii)</t>
  </si>
  <si>
    <t>1200mm wide x 200mm high</t>
  </si>
  <si>
    <t>Number (No)</t>
  </si>
  <si>
    <t xml:space="preserve">Flashing LED illuminated arrow board </t>
  </si>
  <si>
    <t>Illuminated road sign – R &amp; TR series (900 size)</t>
  </si>
  <si>
    <r>
      <t xml:space="preserve">Illuminated road sign – TW series </t>
    </r>
    <r>
      <rPr>
        <i/>
        <sz val="9"/>
        <color indexed="8"/>
        <rFont val="Arial"/>
        <family val="2"/>
      </rPr>
      <t>(1200 size)</t>
    </r>
  </si>
  <si>
    <t>Illuminated road sign – TW series (1 200 mm size)</t>
  </si>
  <si>
    <t>C1.5.7.6</t>
  </si>
  <si>
    <t>Maintenance of illuminated traffic signs:</t>
  </si>
  <si>
    <t xml:space="preserve">(a)  </t>
  </si>
  <si>
    <r>
      <t xml:space="preserve">Sign mounted flashing amber lights </t>
    </r>
    <r>
      <rPr>
        <i/>
        <sz val="9"/>
        <color indexed="8"/>
        <rFont val="Arial"/>
        <family val="2"/>
      </rPr>
      <t>(a pair of two lights mounted on a separate backing board)</t>
    </r>
    <r>
      <rPr>
        <sz val="9"/>
        <color indexed="8"/>
        <rFont val="Arial"/>
        <family val="2"/>
      </rPr>
      <t xml:space="preserve"> </t>
    </r>
  </si>
  <si>
    <t>Flashing LED illuminated arrow board</t>
  </si>
  <si>
    <t>Illuminated road sign – TW series (1200 size)</t>
  </si>
  <si>
    <t>Illuminated road sign – TG/TIN series</t>
  </si>
  <si>
    <t>PC1.5.7.10</t>
  </si>
  <si>
    <t>Moveable traffic signs</t>
  </si>
  <si>
    <t>Regulatory signs. Temporary</t>
  </si>
  <si>
    <t>R &amp; TR series (900 diameter)</t>
  </si>
  <si>
    <t>Warning signs, temporary</t>
  </si>
  <si>
    <t>TW series (1 200 mm size)</t>
  </si>
  <si>
    <t>Portable STOP and GO-RY signs</t>
  </si>
  <si>
    <t>Road signs, STW-, DTG-, TGS- AND TG-series (excluding delineators and barricades)</t>
  </si>
  <si>
    <t>Moveable barricade/road sign combination (8m wide chevron and road closed types)</t>
  </si>
  <si>
    <t>TIN 11-3 (600m)</t>
  </si>
  <si>
    <t>TIN 11-3 (400m)</t>
  </si>
  <si>
    <t>(h)</t>
  </si>
  <si>
    <t>TIN 11-3 (200m)</t>
  </si>
  <si>
    <t>TIN 11-4 (End/Thank you)</t>
  </si>
  <si>
    <t>C1.5.8</t>
  </si>
  <si>
    <t>Traffic safety officer</t>
  </si>
  <si>
    <t>man-month</t>
  </si>
  <si>
    <t>C1.5.9</t>
  </si>
  <si>
    <t>Traffic safety vehicle</t>
  </si>
  <si>
    <t>C1.5.11</t>
  </si>
  <si>
    <t>Provision of safety equipment for visitors</t>
  </si>
  <si>
    <t>C1.5.11.1</t>
  </si>
  <si>
    <t>Reflective safety vests for visitors</t>
  </si>
  <si>
    <t>C1.5.11.2</t>
  </si>
  <si>
    <t>Hard hats for visitors</t>
  </si>
  <si>
    <t>No</t>
  </si>
  <si>
    <t>C1.5.12</t>
  </si>
  <si>
    <t>Additional traffic accommodation facilities ordered by the Engineer:</t>
  </si>
  <si>
    <t>C1.5.12.1</t>
  </si>
  <si>
    <t xml:space="preserve">Provision of additional traffic accommodation facilities </t>
  </si>
  <si>
    <t>C1.5.12.2</t>
  </si>
  <si>
    <t>Handling cost, profit and all other charges in respect of item C1.5.12.1</t>
  </si>
  <si>
    <t/>
  </si>
  <si>
    <t>C1.6</t>
  </si>
  <si>
    <t>CLEARING AND GRUBBING</t>
  </si>
  <si>
    <t>C1.6.1</t>
  </si>
  <si>
    <t>CLEARING</t>
  </si>
  <si>
    <t>C1.6.1.1</t>
  </si>
  <si>
    <t>Clearing with machines and some hard labour where necessary</t>
  </si>
  <si>
    <t>hectare (ha)</t>
  </si>
  <si>
    <t>C1.6.2</t>
  </si>
  <si>
    <t>GRUBBING</t>
  </si>
  <si>
    <t>C1.6.2.1</t>
  </si>
  <si>
    <t>Grubbing with machines and some hard labour where necessary</t>
  </si>
  <si>
    <t>C1.6/C1.7.2</t>
  </si>
  <si>
    <t>HAULING</t>
  </si>
  <si>
    <t>C1.6/C1.7.2.1</t>
  </si>
  <si>
    <t>Hauling material to spoil and off-loading it at a designated spoil or stockpile area:</t>
  </si>
  <si>
    <t>Cleared and grubbed material (organic matter and all other unsuitable or waste material)</t>
  </si>
  <si>
    <t>cubic metre - kilometre (m³.km)</t>
  </si>
  <si>
    <t>C3.1</t>
  </si>
  <si>
    <t>DRAINS</t>
  </si>
  <si>
    <t>C3.1.1</t>
  </si>
  <si>
    <t>Excavation for open drain</t>
  </si>
  <si>
    <t>0m - 1.5m</t>
  </si>
  <si>
    <r>
      <t>cubic metre (m</t>
    </r>
    <r>
      <rPr>
        <sz val="9"/>
        <rFont val="Aptos Narrow"/>
        <family val="2"/>
      </rPr>
      <t>³)</t>
    </r>
  </si>
  <si>
    <t>C3.1.2.1</t>
  </si>
  <si>
    <t>Clearing, shaping and disposal of accumulated sediment in existing unlined open drains</t>
  </si>
  <si>
    <t>Using conventional methods</t>
  </si>
  <si>
    <t>cubic metre (m³)</t>
  </si>
  <si>
    <t>C3.1.3</t>
  </si>
  <si>
    <t>Excavation, clearing and disposal of accumulated sediment in existing lined drains and drainage systems</t>
  </si>
  <si>
    <t>C3.1.3.1</t>
  </si>
  <si>
    <t>Using conventional methods (up to 1,5m):</t>
  </si>
  <si>
    <t>Manholes and inlet and outlet structures</t>
  </si>
  <si>
    <t>Culvert barrels</t>
  </si>
  <si>
    <t>(c)Concrete or other lined side drains</t>
  </si>
  <si>
    <t>C3.1.4</t>
  </si>
  <si>
    <t>Excavation and disposal of material for subsoil drainage systems:</t>
  </si>
  <si>
    <t>C3.1.4.1</t>
  </si>
  <si>
    <t>Excavating in all materials situated within the following depth ranges below the surface:</t>
  </si>
  <si>
    <t xml:space="preserve">0m to 1.5m </t>
  </si>
  <si>
    <t>C3.1.5</t>
  </si>
  <si>
    <t>Impermeable backfilling to subsoil drainage system</t>
  </si>
  <si>
    <t>C3.1.5.1</t>
  </si>
  <si>
    <t>Unstabilised natural gravel obtained from approved source on the site</t>
  </si>
  <si>
    <t>C3.1.7</t>
  </si>
  <si>
    <t>Natural permeable material in subsoil drainage systems</t>
  </si>
  <si>
    <t>C3.1.7.2</t>
  </si>
  <si>
    <t>Crushed stone obtained from commercial sources</t>
  </si>
  <si>
    <t>C3.1.8</t>
  </si>
  <si>
    <t>Natural permeable material in subsoil drainage systems (approved natural sand):</t>
  </si>
  <si>
    <t>C3.1.8.2</t>
  </si>
  <si>
    <t xml:space="preserve">Natural sand from commercial sources </t>
  </si>
  <si>
    <t>C3.1.9</t>
  </si>
  <si>
    <t>Pipes in subsoil drainage systems:</t>
  </si>
  <si>
    <t>C3.1.9.1</t>
  </si>
  <si>
    <t xml:space="preserve">U-PVC pipes and fittings, normal duty, complete with couplings </t>
  </si>
  <si>
    <t xml:space="preserve">metre (m) </t>
  </si>
  <si>
    <t>C3.1.11</t>
  </si>
  <si>
    <t>Geotextiles (A1)</t>
  </si>
  <si>
    <t>C3.1.11.1</t>
  </si>
  <si>
    <t xml:space="preserve">0.15mm thick </t>
  </si>
  <si>
    <t>C3.1.13</t>
  </si>
  <si>
    <t>Concrete outlet structures, manhole boxes, junction boxes and cleaning eyes for subsoil drainage systems</t>
  </si>
  <si>
    <t>C3.1.13.4</t>
  </si>
  <si>
    <t>Cleaning eyes</t>
  </si>
  <si>
    <t>C3.1.14</t>
  </si>
  <si>
    <t>Caps for subsoil drain pipes</t>
  </si>
  <si>
    <t>C3.1.14.3</t>
  </si>
  <si>
    <t>Other (PVC)</t>
  </si>
  <si>
    <t>C3.1.15</t>
  </si>
  <si>
    <t>Repairing or replacing existing drainage systems</t>
  </si>
  <si>
    <t>C3.1.22</t>
  </si>
  <si>
    <t>Test flushing of subsoil drain pipe system</t>
  </si>
  <si>
    <t>C3.1/C1.7.2.2</t>
  </si>
  <si>
    <t>C3.3</t>
  </si>
  <si>
    <t>CONCRETE KERBING AND CHANNELING, ASPHALT BERMS, CHUTES, DOWNPIPES, AS WELL AS CONCRETE, STONE PITCHED AND GABION LININGS FOR OPEN DRAINS</t>
  </si>
  <si>
    <t>C3.3.8</t>
  </si>
  <si>
    <t>Linings for open drains:</t>
  </si>
  <si>
    <t>C3.3.8.1</t>
  </si>
  <si>
    <t>Cast in situ concrete lining (Class 20/19 for open drains) as per drawing contained in Appendix 15</t>
  </si>
  <si>
    <t>C3.3.8.2</t>
  </si>
  <si>
    <t>ClassU2 surface finish to cast in situ concrete (Open Drains)</t>
  </si>
  <si>
    <t>C3.3.9</t>
  </si>
  <si>
    <t>Formwork to cast in situ concrete lining for open drains (Class F2 surface finish):</t>
  </si>
  <si>
    <t>C3.3.9.1</t>
  </si>
  <si>
    <t>To sides with formwork on the internal face only</t>
  </si>
  <si>
    <t>C3.3.9.3</t>
  </si>
  <si>
    <t>To ends of slabs</t>
  </si>
  <si>
    <t>C3.3.10</t>
  </si>
  <si>
    <t>Sealed joints in concrete and stone pitched linings of open drains ((Polysulphide sealant) at 12m centres - Appendix 15)</t>
  </si>
  <si>
    <t>C3.3.12</t>
  </si>
  <si>
    <t>Reinforcement:</t>
  </si>
  <si>
    <t>C3.3.12.3</t>
  </si>
  <si>
    <t>Welded steel fabric (REF 193)</t>
  </si>
  <si>
    <t>kilogram (kg)</t>
  </si>
  <si>
    <t>C4.3</t>
  </si>
  <si>
    <t>EXISTING ROAD MATERIALS</t>
  </si>
  <si>
    <t>C4.3.2</t>
  </si>
  <si>
    <t xml:space="preserve">Cleaning the existing road surface </t>
  </si>
  <si>
    <t>C4.3.2.1</t>
  </si>
  <si>
    <t>Cost to clean the road surface</t>
  </si>
  <si>
    <t>C4.3.2.2</t>
  </si>
  <si>
    <t>Handling costs and profit in respect of item C4.3.2.1</t>
  </si>
  <si>
    <t>C8.5</t>
  </si>
  <si>
    <t>STANDARD CRACK SEALING</t>
  </si>
  <si>
    <t>C8.5.1</t>
  </si>
  <si>
    <t>Standard crack sealing</t>
  </si>
  <si>
    <t>C8.5.1.1</t>
  </si>
  <si>
    <t>Cleaning cracks</t>
  </si>
  <si>
    <t>Cleaning crack with hot compressed air</t>
  </si>
  <si>
    <t>C8.5.1.2</t>
  </si>
  <si>
    <t>Applying herbicides for sealing cracks</t>
  </si>
  <si>
    <r>
      <t>litre (</t>
    </r>
    <r>
      <rPr>
        <sz val="9"/>
        <rFont val="Aptos Narrow"/>
        <family val="2"/>
      </rPr>
      <t>ℓ</t>
    </r>
    <r>
      <rPr>
        <sz val="8.1"/>
        <rFont val="Arial"/>
        <family val="2"/>
      </rPr>
      <t>)</t>
    </r>
  </si>
  <si>
    <t>C8.5.1.3</t>
  </si>
  <si>
    <t>Priming</t>
  </si>
  <si>
    <t>litre (ℓ)</t>
  </si>
  <si>
    <t>C8.5.1.4</t>
  </si>
  <si>
    <t>Sealing the cracks</t>
  </si>
  <si>
    <r>
      <t xml:space="preserve">Sealing using </t>
    </r>
    <r>
      <rPr>
        <i/>
        <sz val="9"/>
        <color indexed="8"/>
        <rFont val="Arial"/>
        <family val="2"/>
      </rPr>
      <t>(CE-1)</t>
    </r>
  </si>
  <si>
    <t>C8.8</t>
  </si>
  <si>
    <t>PATCHING AND EDGE BREAK REPAIR</t>
  </si>
  <si>
    <t>C8.8.1</t>
  </si>
  <si>
    <t>Saw cutting pavement layers for patching</t>
  </si>
  <si>
    <t>C8.8.1.1</t>
  </si>
  <si>
    <t>Asphalt or bituminous surfacing to an average depth</t>
  </si>
  <si>
    <t>Not exceeding 50mm</t>
  </si>
  <si>
    <t>C8.8.1.3</t>
  </si>
  <si>
    <t>Granular layers to an average depth</t>
  </si>
  <si>
    <t>Not exceeding 200mm</t>
  </si>
  <si>
    <t>C8.8.2</t>
  </si>
  <si>
    <t>Excavation in existing pavements for patching (non-milling)</t>
  </si>
  <si>
    <t>C8.8.2.3</t>
  </si>
  <si>
    <t>Crushed Stone layers</t>
  </si>
  <si>
    <t>Not exceeding 10 m² including for edge repairs wider than 250mm</t>
  </si>
  <si>
    <t>Not exceeding 50 m² up to 100m² including for edge repairs wider than 250mm</t>
  </si>
  <si>
    <t>Exceeding 100m²</t>
  </si>
  <si>
    <t>C8.8.2.4</t>
  </si>
  <si>
    <t>Asphalt layers</t>
  </si>
  <si>
    <t>C8.8.3</t>
  </si>
  <si>
    <t>Compacting the floor of excavations for patching (Compacted to 95% MDD)</t>
  </si>
  <si>
    <r>
      <t>square metre (m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)</t>
    </r>
  </si>
  <si>
    <t>C8.8.4</t>
  </si>
  <si>
    <t>Backfilling of excavations for patching with:</t>
  </si>
  <si>
    <t>C8.8.4.3</t>
  </si>
  <si>
    <t>Asphalt for a patch with a surface area (sand skelatal (congtinuosly graded) utilising a PG58E-22 binder utilisinga maximum binder replacement of 15%, compacted to 97% -% design voids of MVD</t>
  </si>
  <si>
    <t>C8.9</t>
  </si>
  <si>
    <t>REPAIR OF SURFACE DEFECTS</t>
  </si>
  <si>
    <t>C8.9.5</t>
  </si>
  <si>
    <t>Water Cutting</t>
  </si>
  <si>
    <t>C8.9.5.1</t>
  </si>
  <si>
    <t>Establishing of water cutting equipment on site</t>
  </si>
  <si>
    <t>C8.9.5.2</t>
  </si>
  <si>
    <t>C8.9.6</t>
  </si>
  <si>
    <t>Trail sections for water cutting</t>
  </si>
  <si>
    <t>C9.1</t>
  </si>
  <si>
    <t>ASPHALT LAYERS</t>
  </si>
  <si>
    <t>C9.1.1</t>
  </si>
  <si>
    <t>Asphalt mix designs</t>
  </si>
  <si>
    <t>C9.1.1.2</t>
  </si>
  <si>
    <t>Sand skeletal mix:</t>
  </si>
  <si>
    <t>Continuously graded base or surfacing (PG58E-22,Level II mix design)</t>
  </si>
  <si>
    <t>C9.1.2</t>
  </si>
  <si>
    <t>Construction of trial sections</t>
  </si>
  <si>
    <t>C9.1.2.1</t>
  </si>
  <si>
    <t>Asphalt layers (sand skeletal (continuosly graded) utilising an PG58E-22 binder with a maximum binder replacement of 15%, 50mm, paver placed)</t>
  </si>
  <si>
    <t>C9.1.3</t>
  </si>
  <si>
    <t>Application of bond coat</t>
  </si>
  <si>
    <t>C9.1.3.1</t>
  </si>
  <si>
    <t>Stable–grade 30% net bitumen emulsion as specified.  Applied with a calibrated distributer</t>
  </si>
  <si>
    <r>
      <t>litre (</t>
    </r>
    <r>
      <rPr>
        <sz val="9"/>
        <color rgb="FF000000"/>
        <rFont val="Aptos Narrow"/>
        <family val="2"/>
      </rPr>
      <t>ℓ</t>
    </r>
    <r>
      <rPr>
        <sz val="8.1"/>
        <color rgb="FF000000"/>
        <rFont val="Arial"/>
        <family val="2"/>
      </rPr>
      <t>)</t>
    </r>
  </si>
  <si>
    <t>C9.3.1.3</t>
  </si>
  <si>
    <t>Applied by hand using brushes on all exposed transverse and longitudinal construction joints</t>
  </si>
  <si>
    <t>C9.1.5</t>
  </si>
  <si>
    <t>Asphalt surfacing</t>
  </si>
  <si>
    <t>C9.1.5.2</t>
  </si>
  <si>
    <t>Rehabilitation</t>
  </si>
  <si>
    <t>(e )</t>
  </si>
  <si>
    <t>Sand skeletal mix – continuously graded as defined (50mm, PG58E-22 utilising a maximum binder replacement of 15%, Level II mix design, paver placed)</t>
  </si>
  <si>
    <t>C9.1.9</t>
  </si>
  <si>
    <t xml:space="preserve">Application of Rolled in chips </t>
  </si>
  <si>
    <t>C9.1.9.1</t>
  </si>
  <si>
    <t>By means of a chip spreader</t>
  </si>
  <si>
    <t>C9.1.10</t>
  </si>
  <si>
    <t>Variation rates</t>
  </si>
  <si>
    <t>C9.1.10.1</t>
  </si>
  <si>
    <r>
      <t xml:space="preserve">Bitumen </t>
    </r>
    <r>
      <rPr>
        <i/>
        <sz val="9"/>
        <color indexed="8"/>
        <rFont val="Arial"/>
        <family val="2"/>
      </rPr>
      <t>(PG58E-22)</t>
    </r>
  </si>
  <si>
    <t>Rate only</t>
  </si>
  <si>
    <t>C9.1.10.2</t>
  </si>
  <si>
    <t>Aggregate</t>
  </si>
  <si>
    <t>C9.1.10.3</t>
  </si>
  <si>
    <r>
      <t xml:space="preserve">Active filler </t>
    </r>
    <r>
      <rPr>
        <i/>
        <sz val="9"/>
        <color indexed="8"/>
        <rFont val="Arial"/>
        <family val="2"/>
      </rPr>
      <t>(lime unless stated in Contract Document)</t>
    </r>
  </si>
  <si>
    <t>C9.1.13</t>
  </si>
  <si>
    <t>Coring of asphalt layers</t>
  </si>
  <si>
    <t>C9.1.13.1</t>
  </si>
  <si>
    <t>100mm diameter</t>
  </si>
  <si>
    <t>C9.1.14</t>
  </si>
  <si>
    <t>Surface regularity testing as described in Clause A9.1.8.4</t>
  </si>
  <si>
    <t>C9.1.14.1</t>
  </si>
  <si>
    <t>Establishment of equipment:
Inertial laser Profilometer</t>
  </si>
  <si>
    <t>C9.1.14.2</t>
  </si>
  <si>
    <t>Profiler Surveys utilising equipment as specified - Base layers and surfacing layers</t>
  </si>
  <si>
    <t>lane kilometre (km)</t>
  </si>
  <si>
    <t>C11.4</t>
  </si>
  <si>
    <t>ROAD RESTRAINT SYSTEMS</t>
  </si>
  <si>
    <t>C11.4.1</t>
  </si>
  <si>
    <t>Erecting of guardrails at 3.81m spacing</t>
  </si>
  <si>
    <t xml:space="preserve">C11.4.1.1 </t>
  </si>
  <si>
    <t>Complete galvanised system compliant to SANS 1350: on timber posts</t>
  </si>
  <si>
    <t>on timber posts</t>
  </si>
  <si>
    <t>C11.4.1.2</t>
  </si>
  <si>
    <t>Terminal sections for 3.81m guardrails comprising of:</t>
  </si>
  <si>
    <t>End Wings to SANS 1350</t>
  </si>
  <si>
    <t>C11.4.6</t>
  </si>
  <si>
    <t>Reflective plates</t>
  </si>
  <si>
    <t>C11.4.6.1</t>
  </si>
  <si>
    <t xml:space="preserve">Steel Plates </t>
  </si>
  <si>
    <t>C11.4.7</t>
  </si>
  <si>
    <t>Removing Existing Guardrails</t>
  </si>
  <si>
    <t>C11.4.14</t>
  </si>
  <si>
    <t>Nailing of gang nail plates on top of timber guardrail posts</t>
  </si>
  <si>
    <t>C11.4.15</t>
  </si>
  <si>
    <t>Disposal of existing guardrails</t>
  </si>
  <si>
    <t>C11.4.15.1</t>
  </si>
  <si>
    <t>Straight or curved long guardrails</t>
  </si>
  <si>
    <t>C11.4.15.2</t>
  </si>
  <si>
    <t>End treatments with single guardrails</t>
  </si>
  <si>
    <t>C11.6</t>
  </si>
  <si>
    <t>ROAD SIGNS</t>
  </si>
  <si>
    <t>C11.6.1</t>
  </si>
  <si>
    <t>Road signboards with painted or coloured semi-matt background. Symbols, lettering and borders in semi- matt black or in Class I retro-reflective material, where the sign board is constructed from:</t>
  </si>
  <si>
    <t>C11.6.1.3</t>
  </si>
  <si>
    <t>Prepainetd Galvanised steel plate</t>
  </si>
  <si>
    <t>Area 0 to 0.5m²</t>
  </si>
  <si>
    <t>Area exceeding 0.5m² but not 2.0m²</t>
  </si>
  <si>
    <t>Area exceeding 2m² but not 10m²</t>
  </si>
  <si>
    <t>Area exceeding 10m²</t>
  </si>
  <si>
    <t>C11.6.1.8</t>
  </si>
  <si>
    <t>Regulatory signs, temporary</t>
  </si>
  <si>
    <r>
      <t xml:space="preserve">900mm diameter </t>
    </r>
    <r>
      <rPr>
        <i/>
        <sz val="9"/>
        <color indexed="8"/>
        <rFont val="Arial"/>
        <family val="2"/>
      </rPr>
      <t>(prepainted galvanised sheeting with class III retroreflective backgrounds and borders and semi matt symbols)</t>
    </r>
  </si>
  <si>
    <t>C11.6.1.9</t>
  </si>
  <si>
    <t>Warning Signs, permanent</t>
  </si>
  <si>
    <r>
      <t xml:space="preserve">1200mm diameter </t>
    </r>
    <r>
      <rPr>
        <i/>
        <sz val="9"/>
        <color indexed="8"/>
        <rFont val="Arial"/>
        <family val="2"/>
      </rPr>
      <t>(prepainted galvanised sheeting with class III retroreflective backgrounds and borders and semi matt symbols)</t>
    </r>
  </si>
  <si>
    <t>C11.6.1.11</t>
  </si>
  <si>
    <r>
      <t xml:space="preserve">Supplementary plates to permanent regulatory or warning signs </t>
    </r>
    <r>
      <rPr>
        <i/>
        <sz val="9"/>
        <color indexed="8"/>
        <rFont val="Arial"/>
        <family val="2"/>
      </rPr>
      <t>(prepainted galvanised sheeting with class III retroreflective backgrounds and borders and semi matt symbols)</t>
    </r>
  </si>
  <si>
    <t>C11.6.2</t>
  </si>
  <si>
    <t>Extra over on item C11.6.1 for using:</t>
  </si>
  <si>
    <t>C11.6.2.1</t>
  </si>
  <si>
    <t>Background of retro-reflective material:</t>
  </si>
  <si>
    <t>Class I</t>
  </si>
  <si>
    <t>C11.6.2.2</t>
  </si>
  <si>
    <t>Lettering, symbols, Nos, arrows, emblems and borders of retro-reflective material:</t>
  </si>
  <si>
    <t>Class III</t>
  </si>
  <si>
    <t>C11.6.3</t>
  </si>
  <si>
    <r>
      <t xml:space="preserve">Road sign supports </t>
    </r>
    <r>
      <rPr>
        <sz val="9"/>
        <color indexed="8"/>
        <rFont val="Arial"/>
        <family val="2"/>
      </rPr>
      <t>(overhead road sign structures excluded)</t>
    </r>
  </si>
  <si>
    <t>C11.6.3.1</t>
  </si>
  <si>
    <r>
      <t>Steel tubing (150</t>
    </r>
    <r>
      <rPr>
        <sz val="9"/>
        <color indexed="8"/>
        <rFont val="Aptos Narrow"/>
        <family val="2"/>
      </rPr>
      <t>Ø )</t>
    </r>
  </si>
  <si>
    <t>C11.6.3.2</t>
  </si>
  <si>
    <r>
      <t xml:space="preserve">Timber </t>
    </r>
    <r>
      <rPr>
        <i/>
        <sz val="9"/>
        <color indexed="8"/>
        <rFont val="Arial"/>
        <family val="2"/>
      </rPr>
      <t>(150</t>
    </r>
    <r>
      <rPr>
        <i/>
        <sz val="9"/>
        <color indexed="8"/>
        <rFont val="Aptos Narrow"/>
        <family val="2"/>
      </rPr>
      <t>Ø and CCA treated)</t>
    </r>
  </si>
  <si>
    <t>C11.6.5</t>
  </si>
  <si>
    <t xml:space="preserve">Excavation and backfilling for road sign supports (not applicable for kilometer posts) </t>
  </si>
  <si>
    <t>C11.6.5.1</t>
  </si>
  <si>
    <t>Excavating soft material and backfilling</t>
  </si>
  <si>
    <t>C11.6.5.2</t>
  </si>
  <si>
    <t>Extra over on item C11.6.5.1 for hard material excavation</t>
  </si>
  <si>
    <t>C11.6.10</t>
  </si>
  <si>
    <t>Disposing of road signs with surface area of:</t>
  </si>
  <si>
    <t>C11.6.10.1</t>
  </si>
  <si>
    <t>C11.6.10.2</t>
  </si>
  <si>
    <t>C11.6.10.3</t>
  </si>
  <si>
    <t>Area exceeding 2.0m² but not 10.0m²</t>
  </si>
  <si>
    <t>C11.6.10.4</t>
  </si>
  <si>
    <t>C11.7</t>
  </si>
  <si>
    <t>ROAD MARKINGS AND ROAD STUDS</t>
  </si>
  <si>
    <t>C11.7.2</t>
  </si>
  <si>
    <t>Retro-reflective road marking:</t>
  </si>
  <si>
    <t>C11.7.2.1</t>
  </si>
  <si>
    <r>
      <t xml:space="preserve">White lines broken or unbroken </t>
    </r>
    <r>
      <rPr>
        <i/>
        <sz val="9"/>
        <color indexed="8"/>
        <rFont val="Arial"/>
        <family val="2"/>
      </rPr>
      <t>(solvent based paint 100mm width)</t>
    </r>
  </si>
  <si>
    <t>C11.7.2.2</t>
  </si>
  <si>
    <r>
      <t xml:space="preserve">Yellow lines broken or unbroken </t>
    </r>
    <r>
      <rPr>
        <i/>
        <sz val="9"/>
        <color indexed="8"/>
        <rFont val="Arial"/>
        <family val="2"/>
      </rPr>
      <t>(solvent based paint 100mm width)</t>
    </r>
  </si>
  <si>
    <t>C11.7.2.4</t>
  </si>
  <si>
    <r>
      <t xml:space="preserve">White and yellow lettering and symbols </t>
    </r>
    <r>
      <rPr>
        <i/>
        <sz val="9"/>
        <color indexed="8"/>
        <rFont val="Arial"/>
        <family val="2"/>
      </rPr>
      <t>(solvent based)</t>
    </r>
  </si>
  <si>
    <t>C11.7.2.7</t>
  </si>
  <si>
    <t>Transverse lines, painted island and arrestor bed markings (any colour) (paint type indicated)</t>
  </si>
  <si>
    <t>C11.7.3</t>
  </si>
  <si>
    <t>Thermoplastic road marking</t>
  </si>
  <si>
    <t>C11.7.3.1</t>
  </si>
  <si>
    <t>Thermoplastic road marking, broken or unbroken</t>
  </si>
  <si>
    <t>White lines broken or unbroken 100mm width</t>
  </si>
  <si>
    <t>Yellow lines broken or unbroken 100mm width</t>
  </si>
  <si>
    <t>C11.7.5</t>
  </si>
  <si>
    <t>Variations in rate of application :</t>
  </si>
  <si>
    <t>C11.7.5.1</t>
  </si>
  <si>
    <t>White paint</t>
  </si>
  <si>
    <t xml:space="preserve">Rate only </t>
  </si>
  <si>
    <t>C11.7.5.2</t>
  </si>
  <si>
    <t>Yellow paint</t>
  </si>
  <si>
    <t>C11.7.5.4</t>
  </si>
  <si>
    <t>Retro-reflective beads</t>
  </si>
  <si>
    <t>C11.7.5.5</t>
  </si>
  <si>
    <t>Thermoplastic material, all colours</t>
  </si>
  <si>
    <t>C11.7.7</t>
  </si>
  <si>
    <t>Road studs</t>
  </si>
  <si>
    <t>C11.7.7.1</t>
  </si>
  <si>
    <t xml:space="preserve">Permanent road studs compliant to SANS 1442 (100mm X  100mm x 20mm plastic stick on type with 43 bead glass reflectors - Bi-directional (any colour) </t>
  </si>
  <si>
    <t>C11.7.7.3</t>
  </si>
  <si>
    <t xml:space="preserve">Temporary road studs compliant to SANS 1442 (100mm X  100mm x 20mm plastic stick on type with 43 bead glass reflectors - Bi-directional (any colour) </t>
  </si>
  <si>
    <t>C11.7.8</t>
  </si>
  <si>
    <t>Setting out and premarking the lines (excluding traffic island markings, lettering and symbols)</t>
  </si>
  <si>
    <t>C11.7.9</t>
  </si>
  <si>
    <t>Re-establishing the painting unit during the defects notification period and at other instances on instruction of the Engineer</t>
  </si>
  <si>
    <t>Pg 1</t>
  </si>
  <si>
    <t>C11.7.11</t>
  </si>
  <si>
    <t>Removal of existing road studs</t>
  </si>
  <si>
    <t>Pg 2</t>
  </si>
  <si>
    <t>Pg 3</t>
  </si>
  <si>
    <t>C11.9</t>
  </si>
  <si>
    <t>FINISHING THE ROAD AND ROAD RESERVE AND TREATING OLD ROADS</t>
  </si>
  <si>
    <t>C11.9.1</t>
  </si>
  <si>
    <t>Finishing the road and road reserve:</t>
  </si>
  <si>
    <t>Pg 4</t>
  </si>
  <si>
    <t>C11.9.1.2</t>
  </si>
  <si>
    <t>Single carriageway road</t>
  </si>
  <si>
    <t>TOTAL CARRIED FORWARD TO PAGE 3</t>
  </si>
  <si>
    <t>C13.7</t>
  </si>
  <si>
    <t>JOINTS</t>
  </si>
  <si>
    <t>C13.7.5</t>
  </si>
  <si>
    <t>Supply and installation of Agrément South Africa certified proprietary expansion joints</t>
  </si>
  <si>
    <t>C13.7.5.2</t>
  </si>
  <si>
    <t xml:space="preserve"> Asphaltic plug type joints</t>
  </si>
  <si>
    <t>Pg 5</t>
  </si>
  <si>
    <t>300mm x 50mm</t>
  </si>
  <si>
    <t>Extra over for variation in joint depth of asphaltic joints</t>
  </si>
  <si>
    <t>C13.7.5.3</t>
  </si>
  <si>
    <t>Provision of Engineering Drawings af Proprietory joints and certification after instalation by an ECSA registered proffesional Engineer or technologist</t>
  </si>
  <si>
    <t>C20.1</t>
  </si>
  <si>
    <t>Pg 6</t>
  </si>
  <si>
    <t>D1000</t>
  </si>
  <si>
    <t>TESTING MATERIALS AND JUDGEMENT OF WORKMANSHIP</t>
  </si>
  <si>
    <t>C20.1.2</t>
  </si>
  <si>
    <t>Special tests requested by the Engineer</t>
  </si>
  <si>
    <t>C20.1.2.2</t>
  </si>
  <si>
    <t>Employer's contribution to other special tests</t>
  </si>
  <si>
    <t xml:space="preserve">Other tests required by the engineer </t>
  </si>
  <si>
    <t>Handling costs and profit in respect of item C20.1.2.2(a)</t>
  </si>
  <si>
    <t>PC20.1.5</t>
  </si>
  <si>
    <t>Financial contribution for an independent site laboratory (to be a negative rate)</t>
  </si>
  <si>
    <t>PC20.1.6</t>
  </si>
  <si>
    <t>Payment of Independent site laboratory</t>
  </si>
  <si>
    <t>C20.1.6.1</t>
  </si>
  <si>
    <t>Direct payment by contractor</t>
  </si>
  <si>
    <t>Handling cost and profit in respect of item C20.1.6.1</t>
  </si>
  <si>
    <t>TRAINING, COACHING, GUIDANCE, MENTORING AND ASSISTANCE</t>
  </si>
  <si>
    <t>D10.01</t>
  </si>
  <si>
    <t>Target Group Participation</t>
  </si>
  <si>
    <t>Contract Participation Performance Bonus</t>
  </si>
  <si>
    <t>prime cost (PC) sum</t>
  </si>
  <si>
    <t>D10.02</t>
  </si>
  <si>
    <t>Stakeholder and Community Liaison and Social Facilitation</t>
  </si>
  <si>
    <t>Cost of liaison, social facilitation and PLC support</t>
  </si>
  <si>
    <t>Handling cost and profit in respect of sub-item D10.02(a)</t>
  </si>
  <si>
    <t>D10.03</t>
  </si>
  <si>
    <t>Tender Process for Targeted Enterprises</t>
  </si>
  <si>
    <t>Contractor’s charge for the management and execution of the Targeted Enterprise procurement process:</t>
  </si>
  <si>
    <t>Procurement process for the totality of all tenders concluded for the appointment of Targeted Enterprise subcontractors of CIDB 1 and 2 contractor grading</t>
  </si>
  <si>
    <t>Procurement process for the totality of all tenders concluded for the appointment of Targeted Enterprise subcontractors of CIDB 3 and 4 contractor grading</t>
  </si>
  <si>
    <t>(iii)</t>
  </si>
  <si>
    <t>Procurement process for the totality of all tenders concluded for the appointment of Targeted Enterprise subcontractors of CIDB 5 and higher contractor grading</t>
  </si>
  <si>
    <t>(iv)</t>
  </si>
  <si>
    <t>Procurement process for the totality of all tenders concluded for the appointment of Targeted Enterprise suppliers</t>
  </si>
  <si>
    <t>Targeted Enterprise Procurement Coordinator</t>
  </si>
  <si>
    <t>D10.04</t>
  </si>
  <si>
    <t xml:space="preserve">Responsibilities of the Contractor towards Targeted Enterprises </t>
  </si>
  <si>
    <t>Contractor’s establishment, management, management support, assistance, coaching, guidance, mentoring and supervision of Targeted Enterprises</t>
  </si>
  <si>
    <t>Targeted Enterprise Construction Manager</t>
  </si>
  <si>
    <t>Person.Month</t>
  </si>
  <si>
    <t>Targeted Enterprise Site Supervisors</t>
  </si>
  <si>
    <t>D10.05</t>
  </si>
  <si>
    <t>Construction Works by Targeted Enterprises</t>
  </si>
  <si>
    <t>Payments associated with the construction works carried out by Targeted Enterprise subcontractors of CIDB 1 and 2 contractor grading designation appointed in terms of Section D</t>
  </si>
  <si>
    <t>Handling costs and profit in respect of payment associated with sub-item D10.05(a)</t>
  </si>
  <si>
    <t>Fluctuation between the main contractor’s rates and that of the Targeted Enterprise subcontractors</t>
  </si>
  <si>
    <t>Preliminary and General Obligations of Targeted Enterprise sub-contractors appointed in terms of Section D</t>
  </si>
  <si>
    <t>D10.06</t>
  </si>
  <si>
    <t>Training, coaching, guidance, mentoring and assistance</t>
  </si>
  <si>
    <t>Training Costs</t>
  </si>
  <si>
    <t>Accredited NQF skills training</t>
  </si>
  <si>
    <t>Accredited generic skills training</t>
  </si>
  <si>
    <t>Community skills training</t>
  </si>
  <si>
    <t xml:space="preserve">Handling cost and profit in respect of subitems D10.06(a)(i), (ii) and (iii) </t>
  </si>
  <si>
    <t>Student experiential training</t>
  </si>
  <si>
    <t>Student stipends</t>
  </si>
  <si>
    <t>Other costs during training</t>
  </si>
  <si>
    <t>Training venue</t>
  </si>
  <si>
    <t>SUMMARY OF SCHEDULE OF QUANTITIES</t>
  </si>
  <si>
    <t>SCHEDULE A : ROAD CONSTRUCTION</t>
  </si>
  <si>
    <t>SECTION</t>
  </si>
  <si>
    <t xml:space="preserve">TOTAL SCHEDULE A : ROAD CONSTRUCTION      </t>
  </si>
  <si>
    <t xml:space="preserve">TOTAL ROADWORKS      </t>
  </si>
  <si>
    <t>TOTAL SCHEDULE D : STAKEHOLDER AND COMMUNITY LIAISON, AND TARGETED LABOUR AND TARGETED ENTERPRISES UTILISATION AND DEVELOPMENT</t>
  </si>
  <si>
    <t>GRAND TOTAL</t>
  </si>
  <si>
    <t>CALCULATION OF TENDER SUM</t>
  </si>
  <si>
    <t>TOTAL SCHEDULE A : ROAD CONSTRUCTION</t>
  </si>
  <si>
    <t>TOTAL WORK</t>
  </si>
  <si>
    <t>VAT 15%</t>
  </si>
  <si>
    <t>TENDER SUM CARRIED TO FORM OF TENDER</t>
  </si>
  <si>
    <t>TENDER AMOUNT</t>
  </si>
  <si>
    <t>ESTIMATE AMOUNT</t>
  </si>
  <si>
    <t>VARIANCE</t>
  </si>
  <si>
    <t>original Contract Duration</t>
  </si>
  <si>
    <t>Estimate @ 26/05/2025</t>
  </si>
  <si>
    <t>Contractor likely wont do this item</t>
  </si>
  <si>
    <t>Nil, masured below</t>
  </si>
  <si>
    <t>Actual</t>
  </si>
  <si>
    <t>Estimated to be Nil</t>
  </si>
  <si>
    <t>Assumed to be N/A</t>
  </si>
  <si>
    <t xml:space="preserve">3 quotations not provided by Contractor </t>
  </si>
  <si>
    <t>RATE</t>
  </si>
  <si>
    <t>QTY</t>
  </si>
  <si>
    <t>AMOUNT</t>
  </si>
  <si>
    <t>Subcontractors</t>
  </si>
  <si>
    <t>Assumed Avarage</t>
  </si>
  <si>
    <t>Est. Haul</t>
  </si>
  <si>
    <t>Distance</t>
  </si>
  <si>
    <t>Volume</t>
  </si>
  <si>
    <t>Thickness</t>
  </si>
  <si>
    <t>Area</t>
  </si>
  <si>
    <t>Width</t>
  </si>
  <si>
    <t>Length</t>
  </si>
  <si>
    <t>Toat</t>
  </si>
  <si>
    <t>Not required</t>
  </si>
  <si>
    <t>Original Contract Duration</t>
  </si>
  <si>
    <t>6 months x 2</t>
  </si>
  <si>
    <t>12 x 60km</t>
  </si>
  <si>
    <t>3 clousures</t>
  </si>
  <si>
    <t>Double sided</t>
  </si>
  <si>
    <t>No. of closures</t>
  </si>
  <si>
    <t>Length (m)</t>
  </si>
  <si>
    <t>No. of Delienators per row</t>
  </si>
  <si>
    <t xml:space="preserve"> Delineators spacing</t>
  </si>
  <si>
    <t>No. of rows</t>
  </si>
  <si>
    <t>Transitions</t>
  </si>
  <si>
    <t>Total per closure</t>
  </si>
  <si>
    <t>All closures</t>
  </si>
  <si>
    <t>Markup</t>
  </si>
  <si>
    <t>Total</t>
  </si>
  <si>
    <t>Ordered by Contractor</t>
  </si>
  <si>
    <t>Provisional as per Tender</t>
  </si>
  <si>
    <t>No. of flags per closure</t>
  </si>
  <si>
    <t>No. of shifts</t>
  </si>
  <si>
    <t>Days per month</t>
  </si>
  <si>
    <t>No. Months</t>
  </si>
  <si>
    <t>3 closures over 5months</t>
  </si>
  <si>
    <t>Signs</t>
  </si>
  <si>
    <t xml:space="preserve">TR Ref. </t>
  </si>
  <si>
    <t>TR214</t>
  </si>
  <si>
    <t>TGS 107/108</t>
  </si>
  <si>
    <t>TIN 11.3</t>
  </si>
  <si>
    <t>TR 201 -40 &amp; 60</t>
  </si>
  <si>
    <t>TW 336</t>
  </si>
  <si>
    <t>TR104</t>
  </si>
  <si>
    <t>TW411</t>
  </si>
  <si>
    <t>Cones</t>
  </si>
  <si>
    <t>3 Closures</t>
  </si>
  <si>
    <t>Duplicated</t>
  </si>
  <si>
    <t>9 months + 6 months night shift</t>
  </si>
  <si>
    <t>Will be covered by the Contractor</t>
  </si>
  <si>
    <t>Provided</t>
  </si>
  <si>
    <t>As per Kangela</t>
  </si>
  <si>
    <t>Lane / pulls</t>
  </si>
  <si>
    <t>spray rate</t>
  </si>
  <si>
    <t>Bond coat</t>
  </si>
  <si>
    <t>Excludes off-ramps</t>
  </si>
  <si>
    <t>conv. Factor</t>
  </si>
  <si>
    <t>Tons</t>
  </si>
  <si>
    <t>10% Allowence for thickness variations</t>
  </si>
  <si>
    <t>Allowence for ramps</t>
  </si>
  <si>
    <t>Being done by Roadlab</t>
  </si>
  <si>
    <t>Guardrails (m)</t>
  </si>
  <si>
    <t>GUARDRAILS (LHS)</t>
  </si>
  <si>
    <t>REF No.</t>
  </si>
  <si>
    <t>KM MARKER</t>
  </si>
  <si>
    <t>KM START</t>
  </si>
  <si>
    <t xml:space="preserve">DISTANCE TO START </t>
  </si>
  <si>
    <t>KM END</t>
  </si>
  <si>
    <t>TOTAL LENGTH (KM)</t>
  </si>
  <si>
    <t>STRAIGHT LENGTH (KM)</t>
  </si>
  <si>
    <t>APPROACH LENGTH (KM)</t>
  </si>
  <si>
    <t>DEPARTING  LENGTH (KM)</t>
  </si>
  <si>
    <t xml:space="preserve">REMARKS </t>
  </si>
  <si>
    <t>End Wings</t>
  </si>
  <si>
    <t>TOTALS</t>
  </si>
  <si>
    <t>KM (Start)</t>
  </si>
  <si>
    <t>KM (End)</t>
  </si>
  <si>
    <t xml:space="preserve">Position </t>
  </si>
  <si>
    <t>Lane/Centerline</t>
  </si>
  <si>
    <t>Type</t>
  </si>
  <si>
    <t xml:space="preserve">Width (m) </t>
  </si>
  <si>
    <t>Area (m^2)</t>
  </si>
  <si>
    <t>Material</t>
  </si>
  <si>
    <t xml:space="preserve">Condition </t>
  </si>
  <si>
    <t>44+000</t>
  </si>
  <si>
    <t>74+300</t>
  </si>
  <si>
    <t>N2</t>
  </si>
  <si>
    <t>SBC</t>
  </si>
  <si>
    <t>Yellow line</t>
  </si>
  <si>
    <t>Thermoplastic</t>
  </si>
  <si>
    <t>Worn Out</t>
  </si>
  <si>
    <t>NBC</t>
  </si>
  <si>
    <t>44+022</t>
  </si>
  <si>
    <t>Extending from on ramp</t>
  </si>
  <si>
    <t>Dotted White</t>
  </si>
  <si>
    <t>44+075</t>
  </si>
  <si>
    <t>44+290</t>
  </si>
  <si>
    <t>Centerline</t>
  </si>
  <si>
    <t>Solid Broken White Line</t>
  </si>
  <si>
    <t>44+298</t>
  </si>
  <si>
    <t>45+498</t>
  </si>
  <si>
    <t>Broken White Line</t>
  </si>
  <si>
    <t>45+506</t>
  </si>
  <si>
    <t>45+520</t>
  </si>
  <si>
    <t>45+660</t>
  </si>
  <si>
    <t>45+715</t>
  </si>
  <si>
    <t>45+739</t>
  </si>
  <si>
    <t>Solid White Line</t>
  </si>
  <si>
    <t>45+741</t>
  </si>
  <si>
    <t>45+839</t>
  </si>
  <si>
    <t>45+979</t>
  </si>
  <si>
    <t>46+060</t>
  </si>
  <si>
    <t>Dual Soild Broken White Line</t>
  </si>
  <si>
    <t>45+060</t>
  </si>
  <si>
    <t>43+131</t>
  </si>
  <si>
    <t>46+138</t>
  </si>
  <si>
    <t>46+488</t>
  </si>
  <si>
    <t>46+495</t>
  </si>
  <si>
    <t>46+845</t>
  </si>
  <si>
    <t>46+913</t>
  </si>
  <si>
    <t>55+000</t>
  </si>
  <si>
    <t>55+040</t>
  </si>
  <si>
    <t>55+041</t>
  </si>
  <si>
    <t>55+391</t>
  </si>
  <si>
    <t>55+350</t>
  </si>
  <si>
    <t>55+510</t>
  </si>
  <si>
    <t>55+516</t>
  </si>
  <si>
    <t>55+736</t>
  </si>
  <si>
    <t>56+136</t>
  </si>
  <si>
    <t xml:space="preserve">Solid Broken White Line </t>
  </si>
  <si>
    <t>56+142</t>
  </si>
  <si>
    <t>58+842</t>
  </si>
  <si>
    <t>58+846</t>
  </si>
  <si>
    <t>59+082</t>
  </si>
  <si>
    <t>59+090</t>
  </si>
  <si>
    <t>59+142</t>
  </si>
  <si>
    <t>59+149</t>
  </si>
  <si>
    <t>60+242</t>
  </si>
  <si>
    <t>59+349</t>
  </si>
  <si>
    <t>59+849</t>
  </si>
  <si>
    <t>60+248</t>
  </si>
  <si>
    <t>62+148</t>
  </si>
  <si>
    <t>62+155</t>
  </si>
  <si>
    <t>62+805</t>
  </si>
  <si>
    <t>62+455</t>
  </si>
  <si>
    <t>62+519</t>
  </si>
  <si>
    <t>62+812</t>
  </si>
  <si>
    <t>63+613</t>
  </si>
  <si>
    <t>63+620</t>
  </si>
  <si>
    <t>64+470</t>
  </si>
  <si>
    <t>64+020</t>
  </si>
  <si>
    <t>64+120</t>
  </si>
  <si>
    <t>64+870</t>
  </si>
  <si>
    <t>64+877</t>
  </si>
  <si>
    <t>66+270</t>
  </si>
  <si>
    <t>65+017</t>
  </si>
  <si>
    <t>65+207</t>
  </si>
  <si>
    <t xml:space="preserve">Additional Lane </t>
  </si>
  <si>
    <t>65+061</t>
  </si>
  <si>
    <t>65+107</t>
  </si>
  <si>
    <t>65+507</t>
  </si>
  <si>
    <t>65+206</t>
  </si>
  <si>
    <t>65+386</t>
  </si>
  <si>
    <t>65+516</t>
  </si>
  <si>
    <t>65+521</t>
  </si>
  <si>
    <t>65+671</t>
  </si>
  <si>
    <t>65+749</t>
  </si>
  <si>
    <t>65+810</t>
  </si>
  <si>
    <t>66+060</t>
  </si>
  <si>
    <t>66+660</t>
  </si>
  <si>
    <t>Broken White  Line</t>
  </si>
  <si>
    <t>66+667</t>
  </si>
  <si>
    <t>66+360</t>
  </si>
  <si>
    <t>67+010</t>
  </si>
  <si>
    <t>67+200</t>
  </si>
  <si>
    <t>67+253</t>
  </si>
  <si>
    <t>67+603</t>
  </si>
  <si>
    <t>67+610</t>
  </si>
  <si>
    <t>69+410</t>
  </si>
  <si>
    <t>69+417</t>
  </si>
  <si>
    <t>69+498</t>
  </si>
  <si>
    <t>69+505</t>
  </si>
  <si>
    <t>69+523</t>
  </si>
  <si>
    <t>69+530</t>
  </si>
  <si>
    <t>69+780</t>
  </si>
  <si>
    <t>69+900</t>
  </si>
  <si>
    <t>70+200</t>
  </si>
  <si>
    <t>70+207</t>
  </si>
  <si>
    <t>71+100</t>
  </si>
  <si>
    <t>71+107</t>
  </si>
  <si>
    <t>71+507</t>
  </si>
  <si>
    <t>72+157</t>
  </si>
  <si>
    <t>72+557</t>
  </si>
  <si>
    <t>72+564</t>
  </si>
  <si>
    <t>73+400</t>
  </si>
  <si>
    <t xml:space="preserve">Island ID </t>
  </si>
  <si>
    <t>Height (m)</t>
  </si>
  <si>
    <t>43+900</t>
  </si>
  <si>
    <t>44+027</t>
  </si>
  <si>
    <t>46+700</t>
  </si>
  <si>
    <t>46+892</t>
  </si>
  <si>
    <t>46+870</t>
  </si>
  <si>
    <t>46+893</t>
  </si>
  <si>
    <t>55+650</t>
  </si>
  <si>
    <t>55+723</t>
  </si>
  <si>
    <t>64+800</t>
  </si>
  <si>
    <t>64+873</t>
  </si>
  <si>
    <t>65+600</t>
  </si>
  <si>
    <t>65+673</t>
  </si>
  <si>
    <t>White</t>
  </si>
  <si>
    <t>Yellow</t>
  </si>
  <si>
    <t>TBD- Late Completion</t>
  </si>
  <si>
    <t>Assume 3 no will be provided for 6 months</t>
  </si>
  <si>
    <t>Like low and will be utilised</t>
  </si>
  <si>
    <t>Reducing this and moving to asphalt would not make a difference as the Contractor carries the shortfall anyway</t>
  </si>
  <si>
    <t>Not yet confirmed</t>
  </si>
  <si>
    <t>3 students for 12 months</t>
  </si>
  <si>
    <t>4 students for 12 months</t>
  </si>
  <si>
    <t>This may likely not be done</t>
  </si>
  <si>
    <t xml:space="preserve">No new unlined drains required </t>
  </si>
  <si>
    <t>May not be required</t>
  </si>
  <si>
    <t>1,2mX1,2mX1.0mX30no.</t>
  </si>
  <si>
    <t>Unknown at this stage</t>
  </si>
  <si>
    <t>Assumed - 22300mX2no. X1.0mX0,075m*50%</t>
  </si>
  <si>
    <t>There is only sufficient concrete for 2170m of 1.0m wide drain</t>
  </si>
  <si>
    <t>Assumed 4 drains are going to be installed</t>
  </si>
  <si>
    <t>Assumed 4 drains are going to be installed. Existing Rodding Eyes not found</t>
  </si>
  <si>
    <t>Above qty over a 25km haul distance</t>
  </si>
  <si>
    <t>Billed</t>
  </si>
  <si>
    <t>Assumed length of Type E drain =</t>
  </si>
  <si>
    <t>m</t>
  </si>
  <si>
    <t>Clearing in ha</t>
  </si>
  <si>
    <t>Likely no tests. Need to discuss Mods, compaction uner drains etc</t>
  </si>
  <si>
    <t>Latest CPG Plan</t>
  </si>
  <si>
    <t>Value to be paid from main BOQ</t>
  </si>
  <si>
    <t>COMMENTS</t>
  </si>
  <si>
    <t>Checks</t>
  </si>
  <si>
    <t>mm</t>
  </si>
  <si>
    <r>
      <t>Based on m</t>
    </r>
    <r>
      <rPr>
        <b/>
        <sz val="11"/>
        <color theme="1"/>
        <rFont val="Calibri"/>
        <family val="2"/>
      </rPr>
      <t>²</t>
    </r>
  </si>
  <si>
    <t>Road</t>
  </si>
  <si>
    <t>Ramps</t>
  </si>
  <si>
    <r>
      <t>m</t>
    </r>
    <r>
      <rPr>
        <sz val="11"/>
        <color theme="1"/>
        <rFont val="Calibri"/>
        <family val="2"/>
      </rPr>
      <t>³</t>
    </r>
  </si>
  <si>
    <r>
      <t>m</t>
    </r>
    <r>
      <rPr>
        <sz val="11"/>
        <color theme="1"/>
        <rFont val="Arial"/>
        <family val="2"/>
      </rPr>
      <t>²</t>
    </r>
  </si>
  <si>
    <t>TEN Civils Rate</t>
  </si>
  <si>
    <t>Variance</t>
  </si>
  <si>
    <t>TEN Civils Amount</t>
  </si>
  <si>
    <t>TEN Civils = 7mnths</t>
  </si>
  <si>
    <t>No coring of asphalt?</t>
  </si>
  <si>
    <t>TEN Civils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</si>
</sst>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R&quot;#,##0.00;[Red]\-&quot;R&quot;#,##0.00"/>
    <numFmt numFmtId="41" formatCode="_-* #,##0_-;\-* #,##0_-;_-* &quot;-&quot;_-;_-@_-"/>
    <numFmt numFmtId="44" formatCode="_-&quot;R&quot;* #,##0.00_-;\-&quot;R&quot;* #,##0.00_-;_-&quot;R&quot;* &quot;-&quot;??_-;_-@_-"/>
    <numFmt numFmtId="43" formatCode="_-* #,##0.00_-;\-* #,##0.00_-;_-* &quot;-&quot;??_-;_-@_-"/>
    <numFmt numFmtId="164" formatCode="_(* #,##0.00_);_(* \(#,##0.00\);_(* &quot;-&quot;??_);_(@_)"/>
    <numFmt numFmtId="165" formatCode="&quot;R&quot;#,##0.00"/>
    <numFmt numFmtId="166" formatCode="_ &quot;R&quot;\ * #,##0.00_ ;_ &quot;R&quot;\ * \-#,##0.00_ ;_ &quot;R&quot;\ * &quot;-&quot;??_ ;_ @_ "/>
    <numFmt numFmtId="167" formatCode="0.000"/>
    <numFmt numFmtId="168" formatCode="#,##0.00000"/>
    <numFmt numFmtId="169" formatCode="#,##0.0"/>
    <numFmt numFmtId="170" formatCode="#,##0.000"/>
    <numFmt numFmtId="171" formatCode="_-[$R-1C09]* #,##0.00_-;\-[$R-1C09]* #,##0.00_-;_-[$R-1C09]* &quot;-&quot;??_-;_-@_-"/>
  </numFmts>
  <fonts count="3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12"/>
      <name val="Arial"/>
      <family val="2"/>
    </font>
    <font>
      <sz val="8"/>
      <name val="Courier New"/>
      <family val="3"/>
    </font>
    <font>
      <b/>
      <sz val="12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i/>
      <sz val="9"/>
      <color indexed="8"/>
      <name val="Arial"/>
      <family val="2"/>
    </font>
    <font>
      <b/>
      <sz val="9"/>
      <color rgb="FFFF0000"/>
      <name val="Arial"/>
      <family val="2"/>
    </font>
    <font>
      <sz val="9"/>
      <color indexed="8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name val="Aptos Narrow"/>
      <family val="2"/>
    </font>
    <font>
      <sz val="8.1"/>
      <name val="Arial"/>
      <family val="2"/>
    </font>
    <font>
      <vertAlign val="superscript"/>
      <sz val="9"/>
      <color rgb="FF000000"/>
      <name val="Arial"/>
      <family val="2"/>
    </font>
    <font>
      <sz val="9"/>
      <color rgb="FF000000"/>
      <name val="Aptos Narrow"/>
      <family val="2"/>
    </font>
    <font>
      <sz val="8.1"/>
      <color rgb="FF000000"/>
      <name val="Arial"/>
      <family val="2"/>
    </font>
    <font>
      <sz val="9"/>
      <color indexed="8"/>
      <name val="Aptos Narrow"/>
      <family val="2"/>
    </font>
    <font>
      <i/>
      <sz val="9"/>
      <color indexed="8"/>
      <name val="Aptos Narrow"/>
      <family val="2"/>
    </font>
    <font>
      <b/>
      <sz val="11"/>
      <name val="Arial"/>
      <family val="2"/>
    </font>
    <font>
      <b/>
      <u/>
      <sz val="12"/>
      <name val="Arial"/>
      <family val="2"/>
    </font>
    <font>
      <b/>
      <u/>
      <sz val="10"/>
      <name val="Arial"/>
      <family val="2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9">
    <xf numFmtId="0" fontId="0" fillId="0" borderId="0"/>
    <xf numFmtId="4" fontId="4" fillId="0" borderId="0" applyProtection="0"/>
    <xf numFmtId="0" fontId="5" fillId="0" borderId="0"/>
    <xf numFmtId="10" fontId="4" fillId="0" borderId="0" applyProtection="0"/>
    <xf numFmtId="0" fontId="1" fillId="0" borderId="0"/>
    <xf numFmtId="0" fontId="7" fillId="0" borderId="0"/>
    <xf numFmtId="43" fontId="1" fillId="0" borderId="0" applyFont="0" applyFill="0" applyBorder="0" applyAlignment="0" applyProtection="0"/>
    <xf numFmtId="4" fontId="4" fillId="0" borderId="0" applyProtection="0"/>
    <xf numFmtId="44" fontId="1" fillId="0" borderId="0" applyFont="0" applyFill="0" applyBorder="0" applyAlignment="0" applyProtection="0"/>
  </cellStyleXfs>
  <cellXfs count="64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4" fontId="3" fillId="0" borderId="0" xfId="1" applyFont="1"/>
    <xf numFmtId="165" fontId="3" fillId="0" borderId="0" xfId="0" applyNumberFormat="1" applyFont="1"/>
    <xf numFmtId="0" fontId="6" fillId="0" borderId="0" xfId="2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2" applyFont="1" applyAlignment="1">
      <alignment vertical="top" wrapText="1"/>
    </xf>
    <xf numFmtId="0" fontId="2" fillId="0" borderId="0" xfId="2" applyFont="1"/>
    <xf numFmtId="0" fontId="2" fillId="0" borderId="0" xfId="2" applyFont="1" applyAlignment="1">
      <alignment horizontal="center"/>
    </xf>
    <xf numFmtId="0" fontId="6" fillId="0" borderId="0" xfId="2" applyFont="1" applyAlignment="1">
      <alignment horizontal="right" vertical="center"/>
    </xf>
    <xf numFmtId="4" fontId="2" fillId="0" borderId="0" xfId="2" applyNumberFormat="1" applyFont="1" applyAlignment="1">
      <alignment horizontal="right" vertical="center"/>
    </xf>
    <xf numFmtId="0" fontId="2" fillId="0" borderId="0" xfId="2" applyFont="1" applyAlignment="1">
      <alignment horizontal="right" vertical="center"/>
    </xf>
    <xf numFmtId="4" fontId="3" fillId="0" borderId="0" xfId="1" applyFont="1" applyAlignment="1">
      <alignment horizontal="right" vertical="center"/>
    </xf>
    <xf numFmtId="165" fontId="2" fillId="0" borderId="0" xfId="0" applyNumberFormat="1" applyFont="1"/>
    <xf numFmtId="0" fontId="3" fillId="0" borderId="1" xfId="2" applyFont="1" applyBorder="1" applyAlignment="1">
      <alignment horizontal="center" vertical="top"/>
    </xf>
    <xf numFmtId="0" fontId="3" fillId="0" borderId="1" xfId="2" applyFont="1" applyBorder="1" applyAlignment="1">
      <alignment horizontal="center" vertical="top" wrapText="1"/>
    </xf>
    <xf numFmtId="0" fontId="3" fillId="0" borderId="1" xfId="2" applyFont="1" applyBorder="1" applyAlignment="1">
      <alignment horizontal="center" vertical="center" wrapText="1"/>
    </xf>
    <xf numFmtId="4" fontId="3" fillId="0" borderId="1" xfId="2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" fontId="3" fillId="0" borderId="1" xfId="1" applyFont="1" applyBorder="1" applyAlignment="1">
      <alignment horizontal="center" vertical="center" wrapText="1"/>
    </xf>
    <xf numFmtId="4" fontId="3" fillId="0" borderId="0" xfId="1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2" xfId="2" applyFont="1" applyBorder="1" applyAlignment="1">
      <alignment horizontal="left" vertical="top"/>
    </xf>
    <xf numFmtId="0" fontId="2" fillId="0" borderId="0" xfId="2" applyFont="1" applyAlignment="1">
      <alignment horizontal="left" vertical="top"/>
    </xf>
    <xf numFmtId="0" fontId="2" fillId="0" borderId="3" xfId="2" applyFont="1" applyBorder="1" applyAlignment="1">
      <alignment horizontal="left" vertical="top"/>
    </xf>
    <xf numFmtId="0" fontId="2" fillId="0" borderId="4" xfId="0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2" fillId="0" borderId="5" xfId="2" applyFont="1" applyBorder="1" applyAlignment="1">
      <alignment horizontal="center"/>
    </xf>
    <xf numFmtId="0" fontId="2" fillId="0" borderId="5" xfId="2" applyFont="1" applyBorder="1" applyAlignment="1">
      <alignment horizontal="right" vertical="center"/>
    </xf>
    <xf numFmtId="4" fontId="2" fillId="0" borderId="5" xfId="2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4" fontId="2" fillId="0" borderId="5" xfId="1" applyFont="1" applyBorder="1" applyAlignment="1">
      <alignment horizontal="right" vertical="center"/>
    </xf>
    <xf numFmtId="0" fontId="7" fillId="0" borderId="0" xfId="0" applyFont="1"/>
    <xf numFmtId="0" fontId="2" fillId="0" borderId="2" xfId="2" applyFont="1" applyBorder="1" applyAlignment="1" applyProtection="1">
      <alignment horizontal="left" vertical="top"/>
      <protection locked="0"/>
    </xf>
    <xf numFmtId="0" fontId="2" fillId="0" borderId="0" xfId="2" applyFont="1" applyAlignment="1" applyProtection="1">
      <alignment horizontal="left" vertical="top"/>
      <protection locked="0"/>
    </xf>
    <xf numFmtId="0" fontId="3" fillId="0" borderId="0" xfId="0" applyFont="1" applyAlignment="1">
      <alignment horizontal="left" vertical="top"/>
    </xf>
    <xf numFmtId="0" fontId="2" fillId="0" borderId="3" xfId="2" applyFont="1" applyBorder="1" applyAlignment="1" applyProtection="1">
      <alignment horizontal="left" vertical="top"/>
      <protection locked="0"/>
    </xf>
    <xf numFmtId="0" fontId="2" fillId="0" borderId="5" xfId="2" applyFont="1" applyBorder="1" applyAlignment="1" applyProtection="1">
      <alignment horizontal="left" vertical="top" wrapText="1"/>
      <protection locked="0"/>
    </xf>
    <xf numFmtId="0" fontId="3" fillId="0" borderId="5" xfId="2" applyFont="1" applyBorder="1" applyAlignment="1" applyProtection="1">
      <alignment horizontal="center" vertical="center"/>
      <protection locked="0"/>
    </xf>
    <xf numFmtId="4" fontId="3" fillId="0" borderId="5" xfId="2" applyNumberFormat="1" applyFont="1" applyBorder="1" applyAlignment="1" applyProtection="1">
      <alignment horizontal="center" vertical="center"/>
      <protection locked="0"/>
    </xf>
    <xf numFmtId="4" fontId="3" fillId="0" borderId="5" xfId="2" applyNumberFormat="1" applyFont="1" applyBorder="1" applyProtection="1">
      <protection locked="0"/>
    </xf>
    <xf numFmtId="4" fontId="3" fillId="0" borderId="5" xfId="2" applyNumberFormat="1" applyFont="1" applyBorder="1" applyAlignment="1" applyProtection="1">
      <alignment horizontal="right" vertical="center"/>
      <protection locked="0"/>
    </xf>
    <xf numFmtId="4" fontId="3" fillId="0" borderId="5" xfId="2" applyNumberFormat="1" applyFont="1" applyBorder="1" applyAlignment="1">
      <alignment horizontal="right" vertical="center"/>
    </xf>
    <xf numFmtId="4" fontId="3" fillId="0" borderId="5" xfId="1" applyFont="1" applyBorder="1" applyAlignment="1">
      <alignment horizontal="right" vertical="center"/>
    </xf>
    <xf numFmtId="4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vertical="center"/>
    </xf>
    <xf numFmtId="0" fontId="3" fillId="0" borderId="2" xfId="0" applyFont="1" applyBorder="1" applyAlignment="1">
      <alignment horizontal="left" vertical="top"/>
    </xf>
    <xf numFmtId="0" fontId="3" fillId="0" borderId="0" xfId="2" applyFont="1" applyAlignment="1" applyProtection="1">
      <alignment horizontal="left" vertical="top"/>
      <protection locked="0"/>
    </xf>
    <xf numFmtId="0" fontId="3" fillId="0" borderId="3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 wrapText="1"/>
    </xf>
    <xf numFmtId="2" fontId="3" fillId="0" borderId="5" xfId="2" applyNumberFormat="1" applyFont="1" applyBorder="1" applyAlignment="1" applyProtection="1">
      <alignment horizontal="center" vertical="center"/>
      <protection locked="0"/>
    </xf>
    <xf numFmtId="3" fontId="3" fillId="0" borderId="5" xfId="2" applyNumberFormat="1" applyFont="1" applyBorder="1" applyAlignment="1" applyProtection="1">
      <alignment horizontal="center" vertical="center"/>
      <protection locked="0"/>
    </xf>
    <xf numFmtId="4" fontId="3" fillId="0" borderId="5" xfId="2" applyNumberFormat="1" applyFont="1" applyBorder="1" applyAlignment="1" applyProtection="1">
      <alignment vertical="top"/>
      <protection locked="0"/>
    </xf>
    <xf numFmtId="4" fontId="7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5" xfId="2" quotePrefix="1" applyFont="1" applyBorder="1" applyAlignment="1">
      <alignment horizontal="left" vertical="top" wrapText="1"/>
    </xf>
    <xf numFmtId="2" fontId="2" fillId="0" borderId="5" xfId="2" applyNumberFormat="1" applyFont="1" applyBorder="1" applyAlignment="1">
      <alignment horizontal="center" vertical="center"/>
    </xf>
    <xf numFmtId="4" fontId="2" fillId="0" borderId="5" xfId="2" applyNumberFormat="1" applyFont="1" applyBorder="1" applyAlignment="1">
      <alignment horizontal="center" vertical="center"/>
    </xf>
    <xf numFmtId="4" fontId="2" fillId="0" borderId="5" xfId="2" applyNumberFormat="1" applyFont="1" applyBorder="1"/>
    <xf numFmtId="4" fontId="2" fillId="0" borderId="5" xfId="2" applyNumberFormat="1" applyFont="1" applyBorder="1" applyAlignment="1" applyProtection="1">
      <alignment horizontal="right" vertical="center"/>
      <protection locked="0"/>
    </xf>
    <xf numFmtId="2" fontId="3" fillId="2" borderId="5" xfId="2" applyNumberFormat="1" applyFont="1" applyFill="1" applyBorder="1" applyAlignment="1">
      <alignment horizontal="center" vertical="center"/>
    </xf>
    <xf numFmtId="3" fontId="3" fillId="2" borderId="5" xfId="2" applyNumberFormat="1" applyFont="1" applyFill="1" applyBorder="1" applyAlignment="1">
      <alignment horizontal="center" vertical="center"/>
    </xf>
    <xf numFmtId="4" fontId="3" fillId="2" borderId="5" xfId="2" applyNumberFormat="1" applyFont="1" applyFill="1" applyBorder="1" applyAlignment="1">
      <alignment vertical="center"/>
    </xf>
    <xf numFmtId="4" fontId="3" fillId="3" borderId="5" xfId="2" applyNumberFormat="1" applyFont="1" applyFill="1" applyBorder="1" applyAlignment="1">
      <alignment horizontal="right" vertical="center"/>
    </xf>
    <xf numFmtId="10" fontId="9" fillId="0" borderId="0" xfId="0" applyNumberFormat="1" applyFont="1" applyAlignment="1">
      <alignment horizontal="right" vertical="center"/>
    </xf>
    <xf numFmtId="4" fontId="9" fillId="0" borderId="0" xfId="0" applyNumberFormat="1" applyFont="1" applyAlignment="1">
      <alignment horizontal="right" vertical="center"/>
    </xf>
    <xf numFmtId="4" fontId="3" fillId="2" borderId="5" xfId="2" applyNumberFormat="1" applyFont="1" applyFill="1" applyBorder="1" applyAlignment="1">
      <alignment vertical="top"/>
    </xf>
    <xf numFmtId="10" fontId="7" fillId="0" borderId="0" xfId="0" applyNumberFormat="1" applyFont="1" applyAlignment="1">
      <alignment horizontal="right" vertical="top"/>
    </xf>
    <xf numFmtId="2" fontId="3" fillId="0" borderId="5" xfId="2" applyNumberFormat="1" applyFont="1" applyBorder="1" applyAlignment="1">
      <alignment horizontal="center" vertical="center"/>
    </xf>
    <xf numFmtId="3" fontId="3" fillId="0" borderId="5" xfId="2" applyNumberFormat="1" applyFont="1" applyBorder="1" applyAlignment="1">
      <alignment horizontal="center" vertical="center"/>
    </xf>
    <xf numFmtId="4" fontId="3" fillId="0" borderId="5" xfId="2" applyNumberFormat="1" applyFont="1" applyBorder="1" applyAlignment="1">
      <alignment vertical="top"/>
    </xf>
    <xf numFmtId="0" fontId="10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center" vertical="center"/>
    </xf>
    <xf numFmtId="4" fontId="3" fillId="0" borderId="5" xfId="2" applyNumberFormat="1" applyFont="1" applyBorder="1" applyAlignment="1">
      <alignment vertical="center"/>
    </xf>
    <xf numFmtId="10" fontId="7" fillId="0" borderId="0" xfId="0" applyNumberFormat="1" applyFont="1" applyAlignment="1">
      <alignment horizontal="right" vertical="center"/>
    </xf>
    <xf numFmtId="0" fontId="2" fillId="0" borderId="5" xfId="2" applyFont="1" applyBorder="1" applyAlignment="1">
      <alignment horizontal="left" vertical="top" wrapText="1"/>
    </xf>
    <xf numFmtId="4" fontId="3" fillId="0" borderId="5" xfId="2" applyNumberFormat="1" applyFont="1" applyBorder="1" applyAlignment="1">
      <alignment horizontal="center" vertical="center"/>
    </xf>
    <xf numFmtId="8" fontId="3" fillId="0" borderId="0" xfId="0" applyNumberFormat="1" applyFont="1"/>
    <xf numFmtId="0" fontId="3" fillId="0" borderId="5" xfId="2" applyFont="1" applyBorder="1" applyAlignment="1">
      <alignment horizontal="left" vertical="top" wrapText="1"/>
    </xf>
    <xf numFmtId="8" fontId="3" fillId="0" borderId="0" xfId="0" applyNumberFormat="1" applyFont="1" applyAlignment="1">
      <alignment vertical="top"/>
    </xf>
    <xf numFmtId="4" fontId="3" fillId="0" borderId="5" xfId="2" applyNumberFormat="1" applyFont="1" applyBorder="1"/>
    <xf numFmtId="0" fontId="10" fillId="0" borderId="5" xfId="0" applyFont="1" applyBorder="1" applyAlignment="1">
      <alignment horizontal="left" vertical="top"/>
    </xf>
    <xf numFmtId="4" fontId="3" fillId="2" borderId="5" xfId="2" applyNumberFormat="1" applyFont="1" applyFill="1" applyBorder="1" applyAlignment="1" applyProtection="1">
      <alignment horizontal="right" vertical="center"/>
      <protection locked="0"/>
    </xf>
    <xf numFmtId="10" fontId="3" fillId="0" borderId="0" xfId="3" applyFont="1" applyAlignment="1" applyProtection="1">
      <alignment horizontal="right" vertical="center"/>
      <protection locked="0"/>
    </xf>
    <xf numFmtId="8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5" xfId="0" applyFont="1" applyBorder="1" applyAlignment="1">
      <alignment horizontal="left" vertical="top"/>
    </xf>
    <xf numFmtId="0" fontId="10" fillId="0" borderId="5" xfId="0" applyFont="1" applyBorder="1" applyAlignment="1">
      <alignment horizontal="center" vertical="center"/>
    </xf>
    <xf numFmtId="0" fontId="3" fillId="0" borderId="0" xfId="0" applyFont="1" applyAlignment="1">
      <alignment vertical="top"/>
    </xf>
    <xf numFmtId="0" fontId="11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7" xfId="2" applyFont="1" applyBorder="1" applyAlignment="1" applyProtection="1">
      <alignment horizontal="left" vertical="top"/>
      <protection locked="0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9" fillId="0" borderId="9" xfId="2" applyFont="1" applyBorder="1" applyAlignment="1" applyProtection="1">
      <alignment horizontal="left" vertical="center"/>
      <protection locked="0"/>
    </xf>
    <xf numFmtId="0" fontId="9" fillId="0" borderId="10" xfId="2" applyFont="1" applyBorder="1" applyAlignment="1" applyProtection="1">
      <alignment horizontal="left" vertical="center"/>
      <protection locked="0"/>
    </xf>
    <xf numFmtId="0" fontId="9" fillId="0" borderId="11" xfId="2" applyFont="1" applyBorder="1" applyAlignment="1" applyProtection="1">
      <alignment horizontal="center" vertical="center"/>
      <protection locked="0"/>
    </xf>
    <xf numFmtId="0" fontId="9" fillId="0" borderId="1" xfId="2" applyFont="1" applyBorder="1" applyAlignment="1" applyProtection="1">
      <alignment vertical="center"/>
      <protection locked="0"/>
    </xf>
    <xf numFmtId="2" fontId="9" fillId="0" borderId="1" xfId="2" applyNumberFormat="1" applyFont="1" applyBorder="1" applyAlignment="1" applyProtection="1">
      <alignment horizontal="center" vertical="center"/>
      <protection locked="0"/>
    </xf>
    <xf numFmtId="4" fontId="9" fillId="0" borderId="1" xfId="2" applyNumberFormat="1" applyFont="1" applyBorder="1" applyAlignment="1" applyProtection="1">
      <alignment horizontal="center" vertical="center"/>
      <protection locked="0"/>
    </xf>
    <xf numFmtId="4" fontId="9" fillId="0" borderId="1" xfId="2" applyNumberFormat="1" applyFont="1" applyBorder="1" applyAlignment="1" applyProtection="1">
      <alignment vertical="center"/>
      <protection locked="0"/>
    </xf>
    <xf numFmtId="4" fontId="9" fillId="0" borderId="1" xfId="2" applyNumberFormat="1" applyFont="1" applyBorder="1" applyAlignment="1">
      <alignment horizontal="right" vertical="center"/>
    </xf>
    <xf numFmtId="4" fontId="9" fillId="0" borderId="1" xfId="2" applyNumberFormat="1" applyFont="1" applyBorder="1" applyAlignment="1" applyProtection="1">
      <alignment horizontal="right" vertical="center"/>
      <protection locked="0"/>
    </xf>
    <xf numFmtId="4" fontId="9" fillId="0" borderId="0" xfId="2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9" xfId="0" applyFont="1" applyFill="1" applyBorder="1"/>
    <xf numFmtId="0" fontId="2" fillId="2" borderId="10" xfId="0" applyFont="1" applyFill="1" applyBorder="1"/>
    <xf numFmtId="0" fontId="2" fillId="2" borderId="10" xfId="2" applyFont="1" applyFill="1" applyBorder="1" applyAlignment="1" applyProtection="1">
      <alignment horizontal="center" vertical="top"/>
      <protection locked="0"/>
    </xf>
    <xf numFmtId="0" fontId="2" fillId="2" borderId="10" xfId="2" applyFont="1" applyFill="1" applyBorder="1" applyAlignment="1" applyProtection="1">
      <alignment vertical="top" wrapText="1"/>
      <protection locked="0"/>
    </xf>
    <xf numFmtId="2" fontId="2" fillId="2" borderId="10" xfId="2" applyNumberFormat="1" applyFont="1" applyFill="1" applyBorder="1" applyAlignment="1" applyProtection="1">
      <alignment horizontal="center" vertical="center"/>
      <protection locked="0"/>
    </xf>
    <xf numFmtId="4" fontId="2" fillId="2" borderId="10" xfId="2" applyNumberFormat="1" applyFont="1" applyFill="1" applyBorder="1" applyAlignment="1" applyProtection="1">
      <alignment horizontal="center" vertical="center"/>
      <protection locked="0"/>
    </xf>
    <xf numFmtId="4" fontId="2" fillId="0" borderId="10" xfId="2" applyNumberFormat="1" applyFont="1" applyBorder="1" applyAlignment="1" applyProtection="1">
      <alignment vertical="center"/>
      <protection locked="0"/>
    </xf>
    <xf numFmtId="4" fontId="2" fillId="0" borderId="10" xfId="2" applyNumberFormat="1" applyFont="1" applyBorder="1" applyAlignment="1">
      <alignment horizontal="right" vertical="center"/>
    </xf>
    <xf numFmtId="4" fontId="2" fillId="0" borderId="10" xfId="2" applyNumberFormat="1" applyFont="1" applyBorder="1" applyAlignment="1" applyProtection="1">
      <alignment horizontal="right" vertical="center"/>
      <protection locked="0"/>
    </xf>
    <xf numFmtId="4" fontId="2" fillId="2" borderId="10" xfId="2" applyNumberFormat="1" applyFont="1" applyFill="1" applyBorder="1" applyAlignment="1" applyProtection="1">
      <alignment horizontal="right" vertical="center"/>
      <protection locked="0"/>
    </xf>
    <xf numFmtId="4" fontId="2" fillId="2" borderId="10" xfId="2" applyNumberFormat="1" applyFont="1" applyFill="1" applyBorder="1" applyAlignment="1">
      <alignment horizontal="right" vertical="center"/>
    </xf>
    <xf numFmtId="4" fontId="3" fillId="2" borderId="11" xfId="1" applyFont="1" applyFill="1" applyBorder="1" applyAlignment="1">
      <alignment horizontal="right" vertical="center"/>
    </xf>
    <xf numFmtId="0" fontId="2" fillId="0" borderId="2" xfId="2" quotePrefix="1" applyFont="1" applyBorder="1"/>
    <xf numFmtId="0" fontId="2" fillId="0" borderId="4" xfId="2" quotePrefix="1" applyFont="1" applyBorder="1" applyAlignment="1">
      <alignment wrapText="1"/>
    </xf>
    <xf numFmtId="0" fontId="2" fillId="0" borderId="5" xfId="2" quotePrefix="1" applyFont="1" applyBorder="1" applyAlignment="1">
      <alignment wrapText="1"/>
    </xf>
    <xf numFmtId="0" fontId="3" fillId="0" borderId="0" xfId="2" applyFont="1" applyAlignment="1">
      <alignment horizontal="left" vertical="top"/>
    </xf>
    <xf numFmtId="2" fontId="3" fillId="0" borderId="5" xfId="2" applyNumberFormat="1" applyFont="1" applyBorder="1" applyAlignment="1">
      <alignment horizontal="center"/>
    </xf>
    <xf numFmtId="4" fontId="7" fillId="0" borderId="0" xfId="0" applyNumberFormat="1" applyFont="1" applyAlignment="1">
      <alignment horizontal="right"/>
    </xf>
    <xf numFmtId="2" fontId="2" fillId="0" borderId="5" xfId="2" applyNumberFormat="1" applyFont="1" applyBorder="1" applyAlignment="1">
      <alignment horizontal="center"/>
    </xf>
    <xf numFmtId="8" fontId="4" fillId="0" borderId="0" xfId="0" applyNumberFormat="1" applyFont="1"/>
    <xf numFmtId="0" fontId="6" fillId="0" borderId="0" xfId="0" applyFont="1"/>
    <xf numFmtId="0" fontId="2" fillId="0" borderId="6" xfId="2" applyFont="1" applyBorder="1" applyAlignment="1">
      <alignment horizontal="left" vertical="top"/>
    </xf>
    <xf numFmtId="0" fontId="2" fillId="0" borderId="7" xfId="2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9" fillId="0" borderId="9" xfId="2" applyFont="1" applyBorder="1" applyAlignment="1" applyProtection="1">
      <alignment vertical="center"/>
      <protection locked="0"/>
    </xf>
    <xf numFmtId="0" fontId="9" fillId="0" borderId="10" xfId="2" applyFont="1" applyBorder="1" applyAlignment="1" applyProtection="1">
      <alignment vertical="center"/>
      <protection locked="0"/>
    </xf>
    <xf numFmtId="2" fontId="2" fillId="0" borderId="1" xfId="2" applyNumberFormat="1" applyFont="1" applyBorder="1" applyAlignment="1" applyProtection="1">
      <alignment horizontal="center" vertical="center"/>
      <protection locked="0"/>
    </xf>
    <xf numFmtId="4" fontId="2" fillId="0" borderId="1" xfId="2" applyNumberFormat="1" applyFont="1" applyBorder="1" applyAlignment="1" applyProtection="1">
      <alignment horizontal="center" vertical="center"/>
      <protection locked="0"/>
    </xf>
    <xf numFmtId="4" fontId="2" fillId="0" borderId="1" xfId="2" applyNumberFormat="1" applyFont="1" applyBorder="1" applyAlignment="1" applyProtection="1">
      <alignment vertical="center"/>
      <protection locked="0"/>
    </xf>
    <xf numFmtId="4" fontId="2" fillId="0" borderId="1" xfId="2" applyNumberFormat="1" applyFont="1" applyBorder="1" applyAlignment="1">
      <alignment horizontal="right" vertical="center"/>
    </xf>
    <xf numFmtId="4" fontId="2" fillId="0" borderId="1" xfId="2" applyNumberFormat="1" applyFont="1" applyBorder="1" applyAlignment="1" applyProtection="1">
      <alignment horizontal="right" vertical="center"/>
      <protection locked="0"/>
    </xf>
    <xf numFmtId="4" fontId="2" fillId="0" borderId="0" xfId="2" applyNumberFormat="1" applyFont="1" applyAlignment="1">
      <alignment vertical="center"/>
    </xf>
    <xf numFmtId="0" fontId="3" fillId="2" borderId="9" xfId="0" applyFont="1" applyFill="1" applyBorder="1"/>
    <xf numFmtId="0" fontId="3" fillId="2" borderId="10" xfId="0" applyFont="1" applyFill="1" applyBorder="1"/>
    <xf numFmtId="0" fontId="2" fillId="2" borderId="10" xfId="2" applyFont="1" applyFill="1" applyBorder="1" applyAlignment="1">
      <alignment horizontal="center" vertical="top"/>
    </xf>
    <xf numFmtId="0" fontId="2" fillId="2" borderId="10" xfId="2" quotePrefix="1" applyFont="1" applyFill="1" applyBorder="1" applyAlignment="1">
      <alignment horizontal="left" vertical="top" wrapText="1"/>
    </xf>
    <xf numFmtId="2" fontId="3" fillId="2" borderId="10" xfId="2" applyNumberFormat="1" applyFont="1" applyFill="1" applyBorder="1" applyAlignment="1">
      <alignment horizontal="center" vertical="center"/>
    </xf>
    <xf numFmtId="4" fontId="3" fillId="2" borderId="10" xfId="2" applyNumberFormat="1" applyFont="1" applyFill="1" applyBorder="1" applyAlignment="1">
      <alignment horizontal="center" vertical="center"/>
    </xf>
    <xf numFmtId="4" fontId="3" fillId="0" borderId="10" xfId="2" applyNumberFormat="1" applyFont="1" applyBorder="1" applyAlignment="1">
      <alignment vertical="center"/>
    </xf>
    <xf numFmtId="4" fontId="3" fillId="0" borderId="10" xfId="2" applyNumberFormat="1" applyFont="1" applyBorder="1" applyAlignment="1">
      <alignment horizontal="right" vertical="center"/>
    </xf>
    <xf numFmtId="4" fontId="3" fillId="2" borderId="10" xfId="2" applyNumberFormat="1" applyFont="1" applyFill="1" applyBorder="1" applyAlignment="1">
      <alignment horizontal="right" vertical="center"/>
    </xf>
    <xf numFmtId="4" fontId="3" fillId="0" borderId="11" xfId="1" applyFont="1" applyBorder="1" applyAlignment="1">
      <alignment horizontal="right" vertical="center"/>
    </xf>
    <xf numFmtId="0" fontId="2" fillId="0" borderId="5" xfId="2" applyFont="1" applyBorder="1" applyAlignment="1">
      <alignment horizontal="left"/>
    </xf>
    <xf numFmtId="4" fontId="2" fillId="0" borderId="5" xfId="2" applyNumberFormat="1" applyFont="1" applyBorder="1" applyAlignment="1">
      <alignment horizontal="center"/>
    </xf>
    <xf numFmtId="0" fontId="2" fillId="0" borderId="5" xfId="2" applyFont="1" applyBorder="1" applyAlignment="1">
      <alignment vertical="top" wrapText="1"/>
    </xf>
    <xf numFmtId="0" fontId="3" fillId="0" borderId="5" xfId="2" applyFont="1" applyBorder="1" applyAlignment="1">
      <alignment vertical="top" wrapText="1"/>
    </xf>
    <xf numFmtId="0" fontId="3" fillId="0" borderId="5" xfId="2" applyFont="1" applyBorder="1" applyAlignment="1">
      <alignment horizontal="center" vertical="center" wrapText="1"/>
    </xf>
    <xf numFmtId="0" fontId="12" fillId="0" borderId="5" xfId="4" applyFont="1" applyBorder="1" applyAlignment="1">
      <alignment vertical="top" wrapText="1"/>
    </xf>
    <xf numFmtId="4" fontId="3" fillId="2" borderId="5" xfId="2" applyNumberFormat="1" applyFont="1" applyFill="1" applyBorder="1" applyAlignment="1">
      <alignment horizontal="right" vertical="center"/>
    </xf>
    <xf numFmtId="4" fontId="3" fillId="0" borderId="5" xfId="2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4" fontId="3" fillId="0" borderId="0" xfId="0" applyNumberFormat="1" applyFont="1"/>
    <xf numFmtId="0" fontId="3" fillId="2" borderId="2" xfId="0" applyFont="1" applyFill="1" applyBorder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2" borderId="5" xfId="2" applyFont="1" applyFill="1" applyBorder="1" applyAlignment="1">
      <alignment vertical="top" wrapText="1"/>
    </xf>
    <xf numFmtId="0" fontId="3" fillId="2" borderId="5" xfId="2" applyFont="1" applyFill="1" applyBorder="1" applyAlignment="1">
      <alignment horizontal="center" vertical="center" wrapText="1"/>
    </xf>
    <xf numFmtId="4" fontId="3" fillId="2" borderId="5" xfId="2" applyNumberFormat="1" applyFont="1" applyFill="1" applyBorder="1" applyAlignment="1">
      <alignment horizontal="center" vertical="center"/>
    </xf>
    <xf numFmtId="4" fontId="3" fillId="2" borderId="5" xfId="2" applyNumberFormat="1" applyFont="1" applyFill="1" applyBorder="1"/>
    <xf numFmtId="4" fontId="7" fillId="2" borderId="0" xfId="0" applyNumberFormat="1" applyFont="1" applyFill="1" applyAlignment="1">
      <alignment horizontal="right"/>
    </xf>
    <xf numFmtId="8" fontId="3" fillId="2" borderId="0" xfId="0" applyNumberFormat="1" applyFont="1" applyFill="1"/>
    <xf numFmtId="0" fontId="3" fillId="2" borderId="0" xfId="0" applyFont="1" applyFill="1"/>
    <xf numFmtId="0" fontId="3" fillId="0" borderId="3" xfId="2" applyFont="1" applyBorder="1" applyAlignment="1">
      <alignment horizontal="left" vertical="top" wrapText="1"/>
    </xf>
    <xf numFmtId="0" fontId="3" fillId="2" borderId="3" xfId="2" applyFont="1" applyFill="1" applyBorder="1" applyAlignment="1">
      <alignment horizontal="left" vertical="top" wrapText="1"/>
    </xf>
    <xf numFmtId="0" fontId="3" fillId="0" borderId="2" xfId="2" applyFont="1" applyBorder="1" applyAlignment="1">
      <alignment vertical="top" wrapText="1"/>
    </xf>
    <xf numFmtId="0" fontId="2" fillId="0" borderId="2" xfId="2" applyFont="1" applyBorder="1" applyAlignment="1">
      <alignment vertical="top"/>
    </xf>
    <xf numFmtId="0" fontId="2" fillId="0" borderId="5" xfId="2" applyFont="1" applyBorder="1" applyAlignment="1">
      <alignment wrapText="1"/>
    </xf>
    <xf numFmtId="0" fontId="2" fillId="0" borderId="5" xfId="2" applyFont="1" applyBorder="1" applyAlignment="1">
      <alignment horizontal="center" vertical="center" wrapText="1"/>
    </xf>
    <xf numFmtId="4" fontId="2" fillId="0" borderId="5" xfId="2" applyNumberFormat="1" applyFont="1" applyBorder="1" applyAlignment="1">
      <alignment vertical="top"/>
    </xf>
    <xf numFmtId="8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0" fontId="2" fillId="0" borderId="5" xfId="2" applyFont="1" applyBorder="1" applyAlignment="1">
      <alignment horizontal="left" vertical="top"/>
    </xf>
    <xf numFmtId="4" fontId="14" fillId="0" borderId="5" xfId="2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left" vertical="top"/>
    </xf>
    <xf numFmtId="0" fontId="3" fillId="0" borderId="0" xfId="2" applyFont="1" applyAlignment="1">
      <alignment horizontal="left" vertical="top" wrapText="1"/>
    </xf>
    <xf numFmtId="0" fontId="3" fillId="0" borderId="3" xfId="2" applyFont="1" applyBorder="1" applyAlignment="1">
      <alignment horizontal="left" vertical="top"/>
    </xf>
    <xf numFmtId="1" fontId="3" fillId="0" borderId="5" xfId="2" applyNumberFormat="1" applyFont="1" applyBorder="1" applyAlignment="1">
      <alignment horizontal="center" vertical="center" wrapText="1"/>
    </xf>
    <xf numFmtId="1" fontId="3" fillId="0" borderId="5" xfId="2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6" fillId="0" borderId="0" xfId="0" applyFont="1"/>
    <xf numFmtId="0" fontId="17" fillId="0" borderId="5" xfId="4" applyFont="1" applyBorder="1" applyAlignment="1">
      <alignment horizontal="left" vertical="top" wrapText="1"/>
    </xf>
    <xf numFmtId="0" fontId="12" fillId="0" borderId="5" xfId="4" applyFont="1" applyBorder="1" applyAlignment="1">
      <alignment horizontal="left" vertical="top" wrapText="1"/>
    </xf>
    <xf numFmtId="49" fontId="12" fillId="0" borderId="5" xfId="4" applyNumberFormat="1" applyFont="1" applyBorder="1" applyAlignment="1">
      <alignment horizontal="center" vertical="center"/>
    </xf>
    <xf numFmtId="0" fontId="3" fillId="0" borderId="5" xfId="4" applyFont="1" applyBorder="1" applyAlignment="1">
      <alignment horizontal="left" vertical="top"/>
    </xf>
    <xf numFmtId="0" fontId="12" fillId="0" borderId="5" xfId="0" applyFont="1" applyBorder="1" applyAlignment="1">
      <alignment horizontal="left" vertical="top" wrapText="1"/>
    </xf>
    <xf numFmtId="0" fontId="3" fillId="0" borderId="0" xfId="2" quotePrefix="1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 wrapText="1"/>
    </xf>
    <xf numFmtId="0" fontId="3" fillId="0" borderId="7" xfId="2" applyFont="1" applyBorder="1" applyAlignment="1">
      <alignment horizontal="left" vertical="top"/>
    </xf>
    <xf numFmtId="41" fontId="3" fillId="0" borderId="5" xfId="2" applyNumberFormat="1" applyFont="1" applyBorder="1" applyAlignment="1">
      <alignment horizontal="center" vertical="center"/>
    </xf>
    <xf numFmtId="10" fontId="3" fillId="0" borderId="0" xfId="3" applyFont="1" applyAlignment="1">
      <alignment horizontal="right" vertical="center"/>
    </xf>
    <xf numFmtId="0" fontId="9" fillId="0" borderId="1" xfId="2" applyFont="1" applyBorder="1" applyAlignment="1" applyProtection="1">
      <alignment vertical="center" wrapText="1"/>
      <protection locked="0"/>
    </xf>
    <xf numFmtId="2" fontId="9" fillId="0" borderId="1" xfId="2" applyNumberFormat="1" applyFont="1" applyBorder="1" applyAlignment="1">
      <alignment horizontal="center" vertical="center"/>
    </xf>
    <xf numFmtId="4" fontId="9" fillId="0" borderId="1" xfId="2" applyNumberFormat="1" applyFont="1" applyBorder="1" applyAlignment="1">
      <alignment horizontal="center" vertical="center"/>
    </xf>
    <xf numFmtId="4" fontId="9" fillId="0" borderId="1" xfId="2" applyNumberFormat="1" applyFont="1" applyBorder="1" applyAlignment="1">
      <alignment vertical="center"/>
    </xf>
    <xf numFmtId="0" fontId="2" fillId="0" borderId="5" xfId="0" applyFont="1" applyBorder="1" applyAlignment="1">
      <alignment horizontal="center"/>
    </xf>
    <xf numFmtId="8" fontId="2" fillId="0" borderId="0" xfId="0" applyNumberFormat="1" applyFont="1"/>
    <xf numFmtId="0" fontId="3" fillId="0" borderId="2" xfId="2" applyFont="1" applyBorder="1" applyAlignment="1">
      <alignment horizontal="left" vertical="top"/>
    </xf>
    <xf numFmtId="4" fontId="7" fillId="0" borderId="0" xfId="0" applyNumberFormat="1" applyFont="1" applyAlignment="1">
      <alignment horizontal="left" vertical="center"/>
    </xf>
    <xf numFmtId="8" fontId="2" fillId="0" borderId="0" xfId="0" applyNumberFormat="1" applyFont="1" applyAlignment="1">
      <alignment horizontal="left" vertical="center"/>
    </xf>
    <xf numFmtId="2" fontId="2" fillId="2" borderId="10" xfId="2" applyNumberFormat="1" applyFont="1" applyFill="1" applyBorder="1" applyAlignment="1">
      <alignment horizontal="center" vertical="center"/>
    </xf>
    <xf numFmtId="4" fontId="2" fillId="2" borderId="10" xfId="2" applyNumberFormat="1" applyFont="1" applyFill="1" applyBorder="1" applyAlignment="1">
      <alignment horizontal="center" vertical="center"/>
    </xf>
    <xf numFmtId="4" fontId="2" fillId="0" borderId="10" xfId="2" applyNumberFormat="1" applyFont="1" applyBorder="1" applyAlignment="1">
      <alignment vertical="center"/>
    </xf>
    <xf numFmtId="0" fontId="17" fillId="0" borderId="12" xfId="4" applyFont="1" applyBorder="1" applyAlignment="1">
      <alignment horizontal="left" vertical="top"/>
    </xf>
    <xf numFmtId="0" fontId="17" fillId="0" borderId="4" xfId="4" applyFont="1" applyBorder="1" applyAlignment="1">
      <alignment wrapText="1"/>
    </xf>
    <xf numFmtId="4" fontId="7" fillId="0" borderId="0" xfId="0" applyNumberFormat="1" applyFont="1" applyAlignment="1">
      <alignment vertical="center"/>
    </xf>
    <xf numFmtId="2" fontId="3" fillId="0" borderId="5" xfId="0" applyNumberFormat="1" applyFont="1" applyBorder="1" applyAlignment="1">
      <alignment horizontal="center" vertical="center"/>
    </xf>
    <xf numFmtId="2" fontId="3" fillId="0" borderId="5" xfId="2" applyNumberFormat="1" applyFont="1" applyBorder="1" applyAlignment="1">
      <alignment vertical="center"/>
    </xf>
    <xf numFmtId="0" fontId="11" fillId="0" borderId="15" xfId="5" applyFont="1" applyBorder="1" applyAlignment="1" applyProtection="1">
      <alignment horizontal="left" vertical="top" wrapText="1"/>
      <protection locked="0"/>
    </xf>
    <xf numFmtId="0" fontId="10" fillId="0" borderId="15" xfId="5" applyFont="1" applyBorder="1" applyAlignment="1" applyProtection="1">
      <alignment horizontal="left" vertical="top" wrapText="1"/>
      <protection locked="0"/>
    </xf>
    <xf numFmtId="0" fontId="11" fillId="0" borderId="16" xfId="5" applyFont="1" applyBorder="1" applyAlignment="1" applyProtection="1">
      <alignment horizontal="left" vertical="top" wrapText="1"/>
      <protection locked="0"/>
    </xf>
    <xf numFmtId="0" fontId="10" fillId="0" borderId="16" xfId="5" applyFont="1" applyBorder="1" applyAlignment="1" applyProtection="1">
      <alignment horizontal="left" vertical="top" wrapText="1"/>
      <protection locked="0"/>
    </xf>
    <xf numFmtId="0" fontId="12" fillId="0" borderId="16" xfId="5" applyFont="1" applyBorder="1" applyAlignment="1" applyProtection="1">
      <alignment horizontal="left" vertical="top" wrapText="1"/>
      <protection locked="0"/>
    </xf>
    <xf numFmtId="4" fontId="7" fillId="0" borderId="0" xfId="1" applyFont="1"/>
    <xf numFmtId="8" fontId="7" fillId="0" borderId="0" xfId="0" applyNumberFormat="1" applyFont="1"/>
    <xf numFmtId="0" fontId="9" fillId="0" borderId="0" xfId="0" applyFont="1"/>
    <xf numFmtId="0" fontId="9" fillId="0" borderId="13" xfId="2" applyFont="1" applyBorder="1" applyAlignment="1" applyProtection="1">
      <alignment horizontal="left" vertical="center"/>
      <protection locked="0"/>
    </xf>
    <xf numFmtId="0" fontId="9" fillId="0" borderId="13" xfId="2" applyFont="1" applyBorder="1" applyAlignment="1" applyProtection="1">
      <alignment horizontal="center" vertical="center"/>
      <protection locked="0"/>
    </xf>
    <xf numFmtId="0" fontId="9" fillId="0" borderId="13" xfId="2" applyFont="1" applyBorder="1" applyAlignment="1" applyProtection="1">
      <alignment vertical="center" wrapText="1"/>
      <protection locked="0"/>
    </xf>
    <xf numFmtId="2" fontId="9" fillId="0" borderId="13" xfId="2" applyNumberFormat="1" applyFont="1" applyBorder="1" applyAlignment="1">
      <alignment horizontal="center" vertical="center"/>
    </xf>
    <xf numFmtId="4" fontId="9" fillId="0" borderId="13" xfId="2" applyNumberFormat="1" applyFont="1" applyBorder="1" applyAlignment="1">
      <alignment horizontal="center" vertical="center"/>
    </xf>
    <xf numFmtId="4" fontId="9" fillId="0" borderId="13" xfId="2" applyNumberFormat="1" applyFont="1" applyBorder="1" applyAlignment="1">
      <alignment vertical="center"/>
    </xf>
    <xf numFmtId="4" fontId="9" fillId="0" borderId="13" xfId="2" applyNumberFormat="1" applyFont="1" applyBorder="1" applyAlignment="1">
      <alignment horizontal="right" vertical="center"/>
    </xf>
    <xf numFmtId="0" fontId="17" fillId="0" borderId="12" xfId="4" applyFont="1" applyBorder="1"/>
    <xf numFmtId="0" fontId="2" fillId="0" borderId="13" xfId="0" applyFont="1" applyBorder="1"/>
    <xf numFmtId="0" fontId="17" fillId="0" borderId="13" xfId="4" applyFont="1" applyBorder="1"/>
    <xf numFmtId="4" fontId="2" fillId="0" borderId="4" xfId="2" applyNumberFormat="1" applyFont="1" applyBorder="1"/>
    <xf numFmtId="4" fontId="2" fillId="0" borderId="4" xfId="2" applyNumberFormat="1" applyFont="1" applyBorder="1" applyAlignment="1">
      <alignment horizontal="right" vertical="center"/>
    </xf>
    <xf numFmtId="4" fontId="3" fillId="0" borderId="4" xfId="1" applyFont="1" applyBorder="1" applyAlignment="1">
      <alignment horizontal="right" vertical="center"/>
    </xf>
    <xf numFmtId="0" fontId="17" fillId="0" borderId="2" xfId="4" applyFont="1" applyBorder="1" applyAlignment="1">
      <alignment horizontal="left" vertical="top"/>
    </xf>
    <xf numFmtId="0" fontId="17" fillId="0" borderId="0" xfId="4" applyFont="1"/>
    <xf numFmtId="4" fontId="3" fillId="0" borderId="5" xfId="2" applyNumberFormat="1" applyFont="1" applyBorder="1" applyAlignment="1">
      <alignment horizontal="right" vertical="top"/>
    </xf>
    <xf numFmtId="4" fontId="3" fillId="0" borderId="5" xfId="2" applyNumberFormat="1" applyFont="1" applyBorder="1" applyAlignment="1" applyProtection="1">
      <alignment horizontal="right" vertical="top"/>
      <protection locked="0"/>
    </xf>
    <xf numFmtId="4" fontId="3" fillId="0" borderId="5" xfId="1" applyFont="1" applyBorder="1" applyAlignment="1">
      <alignment horizontal="right" vertical="top"/>
    </xf>
    <xf numFmtId="4" fontId="2" fillId="0" borderId="5" xfId="2" applyNumberFormat="1" applyFont="1" applyBorder="1" applyAlignment="1">
      <alignment horizontal="right" vertical="top"/>
    </xf>
    <xf numFmtId="4" fontId="2" fillId="0" borderId="5" xfId="2" applyNumberFormat="1" applyFont="1" applyBorder="1" applyAlignment="1">
      <alignment vertical="center"/>
    </xf>
    <xf numFmtId="0" fontId="3" fillId="0" borderId="5" xfId="2" applyFont="1" applyBorder="1" applyAlignment="1" applyProtection="1">
      <alignment horizontal="left" vertical="top" wrapText="1"/>
      <protection locked="0"/>
    </xf>
    <xf numFmtId="4" fontId="3" fillId="0" borderId="5" xfId="2" applyNumberFormat="1" applyFont="1" applyBorder="1" applyAlignment="1">
      <alignment horizontal="center"/>
    </xf>
    <xf numFmtId="0" fontId="3" fillId="2" borderId="6" xfId="0" applyFont="1" applyFill="1" applyBorder="1"/>
    <xf numFmtId="0" fontId="3" fillId="2" borderId="7" xfId="0" applyFont="1" applyFill="1" applyBorder="1"/>
    <xf numFmtId="0" fontId="2" fillId="2" borderId="7" xfId="2" applyFont="1" applyFill="1" applyBorder="1" applyAlignment="1">
      <alignment horizontal="center" vertical="top"/>
    </xf>
    <xf numFmtId="0" fontId="2" fillId="2" borderId="7" xfId="2" quotePrefix="1" applyFont="1" applyFill="1" applyBorder="1" applyAlignment="1">
      <alignment horizontal="left" vertical="top" wrapText="1"/>
    </xf>
    <xf numFmtId="2" fontId="3" fillId="2" borderId="7" xfId="2" applyNumberFormat="1" applyFont="1" applyFill="1" applyBorder="1" applyAlignment="1">
      <alignment horizontal="center" vertical="center"/>
    </xf>
    <xf numFmtId="4" fontId="3" fillId="2" borderId="7" xfId="2" applyNumberFormat="1" applyFont="1" applyFill="1" applyBorder="1" applyAlignment="1">
      <alignment horizontal="center" vertical="center"/>
    </xf>
    <xf numFmtId="4" fontId="3" fillId="0" borderId="7" xfId="2" applyNumberFormat="1" applyFont="1" applyBorder="1" applyAlignment="1">
      <alignment vertical="center"/>
    </xf>
    <xf numFmtId="4" fontId="3" fillId="0" borderId="7" xfId="2" applyNumberFormat="1" applyFont="1" applyBorder="1" applyAlignment="1">
      <alignment horizontal="right" vertical="center"/>
    </xf>
    <xf numFmtId="4" fontId="3" fillId="2" borderId="7" xfId="2" applyNumberFormat="1" applyFont="1" applyFill="1" applyBorder="1" applyAlignment="1">
      <alignment horizontal="right" vertical="center"/>
    </xf>
    <xf numFmtId="4" fontId="3" fillId="0" borderId="8" xfId="1" applyFont="1" applyBorder="1" applyAlignment="1">
      <alignment horizontal="right" vertical="center"/>
    </xf>
    <xf numFmtId="0" fontId="17" fillId="0" borderId="5" xfId="4" applyFont="1" applyBorder="1"/>
    <xf numFmtId="0" fontId="17" fillId="0" borderId="5" xfId="4" applyFont="1" applyBorder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17" fillId="0" borderId="5" xfId="4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right" vertical="center"/>
    </xf>
    <xf numFmtId="43" fontId="3" fillId="0" borderId="5" xfId="0" applyNumberFormat="1" applyFont="1" applyBorder="1" applyAlignment="1">
      <alignment horizontal="center" vertical="center"/>
    </xf>
    <xf numFmtId="43" fontId="3" fillId="0" borderId="5" xfId="2" applyNumberFormat="1" applyFon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8" xfId="2" applyFont="1" applyBorder="1" applyAlignment="1">
      <alignment horizontal="left" vertical="top"/>
    </xf>
    <xf numFmtId="2" fontId="3" fillId="2" borderId="10" xfId="2" applyNumberFormat="1" applyFont="1" applyFill="1" applyBorder="1" applyAlignment="1" applyProtection="1">
      <alignment horizontal="center"/>
      <protection locked="0"/>
    </xf>
    <xf numFmtId="4" fontId="3" fillId="2" borderId="10" xfId="2" applyNumberFormat="1" applyFont="1" applyFill="1" applyBorder="1" applyAlignment="1" applyProtection="1">
      <alignment horizontal="center"/>
      <protection locked="0"/>
    </xf>
    <xf numFmtId="4" fontId="3" fillId="0" borderId="10" xfId="2" applyNumberFormat="1" applyFont="1" applyBorder="1" applyProtection="1">
      <protection locked="0"/>
    </xf>
    <xf numFmtId="4" fontId="3" fillId="0" borderId="10" xfId="2" applyNumberFormat="1" applyFont="1" applyBorder="1" applyAlignment="1" applyProtection="1">
      <alignment horizontal="right" vertical="center"/>
      <protection locked="0"/>
    </xf>
    <xf numFmtId="4" fontId="3" fillId="2" borderId="10" xfId="2" applyNumberFormat="1" applyFont="1" applyFill="1" applyBorder="1" applyAlignment="1" applyProtection="1">
      <alignment horizontal="right" vertical="center"/>
      <protection locked="0"/>
    </xf>
    <xf numFmtId="4" fontId="3" fillId="0" borderId="5" xfId="0" applyNumberFormat="1" applyFont="1" applyBorder="1" applyAlignment="1">
      <alignment horizontal="center" wrapText="1"/>
    </xf>
    <xf numFmtId="2" fontId="2" fillId="2" borderId="7" xfId="2" applyNumberFormat="1" applyFont="1" applyFill="1" applyBorder="1" applyAlignment="1" applyProtection="1">
      <alignment horizontal="center" vertical="center"/>
      <protection locked="0"/>
    </xf>
    <xf numFmtId="4" fontId="2" fillId="2" borderId="7" xfId="2" applyNumberFormat="1" applyFont="1" applyFill="1" applyBorder="1" applyAlignment="1" applyProtection="1">
      <alignment horizontal="center" vertical="center"/>
      <protection locked="0"/>
    </xf>
    <xf numFmtId="4" fontId="2" fillId="0" borderId="7" xfId="2" applyNumberFormat="1" applyFont="1" applyBorder="1" applyAlignment="1" applyProtection="1">
      <alignment vertical="center"/>
      <protection locked="0"/>
    </xf>
    <xf numFmtId="4" fontId="2" fillId="0" borderId="7" xfId="2" applyNumberFormat="1" applyFont="1" applyBorder="1" applyAlignment="1">
      <alignment horizontal="right" vertical="center"/>
    </xf>
    <xf numFmtId="4" fontId="2" fillId="0" borderId="7" xfId="2" applyNumberFormat="1" applyFont="1" applyBorder="1" applyAlignment="1" applyProtection="1">
      <alignment horizontal="right" vertical="center"/>
      <protection locked="0"/>
    </xf>
    <xf numFmtId="4" fontId="2" fillId="2" borderId="7" xfId="2" applyNumberFormat="1" applyFont="1" applyFill="1" applyBorder="1" applyAlignment="1" applyProtection="1">
      <alignment horizontal="right" vertical="center"/>
      <protection locked="0"/>
    </xf>
    <xf numFmtId="4" fontId="3" fillId="2" borderId="7" xfId="1" applyFont="1" applyFill="1" applyBorder="1" applyAlignment="1">
      <alignment horizontal="right" vertical="center"/>
    </xf>
    <xf numFmtId="4" fontId="2" fillId="0" borderId="5" xfId="0" applyNumberFormat="1" applyFont="1" applyBorder="1" applyAlignment="1">
      <alignment horizontal="center" vertical="center" wrapText="1"/>
    </xf>
    <xf numFmtId="2" fontId="2" fillId="0" borderId="5" xfId="2" applyNumberFormat="1" applyFont="1" applyBorder="1" applyAlignment="1" applyProtection="1">
      <alignment horizontal="center" vertical="center"/>
      <protection locked="0"/>
    </xf>
    <xf numFmtId="4" fontId="2" fillId="0" borderId="5" xfId="2" applyNumberFormat="1" applyFont="1" applyBorder="1" applyAlignment="1" applyProtection="1">
      <alignment horizontal="center" vertical="center"/>
      <protection locked="0"/>
    </xf>
    <xf numFmtId="4" fontId="2" fillId="0" borderId="5" xfId="2" applyNumberFormat="1" applyFont="1" applyBorder="1" applyProtection="1">
      <protection locked="0"/>
    </xf>
    <xf numFmtId="4" fontId="3" fillId="0" borderId="5" xfId="2" applyNumberFormat="1" applyFont="1" applyBorder="1" applyAlignment="1">
      <alignment horizontal="left" vertical="top" wrapText="1"/>
    </xf>
    <xf numFmtId="4" fontId="2" fillId="0" borderId="5" xfId="2" applyNumberFormat="1" applyFont="1" applyBorder="1" applyAlignment="1" applyProtection="1">
      <alignment horizontal="right" vertical="top"/>
      <protection locked="0"/>
    </xf>
    <xf numFmtId="3" fontId="3" fillId="0" borderId="5" xfId="0" applyNumberFormat="1" applyFont="1" applyBorder="1" applyAlignment="1">
      <alignment horizontal="center" vertical="center" wrapText="1"/>
    </xf>
    <xf numFmtId="3" fontId="2" fillId="0" borderId="5" xfId="2" applyNumberFormat="1" applyFont="1" applyBorder="1" applyAlignment="1">
      <alignment horizontal="center" vertical="center"/>
    </xf>
    <xf numFmtId="3" fontId="2" fillId="0" borderId="5" xfId="2" applyNumberFormat="1" applyFont="1" applyBorder="1" applyAlignment="1">
      <alignment horizontal="right" vertical="top"/>
    </xf>
    <xf numFmtId="3" fontId="3" fillId="0" borderId="5" xfId="2" applyNumberFormat="1" applyFont="1" applyBorder="1" applyAlignment="1" applyProtection="1">
      <alignment horizontal="right" vertical="top"/>
      <protection locked="0"/>
    </xf>
    <xf numFmtId="3" fontId="3" fillId="0" borderId="5" xfId="2" applyNumberFormat="1" applyFont="1" applyBorder="1" applyAlignment="1">
      <alignment horizontal="right" vertical="top"/>
    </xf>
    <xf numFmtId="0" fontId="3" fillId="0" borderId="0" xfId="2" applyFont="1" applyAlignment="1" applyProtection="1">
      <alignment horizontal="left" vertical="top" wrapText="1"/>
      <protection locked="0"/>
    </xf>
    <xf numFmtId="0" fontId="3" fillId="0" borderId="3" xfId="2" applyFont="1" applyBorder="1" applyAlignment="1" applyProtection="1">
      <alignment horizontal="left" vertical="top" wrapText="1"/>
      <protection locked="0"/>
    </xf>
    <xf numFmtId="4" fontId="3" fillId="0" borderId="5" xfId="2" applyNumberFormat="1" applyFont="1" applyBorder="1" applyAlignment="1" applyProtection="1">
      <alignment vertical="center"/>
      <protection locked="0"/>
    </xf>
    <xf numFmtId="0" fontId="3" fillId="0" borderId="3" xfId="2" applyFont="1" applyBorder="1" applyAlignment="1" applyProtection="1">
      <alignment horizontal="left" vertical="top"/>
      <protection locked="0"/>
    </xf>
    <xf numFmtId="4" fontId="3" fillId="0" borderId="0" xfId="1" applyFont="1" applyProtection="1">
      <protection locked="0"/>
    </xf>
    <xf numFmtId="3" fontId="3" fillId="0" borderId="5" xfId="2" applyNumberFormat="1" applyFont="1" applyBorder="1" applyAlignment="1">
      <alignment horizontal="right" vertical="center"/>
    </xf>
    <xf numFmtId="0" fontId="17" fillId="0" borderId="5" xfId="4" applyFont="1" applyBorder="1" applyAlignment="1">
      <alignment vertical="top"/>
    </xf>
    <xf numFmtId="0" fontId="17" fillId="0" borderId="5" xfId="4" applyFont="1" applyBorder="1" applyAlignment="1">
      <alignment vertical="top" wrapText="1"/>
    </xf>
    <xf numFmtId="2" fontId="3" fillId="0" borderId="5" xfId="0" applyNumberFormat="1" applyFont="1" applyBorder="1" applyAlignment="1">
      <alignment horizontal="center" vertical="center" wrapText="1"/>
    </xf>
    <xf numFmtId="0" fontId="2" fillId="0" borderId="2" xfId="0" quotePrefix="1" applyFont="1" applyBorder="1" applyAlignment="1">
      <alignment horizontal="left" vertical="top"/>
    </xf>
    <xf numFmtId="3" fontId="3" fillId="0" borderId="5" xfId="2" applyNumberFormat="1" applyFont="1" applyBorder="1" applyAlignment="1">
      <alignment vertical="top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166" fontId="6" fillId="0" borderId="8" xfId="0" applyNumberFormat="1" applyFont="1" applyBorder="1"/>
    <xf numFmtId="0" fontId="2" fillId="0" borderId="6" xfId="0" applyFont="1" applyBorder="1" applyAlignment="1">
      <alignment horizontal="left" vertical="top"/>
    </xf>
    <xf numFmtId="0" fontId="6" fillId="0" borderId="19" xfId="0" applyFont="1" applyBorder="1" applyAlignment="1">
      <alignment horizontal="center"/>
    </xf>
    <xf numFmtId="166" fontId="6" fillId="0" borderId="11" xfId="0" applyNumberFormat="1" applyFont="1" applyBorder="1"/>
    <xf numFmtId="0" fontId="6" fillId="0" borderId="1" xfId="0" applyFont="1" applyBorder="1" applyAlignment="1">
      <alignment horizontal="center"/>
    </xf>
    <xf numFmtId="0" fontId="2" fillId="0" borderId="5" xfId="0" applyFont="1" applyBorder="1" applyAlignment="1">
      <alignment vertical="top" wrapText="1"/>
    </xf>
    <xf numFmtId="0" fontId="2" fillId="0" borderId="5" xfId="0" applyFont="1" applyBorder="1" applyAlignment="1">
      <alignment vertical="top"/>
    </xf>
    <xf numFmtId="0" fontId="6" fillId="0" borderId="19" xfId="0" applyFont="1" applyBorder="1" applyAlignment="1">
      <alignment horizontal="center" vertical="center"/>
    </xf>
    <xf numFmtId="0" fontId="3" fillId="0" borderId="7" xfId="0" quotePrefix="1" applyFont="1" applyBorder="1" applyAlignment="1">
      <alignment horizontal="left" vertical="top"/>
    </xf>
    <xf numFmtId="0" fontId="3" fillId="0" borderId="5" xfId="0" applyFont="1" applyBorder="1" applyAlignment="1">
      <alignment vertical="top"/>
    </xf>
    <xf numFmtId="0" fontId="2" fillId="0" borderId="5" xfId="2" quotePrefix="1" applyFont="1" applyBorder="1" applyAlignment="1">
      <alignment vertical="top"/>
    </xf>
    <xf numFmtId="4" fontId="2" fillId="0" borderId="5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  <xf numFmtId="0" fontId="12" fillId="0" borderId="3" xfId="4" applyFont="1" applyBorder="1" applyAlignment="1">
      <alignment vertical="top" wrapText="1"/>
    </xf>
    <xf numFmtId="2" fontId="3" fillId="0" borderId="5" xfId="2" applyNumberFormat="1" applyFont="1" applyBorder="1" applyAlignment="1">
      <alignment horizontal="center" vertical="top"/>
    </xf>
    <xf numFmtId="4" fontId="3" fillId="0" borderId="5" xfId="2" applyNumberFormat="1" applyFont="1" applyBorder="1" applyAlignment="1">
      <alignment horizontal="center" vertical="top"/>
    </xf>
    <xf numFmtId="0" fontId="3" fillId="0" borderId="0" xfId="0" quotePrefix="1" applyFont="1" applyAlignment="1">
      <alignment horizontal="left" vertical="top"/>
    </xf>
    <xf numFmtId="3" fontId="3" fillId="0" borderId="5" xfId="2" applyNumberFormat="1" applyFont="1" applyBorder="1" applyAlignment="1">
      <alignment horizontal="center"/>
    </xf>
    <xf numFmtId="0" fontId="12" fillId="0" borderId="5" xfId="0" applyFont="1" applyBorder="1" applyAlignment="1">
      <alignment vertical="top" wrapText="1"/>
    </xf>
    <xf numFmtId="0" fontId="3" fillId="0" borderId="0" xfId="0" quotePrefix="1" applyFont="1" applyAlignment="1">
      <alignment horizontal="left" vertical="top" wrapText="1"/>
    </xf>
    <xf numFmtId="0" fontId="2" fillId="0" borderId="6" xfId="0" quotePrefix="1" applyFont="1" applyBorder="1" applyAlignment="1">
      <alignment horizontal="left" vertical="top"/>
    </xf>
    <xf numFmtId="4" fontId="3" fillId="2" borderId="10" xfId="3" applyNumberFormat="1" applyFont="1" applyFill="1" applyBorder="1" applyAlignment="1" applyProtection="1">
      <alignment horizontal="right" vertical="center"/>
      <protection locked="0"/>
    </xf>
    <xf numFmtId="4" fontId="16" fillId="0" borderId="0" xfId="0" applyNumberFormat="1" applyFont="1" applyAlignment="1">
      <alignment vertical="top"/>
    </xf>
    <xf numFmtId="0" fontId="16" fillId="0" borderId="0" xfId="0" applyFont="1" applyAlignment="1">
      <alignment vertical="top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wrapText="1"/>
    </xf>
    <xf numFmtId="0" fontId="25" fillId="2" borderId="20" xfId="0" applyFont="1" applyFill="1" applyBorder="1" applyAlignment="1">
      <alignment horizontal="left"/>
    </xf>
    <xf numFmtId="0" fontId="7" fillId="2" borderId="21" xfId="0" applyFont="1" applyFill="1" applyBorder="1" applyAlignment="1">
      <alignment horizontal="left" wrapText="1"/>
    </xf>
    <xf numFmtId="0" fontId="9" fillId="2" borderId="21" xfId="0" applyFont="1" applyFill="1" applyBorder="1"/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 wrapText="1"/>
    </xf>
    <xf numFmtId="0" fontId="9" fillId="0" borderId="25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7" xfId="0" applyFont="1" applyBorder="1" applyAlignment="1">
      <alignment wrapText="1"/>
    </xf>
    <xf numFmtId="164" fontId="7" fillId="0" borderId="18" xfId="0" applyNumberFormat="1" applyFont="1" applyBorder="1"/>
    <xf numFmtId="164" fontId="7" fillId="0" borderId="6" xfId="0" applyNumberFormat="1" applyFont="1" applyBorder="1"/>
    <xf numFmtId="0" fontId="7" fillId="0" borderId="29" xfId="0" applyFont="1" applyBorder="1" applyAlignment="1">
      <alignment horizontal="center"/>
    </xf>
    <xf numFmtId="0" fontId="7" fillId="0" borderId="10" xfId="0" applyFont="1" applyBorder="1" applyAlignment="1">
      <alignment wrapText="1"/>
    </xf>
    <xf numFmtId="2" fontId="7" fillId="0" borderId="10" xfId="0" applyNumberFormat="1" applyFont="1" applyBorder="1" applyAlignment="1">
      <alignment wrapText="1"/>
    </xf>
    <xf numFmtId="0" fontId="7" fillId="0" borderId="9" xfId="0" applyFont="1" applyBorder="1" applyAlignment="1">
      <alignment wrapText="1"/>
    </xf>
    <xf numFmtId="164" fontId="7" fillId="2" borderId="6" xfId="0" applyNumberFormat="1" applyFont="1" applyFill="1" applyBorder="1"/>
    <xf numFmtId="0" fontId="7" fillId="0" borderId="1" xfId="0" applyFont="1" applyBorder="1" applyAlignment="1">
      <alignment wrapText="1"/>
    </xf>
    <xf numFmtId="164" fontId="7" fillId="0" borderId="1" xfId="0" applyNumberFormat="1" applyFont="1" applyBorder="1" applyAlignment="1">
      <alignment wrapText="1"/>
    </xf>
    <xf numFmtId="164" fontId="0" fillId="0" borderId="0" xfId="0" applyNumberFormat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164" fontId="7" fillId="0" borderId="25" xfId="0" applyNumberFormat="1" applyFont="1" applyBorder="1"/>
    <xf numFmtId="0" fontId="9" fillId="0" borderId="0" xfId="0" applyFont="1" applyAlignment="1">
      <alignment horizontal="right" vertical="center"/>
    </xf>
    <xf numFmtId="164" fontId="7" fillId="0" borderId="0" xfId="0" applyNumberFormat="1" applyFont="1"/>
    <xf numFmtId="0" fontId="9" fillId="0" borderId="20" xfId="0" applyFont="1" applyBorder="1" applyAlignment="1">
      <alignment vertical="center"/>
    </xf>
    <xf numFmtId="0" fontId="0" fillId="0" borderId="21" xfId="0" applyBorder="1" applyAlignment="1">
      <alignment horizontal="right" vertical="center" wrapText="1"/>
    </xf>
    <xf numFmtId="4" fontId="9" fillId="0" borderId="25" xfId="0" applyNumberFormat="1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9" fillId="0" borderId="21" xfId="0" applyFont="1" applyBorder="1" applyAlignment="1">
      <alignment horizontal="right" vertical="center"/>
    </xf>
    <xf numFmtId="4" fontId="9" fillId="0" borderId="21" xfId="0" applyNumberFormat="1" applyFont="1" applyBorder="1" applyAlignment="1">
      <alignment horizontal="right" vertical="center"/>
    </xf>
    <xf numFmtId="0" fontId="0" fillId="0" borderId="21" xfId="0" applyBorder="1" applyAlignment="1">
      <alignment horizontal="left" vertical="center" wrapText="1"/>
    </xf>
    <xf numFmtId="164" fontId="7" fillId="0" borderId="21" xfId="0" applyNumberFormat="1" applyFont="1" applyBorder="1" applyAlignment="1">
      <alignment horizontal="left" vertical="center"/>
    </xf>
    <xf numFmtId="0" fontId="7" fillId="0" borderId="30" xfId="0" quotePrefix="1" applyFont="1" applyBorder="1" applyAlignment="1">
      <alignment horizontal="center" vertical="center"/>
    </xf>
    <xf numFmtId="164" fontId="7" fillId="0" borderId="31" xfId="0" applyNumberFormat="1" applyFont="1" applyBorder="1"/>
    <xf numFmtId="0" fontId="7" fillId="0" borderId="32" xfId="0" quotePrefix="1" applyFont="1" applyBorder="1" applyAlignment="1" applyProtection="1">
      <alignment horizontal="right"/>
      <protection locked="0"/>
    </xf>
    <xf numFmtId="0" fontId="7" fillId="0" borderId="13" xfId="0" applyFont="1" applyBorder="1" applyAlignment="1">
      <alignment wrapText="1"/>
    </xf>
    <xf numFmtId="164" fontId="7" fillId="0" borderId="33" xfId="0" applyNumberFormat="1" applyFont="1" applyBorder="1" applyProtection="1">
      <protection locked="0"/>
    </xf>
    <xf numFmtId="0" fontId="9" fillId="0" borderId="20" xfId="0" applyFont="1" applyBorder="1" applyAlignment="1" applyProtection="1">
      <alignment vertical="center"/>
      <protection locked="0"/>
    </xf>
    <xf numFmtId="0" fontId="9" fillId="0" borderId="21" xfId="0" applyFont="1" applyBorder="1" applyAlignment="1">
      <alignment horizontal="right" vertical="center" wrapText="1"/>
    </xf>
    <xf numFmtId="4" fontId="9" fillId="0" borderId="25" xfId="0" applyNumberFormat="1" applyFont="1" applyBorder="1"/>
    <xf numFmtId="0" fontId="27" fillId="0" borderId="0" xfId="0" applyFont="1"/>
    <xf numFmtId="4" fontId="0" fillId="0" borderId="37" xfId="0" applyNumberFormat="1" applyBorder="1" applyAlignment="1">
      <alignment horizontal="right" vertical="center"/>
    </xf>
    <xf numFmtId="4" fontId="0" fillId="0" borderId="39" xfId="0" applyNumberFormat="1" applyBorder="1" applyAlignment="1">
      <alignment horizontal="right" vertical="center"/>
    </xf>
    <xf numFmtId="0" fontId="9" fillId="0" borderId="40" xfId="0" applyFont="1" applyBorder="1" applyAlignment="1">
      <alignment horizontal="left" vertical="center"/>
    </xf>
    <xf numFmtId="0" fontId="7" fillId="0" borderId="41" xfId="0" applyFont="1" applyBorder="1" applyAlignment="1">
      <alignment horizontal="center" vertical="center" wrapText="1"/>
    </xf>
    <xf numFmtId="4" fontId="6" fillId="0" borderId="42" xfId="0" applyNumberFormat="1" applyFont="1" applyBorder="1" applyAlignment="1">
      <alignment horizontal="right" vertical="center"/>
    </xf>
    <xf numFmtId="4" fontId="7" fillId="0" borderId="43" xfId="0" applyNumberFormat="1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4" fontId="4" fillId="0" borderId="44" xfId="0" applyNumberFormat="1" applyFont="1" applyBorder="1" applyAlignment="1">
      <alignment horizontal="right" vertical="center"/>
    </xf>
    <xf numFmtId="4" fontId="9" fillId="0" borderId="45" xfId="0" applyNumberFormat="1" applyFont="1" applyBorder="1" applyAlignment="1">
      <alignment horizontal="left" vertical="center"/>
    </xf>
    <xf numFmtId="0" fontId="0" fillId="0" borderId="46" xfId="0" applyBorder="1" applyAlignment="1">
      <alignment horizontal="right" vertical="center"/>
    </xf>
    <xf numFmtId="4" fontId="6" fillId="0" borderId="47" xfId="0" applyNumberFormat="1" applyFont="1" applyBorder="1" applyAlignment="1">
      <alignment horizontal="right" vertical="center"/>
    </xf>
    <xf numFmtId="0" fontId="7" fillId="0" borderId="0" xfId="0" applyFont="1" applyAlignment="1">
      <alignment wrapText="1"/>
    </xf>
    <xf numFmtId="0" fontId="28" fillId="0" borderId="1" xfId="0" applyFont="1" applyBorder="1"/>
    <xf numFmtId="164" fontId="7" fillId="0" borderId="51" xfId="0" applyNumberFormat="1" applyFont="1" applyBorder="1"/>
    <xf numFmtId="0" fontId="7" fillId="0" borderId="52" xfId="0" applyFont="1" applyBorder="1" applyAlignment="1">
      <alignment horizontal="center"/>
    </xf>
    <xf numFmtId="0" fontId="7" fillId="0" borderId="29" xfId="0" applyFont="1" applyBorder="1" applyAlignment="1">
      <alignment horizontal="center" wrapText="1"/>
    </xf>
    <xf numFmtId="0" fontId="0" fillId="0" borderId="29" xfId="0" applyBorder="1"/>
    <xf numFmtId="0" fontId="0" fillId="0" borderId="32" xfId="0" applyBorder="1" applyAlignment="1">
      <alignment wrapText="1"/>
    </xf>
    <xf numFmtId="0" fontId="0" fillId="0" borderId="33" xfId="0" applyBorder="1" applyAlignment="1">
      <alignment wrapText="1"/>
    </xf>
    <xf numFmtId="0" fontId="28" fillId="0" borderId="33" xfId="0" applyFont="1" applyBorder="1" applyAlignment="1">
      <alignment wrapText="1"/>
    </xf>
    <xf numFmtId="0" fontId="29" fillId="0" borderId="0" xfId="0" applyFont="1"/>
    <xf numFmtId="43" fontId="0" fillId="0" borderId="0" xfId="0" applyNumberFormat="1"/>
    <xf numFmtId="3" fontId="3" fillId="0" borderId="5" xfId="2" applyNumberFormat="1" applyFont="1" applyBorder="1" applyAlignment="1" applyProtection="1">
      <alignment horizontal="center" vertical="center" wrapText="1"/>
      <protection locked="0"/>
    </xf>
    <xf numFmtId="44" fontId="3" fillId="0" borderId="5" xfId="2" applyNumberFormat="1" applyFont="1" applyBorder="1" applyAlignment="1">
      <alignment horizontal="center" vertical="center"/>
    </xf>
    <xf numFmtId="44" fontId="29" fillId="0" borderId="0" xfId="0" applyNumberFormat="1" applyFont="1"/>
    <xf numFmtId="4" fontId="3" fillId="4" borderId="5" xfId="2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29" fillId="0" borderId="0" xfId="0" applyFont="1" applyAlignment="1">
      <alignment horizontal="right"/>
    </xf>
    <xf numFmtId="0" fontId="0" fillId="0" borderId="4" xfId="0" applyBorder="1"/>
    <xf numFmtId="0" fontId="0" fillId="0" borderId="5" xfId="0" applyBorder="1"/>
    <xf numFmtId="0" fontId="30" fillId="0" borderId="0" xfId="0" applyFont="1" applyAlignment="1">
      <alignment horizontal="right"/>
    </xf>
    <xf numFmtId="4" fontId="2" fillId="4" borderId="5" xfId="2" applyNumberFormat="1" applyFont="1" applyFill="1" applyBorder="1" applyAlignment="1">
      <alignment horizontal="center" vertical="center"/>
    </xf>
    <xf numFmtId="1" fontId="3" fillId="4" borderId="5" xfId="2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wrapText="1"/>
    </xf>
    <xf numFmtId="2" fontId="3" fillId="0" borderId="5" xfId="2" applyNumberFormat="1" applyFont="1" applyBorder="1" applyAlignment="1">
      <alignment horizontal="center" vertical="center" wrapText="1"/>
    </xf>
    <xf numFmtId="2" fontId="3" fillId="0" borderId="5" xfId="2" applyNumberFormat="1" applyFont="1" applyBorder="1" applyAlignment="1">
      <alignment vertical="center" wrapText="1"/>
    </xf>
    <xf numFmtId="0" fontId="17" fillId="0" borderId="12" xfId="4" applyFont="1" applyBorder="1" applyAlignment="1">
      <alignment wrapText="1"/>
    </xf>
    <xf numFmtId="4" fontId="3" fillId="0" borderId="2" xfId="2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4" fontId="3" fillId="0" borderId="0" xfId="2" applyNumberFormat="1" applyFont="1" applyAlignment="1">
      <alignment horizontal="center" vertical="center"/>
    </xf>
    <xf numFmtId="44" fontId="2" fillId="0" borderId="5" xfId="2" applyNumberFormat="1" applyFont="1" applyBorder="1" applyAlignment="1">
      <alignment horizontal="center" vertical="center"/>
    </xf>
    <xf numFmtId="3" fontId="3" fillId="4" borderId="5" xfId="2" applyNumberFormat="1" applyFont="1" applyFill="1" applyBorder="1" applyAlignment="1">
      <alignment horizontal="center" vertical="center"/>
    </xf>
    <xf numFmtId="0" fontId="0" fillId="4" borderId="0" xfId="0" applyFill="1"/>
    <xf numFmtId="169" fontId="3" fillId="0" borderId="5" xfId="0" applyNumberFormat="1" applyFont="1" applyBorder="1" applyAlignment="1">
      <alignment horizontal="center" vertical="center" wrapText="1"/>
    </xf>
    <xf numFmtId="169" fontId="0" fillId="0" borderId="0" xfId="0" applyNumberFormat="1"/>
    <xf numFmtId="9" fontId="0" fillId="0" borderId="0" xfId="0" applyNumberFormat="1" applyAlignment="1">
      <alignment wrapText="1"/>
    </xf>
    <xf numFmtId="169" fontId="2" fillId="0" borderId="5" xfId="0" applyNumberFormat="1" applyFont="1" applyBorder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4" fontId="3" fillId="4" borderId="5" xfId="2" applyNumberFormat="1" applyFont="1" applyFill="1" applyBorder="1" applyAlignment="1" applyProtection="1">
      <alignment horizontal="center" vertical="center"/>
      <protection locked="0"/>
    </xf>
    <xf numFmtId="4" fontId="3" fillId="4" borderId="5" xfId="0" applyNumberFormat="1" applyFont="1" applyFill="1" applyBorder="1" applyAlignment="1">
      <alignment horizontal="center" vertical="center" wrapText="1"/>
    </xf>
    <xf numFmtId="4" fontId="2" fillId="4" borderId="5" xfId="2" applyNumberFormat="1" applyFont="1" applyFill="1" applyBorder="1" applyAlignment="1" applyProtection="1">
      <alignment horizontal="center" vertical="center"/>
      <protection locked="0"/>
    </xf>
    <xf numFmtId="169" fontId="3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9" fillId="0" borderId="23" xfId="0" applyFont="1" applyBorder="1" applyAlignment="1">
      <alignment horizontal="center" vertical="center"/>
    </xf>
    <xf numFmtId="0" fontId="29" fillId="0" borderId="54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 wrapText="1"/>
    </xf>
    <xf numFmtId="0" fontId="0" fillId="0" borderId="27" xfId="0" applyBorder="1" applyAlignment="1">
      <alignment horizontal="center"/>
    </xf>
    <xf numFmtId="2" fontId="0" fillId="0" borderId="8" xfId="0" applyNumberFormat="1" applyBorder="1"/>
    <xf numFmtId="2" fontId="0" fillId="0" borderId="18" xfId="0" applyNumberFormat="1" applyBorder="1"/>
    <xf numFmtId="167" fontId="0" fillId="0" borderId="18" xfId="0" applyNumberFormat="1" applyBorder="1"/>
    <xf numFmtId="0" fontId="0" fillId="0" borderId="18" xfId="0" applyBorder="1" applyAlignment="1">
      <alignment horizontal="center"/>
    </xf>
    <xf numFmtId="0" fontId="0" fillId="0" borderId="29" xfId="0" applyBorder="1" applyAlignment="1">
      <alignment horizontal="center"/>
    </xf>
    <xf numFmtId="2" fontId="0" fillId="0" borderId="1" xfId="0" applyNumberFormat="1" applyBorder="1"/>
    <xf numFmtId="2" fontId="0" fillId="0" borderId="11" xfId="0" applyNumberFormat="1" applyBorder="1"/>
    <xf numFmtId="0" fontId="0" fillId="0" borderId="32" xfId="0" applyBorder="1" applyAlignment="1">
      <alignment horizontal="center"/>
    </xf>
    <xf numFmtId="2" fontId="0" fillId="0" borderId="56" xfId="0" applyNumberFormat="1" applyBorder="1"/>
    <xf numFmtId="2" fontId="0" fillId="0" borderId="33" xfId="0" applyNumberFormat="1" applyBorder="1"/>
    <xf numFmtId="167" fontId="0" fillId="0" borderId="51" xfId="0" applyNumberFormat="1" applyBorder="1"/>
    <xf numFmtId="0" fontId="0" fillId="0" borderId="33" xfId="0" applyBorder="1" applyAlignment="1">
      <alignment horizontal="center"/>
    </xf>
    <xf numFmtId="167" fontId="29" fillId="0" borderId="57" xfId="0" applyNumberFormat="1" applyFont="1" applyBorder="1"/>
    <xf numFmtId="167" fontId="29" fillId="0" borderId="51" xfId="0" applyNumberFormat="1" applyFont="1" applyBorder="1"/>
    <xf numFmtId="167" fontId="29" fillId="0" borderId="48" xfId="0" applyNumberFormat="1" applyFont="1" applyBorder="1"/>
    <xf numFmtId="167" fontId="0" fillId="0" borderId="0" xfId="0" applyNumberFormat="1"/>
    <xf numFmtId="0" fontId="29" fillId="0" borderId="54" xfId="0" applyFont="1" applyBorder="1" applyAlignment="1">
      <alignment horizontal="center" vertical="center" wrapText="1"/>
    </xf>
    <xf numFmtId="0" fontId="0" fillId="0" borderId="18" xfId="0" applyBorder="1"/>
    <xf numFmtId="4" fontId="2" fillId="0" borderId="0" xfId="2" applyNumberFormat="1" applyFont="1" applyAlignment="1">
      <alignment horizontal="center" vertical="center"/>
    </xf>
    <xf numFmtId="169" fontId="2" fillId="0" borderId="0" xfId="0" applyNumberFormat="1" applyFont="1" applyAlignment="1">
      <alignment horizontal="center" vertical="center" wrapText="1"/>
    </xf>
    <xf numFmtId="0" fontId="29" fillId="0" borderId="23" xfId="0" applyFont="1" applyBorder="1"/>
    <xf numFmtId="0" fontId="29" fillId="0" borderId="25" xfId="0" applyFont="1" applyBorder="1"/>
    <xf numFmtId="0" fontId="29" fillId="0" borderId="25" xfId="0" applyFont="1" applyBorder="1" applyAlignment="1">
      <alignment horizontal="center"/>
    </xf>
    <xf numFmtId="0" fontId="29" fillId="0" borderId="26" xfId="0" applyFont="1" applyBorder="1" applyAlignment="1">
      <alignment horizontal="center"/>
    </xf>
    <xf numFmtId="0" fontId="29" fillId="0" borderId="24" xfId="0" applyFont="1" applyBorder="1" applyAlignment="1">
      <alignment horizontal="center"/>
    </xf>
    <xf numFmtId="4" fontId="3" fillId="0" borderId="5" xfId="2" applyNumberFormat="1" applyFont="1" applyBorder="1" applyAlignment="1">
      <alignment horizontal="center" wrapText="1"/>
    </xf>
    <xf numFmtId="4" fontId="3" fillId="3" borderId="5" xfId="2" applyNumberFormat="1" applyFont="1" applyFill="1" applyBorder="1" applyAlignment="1">
      <alignment horizontal="center" vertical="center"/>
    </xf>
    <xf numFmtId="2" fontId="3" fillId="4" borderId="5" xfId="2" applyNumberFormat="1" applyFont="1" applyFill="1" applyBorder="1" applyAlignment="1">
      <alignment horizontal="center" vertical="center"/>
    </xf>
    <xf numFmtId="2" fontId="2" fillId="4" borderId="5" xfId="2" applyNumberFormat="1" applyFont="1" applyFill="1" applyBorder="1" applyAlignment="1">
      <alignment horizontal="center" vertical="center"/>
    </xf>
    <xf numFmtId="4" fontId="3" fillId="3" borderId="2" xfId="2" applyNumberFormat="1" applyFont="1" applyFill="1" applyBorder="1" applyAlignment="1">
      <alignment horizontal="center" vertical="center"/>
    </xf>
    <xf numFmtId="0" fontId="0" fillId="3" borderId="0" xfId="0" applyFill="1"/>
    <xf numFmtId="2" fontId="3" fillId="3" borderId="2" xfId="0" applyNumberFormat="1" applyFont="1" applyFill="1" applyBorder="1" applyAlignment="1">
      <alignment horizontal="center" vertical="center"/>
    </xf>
    <xf numFmtId="44" fontId="3" fillId="3" borderId="5" xfId="2" applyNumberFormat="1" applyFont="1" applyFill="1" applyBorder="1" applyAlignment="1">
      <alignment horizontal="center" vertical="center"/>
    </xf>
    <xf numFmtId="43" fontId="3" fillId="0" borderId="2" xfId="6" applyFont="1" applyBorder="1" applyAlignment="1">
      <alignment horizontal="center" vertical="center"/>
    </xf>
    <xf numFmtId="43" fontId="3" fillId="3" borderId="2" xfId="6" applyFont="1" applyFill="1" applyBorder="1" applyAlignment="1">
      <alignment horizontal="center" vertical="center"/>
    </xf>
    <xf numFmtId="43" fontId="0" fillId="0" borderId="0" xfId="6" applyFont="1"/>
    <xf numFmtId="4" fontId="3" fillId="3" borderId="5" xfId="0" applyNumberFormat="1" applyFont="1" applyFill="1" applyBorder="1" applyAlignment="1">
      <alignment horizontal="center" vertical="center" wrapText="1"/>
    </xf>
    <xf numFmtId="4" fontId="2" fillId="3" borderId="5" xfId="2" applyNumberFormat="1" applyFont="1" applyFill="1" applyBorder="1" applyAlignment="1">
      <alignment horizontal="center" vertical="center"/>
    </xf>
    <xf numFmtId="2" fontId="3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4" fontId="2" fillId="0" borderId="10" xfId="2" applyNumberFormat="1" applyFont="1" applyBorder="1" applyAlignment="1" applyProtection="1">
      <alignment horizontal="center" vertical="center"/>
      <protection locked="0"/>
    </xf>
    <xf numFmtId="4" fontId="3" fillId="0" borderId="10" xfId="2" applyNumberFormat="1" applyFont="1" applyBorder="1" applyAlignment="1">
      <alignment horizontal="center" vertical="center"/>
    </xf>
    <xf numFmtId="4" fontId="2" fillId="0" borderId="10" xfId="2" applyNumberFormat="1" applyFont="1" applyBorder="1" applyAlignment="1">
      <alignment horizontal="center" vertical="center"/>
    </xf>
    <xf numFmtId="0" fontId="17" fillId="0" borderId="14" xfId="4" applyFont="1" applyBorder="1"/>
    <xf numFmtId="0" fontId="17" fillId="0" borderId="3" xfId="4" applyFont="1" applyBorder="1"/>
    <xf numFmtId="4" fontId="3" fillId="0" borderId="7" xfId="2" applyNumberFormat="1" applyFont="1" applyBorder="1" applyAlignment="1">
      <alignment horizontal="center" vertical="center"/>
    </xf>
    <xf numFmtId="4" fontId="3" fillId="0" borderId="10" xfId="2" applyNumberFormat="1" applyFont="1" applyBorder="1" applyAlignment="1" applyProtection="1">
      <alignment horizontal="center"/>
      <protection locked="0"/>
    </xf>
    <xf numFmtId="4" fontId="2" fillId="0" borderId="7" xfId="2" applyNumberFormat="1" applyFont="1" applyBorder="1" applyAlignment="1" applyProtection="1">
      <alignment horizontal="center" vertical="center"/>
      <protection locked="0"/>
    </xf>
    <xf numFmtId="4" fontId="3" fillId="0" borderId="5" xfId="2" applyNumberFormat="1" applyFont="1" applyBorder="1" applyAlignment="1" applyProtection="1">
      <alignment horizontal="center"/>
      <protection locked="0"/>
    </xf>
    <xf numFmtId="3" fontId="3" fillId="4" borderId="5" xfId="2" applyNumberFormat="1" applyFont="1" applyFill="1" applyBorder="1" applyAlignment="1" applyProtection="1">
      <alignment horizontal="center" vertical="center"/>
      <protection locked="0"/>
    </xf>
    <xf numFmtId="3" fontId="3" fillId="0" borderId="5" xfId="2" applyNumberFormat="1" applyFont="1" applyBorder="1" applyAlignment="1">
      <alignment horizontal="center" vertical="center" wrapText="1"/>
    </xf>
    <xf numFmtId="168" fontId="3" fillId="4" borderId="5" xfId="2" applyNumberFormat="1" applyFont="1" applyFill="1" applyBorder="1" applyAlignment="1">
      <alignment horizontal="center" vertical="center"/>
    </xf>
    <xf numFmtId="0" fontId="0" fillId="5" borderId="0" xfId="0" applyFill="1"/>
    <xf numFmtId="4" fontId="3" fillId="5" borderId="5" xfId="2" applyNumberFormat="1" applyFont="1" applyFill="1" applyBorder="1" applyAlignment="1">
      <alignment horizontal="center" vertical="center"/>
    </xf>
    <xf numFmtId="4" fontId="3" fillId="5" borderId="5" xfId="2" applyNumberFormat="1" applyFont="1" applyFill="1" applyBorder="1" applyAlignment="1">
      <alignment vertical="center"/>
    </xf>
    <xf numFmtId="4" fontId="3" fillId="5" borderId="5" xfId="0" applyNumberFormat="1" applyFont="1" applyFill="1" applyBorder="1" applyAlignment="1">
      <alignment horizontal="center" vertical="center" wrapText="1"/>
    </xf>
    <xf numFmtId="2" fontId="3" fillId="5" borderId="5" xfId="0" applyNumberFormat="1" applyFont="1" applyFill="1" applyBorder="1" applyAlignment="1">
      <alignment horizontal="center" vertical="center"/>
    </xf>
    <xf numFmtId="4" fontId="2" fillId="5" borderId="5" xfId="2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170" fontId="3" fillId="0" borderId="5" xfId="0" applyNumberFormat="1" applyFont="1" applyBorder="1" applyAlignment="1">
      <alignment horizontal="center" vertical="center" wrapText="1"/>
    </xf>
    <xf numFmtId="169" fontId="3" fillId="5" borderId="5" xfId="0" applyNumberFormat="1" applyFont="1" applyFill="1" applyBorder="1" applyAlignment="1">
      <alignment horizontal="center" vertical="center" wrapText="1"/>
    </xf>
    <xf numFmtId="0" fontId="26" fillId="0" borderId="0" xfId="0" applyFont="1"/>
    <xf numFmtId="4" fontId="9" fillId="3" borderId="1" xfId="2" applyNumberFormat="1" applyFont="1" applyFill="1" applyBorder="1" applyAlignment="1">
      <alignment horizontal="right" vertical="center"/>
    </xf>
    <xf numFmtId="0" fontId="2" fillId="3" borderId="0" xfId="0" applyFont="1" applyFill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17" fillId="3" borderId="5" xfId="4" applyFont="1" applyFill="1" applyBorder="1" applyAlignment="1">
      <alignment vertical="top" wrapText="1"/>
    </xf>
    <xf numFmtId="2" fontId="3" fillId="3" borderId="5" xfId="2" applyNumberFormat="1" applyFont="1" applyFill="1" applyBorder="1" applyAlignment="1">
      <alignment horizontal="center" vertical="center"/>
    </xf>
    <xf numFmtId="4" fontId="3" fillId="3" borderId="5" xfId="2" applyNumberFormat="1" applyFont="1" applyFill="1" applyBorder="1" applyAlignment="1" applyProtection="1">
      <alignment horizontal="right" vertical="center"/>
      <protection locked="0"/>
    </xf>
    <xf numFmtId="4" fontId="3" fillId="3" borderId="5" xfId="1" applyFont="1" applyFill="1" applyBorder="1" applyAlignment="1">
      <alignment horizontal="right" vertical="center"/>
    </xf>
    <xf numFmtId="4" fontId="3" fillId="3" borderId="5" xfId="2" applyNumberFormat="1" applyFont="1" applyFill="1" applyBorder="1" applyAlignment="1">
      <alignment horizontal="center" vertical="top"/>
    </xf>
    <xf numFmtId="44" fontId="0" fillId="0" borderId="0" xfId="0" applyNumberFormat="1"/>
    <xf numFmtId="0" fontId="3" fillId="3" borderId="0" xfId="0" applyFont="1" applyFill="1" applyAlignment="1">
      <alignment horizontal="right" vertical="center"/>
    </xf>
    <xf numFmtId="0" fontId="2" fillId="3" borderId="0" xfId="2" applyFont="1" applyFill="1" applyAlignment="1">
      <alignment horizontal="right" vertical="center"/>
    </xf>
    <xf numFmtId="0" fontId="3" fillId="3" borderId="1" xfId="2" applyFont="1" applyFill="1" applyBorder="1" applyAlignment="1">
      <alignment horizontal="center" vertical="center" wrapText="1"/>
    </xf>
    <xf numFmtId="0" fontId="2" fillId="3" borderId="5" xfId="2" applyFont="1" applyFill="1" applyBorder="1" applyAlignment="1">
      <alignment horizontal="right" vertical="center"/>
    </xf>
    <xf numFmtId="4" fontId="2" fillId="3" borderId="5" xfId="2" applyNumberFormat="1" applyFont="1" applyFill="1" applyBorder="1" applyAlignment="1" applyProtection="1">
      <alignment horizontal="right" vertical="center"/>
      <protection locked="0"/>
    </xf>
    <xf numFmtId="4" fontId="2" fillId="3" borderId="10" xfId="2" applyNumberFormat="1" applyFont="1" applyFill="1" applyBorder="1" applyAlignment="1">
      <alignment horizontal="right" vertical="center"/>
    </xf>
    <xf numFmtId="4" fontId="2" fillId="3" borderId="1" xfId="2" applyNumberFormat="1" applyFont="1" applyFill="1" applyBorder="1" applyAlignment="1">
      <alignment horizontal="right" vertical="center"/>
    </xf>
    <xf numFmtId="4" fontId="3" fillId="3" borderId="10" xfId="2" applyNumberFormat="1" applyFont="1" applyFill="1" applyBorder="1" applyAlignment="1">
      <alignment horizontal="right" vertical="center"/>
    </xf>
    <xf numFmtId="4" fontId="2" fillId="3" borderId="5" xfId="2" applyNumberFormat="1" applyFont="1" applyFill="1" applyBorder="1" applyAlignment="1">
      <alignment horizontal="right" vertical="center"/>
    </xf>
    <xf numFmtId="4" fontId="9" fillId="3" borderId="13" xfId="2" applyNumberFormat="1" applyFont="1" applyFill="1" applyBorder="1" applyAlignment="1">
      <alignment horizontal="right" vertical="center"/>
    </xf>
    <xf numFmtId="4" fontId="2" fillId="3" borderId="4" xfId="2" applyNumberFormat="1" applyFont="1" applyFill="1" applyBorder="1" applyAlignment="1">
      <alignment horizontal="right" vertical="center"/>
    </xf>
    <xf numFmtId="4" fontId="3" fillId="3" borderId="5" xfId="2" applyNumberFormat="1" applyFont="1" applyFill="1" applyBorder="1" applyAlignment="1" applyProtection="1">
      <alignment horizontal="right" vertical="top"/>
      <protection locked="0"/>
    </xf>
    <xf numFmtId="4" fontId="2" fillId="3" borderId="5" xfId="2" applyNumberFormat="1" applyFont="1" applyFill="1" applyBorder="1" applyAlignment="1">
      <alignment horizontal="right" vertical="top"/>
    </xf>
    <xf numFmtId="4" fontId="3" fillId="3" borderId="7" xfId="2" applyNumberFormat="1" applyFont="1" applyFill="1" applyBorder="1" applyAlignment="1">
      <alignment horizontal="right" vertical="center"/>
    </xf>
    <xf numFmtId="4" fontId="3" fillId="3" borderId="10" xfId="2" applyNumberFormat="1" applyFont="1" applyFill="1" applyBorder="1" applyAlignment="1" applyProtection="1">
      <alignment horizontal="right" vertical="center"/>
      <protection locked="0"/>
    </xf>
    <xf numFmtId="4" fontId="3" fillId="3" borderId="0" xfId="0" applyNumberFormat="1" applyFont="1" applyFill="1" applyAlignment="1">
      <alignment horizontal="right" vertical="center"/>
    </xf>
    <xf numFmtId="4" fontId="7" fillId="0" borderId="0" xfId="0" applyNumberFormat="1" applyFont="1" applyFill="1"/>
    <xf numFmtId="164" fontId="7" fillId="0" borderId="6" xfId="0" applyNumberFormat="1" applyFont="1" applyFill="1" applyBorder="1"/>
    <xf numFmtId="43" fontId="9" fillId="0" borderId="0" xfId="0" applyNumberFormat="1" applyFont="1" applyFill="1"/>
    <xf numFmtId="0" fontId="9" fillId="0" borderId="22" xfId="0" applyFont="1" applyFill="1" applyBorder="1"/>
    <xf numFmtId="0" fontId="9" fillId="0" borderId="26" xfId="0" applyFont="1" applyFill="1" applyBorder="1" applyAlignment="1">
      <alignment horizontal="center"/>
    </xf>
    <xf numFmtId="43" fontId="7" fillId="0" borderId="28" xfId="6" applyFont="1" applyFill="1" applyBorder="1"/>
    <xf numFmtId="43" fontId="7" fillId="0" borderId="55" xfId="6" applyFont="1" applyFill="1" applyBorder="1"/>
    <xf numFmtId="43" fontId="7" fillId="0" borderId="53" xfId="6" applyFont="1" applyFill="1" applyBorder="1" applyAlignment="1">
      <alignment wrapText="1"/>
    </xf>
    <xf numFmtId="164" fontId="7" fillId="0" borderId="53" xfId="0" applyNumberFormat="1" applyFont="1" applyFill="1" applyBorder="1"/>
    <xf numFmtId="164" fontId="7" fillId="0" borderId="34" xfId="0" applyNumberFormat="1" applyFont="1" applyFill="1" applyBorder="1"/>
    <xf numFmtId="164" fontId="7" fillId="0" borderId="48" xfId="0" applyNumberFormat="1" applyFont="1" applyFill="1" applyBorder="1"/>
    <xf numFmtId="164" fontId="7" fillId="0" borderId="44" xfId="0" applyNumberFormat="1" applyFont="1" applyFill="1" applyBorder="1"/>
    <xf numFmtId="4" fontId="9" fillId="0" borderId="26" xfId="0" applyNumberFormat="1" applyFont="1" applyFill="1" applyBorder="1" applyAlignment="1">
      <alignment horizontal="right" vertical="center"/>
    </xf>
    <xf numFmtId="0" fontId="6" fillId="0" borderId="22" xfId="0" applyFont="1" applyFill="1" applyBorder="1" applyAlignment="1">
      <alignment horizontal="right" vertical="center"/>
    </xf>
    <xf numFmtId="164" fontId="7" fillId="0" borderId="22" xfId="0" applyNumberFormat="1" applyFont="1" applyFill="1" applyBorder="1" applyProtection="1">
      <protection locked="0"/>
    </xf>
    <xf numFmtId="164" fontId="7" fillId="0" borderId="28" xfId="0" applyNumberFormat="1" applyFont="1" applyFill="1" applyBorder="1"/>
    <xf numFmtId="164" fontId="7" fillId="0" borderId="34" xfId="0" applyNumberFormat="1" applyFont="1" applyFill="1" applyBorder="1" applyProtection="1">
      <protection locked="0"/>
    </xf>
    <xf numFmtId="164" fontId="7" fillId="0" borderId="26" xfId="0" applyNumberFormat="1" applyFont="1" applyFill="1" applyBorder="1"/>
    <xf numFmtId="0" fontId="0" fillId="0" borderId="44" xfId="0" applyFill="1" applyBorder="1"/>
    <xf numFmtId="4" fontId="9" fillId="0" borderId="26" xfId="0" applyNumberFormat="1" applyFont="1" applyFill="1" applyBorder="1"/>
    <xf numFmtId="4" fontId="0" fillId="0" borderId="44" xfId="0" applyNumberFormat="1" applyFill="1" applyBorder="1"/>
    <xf numFmtId="4" fontId="0" fillId="0" borderId="37" xfId="0" applyNumberFormat="1" applyFill="1" applyBorder="1" applyAlignment="1">
      <alignment horizontal="right" vertical="center"/>
    </xf>
    <xf numFmtId="4" fontId="0" fillId="0" borderId="39" xfId="0" applyNumberFormat="1" applyFill="1" applyBorder="1" applyAlignment="1">
      <alignment horizontal="right" vertical="center"/>
    </xf>
    <xf numFmtId="4" fontId="6" fillId="0" borderId="42" xfId="0" applyNumberFormat="1" applyFont="1" applyFill="1" applyBorder="1" applyAlignment="1">
      <alignment horizontal="right" vertical="center"/>
    </xf>
    <xf numFmtId="4" fontId="4" fillId="0" borderId="44" xfId="0" applyNumberFormat="1" applyFont="1" applyFill="1" applyBorder="1" applyAlignment="1">
      <alignment horizontal="right" vertical="center"/>
    </xf>
    <xf numFmtId="4" fontId="6" fillId="0" borderId="47" xfId="0" applyNumberFormat="1" applyFont="1" applyFill="1" applyBorder="1" applyAlignment="1">
      <alignment horizontal="right" vertical="center"/>
    </xf>
    <xf numFmtId="0" fontId="7" fillId="0" borderId="0" xfId="0" applyFont="1" applyFill="1"/>
    <xf numFmtId="0" fontId="0" fillId="0" borderId="0" xfId="0" applyFill="1"/>
    <xf numFmtId="0" fontId="2" fillId="3" borderId="2" xfId="0" applyFont="1" applyFill="1" applyBorder="1" applyAlignment="1">
      <alignment horizontal="left" vertical="top"/>
    </xf>
    <xf numFmtId="0" fontId="3" fillId="3" borderId="0" xfId="2" applyFont="1" applyFill="1" applyAlignment="1">
      <alignment horizontal="left" vertical="top"/>
    </xf>
    <xf numFmtId="0" fontId="12" fillId="3" borderId="5" xfId="4" applyFont="1" applyFill="1" applyBorder="1" applyAlignment="1">
      <alignment horizontal="left" vertical="top" wrapText="1"/>
    </xf>
    <xf numFmtId="4" fontId="3" fillId="3" borderId="5" xfId="2" applyNumberFormat="1" applyFont="1" applyFill="1" applyBorder="1" applyAlignment="1" applyProtection="1">
      <alignment horizontal="center" vertical="center"/>
      <protection locked="0"/>
    </xf>
    <xf numFmtId="4" fontId="3" fillId="3" borderId="5" xfId="2" applyNumberFormat="1" applyFont="1" applyFill="1" applyBorder="1" applyAlignment="1">
      <alignment horizontal="right" vertical="top"/>
    </xf>
    <xf numFmtId="0" fontId="3" fillId="3" borderId="0" xfId="0" applyFont="1" applyFill="1"/>
    <xf numFmtId="10" fontId="0" fillId="0" borderId="0" xfId="0" applyNumberFormat="1"/>
    <xf numFmtId="0" fontId="3" fillId="0" borderId="0" xfId="0" applyFont="1" applyAlignment="1">
      <alignment horizontal="right" vertical="center"/>
    </xf>
    <xf numFmtId="0" fontId="9" fillId="0" borderId="0" xfId="0" applyFont="1" applyFill="1" applyBorder="1" applyAlignment="1">
      <alignment horizontal="center"/>
    </xf>
    <xf numFmtId="0" fontId="7" fillId="3" borderId="29" xfId="0" applyFont="1" applyFill="1" applyBorder="1" applyAlignment="1">
      <alignment horizontal="center"/>
    </xf>
    <xf numFmtId="0" fontId="7" fillId="3" borderId="10" xfId="0" applyFont="1" applyFill="1" applyBorder="1" applyAlignment="1">
      <alignment wrapText="1"/>
    </xf>
    <xf numFmtId="164" fontId="7" fillId="3" borderId="6" xfId="0" applyNumberFormat="1" applyFont="1" applyFill="1" applyBorder="1"/>
    <xf numFmtId="43" fontId="7" fillId="3" borderId="55" xfId="6" applyFont="1" applyFill="1" applyBorder="1"/>
    <xf numFmtId="0" fontId="35" fillId="0" borderId="0" xfId="0" applyFont="1"/>
    <xf numFmtId="4" fontId="35" fillId="3" borderId="0" xfId="0" applyNumberFormat="1" applyFont="1" applyFill="1"/>
    <xf numFmtId="43" fontId="35" fillId="0" borderId="0" xfId="0" applyNumberFormat="1" applyFont="1"/>
    <xf numFmtId="0" fontId="35" fillId="3" borderId="0" xfId="0" applyFont="1" applyFill="1"/>
    <xf numFmtId="0" fontId="7" fillId="0" borderId="29" xfId="0" applyFont="1" applyFill="1" applyBorder="1" applyAlignment="1">
      <alignment horizontal="center"/>
    </xf>
    <xf numFmtId="0" fontId="7" fillId="0" borderId="10" xfId="0" applyFont="1" applyFill="1" applyBorder="1" applyAlignment="1">
      <alignment wrapText="1"/>
    </xf>
    <xf numFmtId="43" fontId="35" fillId="0" borderId="0" xfId="0" applyNumberFormat="1" applyFont="1" applyFill="1"/>
    <xf numFmtId="171" fontId="3" fillId="0" borderId="0" xfId="0" applyNumberFormat="1" applyFont="1"/>
    <xf numFmtId="4" fontId="3" fillId="0" borderId="5" xfId="1" applyFont="1" applyBorder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8" fontId="3" fillId="0" borderId="0" xfId="0" applyNumberFormat="1" applyFont="1" applyAlignment="1">
      <alignment horizontal="center" vertical="center"/>
    </xf>
    <xf numFmtId="171" fontId="3" fillId="0" borderId="0" xfId="0" applyNumberFormat="1" applyFont="1" applyAlignment="1">
      <alignment horizontal="center" vertical="center"/>
    </xf>
    <xf numFmtId="4" fontId="9" fillId="0" borderId="1" xfId="2" applyNumberFormat="1" applyFont="1" applyFill="1" applyBorder="1" applyAlignment="1">
      <alignment horizontal="right" vertical="center"/>
    </xf>
    <xf numFmtId="8" fontId="3" fillId="0" borderId="0" xfId="0" applyNumberFormat="1" applyFont="1" applyAlignment="1">
      <alignment horizontal="right" vertical="center"/>
    </xf>
    <xf numFmtId="4" fontId="16" fillId="3" borderId="5" xfId="2" applyNumberFormat="1" applyFont="1" applyFill="1" applyBorder="1" applyAlignment="1">
      <alignment horizontal="right" vertical="center"/>
    </xf>
    <xf numFmtId="4" fontId="7" fillId="3" borderId="0" xfId="0" applyNumberFormat="1" applyFont="1" applyFill="1" applyAlignment="1">
      <alignment horizontal="right" vertical="center"/>
    </xf>
    <xf numFmtId="8" fontId="3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171" fontId="3" fillId="3" borderId="0" xfId="0" applyNumberFormat="1" applyFont="1" applyFill="1" applyAlignment="1">
      <alignment vertical="center"/>
    </xf>
    <xf numFmtId="4" fontId="3" fillId="3" borderId="0" xfId="0" applyNumberFormat="1" applyFont="1" applyFill="1" applyAlignment="1">
      <alignment vertical="center"/>
    </xf>
    <xf numFmtId="171" fontId="3" fillId="0" borderId="0" xfId="8" applyNumberFormat="1" applyFont="1"/>
    <xf numFmtId="4" fontId="0" fillId="0" borderId="0" xfId="0" applyNumberFormat="1"/>
    <xf numFmtId="4" fontId="0" fillId="0" borderId="0" xfId="0" applyNumberFormat="1" applyFill="1"/>
    <xf numFmtId="4" fontId="0" fillId="3" borderId="0" xfId="0" applyNumberFormat="1" applyFill="1"/>
    <xf numFmtId="43" fontId="0" fillId="3" borderId="0" xfId="0" applyNumberFormat="1" applyFill="1"/>
    <xf numFmtId="10" fontId="0" fillId="0" borderId="0" xfId="0" applyNumberFormat="1" applyAlignment="1">
      <alignment horizontal="left"/>
    </xf>
    <xf numFmtId="0" fontId="2" fillId="0" borderId="12" xfId="2" applyFont="1" applyBorder="1" applyAlignment="1">
      <alignment horizontal="left" vertical="top"/>
    </xf>
    <xf numFmtId="0" fontId="2" fillId="0" borderId="13" xfId="2" applyFont="1" applyBorder="1" applyAlignment="1">
      <alignment horizontal="left" vertical="top"/>
    </xf>
    <xf numFmtId="0" fontId="2" fillId="0" borderId="14" xfId="2" applyFont="1" applyBorder="1" applyAlignment="1">
      <alignment horizontal="left" vertical="top"/>
    </xf>
    <xf numFmtId="0" fontId="3" fillId="0" borderId="0" xfId="0" applyFont="1" applyAlignment="1">
      <alignment horizontal="right" vertical="center"/>
    </xf>
    <xf numFmtId="0" fontId="3" fillId="0" borderId="1" xfId="2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2" fillId="0" borderId="2" xfId="2" applyFont="1" applyBorder="1" applyAlignment="1">
      <alignment horizontal="left" vertical="top"/>
    </xf>
    <xf numFmtId="0" fontId="2" fillId="0" borderId="0" xfId="2" applyFont="1" applyAlignment="1">
      <alignment horizontal="left" vertical="top"/>
    </xf>
    <xf numFmtId="0" fontId="2" fillId="0" borderId="3" xfId="2" applyFont="1" applyBorder="1" applyAlignment="1">
      <alignment horizontal="left" vertical="top"/>
    </xf>
    <xf numFmtId="0" fontId="2" fillId="0" borderId="12" xfId="2" applyFont="1" applyBorder="1" applyAlignment="1" applyProtection="1">
      <alignment horizontal="left" vertical="top"/>
      <protection locked="0"/>
    </xf>
    <xf numFmtId="0" fontId="2" fillId="0" borderId="13" xfId="2" applyFont="1" applyBorder="1" applyAlignment="1" applyProtection="1">
      <alignment horizontal="left" vertical="top"/>
      <protection locked="0"/>
    </xf>
    <xf numFmtId="0" fontId="2" fillId="0" borderId="14" xfId="2" applyFont="1" applyBorder="1" applyAlignment="1" applyProtection="1">
      <alignment horizontal="left" vertical="top"/>
      <protection locked="0"/>
    </xf>
    <xf numFmtId="0" fontId="3" fillId="0" borderId="0" xfId="2" applyFont="1" applyAlignment="1" applyProtection="1">
      <alignment horizontal="left" vertical="top" wrapText="1"/>
      <protection locked="0"/>
    </xf>
    <xf numFmtId="0" fontId="3" fillId="0" borderId="3" xfId="2" applyFont="1" applyBorder="1" applyAlignment="1" applyProtection="1">
      <alignment horizontal="left" vertical="top" wrapText="1"/>
      <protection locked="0"/>
    </xf>
    <xf numFmtId="0" fontId="2" fillId="0" borderId="12" xfId="0" applyFont="1" applyBorder="1" applyAlignment="1">
      <alignment horizontal="left" vertical="top"/>
    </xf>
    <xf numFmtId="0" fontId="2" fillId="0" borderId="13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25" fillId="0" borderId="0" xfId="0" applyFont="1" applyAlignment="1">
      <alignment horizontal="left" vertical="center"/>
    </xf>
    <xf numFmtId="0" fontId="9" fillId="0" borderId="49" xfId="0" applyFont="1" applyBorder="1" applyAlignment="1">
      <alignment horizontal="left" wrapText="1"/>
    </xf>
    <xf numFmtId="0" fontId="9" fillId="0" borderId="50" xfId="0" applyFont="1" applyBorder="1" applyAlignment="1">
      <alignment horizontal="left" wrapText="1"/>
    </xf>
    <xf numFmtId="0" fontId="7" fillId="0" borderId="35" xfId="0" applyFont="1" applyBorder="1"/>
    <xf numFmtId="0" fontId="7" fillId="0" borderId="36" xfId="0" applyFont="1" applyBorder="1"/>
    <xf numFmtId="0" fontId="7" fillId="0" borderId="38" xfId="0" applyFont="1" applyBorder="1" applyAlignment="1">
      <alignment wrapText="1"/>
    </xf>
    <xf numFmtId="0" fontId="7" fillId="0" borderId="13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53" xfId="0" applyBorder="1" applyAlignment="1">
      <alignment horizontal="center"/>
    </xf>
    <xf numFmtId="0" fontId="29" fillId="0" borderId="0" xfId="0" applyFont="1" applyAlignment="1">
      <alignment horizontal="center"/>
    </xf>
    <xf numFmtId="0" fontId="29" fillId="0" borderId="44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29" fillId="0" borderId="25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0" fillId="0" borderId="55" xfId="0" applyBorder="1" applyAlignment="1">
      <alignment horizontal="center"/>
    </xf>
    <xf numFmtId="167" fontId="0" fillId="0" borderId="58" xfId="0" applyNumberFormat="1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7" fontId="0" fillId="0" borderId="33" xfId="0" applyNumberFormat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167" fontId="0" fillId="0" borderId="18" xfId="0" applyNumberForma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54" xfId="0" applyFont="1" applyBorder="1" applyAlignment="1">
      <alignment horizontal="center"/>
    </xf>
    <xf numFmtId="0" fontId="29" fillId="0" borderId="25" xfId="0" applyFont="1" applyBorder="1" applyAlignment="1">
      <alignment horizontal="center"/>
    </xf>
    <xf numFmtId="0" fontId="29" fillId="0" borderId="26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17" fillId="0" borderId="12" xfId="4" applyFont="1" applyBorder="1" applyAlignment="1">
      <alignment horizontal="center" wrapText="1"/>
    </xf>
    <xf numFmtId="0" fontId="17" fillId="0" borderId="13" xfId="4" applyFont="1" applyBorder="1" applyAlignment="1">
      <alignment horizontal="center" wrapText="1"/>
    </xf>
    <xf numFmtId="0" fontId="17" fillId="0" borderId="14" xfId="4" applyFont="1" applyBorder="1" applyAlignment="1">
      <alignment horizontal="center" wrapText="1"/>
    </xf>
  </cellXfs>
  <cellStyles count="9">
    <cellStyle name="Comma" xfId="6" builtinId="3"/>
    <cellStyle name="Comma 18" xfId="1" xr:uid="{655E2E07-B3E0-4A4F-8830-DFAAF2C59575}"/>
    <cellStyle name="Comma 3" xfId="7" xr:uid="{EB93AEC4-D4E2-44C7-ACCF-4F5EC41C8B5A}"/>
    <cellStyle name="Currency" xfId="8" builtinId="4"/>
    <cellStyle name="Normal" xfId="0" builtinId="0"/>
    <cellStyle name="Normal 11" xfId="5" xr:uid="{615A019A-0BD5-40A0-A9BB-C112AD97227D}"/>
    <cellStyle name="Normal 3" xfId="4" xr:uid="{A3D1FC6F-4575-4424-98B7-4747751D4EFF}"/>
    <cellStyle name="Normal_CERT3 (2)" xfId="2" xr:uid="{8D108BE0-CD79-4848-B7AA-33F402FAB79C}"/>
    <cellStyle name="Percent 2" xfId="3" xr:uid="{4DBA2660-6E88-4778-A416-A9B9D1080F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lyde Valayatham" id="{23C92DCD-ADDC-4451-AB53-C4DB2915C5E7}" userId="e6b9237cad3d35d2" providerId="Windows Live"/>
  <person displayName="Sthokoziso Dladla" id="{52D8D11F-A661-49BE-88FD-2951C46F6DE7}" userId="S::Sthokoziso.Dladla@naiduconsulting.com::8adcbde3-9d4f-42f3-901a-0b1aa5fe3049" providerId="AD"/>
</personList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Original Contract Duration</v>
    <v>2</v>
    <v>4</v>
    <v>5</v>
  </rv>
  <rv s="0">
    <v>Contractor likely wont do this item</v>
    <v>2</v>
    <v>4</v>
    <v>5</v>
  </rv>
  <rv s="0">
    <v>Nil, masured below</v>
    <v>2</v>
    <v>4</v>
    <v>5</v>
  </rv>
  <rv s="0">
    <v>original Contract Duration</v>
    <v>2</v>
    <v>4</v>
    <v>5</v>
  </rv>
  <rv s="0">
    <v>Actual</v>
    <v>2</v>
    <v>4</v>
    <v>5</v>
  </rv>
  <rv s="0">
    <v>Estimated to be Nil</v>
    <v>2</v>
    <v>4</v>
    <v>5</v>
  </rv>
  <rv s="0">
    <v/>
    <v>2</v>
    <v>4</v>
    <v>5</v>
  </rv>
</rvData>
</file>

<file path=xl/richData/rdrichvaluestructure.xml><?xml version="1.0" encoding="utf-8"?>
<rvStructures xmlns="http://schemas.microsoft.com/office/spreadsheetml/2017/richdata" count="1">
  <s t="_error">
    <k n="argument" t="s"/>
    <k n="errorType" t="i"/>
    <k n="ptg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71" dT="2025-05-26T10:30:02.49" personId="{52D8D11F-A661-49BE-88FD-2951C46F6DE7}" id="{D9AAB80C-A7D1-47C9-9E1C-91CEEA8BEEFB}">
    <text>No rate for 1200 signs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8" dT="2025-05-28T08:10:25.46" personId="{23C92DCD-ADDC-4451-AB53-C4DB2915C5E7}" id="{751AB2BD-3D55-4EDF-8662-B2BA5CC5F989}">
    <text>Typed in manually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FF078-A911-4AD1-A82F-5C3A7B2AC6A8}">
  <sheetPr>
    <pageSetUpPr fitToPage="1"/>
  </sheetPr>
  <dimension ref="B1:AA42286"/>
  <sheetViews>
    <sheetView tabSelected="1" view="pageBreakPreview" topLeftCell="A4" zoomScaleNormal="100" zoomScaleSheetLayoutView="100" workbookViewId="0">
      <pane ySplit="1" topLeftCell="A43" activePane="bottomLeft" state="frozen"/>
      <selection activeCell="A4" sqref="A4"/>
      <selection pane="bottomLeft" activeCell="H53" sqref="H53"/>
    </sheetView>
  </sheetViews>
  <sheetFormatPr defaultColWidth="10.8984375" defaultRowHeight="11.4"/>
  <cols>
    <col min="1" max="1" width="2" style="2" customWidth="1"/>
    <col min="2" max="4" width="3.19921875" style="2" customWidth="1"/>
    <col min="5" max="5" width="5.8984375" style="3" customWidth="1"/>
    <col min="6" max="6" width="39.3984375" style="4" customWidth="1"/>
    <col min="7" max="7" width="17.19921875" style="2" customWidth="1"/>
    <col min="8" max="8" width="13.19921875" style="3" customWidth="1"/>
    <col min="9" max="9" width="17.296875" style="3" customWidth="1"/>
    <col min="10" max="10" width="14" style="2" hidden="1" customWidth="1"/>
    <col min="11" max="11" width="11.796875" style="5" hidden="1" customWidth="1"/>
    <col min="12" max="12" width="11.69921875" style="5" hidden="1" customWidth="1"/>
    <col min="13" max="13" width="11.59765625" style="6" customWidth="1"/>
    <col min="14" max="14" width="16.69921875" style="5" customWidth="1"/>
    <col min="15" max="15" width="16.69921875" style="509" customWidth="1"/>
    <col min="16" max="16" width="14.796875" style="17" customWidth="1"/>
    <col min="17" max="17" width="22.69921875" style="3" bestFit="1" customWidth="1"/>
    <col min="18" max="18" width="14" style="7" hidden="1" customWidth="1"/>
    <col min="19" max="19" width="13.8984375" style="8" hidden="1" customWidth="1"/>
    <col min="20" max="20" width="13.8984375" style="2" hidden="1" customWidth="1"/>
    <col min="21" max="21" width="24.19921875" style="2" hidden="1" customWidth="1"/>
    <col min="22" max="22" width="11.69921875" style="2" hidden="1" customWidth="1"/>
    <col min="23" max="24" width="0" style="2" hidden="1" customWidth="1"/>
    <col min="25" max="25" width="11" style="2" bestFit="1" customWidth="1"/>
    <col min="26" max="26" width="12" style="2" bestFit="1" customWidth="1"/>
    <col min="27" max="16384" width="10.8984375" style="2"/>
  </cols>
  <sheetData>
    <row r="1" spans="2:26" hidden="1"/>
    <row r="2" spans="2:26" ht="12" hidden="1">
      <c r="B2" s="1" t="s">
        <v>0</v>
      </c>
      <c r="H2" s="10" t="s">
        <v>733</v>
      </c>
      <c r="O2" s="595"/>
      <c r="P2" s="595"/>
    </row>
    <row r="3" spans="2:26" ht="15.6" hidden="1">
      <c r="B3" s="9"/>
      <c r="C3" s="1"/>
      <c r="D3" s="1"/>
      <c r="E3" s="10"/>
      <c r="F3" s="11"/>
      <c r="G3" s="12"/>
      <c r="H3" s="9"/>
      <c r="I3" s="9"/>
      <c r="J3" s="9"/>
      <c r="K3" s="14"/>
      <c r="L3" s="14"/>
      <c r="M3" s="15"/>
      <c r="N3" s="16"/>
      <c r="O3" s="510"/>
      <c r="Q3" s="13"/>
      <c r="S3" s="18"/>
      <c r="T3" s="1"/>
    </row>
    <row r="4" spans="2:26" ht="23.4">
      <c r="B4" s="596" t="s">
        <v>1</v>
      </c>
      <c r="C4" s="596"/>
      <c r="D4" s="596"/>
      <c r="E4" s="596"/>
      <c r="F4" s="20" t="s">
        <v>2</v>
      </c>
      <c r="G4" s="19" t="s">
        <v>3</v>
      </c>
      <c r="H4" s="20" t="s">
        <v>4</v>
      </c>
      <c r="I4" s="20" t="s">
        <v>5</v>
      </c>
      <c r="J4" s="20" t="s">
        <v>6</v>
      </c>
      <c r="K4" s="21" t="s">
        <v>7</v>
      </c>
      <c r="L4" s="21" t="s">
        <v>8</v>
      </c>
      <c r="M4" s="22" t="s">
        <v>9</v>
      </c>
      <c r="N4" s="23" t="s">
        <v>10</v>
      </c>
      <c r="O4" s="511" t="s">
        <v>11</v>
      </c>
      <c r="P4" s="24" t="s">
        <v>731</v>
      </c>
      <c r="Q4" s="19" t="s">
        <v>975</v>
      </c>
      <c r="R4" s="26"/>
      <c r="S4" s="597"/>
      <c r="T4" s="597"/>
      <c r="Y4" s="4" t="s">
        <v>983</v>
      </c>
      <c r="Z4" s="4" t="s">
        <v>985</v>
      </c>
    </row>
    <row r="5" spans="2:26" ht="13.2">
      <c r="B5" s="598" t="s">
        <v>12</v>
      </c>
      <c r="C5" s="599"/>
      <c r="D5" s="599"/>
      <c r="E5" s="600"/>
      <c r="F5" s="27" t="s">
        <v>13</v>
      </c>
      <c r="G5" s="30"/>
      <c r="H5" s="31"/>
      <c r="I5" s="31"/>
      <c r="J5" s="32"/>
      <c r="K5" s="33"/>
      <c r="L5" s="33"/>
      <c r="M5" s="34"/>
      <c r="N5" s="35"/>
      <c r="O5" s="512"/>
      <c r="P5" s="36"/>
      <c r="Q5" s="31"/>
      <c r="R5" s="37"/>
      <c r="S5" s="37"/>
      <c r="T5" s="37"/>
    </row>
    <row r="6" spans="2:26" ht="13.2">
      <c r="B6" s="38" t="s">
        <v>14</v>
      </c>
      <c r="C6" s="39"/>
      <c r="D6" s="40"/>
      <c r="E6" s="41"/>
      <c r="F6" s="42" t="s">
        <v>15</v>
      </c>
      <c r="G6" s="43"/>
      <c r="H6" s="44"/>
      <c r="I6" s="44"/>
      <c r="J6" s="45"/>
      <c r="K6" s="46"/>
      <c r="L6" s="46"/>
      <c r="M6" s="46"/>
      <c r="N6" s="47"/>
      <c r="O6" s="505"/>
      <c r="P6" s="48"/>
      <c r="Q6" s="44"/>
      <c r="R6" s="49"/>
      <c r="S6" s="50"/>
      <c r="T6" s="50"/>
    </row>
    <row r="7" spans="2:26" ht="13.2">
      <c r="B7" s="51"/>
      <c r="C7" s="52" t="s">
        <v>16</v>
      </c>
      <c r="D7" s="40"/>
      <c r="E7" s="53"/>
      <c r="F7" s="54" t="s">
        <v>17</v>
      </c>
      <c r="G7" s="55" t="s">
        <v>18</v>
      </c>
      <c r="H7" s="56">
        <v>12</v>
      </c>
      <c r="I7" s="487">
        <v>9</v>
      </c>
      <c r="J7" s="57">
        <v>0</v>
      </c>
      <c r="K7" s="47">
        <f>L7-J7</f>
        <v>0</v>
      </c>
      <c r="L7" s="46">
        <v>0</v>
      </c>
      <c r="M7" s="46">
        <v>35000</v>
      </c>
      <c r="N7" s="47">
        <f>IFERROR(IF(AND($G7&lt;&gt;"",$H7&lt;&gt;""),$H7*$M7,""),0)</f>
        <v>420000</v>
      </c>
      <c r="O7" s="505">
        <f>IFERROR(IF(AND($G7&lt;&gt;"",$H7&lt;&gt;""),$I7*$M7,""),0)</f>
        <v>315000</v>
      </c>
      <c r="P7" s="48">
        <f>+N7-O7</f>
        <v>105000</v>
      </c>
      <c r="Q7" s="401" t="s">
        <v>754</v>
      </c>
      <c r="R7" s="58" t="e" vm="1">
        <f>+Q7-N7</f>
        <v>#VALUE!</v>
      </c>
      <c r="S7" s="50"/>
      <c r="T7" s="50"/>
    </row>
    <row r="8" spans="2:26" ht="22.8">
      <c r="B8" s="51"/>
      <c r="C8" s="52" t="s">
        <v>19</v>
      </c>
      <c r="D8" s="40"/>
      <c r="E8" s="53"/>
      <c r="F8" s="54" t="s">
        <v>20</v>
      </c>
      <c r="G8" s="55" t="s">
        <v>18</v>
      </c>
      <c r="H8" s="56">
        <v>12</v>
      </c>
      <c r="I8" s="487">
        <v>9</v>
      </c>
      <c r="J8" s="57">
        <v>0</v>
      </c>
      <c r="K8" s="47">
        <f>L8-J8</f>
        <v>0</v>
      </c>
      <c r="L8" s="46">
        <v>0</v>
      </c>
      <c r="M8" s="46">
        <v>24000</v>
      </c>
      <c r="N8" s="47">
        <f>IFERROR(IF(AND($G8&lt;&gt;"",$H8&lt;&gt;""),$H8*$M8,""),0)</f>
        <v>288000</v>
      </c>
      <c r="O8" s="505">
        <f>IFERROR(IF(AND($G8&lt;&gt;"",$H8&lt;&gt;""),$I8*$M8,""),0)</f>
        <v>216000</v>
      </c>
      <c r="P8" s="48">
        <f>+N8-O8</f>
        <v>72000</v>
      </c>
      <c r="Q8" s="401" t="s">
        <v>754</v>
      </c>
      <c r="R8" s="58" t="e" vm="1">
        <f t="shared" ref="R8:R59" si="0">+Q8-N8</f>
        <v>#VALUE!</v>
      </c>
      <c r="S8" s="50"/>
      <c r="T8" s="50"/>
    </row>
    <row r="9" spans="2:26" ht="13.2">
      <c r="B9" s="51"/>
      <c r="C9" s="52"/>
      <c r="D9" s="40"/>
      <c r="E9" s="53"/>
      <c r="F9" s="54" t="s">
        <v>21</v>
      </c>
      <c r="G9" s="55"/>
      <c r="H9" s="56"/>
      <c r="I9" s="56"/>
      <c r="J9" s="57"/>
      <c r="K9" s="47"/>
      <c r="L9" s="46"/>
      <c r="M9" s="46"/>
      <c r="N9" s="47"/>
      <c r="O9" s="505"/>
      <c r="P9" s="48"/>
      <c r="Q9" s="56"/>
      <c r="R9" s="58">
        <f t="shared" si="0"/>
        <v>0</v>
      </c>
      <c r="S9" s="50"/>
      <c r="T9" s="50"/>
    </row>
    <row r="10" spans="2:26" ht="13.2">
      <c r="B10" s="38" t="s">
        <v>22</v>
      </c>
      <c r="C10" s="59"/>
      <c r="D10" s="59"/>
      <c r="E10" s="60"/>
      <c r="F10" s="61" t="s">
        <v>23</v>
      </c>
      <c r="G10" s="62"/>
      <c r="H10" s="63"/>
      <c r="I10" s="63"/>
      <c r="J10" s="64"/>
      <c r="K10" s="34"/>
      <c r="L10" s="46"/>
      <c r="M10" s="65"/>
      <c r="N10" s="34"/>
      <c r="O10" s="513"/>
      <c r="P10" s="48" t="str">
        <f>IFERROR(IF(AND($G10&lt;&gt;"",$H10&lt;&gt;""),$L10*$M10,""),0)</f>
        <v/>
      </c>
      <c r="Q10" s="63"/>
      <c r="R10" s="58">
        <f t="shared" si="0"/>
        <v>0</v>
      </c>
      <c r="S10" s="50"/>
      <c r="T10" s="50"/>
    </row>
    <row r="11" spans="2:26" ht="13.2">
      <c r="B11" s="51"/>
      <c r="C11" s="52" t="s">
        <v>24</v>
      </c>
      <c r="D11" s="40"/>
      <c r="E11" s="53"/>
      <c r="F11" s="54" t="s">
        <v>25</v>
      </c>
      <c r="G11" s="66" t="s">
        <v>26</v>
      </c>
      <c r="H11" s="67">
        <v>1</v>
      </c>
      <c r="I11" s="421">
        <v>1</v>
      </c>
      <c r="J11" s="68">
        <v>0</v>
      </c>
      <c r="K11" s="69">
        <v>1</v>
      </c>
      <c r="L11" s="46">
        <f>K11+J11</f>
        <v>1</v>
      </c>
      <c r="M11" s="46">
        <v>10000</v>
      </c>
      <c r="N11" s="47">
        <f>IFERROR(IF(AND($G11&lt;&gt;"",$H11&lt;&gt;""),$H11*$M11,""),0)</f>
        <v>10000</v>
      </c>
      <c r="O11" s="505">
        <f>IFERROR(IF(AND($G11&lt;&gt;"",$H11&lt;&gt;""),$I11*$M11,""),0)</f>
        <v>10000</v>
      </c>
      <c r="P11" s="48">
        <f>+N11-O11</f>
        <v>0</v>
      </c>
      <c r="Q11" s="67"/>
      <c r="R11" s="58">
        <f t="shared" si="0"/>
        <v>-10000</v>
      </c>
      <c r="S11" s="70"/>
      <c r="T11" s="71"/>
    </row>
    <row r="12" spans="2:26" ht="13.2">
      <c r="B12" s="51"/>
      <c r="C12" s="52" t="s">
        <v>27</v>
      </c>
      <c r="D12" s="40"/>
      <c r="E12" s="53"/>
      <c r="F12" s="54" t="s">
        <v>28</v>
      </c>
      <c r="G12" s="66" t="s">
        <v>26</v>
      </c>
      <c r="H12" s="67">
        <v>1</v>
      </c>
      <c r="I12" s="421">
        <v>1</v>
      </c>
      <c r="J12" s="72">
        <v>0</v>
      </c>
      <c r="K12" s="69">
        <v>1</v>
      </c>
      <c r="L12" s="46">
        <f>K12+J12</f>
        <v>1</v>
      </c>
      <c r="M12" s="46">
        <v>10000</v>
      </c>
      <c r="N12" s="47">
        <f>IFERROR(IF(AND($G12&lt;&gt;"",$H12&lt;&gt;""),$H12*$M12,""),0)</f>
        <v>10000</v>
      </c>
      <c r="O12" s="505">
        <f>IFERROR(IF(AND($G12&lt;&gt;"",$H12&lt;&gt;""),$I12*$M12,""),0)</f>
        <v>10000</v>
      </c>
      <c r="P12" s="48">
        <f>+N12-O12</f>
        <v>0</v>
      </c>
      <c r="Q12" s="67"/>
      <c r="R12" s="58">
        <f t="shared" si="0"/>
        <v>-10000</v>
      </c>
      <c r="S12" s="73"/>
      <c r="T12" s="58"/>
    </row>
    <row r="13" spans="2:26" ht="22.8">
      <c r="B13" s="51"/>
      <c r="C13" s="52" t="s">
        <v>29</v>
      </c>
      <c r="D13" s="40"/>
      <c r="E13" s="53"/>
      <c r="F13" s="54" t="s">
        <v>30</v>
      </c>
      <c r="G13" s="74" t="s">
        <v>18</v>
      </c>
      <c r="H13" s="75">
        <v>12</v>
      </c>
      <c r="I13" s="421">
        <v>9</v>
      </c>
      <c r="J13" s="76">
        <v>0</v>
      </c>
      <c r="K13" s="47">
        <f>L13-J13</f>
        <v>0</v>
      </c>
      <c r="L13" s="46">
        <v>0</v>
      </c>
      <c r="M13" s="46">
        <v>3500</v>
      </c>
      <c r="N13" s="47">
        <f>IFERROR(IF(AND($G13&lt;&gt;"",$H13&lt;&gt;""),$H13*$M13,""),0)</f>
        <v>42000</v>
      </c>
      <c r="O13" s="505">
        <f>IFERROR(IF(AND($G13&lt;&gt;"",$H13&lt;&gt;""),$I13*$M13,""),0)</f>
        <v>31500</v>
      </c>
      <c r="P13" s="48">
        <f>+N13-O13</f>
        <v>10500</v>
      </c>
      <c r="Q13" s="488" t="s">
        <v>754</v>
      </c>
      <c r="R13" s="58" t="e" vm="1">
        <f t="shared" si="0"/>
        <v>#VALUE!</v>
      </c>
      <c r="S13" s="73"/>
      <c r="T13" s="58"/>
    </row>
    <row r="14" spans="2:26" ht="40.200000000000003" customHeight="1">
      <c r="B14" s="51"/>
      <c r="C14" s="52" t="s">
        <v>31</v>
      </c>
      <c r="D14" s="40"/>
      <c r="E14" s="53"/>
      <c r="F14" s="77" t="s">
        <v>32</v>
      </c>
      <c r="G14" s="78" t="s">
        <v>18</v>
      </c>
      <c r="H14" s="75">
        <v>12</v>
      </c>
      <c r="I14" s="421">
        <v>9</v>
      </c>
      <c r="J14" s="79">
        <v>0</v>
      </c>
      <c r="K14" s="47">
        <f>L14-J14</f>
        <v>0</v>
      </c>
      <c r="L14" s="46">
        <v>0</v>
      </c>
      <c r="M14" s="46">
        <v>5800</v>
      </c>
      <c r="N14" s="47">
        <f>IFERROR(IF(AND($G14&lt;&gt;"",$H14&lt;&gt;""),$H14*$M14,""),0)</f>
        <v>69600</v>
      </c>
      <c r="O14" s="505">
        <f>IFERROR(IF(AND($G14&lt;&gt;"",$H14&lt;&gt;""),$I14*$M14,""),0)</f>
        <v>52200</v>
      </c>
      <c r="P14" s="48">
        <f>+N14-O14</f>
        <v>17400</v>
      </c>
      <c r="Q14" s="488" t="s">
        <v>754</v>
      </c>
      <c r="R14" s="58" t="e" vm="1">
        <f t="shared" si="0"/>
        <v>#VALUE!</v>
      </c>
      <c r="S14" s="80"/>
      <c r="T14" s="49"/>
    </row>
    <row r="15" spans="2:26" ht="13.2">
      <c r="B15" s="51"/>
      <c r="C15" s="52"/>
      <c r="D15" s="40"/>
      <c r="E15" s="53"/>
      <c r="F15" s="77"/>
      <c r="G15" s="78"/>
      <c r="H15" s="75"/>
      <c r="I15" s="75"/>
      <c r="J15" s="76"/>
      <c r="K15" s="47"/>
      <c r="L15" s="46"/>
      <c r="M15" s="46"/>
      <c r="N15" s="47"/>
      <c r="O15" s="505"/>
      <c r="P15" s="48"/>
      <c r="Q15" s="75"/>
      <c r="R15" s="58">
        <f t="shared" si="0"/>
        <v>0</v>
      </c>
      <c r="S15" s="73"/>
      <c r="T15" s="58"/>
    </row>
    <row r="16" spans="2:26" ht="36">
      <c r="B16" s="38" t="s">
        <v>33</v>
      </c>
      <c r="C16" s="40"/>
      <c r="D16" s="40"/>
      <c r="E16" s="53"/>
      <c r="F16" s="81" t="s">
        <v>34</v>
      </c>
      <c r="G16" s="74"/>
      <c r="H16" s="82"/>
      <c r="I16" s="82"/>
      <c r="J16" s="79"/>
      <c r="K16" s="47"/>
      <c r="L16" s="46"/>
      <c r="M16" s="46"/>
      <c r="N16" s="47" t="str">
        <f>IFERROR(IF(AND($G16&lt;&gt;"",$H16&lt;&gt;""),$H16*$M16,""),0)</f>
        <v/>
      </c>
      <c r="O16" s="505" t="str">
        <f>IFERROR(IF(AND($G16&lt;&gt;"",$H16&lt;&gt;""),$I16*$M16,""),0)</f>
        <v/>
      </c>
      <c r="P16" s="48" t="str">
        <f>IFERROR(IF(AND($G16&lt;&gt;"",$H16&lt;&gt;""),$L16*$M16,""),0)</f>
        <v/>
      </c>
      <c r="Q16" s="82"/>
      <c r="R16" s="58"/>
      <c r="S16" s="83"/>
    </row>
    <row r="17" spans="2:19" ht="22.8">
      <c r="B17" s="51"/>
      <c r="C17" s="52" t="s">
        <v>35</v>
      </c>
      <c r="D17" s="40"/>
      <c r="E17" s="53"/>
      <c r="F17" s="84" t="s">
        <v>36</v>
      </c>
      <c r="G17" s="74" t="s">
        <v>37</v>
      </c>
      <c r="H17" s="82">
        <v>500</v>
      </c>
      <c r="I17" s="404">
        <v>0</v>
      </c>
      <c r="J17" s="76">
        <v>0</v>
      </c>
      <c r="K17" s="47">
        <f>L17-J17</f>
        <v>0</v>
      </c>
      <c r="L17" s="46">
        <v>0</v>
      </c>
      <c r="M17" s="46">
        <v>1500</v>
      </c>
      <c r="N17" s="47">
        <f>IFERROR(IF(AND($G17&lt;&gt;"",$H17&lt;&gt;""),$H17*$M17,""),0)</f>
        <v>750000</v>
      </c>
      <c r="O17" s="505">
        <f>IFERROR(IF(AND($G17&lt;&gt;"",$H17&lt;&gt;""),$I17*$M17,""),0)</f>
        <v>0</v>
      </c>
      <c r="P17" s="48">
        <f>+N17-O17</f>
        <v>750000</v>
      </c>
      <c r="Q17" s="161" t="s">
        <v>734</v>
      </c>
      <c r="R17" s="58" t="e" vm="2">
        <f t="shared" si="0"/>
        <v>#VALUE!</v>
      </c>
      <c r="S17" s="85"/>
    </row>
    <row r="18" spans="2:19" ht="27.6" customHeight="1">
      <c r="B18" s="51"/>
      <c r="C18" s="52" t="s">
        <v>38</v>
      </c>
      <c r="D18" s="40"/>
      <c r="E18" s="53"/>
      <c r="F18" s="84" t="s">
        <v>39</v>
      </c>
      <c r="G18" s="74" t="s">
        <v>40</v>
      </c>
      <c r="H18" s="82">
        <v>15200</v>
      </c>
      <c r="I18" s="404">
        <v>0</v>
      </c>
      <c r="J18" s="76">
        <v>0</v>
      </c>
      <c r="K18" s="47">
        <f t="shared" ref="K18:K19" si="1">L18-J18</f>
        <v>0</v>
      </c>
      <c r="L18" s="46">
        <v>0</v>
      </c>
      <c r="M18" s="46">
        <v>1090</v>
      </c>
      <c r="N18" s="47">
        <f>IFERROR(IF(AND($G18&lt;&gt;"",$H18&lt;&gt;""),$H18*$M18,""),0)</f>
        <v>16568000</v>
      </c>
      <c r="O18" s="505">
        <f>IFERROR(IF(AND($G18&lt;&gt;"",$H18&lt;&gt;""),$I18*$M18,""),0)</f>
        <v>0</v>
      </c>
      <c r="P18" s="48">
        <f>+N18-O18</f>
        <v>16568000</v>
      </c>
      <c r="Q18" s="82" t="s">
        <v>735</v>
      </c>
      <c r="R18" s="58" t="e" vm="3">
        <f t="shared" si="0"/>
        <v>#VALUE!</v>
      </c>
      <c r="S18" s="85"/>
    </row>
    <row r="19" spans="2:19" ht="13.2">
      <c r="B19" s="51"/>
      <c r="C19" s="52" t="s">
        <v>41</v>
      </c>
      <c r="D19" s="40"/>
      <c r="E19" s="53"/>
      <c r="F19" s="84" t="s">
        <v>42</v>
      </c>
      <c r="G19" s="74" t="s">
        <v>18</v>
      </c>
      <c r="H19" s="82">
        <v>12</v>
      </c>
      <c r="I19" s="404">
        <v>9</v>
      </c>
      <c r="J19" s="76">
        <v>0</v>
      </c>
      <c r="K19" s="47">
        <f t="shared" si="1"/>
        <v>0</v>
      </c>
      <c r="L19" s="46">
        <v>0</v>
      </c>
      <c r="M19" s="46">
        <v>5000</v>
      </c>
      <c r="N19" s="47">
        <f>IFERROR(IF(AND($G19&lt;&gt;"",$H19&lt;&gt;""),$H19*$M19,""),0)</f>
        <v>60000</v>
      </c>
      <c r="O19" s="505">
        <f>IFERROR(IF(AND($G19&lt;&gt;"",$H19&lt;&gt;""),$I19*$M19,""),0)</f>
        <v>45000</v>
      </c>
      <c r="P19" s="48">
        <f>+N19-O19</f>
        <v>15000</v>
      </c>
      <c r="Q19" s="161" t="s">
        <v>754</v>
      </c>
      <c r="R19" s="58" t="e" vm="1">
        <f t="shared" si="0"/>
        <v>#VALUE!</v>
      </c>
      <c r="S19" s="85"/>
    </row>
    <row r="20" spans="2:19" ht="13.2">
      <c r="B20" s="51"/>
      <c r="C20" s="52"/>
      <c r="D20" s="40"/>
      <c r="E20" s="53"/>
      <c r="F20" s="84"/>
      <c r="G20" s="74"/>
      <c r="H20" s="82"/>
      <c r="I20" s="404"/>
      <c r="J20" s="76"/>
      <c r="K20" s="47"/>
      <c r="L20" s="46"/>
      <c r="M20" s="46"/>
      <c r="N20" s="47"/>
      <c r="O20" s="505"/>
      <c r="P20" s="48"/>
      <c r="Q20" s="161"/>
      <c r="R20" s="58">
        <f t="shared" si="0"/>
        <v>0</v>
      </c>
      <c r="S20" s="85"/>
    </row>
    <row r="21" spans="2:19" ht="26.4" customHeight="1">
      <c r="B21" s="38" t="s">
        <v>43</v>
      </c>
      <c r="C21" s="40"/>
      <c r="D21" s="40"/>
      <c r="E21" s="53"/>
      <c r="F21" s="81" t="s">
        <v>44</v>
      </c>
      <c r="G21" s="74" t="s">
        <v>18</v>
      </c>
      <c r="H21" s="82">
        <v>12</v>
      </c>
      <c r="I21" s="404">
        <v>9</v>
      </c>
      <c r="J21" s="86">
        <v>0</v>
      </c>
      <c r="K21" s="69">
        <v>6</v>
      </c>
      <c r="L21" s="46">
        <f>K21+J21</f>
        <v>6</v>
      </c>
      <c r="M21" s="46">
        <v>10000</v>
      </c>
      <c r="N21" s="47">
        <f>IFERROR(IF(AND($G21&lt;&gt;"",$H21&lt;&gt;""),$H21*$M21,""),0)</f>
        <v>120000</v>
      </c>
      <c r="O21" s="505">
        <f>IFERROR(IF(AND($G21&lt;&gt;"",$H21&lt;&gt;""),$I21*$M21,""),0)</f>
        <v>90000</v>
      </c>
      <c r="P21" s="48">
        <f>+N21-O21</f>
        <v>30000</v>
      </c>
      <c r="Q21" s="161" t="s">
        <v>732</v>
      </c>
      <c r="R21" s="58" t="e" vm="4">
        <f t="shared" si="0"/>
        <v>#VALUE!</v>
      </c>
      <c r="S21" s="83"/>
    </row>
    <row r="22" spans="2:19" ht="13.2">
      <c r="B22" s="38"/>
      <c r="C22" s="40"/>
      <c r="D22" s="40"/>
      <c r="E22" s="53"/>
      <c r="F22" s="81"/>
      <c r="G22" s="74"/>
      <c r="H22" s="82"/>
      <c r="I22" s="404"/>
      <c r="J22" s="86"/>
      <c r="K22" s="47"/>
      <c r="L22" s="46"/>
      <c r="M22" s="46"/>
      <c r="N22" s="47"/>
      <c r="O22" s="505"/>
      <c r="P22" s="48"/>
      <c r="Q22" s="82"/>
      <c r="R22" s="58">
        <f t="shared" si="0"/>
        <v>0</v>
      </c>
      <c r="S22" s="83"/>
    </row>
    <row r="23" spans="2:19" ht="13.2">
      <c r="B23" s="38" t="s">
        <v>45</v>
      </c>
      <c r="C23" s="59"/>
      <c r="D23" s="59"/>
      <c r="E23" s="60"/>
      <c r="F23" s="81" t="s">
        <v>46</v>
      </c>
      <c r="G23" s="62"/>
      <c r="H23" s="82"/>
      <c r="I23" s="410"/>
      <c r="J23" s="64"/>
      <c r="K23" s="34"/>
      <c r="L23" s="46"/>
      <c r="M23" s="65"/>
      <c r="N23" s="34" t="str">
        <f>IFERROR(IF(AND($G23&lt;&gt;"",$H23&lt;&gt;""),$H23*$M23,""),0)</f>
        <v/>
      </c>
      <c r="O23" s="513" t="str">
        <f>IFERROR(IF(AND($G23&lt;&gt;"",$H23&lt;&gt;""),$I23*$M23,""),0)</f>
        <v/>
      </c>
      <c r="P23" s="48" t="str">
        <f>IFERROR(IF(AND($G23&lt;&gt;"",$H23&lt;&gt;""),$L23*$M23,""),0)</f>
        <v/>
      </c>
      <c r="Q23" s="63"/>
      <c r="R23" s="58"/>
      <c r="S23" s="83"/>
    </row>
    <row r="24" spans="2:19" ht="13.2">
      <c r="B24" s="51"/>
      <c r="C24" s="52" t="s">
        <v>47</v>
      </c>
      <c r="D24" s="40"/>
      <c r="E24" s="53"/>
      <c r="F24" s="84" t="s">
        <v>48</v>
      </c>
      <c r="G24" s="74" t="s">
        <v>26</v>
      </c>
      <c r="H24" s="82">
        <v>1</v>
      </c>
      <c r="I24" s="404">
        <v>1</v>
      </c>
      <c r="J24" s="86">
        <v>0</v>
      </c>
      <c r="K24" s="69">
        <v>1</v>
      </c>
      <c r="L24" s="46">
        <f>K24+J24</f>
        <v>1</v>
      </c>
      <c r="M24" s="46">
        <v>18000</v>
      </c>
      <c r="N24" s="47">
        <f>IFERROR(IF(AND($G24&lt;&gt;"",$H24&lt;&gt;""),$H24*$M24,""),0)</f>
        <v>18000</v>
      </c>
      <c r="O24" s="505">
        <f>IFERROR(IF(AND($G24&lt;&gt;"",$H24&lt;&gt;""),$I24*$M24,""),0)</f>
        <v>18000</v>
      </c>
      <c r="P24" s="48">
        <f>+N24-O24</f>
        <v>0</v>
      </c>
      <c r="Q24" s="82"/>
      <c r="R24" s="58">
        <f t="shared" si="0"/>
        <v>-18000</v>
      </c>
      <c r="S24" s="83"/>
    </row>
    <row r="25" spans="2:19" ht="13.2">
      <c r="B25" s="51"/>
      <c r="C25" s="52" t="s">
        <v>49</v>
      </c>
      <c r="D25" s="40"/>
      <c r="E25" s="53"/>
      <c r="F25" s="87" t="s">
        <v>50</v>
      </c>
      <c r="G25" s="78" t="s">
        <v>18</v>
      </c>
      <c r="H25" s="82">
        <v>12</v>
      </c>
      <c r="I25" s="404">
        <v>9</v>
      </c>
      <c r="J25" s="86">
        <v>0</v>
      </c>
      <c r="K25" s="69">
        <v>2</v>
      </c>
      <c r="L25" s="88">
        <f>K25+J25</f>
        <v>2</v>
      </c>
      <c r="M25" s="46">
        <v>5000</v>
      </c>
      <c r="N25" s="47">
        <f>IFERROR(IF(AND($G25&lt;&gt;"",$H25&lt;&gt;""),$H25*$M25,""),0)</f>
        <v>60000</v>
      </c>
      <c r="O25" s="505">
        <f>IFERROR(IF(AND($G25&lt;&gt;"",$H25&lt;&gt;""),$I25*$M25,""),0)</f>
        <v>45000</v>
      </c>
      <c r="P25" s="48">
        <f>+N25-O25</f>
        <v>15000</v>
      </c>
      <c r="Q25" s="82" t="s">
        <v>732</v>
      </c>
      <c r="R25" s="58" t="e" vm="4">
        <f t="shared" si="0"/>
        <v>#VALUE!</v>
      </c>
      <c r="S25" s="83"/>
    </row>
    <row r="26" spans="2:19" ht="13.2">
      <c r="B26" s="51"/>
      <c r="C26" s="52"/>
      <c r="D26" s="40"/>
      <c r="E26" s="53"/>
      <c r="F26" s="87"/>
      <c r="G26" s="78"/>
      <c r="H26" s="82"/>
      <c r="I26" s="82"/>
      <c r="J26" s="86"/>
      <c r="K26" s="47"/>
      <c r="L26" s="46"/>
      <c r="M26" s="46"/>
      <c r="N26" s="47"/>
      <c r="O26" s="505"/>
      <c r="P26" s="48"/>
      <c r="Q26" s="82"/>
      <c r="R26" s="58">
        <f t="shared" si="0"/>
        <v>0</v>
      </c>
      <c r="S26" s="83"/>
    </row>
    <row r="27" spans="2:19" ht="13.2">
      <c r="B27" s="38" t="s">
        <v>51</v>
      </c>
      <c r="C27" s="59"/>
      <c r="D27" s="59"/>
      <c r="E27" s="60"/>
      <c r="F27" s="81" t="s">
        <v>52</v>
      </c>
      <c r="G27" s="62"/>
      <c r="H27" s="82"/>
      <c r="I27" s="63"/>
      <c r="J27" s="64"/>
      <c r="K27" s="34"/>
      <c r="L27" s="46"/>
      <c r="M27" s="65"/>
      <c r="N27" s="34" t="str">
        <f>IFERROR(IF(AND($G27&lt;&gt;"",$H27&lt;&gt;""),$H27*$M27,""),0)</f>
        <v/>
      </c>
      <c r="O27" s="513" t="str">
        <f>IFERROR(IF(AND($G27&lt;&gt;"",$H27&lt;&gt;""),$I27*$M27,""),0)</f>
        <v/>
      </c>
      <c r="P27" s="48" t="str">
        <f>IFERROR(IF(AND($G27&lt;&gt;"",$H27&lt;&gt;""),$L27*$M27,""),0)</f>
        <v/>
      </c>
      <c r="Q27" s="63"/>
      <c r="R27" s="58"/>
      <c r="S27" s="83"/>
    </row>
    <row r="28" spans="2:19" ht="13.2">
      <c r="B28" s="51"/>
      <c r="C28" s="52" t="s">
        <v>53</v>
      </c>
      <c r="D28" s="40"/>
      <c r="E28" s="53"/>
      <c r="F28" s="84" t="s">
        <v>54</v>
      </c>
      <c r="G28" s="74" t="s">
        <v>55</v>
      </c>
      <c r="H28" s="82">
        <v>1</v>
      </c>
      <c r="I28" s="404">
        <f>32500/150000</f>
        <v>0.21666666666666667</v>
      </c>
      <c r="J28" s="86"/>
      <c r="K28" s="47">
        <f t="shared" ref="K28:K31" si="2">L28-J28</f>
        <v>0</v>
      </c>
      <c r="L28" s="46"/>
      <c r="M28" s="46">
        <v>150000</v>
      </c>
      <c r="N28" s="47">
        <f>IFERROR(IF(AND($G28&lt;&gt;"",$H28&lt;&gt;""),$H28*$M28,""),0)</f>
        <v>150000</v>
      </c>
      <c r="O28" s="505">
        <f>IFERROR(IF(AND($G28&lt;&gt;"",$H28&lt;&gt;""),$I28*$M28,""),0)</f>
        <v>32500</v>
      </c>
      <c r="P28" s="48">
        <f>+N28-O28</f>
        <v>117500</v>
      </c>
      <c r="Q28" s="82" t="s">
        <v>736</v>
      </c>
      <c r="R28" s="58" t="e" vm="5">
        <f t="shared" si="0"/>
        <v>#VALUE!</v>
      </c>
      <c r="S28" s="83"/>
    </row>
    <row r="29" spans="2:19" ht="22.8">
      <c r="B29" s="51"/>
      <c r="C29" s="52" t="s">
        <v>56</v>
      </c>
      <c r="D29" s="40"/>
      <c r="E29" s="53"/>
      <c r="F29" s="84" t="s">
        <v>57</v>
      </c>
      <c r="G29" s="74" t="s">
        <v>58</v>
      </c>
      <c r="H29" s="82">
        <v>150000</v>
      </c>
      <c r="I29" s="404">
        <f>O28*M29</f>
        <v>3250</v>
      </c>
      <c r="J29" s="86"/>
      <c r="K29" s="47">
        <f t="shared" si="2"/>
        <v>0</v>
      </c>
      <c r="L29" s="46"/>
      <c r="M29" s="89">
        <v>0.1</v>
      </c>
      <c r="N29" s="47">
        <f>IFERROR(IF(AND($G29&lt;&gt;"",$H29&lt;&gt;""),$H29*$M29,""),0)</f>
        <v>15000</v>
      </c>
      <c r="O29" s="505">
        <f>IFERROR(IF(AND($G29&lt;&gt;"",$H29&lt;&gt;""),$I29*$M29,""),0)</f>
        <v>325</v>
      </c>
      <c r="P29" s="48">
        <f>+N29-O29</f>
        <v>14675</v>
      </c>
      <c r="Q29" s="82"/>
      <c r="R29" s="58">
        <f t="shared" si="0"/>
        <v>-15000</v>
      </c>
      <c r="S29" s="83"/>
    </row>
    <row r="30" spans="2:19" ht="15" customHeight="1">
      <c r="B30" s="51"/>
      <c r="C30" s="52" t="s">
        <v>59</v>
      </c>
      <c r="D30" s="40"/>
      <c r="E30" s="53"/>
      <c r="F30" s="84" t="s">
        <v>60</v>
      </c>
      <c r="G30" s="74" t="s">
        <v>55</v>
      </c>
      <c r="H30" s="82">
        <v>1</v>
      </c>
      <c r="I30" s="404">
        <f>30760/150000</f>
        <v>0.20506666666666667</v>
      </c>
      <c r="J30" s="86"/>
      <c r="K30" s="47">
        <f t="shared" si="2"/>
        <v>0</v>
      </c>
      <c r="L30" s="46"/>
      <c r="M30" s="46">
        <v>150000</v>
      </c>
      <c r="N30" s="47">
        <f>IFERROR(IF(AND($G30&lt;&gt;"",$H30&lt;&gt;""),$H30*$M30,""),0)</f>
        <v>150000</v>
      </c>
      <c r="O30" s="505">
        <f>IFERROR(IF(AND($G30&lt;&gt;"",$H30&lt;&gt;""),$I30*$M30,""),0)</f>
        <v>30760</v>
      </c>
      <c r="P30" s="48">
        <f>+N30-O30</f>
        <v>119240</v>
      </c>
      <c r="Q30" s="82" t="s">
        <v>736</v>
      </c>
      <c r="R30" s="58" t="e" vm="5">
        <f t="shared" si="0"/>
        <v>#VALUE!</v>
      </c>
      <c r="S30" s="83"/>
    </row>
    <row r="31" spans="2:19" ht="22.8">
      <c r="B31" s="51"/>
      <c r="C31" s="52" t="s">
        <v>61</v>
      </c>
      <c r="D31" s="40"/>
      <c r="E31" s="53"/>
      <c r="F31" s="84" t="s">
        <v>62</v>
      </c>
      <c r="G31" s="74" t="s">
        <v>58</v>
      </c>
      <c r="H31" s="82">
        <v>150000</v>
      </c>
      <c r="I31" s="404">
        <f>O30*M31</f>
        <v>3076</v>
      </c>
      <c r="J31" s="86"/>
      <c r="K31" s="47">
        <f t="shared" si="2"/>
        <v>0</v>
      </c>
      <c r="L31" s="46"/>
      <c r="M31" s="89">
        <v>0.1</v>
      </c>
      <c r="N31" s="47">
        <f>IFERROR(IF(AND($G31&lt;&gt;"",$H31&lt;&gt;""),$H31*$M31,""),0)</f>
        <v>15000</v>
      </c>
      <c r="O31" s="505">
        <f>IFERROR(IF(AND($G31&lt;&gt;"",$H31&lt;&gt;""),$I31*$M31,""),0)</f>
        <v>307.60000000000002</v>
      </c>
      <c r="P31" s="48">
        <f>+N31-O31</f>
        <v>14692.4</v>
      </c>
      <c r="Q31" s="82"/>
      <c r="R31" s="58">
        <f t="shared" si="0"/>
        <v>-15000</v>
      </c>
      <c r="S31" s="83"/>
    </row>
    <row r="32" spans="2:19" ht="13.2">
      <c r="B32" s="51"/>
      <c r="C32" s="52"/>
      <c r="D32" s="40"/>
      <c r="E32" s="53"/>
      <c r="F32" s="84"/>
      <c r="G32" s="74"/>
      <c r="H32" s="82"/>
      <c r="I32" s="82"/>
      <c r="J32" s="86"/>
      <c r="K32" s="47"/>
      <c r="L32" s="46"/>
      <c r="M32" s="46"/>
      <c r="N32" s="47"/>
      <c r="O32" s="505"/>
      <c r="P32" s="48"/>
      <c r="Q32" s="82"/>
      <c r="R32" s="58">
        <f t="shared" si="0"/>
        <v>0</v>
      </c>
      <c r="S32" s="83"/>
    </row>
    <row r="33" spans="2:19" ht="13.2">
      <c r="B33" s="38" t="s">
        <v>63</v>
      </c>
      <c r="C33" s="59"/>
      <c r="D33" s="59"/>
      <c r="E33" s="60"/>
      <c r="F33" s="81" t="s">
        <v>64</v>
      </c>
      <c r="G33" s="62"/>
      <c r="H33" s="82"/>
      <c r="I33" s="63"/>
      <c r="J33" s="64"/>
      <c r="K33" s="34"/>
      <c r="L33" s="46"/>
      <c r="M33" s="65"/>
      <c r="N33" s="34" t="str">
        <f t="shared" ref="N33:N40" si="3">IFERROR(IF(AND($G33&lt;&gt;"",$H33&lt;&gt;""),$H33*$M33,""),0)</f>
        <v/>
      </c>
      <c r="O33" s="513" t="str">
        <f>IFERROR(IF(AND($G33&lt;&gt;"",$H33&lt;&gt;""),$I33*$M33,""),0)</f>
        <v/>
      </c>
      <c r="P33" s="48" t="str">
        <f>IFERROR(IF(AND($G33&lt;&gt;"",$H33&lt;&gt;""),$L33*$M33,""),0)</f>
        <v/>
      </c>
      <c r="Q33" s="63"/>
      <c r="R33" s="58"/>
      <c r="S33" s="83"/>
    </row>
    <row r="34" spans="2:19" ht="13.2">
      <c r="B34" s="51"/>
      <c r="C34" s="52" t="s">
        <v>65</v>
      </c>
      <c r="D34" s="40"/>
      <c r="E34" s="53"/>
      <c r="F34" s="77" t="s">
        <v>66</v>
      </c>
      <c r="G34" s="74"/>
      <c r="H34" s="82"/>
      <c r="I34" s="82"/>
      <c r="J34" s="86"/>
      <c r="K34" s="47"/>
      <c r="L34" s="46"/>
      <c r="M34" s="46"/>
      <c r="N34" s="47" t="str">
        <f t="shared" si="3"/>
        <v/>
      </c>
      <c r="O34" s="505" t="str">
        <f>IFERROR(IF(AND($G34&lt;&gt;"",$H34&lt;&gt;""),$I34*$M34,""),0)</f>
        <v/>
      </c>
      <c r="P34" s="48" t="str">
        <f>IFERROR(IF(AND($G34&lt;&gt;"",$H34&lt;&gt;""),$L34*$M34,""),0)</f>
        <v/>
      </c>
      <c r="Q34" s="82"/>
      <c r="R34" s="58"/>
      <c r="S34" s="83"/>
    </row>
    <row r="35" spans="2:19" ht="13.2">
      <c r="B35" s="51"/>
      <c r="C35" s="40"/>
      <c r="D35" s="40" t="s">
        <v>67</v>
      </c>
      <c r="E35" s="53"/>
      <c r="F35" s="77" t="s">
        <v>68</v>
      </c>
      <c r="G35" s="78" t="s">
        <v>69</v>
      </c>
      <c r="H35" s="82">
        <v>100</v>
      </c>
      <c r="I35" s="404">
        <v>0</v>
      </c>
      <c r="J35" s="86"/>
      <c r="K35" s="47">
        <f t="shared" ref="K35:K40" si="4">L35-J35</f>
        <v>0</v>
      </c>
      <c r="L35" s="46"/>
      <c r="M35" s="46">
        <v>50.03</v>
      </c>
      <c r="N35" s="47">
        <f t="shared" si="3"/>
        <v>5003</v>
      </c>
      <c r="O35" s="505">
        <f t="shared" ref="O35:O40" si="5">IFERROR(IF(AND($G35&lt;&gt;"",$H35&lt;&gt;""),$I35*$M35,""),0)</f>
        <v>0</v>
      </c>
      <c r="P35" s="48">
        <f t="shared" ref="P35:P40" si="6">+N35-O35</f>
        <v>5003</v>
      </c>
      <c r="Q35" s="82" t="s">
        <v>737</v>
      </c>
      <c r="R35" s="58" t="e" vm="6">
        <f t="shared" si="0"/>
        <v>#VALUE!</v>
      </c>
      <c r="S35" s="83"/>
    </row>
    <row r="36" spans="2:19" ht="13.2">
      <c r="B36" s="51"/>
      <c r="C36" s="40"/>
      <c r="D36" s="40" t="s">
        <v>70</v>
      </c>
      <c r="E36" s="53"/>
      <c r="F36" s="77" t="s">
        <v>71</v>
      </c>
      <c r="G36" s="78" t="s">
        <v>69</v>
      </c>
      <c r="H36" s="82">
        <v>100</v>
      </c>
      <c r="I36" s="404">
        <v>0</v>
      </c>
      <c r="J36" s="86"/>
      <c r="K36" s="47">
        <f t="shared" si="4"/>
        <v>0</v>
      </c>
      <c r="L36" s="46"/>
      <c r="M36" s="46">
        <v>67.33</v>
      </c>
      <c r="N36" s="47">
        <f t="shared" si="3"/>
        <v>6733</v>
      </c>
      <c r="O36" s="505">
        <f t="shared" si="5"/>
        <v>0</v>
      </c>
      <c r="P36" s="48">
        <f t="shared" si="6"/>
        <v>6733</v>
      </c>
      <c r="Q36" s="82" t="s">
        <v>737</v>
      </c>
      <c r="R36" s="58" t="e" vm="6">
        <f t="shared" si="0"/>
        <v>#VALUE!</v>
      </c>
      <c r="S36" s="83"/>
    </row>
    <row r="37" spans="2:19" ht="13.2">
      <c r="B37" s="51"/>
      <c r="C37" s="40"/>
      <c r="D37" s="52" t="s">
        <v>72</v>
      </c>
      <c r="E37" s="53"/>
      <c r="F37" s="77" t="s">
        <v>73</v>
      </c>
      <c r="G37" s="78" t="s">
        <v>69</v>
      </c>
      <c r="H37" s="82">
        <v>100</v>
      </c>
      <c r="I37" s="404">
        <v>0</v>
      </c>
      <c r="J37" s="86"/>
      <c r="K37" s="47">
        <f t="shared" si="4"/>
        <v>0</v>
      </c>
      <c r="L37" s="46"/>
      <c r="M37" s="46">
        <v>93.6</v>
      </c>
      <c r="N37" s="47">
        <f t="shared" si="3"/>
        <v>9360</v>
      </c>
      <c r="O37" s="505">
        <f t="shared" si="5"/>
        <v>0</v>
      </c>
      <c r="P37" s="48">
        <f t="shared" si="6"/>
        <v>9360</v>
      </c>
      <c r="Q37" s="82" t="s">
        <v>737</v>
      </c>
      <c r="R37" s="58" t="e" vm="6">
        <f t="shared" si="0"/>
        <v>#VALUE!</v>
      </c>
      <c r="S37" s="83"/>
    </row>
    <row r="38" spans="2:19" ht="13.2">
      <c r="B38" s="51"/>
      <c r="C38" s="40"/>
      <c r="D38" s="40" t="s">
        <v>74</v>
      </c>
      <c r="E38" s="53"/>
      <c r="F38" s="77" t="s">
        <v>75</v>
      </c>
      <c r="G38" s="78" t="s">
        <v>69</v>
      </c>
      <c r="H38" s="82">
        <v>100</v>
      </c>
      <c r="I38" s="404">
        <v>0</v>
      </c>
      <c r="J38" s="86"/>
      <c r="K38" s="47">
        <f t="shared" si="4"/>
        <v>0</v>
      </c>
      <c r="L38" s="46"/>
      <c r="M38" s="46">
        <v>93.5</v>
      </c>
      <c r="N38" s="47">
        <f t="shared" si="3"/>
        <v>9350</v>
      </c>
      <c r="O38" s="505">
        <f t="shared" si="5"/>
        <v>0</v>
      </c>
      <c r="P38" s="48">
        <f t="shared" si="6"/>
        <v>9350</v>
      </c>
      <c r="Q38" s="82" t="s">
        <v>737</v>
      </c>
      <c r="R38" s="58" t="e" vm="6">
        <f t="shared" si="0"/>
        <v>#VALUE!</v>
      </c>
      <c r="S38" s="83"/>
    </row>
    <row r="39" spans="2:19" ht="13.2">
      <c r="B39" s="51"/>
      <c r="C39" s="40"/>
      <c r="D39" s="52" t="s">
        <v>76</v>
      </c>
      <c r="E39" s="53"/>
      <c r="F39" s="77" t="s">
        <v>77</v>
      </c>
      <c r="G39" s="78" t="s">
        <v>69</v>
      </c>
      <c r="H39" s="82">
        <v>100</v>
      </c>
      <c r="I39" s="404">
        <v>0</v>
      </c>
      <c r="J39" s="86"/>
      <c r="K39" s="47">
        <f t="shared" si="4"/>
        <v>0</v>
      </c>
      <c r="L39" s="46"/>
      <c r="M39" s="46">
        <v>135</v>
      </c>
      <c r="N39" s="47">
        <f t="shared" si="3"/>
        <v>13500</v>
      </c>
      <c r="O39" s="505">
        <f t="shared" si="5"/>
        <v>0</v>
      </c>
      <c r="P39" s="48">
        <f t="shared" si="6"/>
        <v>13500</v>
      </c>
      <c r="Q39" s="82" t="s">
        <v>737</v>
      </c>
      <c r="R39" s="58" t="e" vm="6">
        <f t="shared" si="0"/>
        <v>#VALUE!</v>
      </c>
      <c r="S39" s="83"/>
    </row>
    <row r="40" spans="2:19" ht="13.2">
      <c r="B40" s="51"/>
      <c r="C40" s="40"/>
      <c r="D40" s="52" t="s">
        <v>78</v>
      </c>
      <c r="E40" s="53"/>
      <c r="F40" s="84" t="s">
        <v>79</v>
      </c>
      <c r="G40" s="74" t="s">
        <v>69</v>
      </c>
      <c r="H40" s="82">
        <v>100</v>
      </c>
      <c r="I40" s="404">
        <v>0</v>
      </c>
      <c r="J40" s="86"/>
      <c r="K40" s="47">
        <f t="shared" si="4"/>
        <v>0</v>
      </c>
      <c r="L40" s="46"/>
      <c r="M40" s="46">
        <v>125</v>
      </c>
      <c r="N40" s="47">
        <f t="shared" si="3"/>
        <v>12500</v>
      </c>
      <c r="O40" s="505">
        <f t="shared" si="5"/>
        <v>0</v>
      </c>
      <c r="P40" s="48">
        <f t="shared" si="6"/>
        <v>12500</v>
      </c>
      <c r="Q40" s="82" t="s">
        <v>737</v>
      </c>
      <c r="R40" s="58" t="e" vm="6">
        <f t="shared" si="0"/>
        <v>#VALUE!</v>
      </c>
      <c r="S40" s="83"/>
    </row>
    <row r="41" spans="2:19" ht="13.2">
      <c r="B41" s="51"/>
      <c r="C41" s="40"/>
      <c r="D41" s="52"/>
      <c r="E41" s="53"/>
      <c r="F41" s="84"/>
      <c r="G41" s="74"/>
      <c r="H41" s="82"/>
      <c r="I41" s="404"/>
      <c r="J41" s="86"/>
      <c r="K41" s="47"/>
      <c r="L41" s="46"/>
      <c r="M41" s="46"/>
      <c r="N41" s="47"/>
      <c r="O41" s="505"/>
      <c r="P41" s="48"/>
      <c r="Q41" s="82"/>
      <c r="R41" s="58">
        <f t="shared" si="0"/>
        <v>0</v>
      </c>
      <c r="S41" s="83"/>
    </row>
    <row r="42" spans="2:19" ht="13.2">
      <c r="B42" s="38" t="s">
        <v>80</v>
      </c>
      <c r="C42" s="40"/>
      <c r="D42" s="40"/>
      <c r="E42" s="53"/>
      <c r="F42" s="81" t="s">
        <v>81</v>
      </c>
      <c r="G42" s="74"/>
      <c r="H42" s="82"/>
      <c r="I42" s="404"/>
      <c r="J42" s="86"/>
      <c r="K42" s="47"/>
      <c r="L42" s="46"/>
      <c r="M42" s="46"/>
      <c r="N42" s="47" t="str">
        <f>IFERROR(IF(AND($G42&lt;&gt;"",$H42&lt;&gt;""),$H42*$M42,""),0)</f>
        <v/>
      </c>
      <c r="O42" s="505" t="str">
        <f>IFERROR(IF(AND($G42&lt;&gt;"",$H42&lt;&gt;""),$I42*$M42,""),0)</f>
        <v/>
      </c>
      <c r="P42" s="48" t="str">
        <f>IFERROR(IF(AND($G42&lt;&gt;"",$H42&lt;&gt;""),$L42*$M42,""),0)</f>
        <v/>
      </c>
      <c r="Q42" s="82"/>
      <c r="R42" s="58"/>
      <c r="S42" s="83"/>
    </row>
    <row r="43" spans="2:19" ht="13.2">
      <c r="B43" s="51"/>
      <c r="C43" s="40"/>
      <c r="D43" s="52" t="s">
        <v>70</v>
      </c>
      <c r="E43" s="53"/>
      <c r="F43" s="84" t="s">
        <v>82</v>
      </c>
      <c r="G43" s="74" t="s">
        <v>69</v>
      </c>
      <c r="H43" s="82">
        <v>24</v>
      </c>
      <c r="I43" s="404">
        <v>0</v>
      </c>
      <c r="J43" s="79"/>
      <c r="K43" s="47">
        <f t="shared" ref="K43:K44" si="7">L43-J43</f>
        <v>0</v>
      </c>
      <c r="L43" s="46"/>
      <c r="M43" s="46">
        <v>450</v>
      </c>
      <c r="N43" s="47">
        <f>IFERROR(IF(AND($G43&lt;&gt;"",$H43&lt;&gt;""),$H43*$M43,""),0)</f>
        <v>10800</v>
      </c>
      <c r="O43" s="505">
        <f t="shared" ref="O43:O44" si="8">IFERROR(IF(AND($G43&lt;&gt;"",$H43&lt;&gt;""),$I43*$M43,""),0)</f>
        <v>0</v>
      </c>
      <c r="P43" s="48">
        <f>+N43-O43</f>
        <v>10800</v>
      </c>
      <c r="Q43" s="82" t="s">
        <v>737</v>
      </c>
      <c r="R43" s="58" t="e" vm="6">
        <f t="shared" si="0"/>
        <v>#VALUE!</v>
      </c>
      <c r="S43" s="90"/>
    </row>
    <row r="44" spans="2:19" ht="13.2">
      <c r="B44" s="51"/>
      <c r="C44" s="40"/>
      <c r="D44" s="52" t="s">
        <v>72</v>
      </c>
      <c r="E44" s="53"/>
      <c r="F44" s="84" t="s">
        <v>83</v>
      </c>
      <c r="G44" s="74" t="s">
        <v>69</v>
      </c>
      <c r="H44" s="82">
        <v>24</v>
      </c>
      <c r="I44" s="404">
        <v>0</v>
      </c>
      <c r="J44" s="86"/>
      <c r="K44" s="47">
        <f t="shared" si="7"/>
        <v>0</v>
      </c>
      <c r="L44" s="46"/>
      <c r="M44" s="46">
        <v>450</v>
      </c>
      <c r="N44" s="47">
        <f>IFERROR(IF(AND($G44&lt;&gt;"",$H44&lt;&gt;""),$H44*$M44,""),0)</f>
        <v>10800</v>
      </c>
      <c r="O44" s="505">
        <f t="shared" si="8"/>
        <v>0</v>
      </c>
      <c r="P44" s="48">
        <f>+N44-O44</f>
        <v>10800</v>
      </c>
      <c r="Q44" s="82" t="s">
        <v>737</v>
      </c>
      <c r="R44" s="58" t="e" vm="6">
        <f t="shared" si="0"/>
        <v>#VALUE!</v>
      </c>
      <c r="S44" s="83"/>
    </row>
    <row r="45" spans="2:19" ht="13.2" hidden="1" customHeight="1">
      <c r="B45" s="51"/>
      <c r="C45" s="40"/>
      <c r="D45" s="52" t="s">
        <v>78</v>
      </c>
      <c r="E45" s="53"/>
      <c r="F45" s="84" t="s">
        <v>84</v>
      </c>
      <c r="G45" s="74" t="s">
        <v>85</v>
      </c>
      <c r="H45" s="82"/>
      <c r="I45" s="404"/>
      <c r="J45" s="86"/>
      <c r="K45" s="47"/>
      <c r="L45" s="46"/>
      <c r="M45" s="46"/>
      <c r="N45" s="47" t="str">
        <f>IFERROR(IF(AND($G45&lt;&gt;"",$H45&lt;&gt;""),$H45*$M45,""),0)</f>
        <v/>
      </c>
      <c r="O45" s="505" t="str">
        <f>IFERROR(IF(AND($G45&lt;&gt;"",$H45&lt;&gt;""),$I45*$M45,""),0)</f>
        <v/>
      </c>
      <c r="P45" s="48" t="str">
        <f>IFERROR(IF(AND($G45&lt;&gt;"",$H45&lt;&gt;""),$L45*$M45,""),0)</f>
        <v/>
      </c>
      <c r="Q45" s="82"/>
      <c r="R45" s="58" t="e" vm="7">
        <f t="shared" si="0"/>
        <v>#VALUE!</v>
      </c>
      <c r="S45" s="83"/>
    </row>
    <row r="46" spans="2:19" ht="22.8" hidden="1" customHeight="1">
      <c r="B46" s="51"/>
      <c r="C46" s="40"/>
      <c r="D46" s="52" t="s">
        <v>86</v>
      </c>
      <c r="E46" s="53"/>
      <c r="F46" s="84" t="s">
        <v>87</v>
      </c>
      <c r="G46" s="74" t="s">
        <v>85</v>
      </c>
      <c r="H46" s="82"/>
      <c r="I46" s="404"/>
      <c r="J46" s="76"/>
      <c r="K46" s="47"/>
      <c r="L46" s="46"/>
      <c r="M46" s="46"/>
      <c r="N46" s="47" t="str">
        <f>IFERROR(IF(AND($G46&lt;&gt;"",$H46&lt;&gt;""),$H46*$M46,""),0)</f>
        <v/>
      </c>
      <c r="O46" s="505" t="str">
        <f>IFERROR(IF(AND($G46&lt;&gt;"",$H46&lt;&gt;""),$I46*$M46,""),0)</f>
        <v/>
      </c>
      <c r="P46" s="48" t="str">
        <f>IFERROR(IF(AND($G46&lt;&gt;"",$H46&lt;&gt;""),$L46*$M46,""),0)</f>
        <v/>
      </c>
      <c r="Q46" s="82"/>
      <c r="R46" s="58" t="e" vm="7">
        <f t="shared" si="0"/>
        <v>#VALUE!</v>
      </c>
      <c r="S46" s="85"/>
    </row>
    <row r="47" spans="2:19" ht="13.2">
      <c r="B47" s="51"/>
      <c r="C47" s="40"/>
      <c r="D47" s="52"/>
      <c r="E47" s="53"/>
      <c r="F47" s="84"/>
      <c r="G47" s="74"/>
      <c r="H47" s="82"/>
      <c r="I47" s="404"/>
      <c r="J47" s="76"/>
      <c r="K47" s="47"/>
      <c r="L47" s="46"/>
      <c r="M47" s="46"/>
      <c r="N47" s="47"/>
      <c r="O47" s="505"/>
      <c r="P47" s="48"/>
      <c r="Q47" s="82"/>
      <c r="R47" s="58">
        <f t="shared" si="0"/>
        <v>0</v>
      </c>
      <c r="S47" s="85"/>
    </row>
    <row r="48" spans="2:19" ht="13.2">
      <c r="B48" s="38" t="s">
        <v>88</v>
      </c>
      <c r="C48" s="40"/>
      <c r="D48" s="40"/>
      <c r="E48" s="53"/>
      <c r="F48" s="81" t="s">
        <v>89</v>
      </c>
      <c r="G48" s="74"/>
      <c r="H48" s="82"/>
      <c r="I48" s="404"/>
      <c r="J48" s="86"/>
      <c r="K48" s="47"/>
      <c r="L48" s="46"/>
      <c r="M48" s="46"/>
      <c r="N48" s="47" t="str">
        <f>IFERROR(IF(AND($G48&lt;&gt;"",$H48&lt;&gt;""),$H48*$M48,""),0)</f>
        <v/>
      </c>
      <c r="O48" s="505" t="str">
        <f>IFERROR(IF(AND($G48&lt;&gt;"",$H48&lt;&gt;""),$I48*$M48,""),0)</f>
        <v/>
      </c>
      <c r="P48" s="48" t="str">
        <f>IFERROR(IF(AND($G48&lt;&gt;"",$H48&lt;&gt;""),$L48*$M48,""),0)</f>
        <v/>
      </c>
      <c r="Q48" s="82"/>
      <c r="R48" s="58"/>
      <c r="S48" s="83"/>
    </row>
    <row r="49" spans="2:26" ht="13.2">
      <c r="B49" s="51"/>
      <c r="C49" s="40"/>
      <c r="D49" s="52" t="s">
        <v>67</v>
      </c>
      <c r="E49" s="53"/>
      <c r="F49" s="84" t="s">
        <v>90</v>
      </c>
      <c r="G49" s="74" t="s">
        <v>91</v>
      </c>
      <c r="H49" s="82">
        <v>500</v>
      </c>
      <c r="I49" s="404">
        <v>0</v>
      </c>
      <c r="J49" s="79"/>
      <c r="K49" s="47">
        <f t="shared" ref="K49:K51" si="9">L49-J49</f>
        <v>0</v>
      </c>
      <c r="L49" s="46"/>
      <c r="M49" s="46">
        <v>15</v>
      </c>
      <c r="N49" s="47">
        <f>IFERROR(IF(AND($G49&lt;&gt;"",$H49&lt;&gt;""),$H49*$M49,""),0)</f>
        <v>7500</v>
      </c>
      <c r="O49" s="505">
        <f t="shared" ref="O49:O51" si="10">IFERROR(IF(AND($G49&lt;&gt;"",$H49&lt;&gt;""),$I49*$M49,""),0)</f>
        <v>0</v>
      </c>
      <c r="P49" s="48">
        <f>+N49-O49</f>
        <v>7500</v>
      </c>
      <c r="Q49" s="82" t="s">
        <v>737</v>
      </c>
      <c r="R49" s="58" t="e" vm="6">
        <f t="shared" si="0"/>
        <v>#VALUE!</v>
      </c>
      <c r="S49" s="90"/>
    </row>
    <row r="50" spans="2:26" ht="22.8">
      <c r="B50" s="51"/>
      <c r="C50" s="40"/>
      <c r="D50" s="52" t="s">
        <v>70</v>
      </c>
      <c r="E50" s="53"/>
      <c r="F50" s="84" t="s">
        <v>92</v>
      </c>
      <c r="G50" s="74" t="s">
        <v>91</v>
      </c>
      <c r="H50" s="82">
        <v>500</v>
      </c>
      <c r="I50" s="404">
        <v>0</v>
      </c>
      <c r="J50" s="79"/>
      <c r="K50" s="47">
        <f t="shared" si="9"/>
        <v>0</v>
      </c>
      <c r="L50" s="46"/>
      <c r="M50" s="46">
        <v>35</v>
      </c>
      <c r="N50" s="47">
        <f>IFERROR(IF(AND($G50&lt;&gt;"",$H50&lt;&gt;""),$H50*$M50,""),0)</f>
        <v>17500</v>
      </c>
      <c r="O50" s="505">
        <f t="shared" si="10"/>
        <v>0</v>
      </c>
      <c r="P50" s="48">
        <f>+N50-O50</f>
        <v>17500</v>
      </c>
      <c r="Q50" s="82" t="s">
        <v>737</v>
      </c>
      <c r="R50" s="58" t="e" vm="6">
        <f t="shared" si="0"/>
        <v>#VALUE!</v>
      </c>
      <c r="S50" s="91"/>
    </row>
    <row r="51" spans="2:26" ht="13.2">
      <c r="B51" s="51"/>
      <c r="C51" s="40"/>
      <c r="D51" s="52" t="s">
        <v>72</v>
      </c>
      <c r="E51" s="53"/>
      <c r="F51" s="84" t="s">
        <v>93</v>
      </c>
      <c r="G51" s="74" t="s">
        <v>91</v>
      </c>
      <c r="H51" s="82">
        <v>500</v>
      </c>
      <c r="I51" s="404">
        <v>0</v>
      </c>
      <c r="J51" s="86"/>
      <c r="K51" s="47">
        <f t="shared" si="9"/>
        <v>0</v>
      </c>
      <c r="L51" s="46"/>
      <c r="M51" s="46">
        <v>35</v>
      </c>
      <c r="N51" s="47">
        <f>IFERROR(IF(AND($G51&lt;&gt;"",$H51&lt;&gt;""),$H51*$M51,""),0)</f>
        <v>17500</v>
      </c>
      <c r="O51" s="505">
        <f t="shared" si="10"/>
        <v>0</v>
      </c>
      <c r="P51" s="48">
        <f>+N51-O51</f>
        <v>17500</v>
      </c>
      <c r="Q51" s="82" t="s">
        <v>737</v>
      </c>
      <c r="R51" s="58" t="e" vm="6">
        <f t="shared" si="0"/>
        <v>#VALUE!</v>
      </c>
    </row>
    <row r="52" spans="2:26" ht="13.2">
      <c r="B52" s="51"/>
      <c r="C52" s="40"/>
      <c r="D52" s="52"/>
      <c r="E52" s="53"/>
      <c r="F52" s="84"/>
      <c r="G52" s="74"/>
      <c r="H52" s="82"/>
      <c r="I52" s="404"/>
      <c r="J52" s="86"/>
      <c r="K52" s="47"/>
      <c r="L52" s="46"/>
      <c r="M52" s="46"/>
      <c r="N52" s="47"/>
      <c r="O52" s="505"/>
      <c r="P52" s="48"/>
      <c r="Q52" s="82"/>
      <c r="R52" s="58">
        <f t="shared" si="0"/>
        <v>0</v>
      </c>
    </row>
    <row r="53" spans="2:26" ht="13.2">
      <c r="B53" s="38" t="s">
        <v>94</v>
      </c>
      <c r="C53" s="59"/>
      <c r="D53" s="59"/>
      <c r="E53" s="60"/>
      <c r="F53" s="92" t="s">
        <v>95</v>
      </c>
      <c r="G53" s="62"/>
      <c r="H53" s="63"/>
      <c r="I53" s="410"/>
      <c r="J53" s="64"/>
      <c r="K53" s="34"/>
      <c r="L53" s="34"/>
      <c r="M53" s="65"/>
      <c r="N53" s="34" t="str">
        <f>IFERROR(IF(AND($G53&lt;&gt;"",$H53&lt;&gt;""),$H53*$M53,""),0)</f>
        <v/>
      </c>
      <c r="O53" s="513" t="str">
        <f>IFERROR(IF(AND($G53&lt;&gt;"",$H53&lt;&gt;""),$I53*$M53,""),0)</f>
        <v/>
      </c>
      <c r="P53" s="48" t="str">
        <f>IFERROR(IF(AND($G53&lt;&gt;"",$H53&lt;&gt;""),$L53*$M53,""),0)</f>
        <v/>
      </c>
      <c r="Q53" s="63"/>
      <c r="R53" s="58"/>
      <c r="S53" s="1"/>
    </row>
    <row r="54" spans="2:26" ht="13.2">
      <c r="B54" s="51"/>
      <c r="C54" s="40"/>
      <c r="D54" s="40" t="s">
        <v>67</v>
      </c>
      <c r="E54" s="53"/>
      <c r="F54" s="77" t="s">
        <v>96</v>
      </c>
      <c r="G54" s="78" t="s">
        <v>55</v>
      </c>
      <c r="H54" s="82">
        <v>1</v>
      </c>
      <c r="I54" s="404">
        <v>0</v>
      </c>
      <c r="J54" s="86"/>
      <c r="K54" s="47">
        <f t="shared" ref="K54:K55" si="11">L54-J54</f>
        <v>0</v>
      </c>
      <c r="L54" s="47"/>
      <c r="M54" s="46">
        <v>100000</v>
      </c>
      <c r="N54" s="47">
        <f>IFERROR(IF(AND($G54&lt;&gt;"",$H54&lt;&gt;""),$H54*$M54,""),0)</f>
        <v>100000</v>
      </c>
      <c r="O54" s="505">
        <f t="shared" ref="O54:O55" si="12">IFERROR(IF(AND($G54&lt;&gt;"",$H54&lt;&gt;""),$I54*$M54,""),0)</f>
        <v>0</v>
      </c>
      <c r="P54" s="48">
        <f>+N54-O54</f>
        <v>100000</v>
      </c>
      <c r="Q54" s="82" t="s">
        <v>737</v>
      </c>
      <c r="R54" s="58" t="e" vm="6">
        <f t="shared" si="0"/>
        <v>#VALUE!</v>
      </c>
    </row>
    <row r="55" spans="2:26" ht="22.8">
      <c r="B55" s="51"/>
      <c r="C55" s="40"/>
      <c r="D55" s="40" t="s">
        <v>70</v>
      </c>
      <c r="E55" s="53"/>
      <c r="F55" s="77" t="s">
        <v>97</v>
      </c>
      <c r="G55" s="93" t="s">
        <v>58</v>
      </c>
      <c r="H55" s="82">
        <v>100000</v>
      </c>
      <c r="I55" s="404">
        <v>0</v>
      </c>
      <c r="J55" s="76"/>
      <c r="K55" s="47">
        <f t="shared" si="11"/>
        <v>0</v>
      </c>
      <c r="L55" s="47"/>
      <c r="M55" s="89">
        <v>0.1</v>
      </c>
      <c r="N55" s="47">
        <f>H55*M55</f>
        <v>10000</v>
      </c>
      <c r="O55" s="505">
        <f t="shared" si="12"/>
        <v>0</v>
      </c>
      <c r="P55" s="48">
        <f>+N55-O55</f>
        <v>10000</v>
      </c>
      <c r="Q55" s="82" t="s">
        <v>737</v>
      </c>
      <c r="R55" s="58" t="e" vm="6">
        <f t="shared" si="0"/>
        <v>#VALUE!</v>
      </c>
      <c r="S55" s="94"/>
    </row>
    <row r="56" spans="2:26" ht="13.2">
      <c r="B56" s="51"/>
      <c r="C56" s="40"/>
      <c r="D56" s="40"/>
      <c r="E56" s="53"/>
      <c r="F56" s="77"/>
      <c r="G56" s="93"/>
      <c r="H56" s="82"/>
      <c r="I56" s="404"/>
      <c r="J56" s="76"/>
      <c r="K56" s="47"/>
      <c r="L56" s="47"/>
      <c r="M56" s="89"/>
      <c r="N56" s="47"/>
      <c r="O56" s="69"/>
      <c r="P56" s="48"/>
      <c r="Q56" s="82"/>
      <c r="R56" s="58">
        <f t="shared" si="0"/>
        <v>0</v>
      </c>
      <c r="S56" s="94"/>
    </row>
    <row r="57" spans="2:26" ht="13.2">
      <c r="B57" s="51"/>
      <c r="C57" s="40"/>
      <c r="D57" s="40"/>
      <c r="E57" s="53"/>
      <c r="F57" s="77"/>
      <c r="G57" s="93"/>
      <c r="H57" s="82"/>
      <c r="I57" s="82"/>
      <c r="J57" s="76"/>
      <c r="K57" s="47"/>
      <c r="L57" s="47"/>
      <c r="M57" s="46"/>
      <c r="N57" s="47"/>
      <c r="O57" s="69"/>
      <c r="P57" s="48"/>
      <c r="Q57" s="82"/>
      <c r="R57" s="58">
        <f t="shared" si="0"/>
        <v>0</v>
      </c>
      <c r="S57" s="94"/>
    </row>
    <row r="58" spans="2:26" ht="13.2">
      <c r="B58" s="38" t="s">
        <v>98</v>
      </c>
      <c r="C58" s="40"/>
      <c r="D58" s="40"/>
      <c r="E58" s="53"/>
      <c r="F58" s="95" t="s">
        <v>99</v>
      </c>
      <c r="G58" s="74"/>
      <c r="H58" s="82"/>
      <c r="I58" s="82"/>
      <c r="J58" s="79"/>
      <c r="K58" s="47"/>
      <c r="L58" s="47"/>
      <c r="M58" s="46"/>
      <c r="N58" s="47" t="str">
        <f>IFERROR(IF(AND($G58&lt;&gt;"",$H58&lt;&gt;""),$H58*$M58,""),0)</f>
        <v/>
      </c>
      <c r="O58" s="505" t="str">
        <f>IFERROR(IF(AND($G58&lt;&gt;"",$H58&lt;&gt;""),$I58*$M58,""),0)</f>
        <v/>
      </c>
      <c r="P58" s="48" t="str">
        <f>IFERROR(IF(AND($G58&lt;&gt;"",$H58&lt;&gt;""),$L58*$M58,""),0)</f>
        <v/>
      </c>
      <c r="Q58" s="82"/>
      <c r="R58" s="58"/>
    </row>
    <row r="59" spans="2:26" ht="15" customHeight="1">
      <c r="B59" s="96"/>
      <c r="C59" s="97" t="s">
        <v>100</v>
      </c>
      <c r="D59" s="98"/>
      <c r="E59" s="99"/>
      <c r="F59" s="77" t="s">
        <v>101</v>
      </c>
      <c r="G59" s="78" t="s">
        <v>102</v>
      </c>
      <c r="H59" s="82">
        <v>1</v>
      </c>
      <c r="I59" s="404">
        <v>0</v>
      </c>
      <c r="J59" s="79"/>
      <c r="K59" s="47">
        <f>L59-J59</f>
        <v>0</v>
      </c>
      <c r="L59" s="47"/>
      <c r="M59" s="46">
        <v>400000</v>
      </c>
      <c r="N59" s="47">
        <f>IFERROR(IF(AND($G59&lt;&gt;"",$H59&lt;&gt;""),$H59*$M59,""),0)</f>
        <v>400000</v>
      </c>
      <c r="O59" s="505">
        <f>IFERROR(IF(AND($G59&lt;&gt;"",$H59&lt;&gt;""),$I59*$M59,""),0)</f>
        <v>0</v>
      </c>
      <c r="P59" s="48">
        <f>+N59-O59</f>
        <v>400000</v>
      </c>
      <c r="Q59" s="82" t="s">
        <v>737</v>
      </c>
      <c r="R59" s="58" t="e" vm="6">
        <f t="shared" si="0"/>
        <v>#VALUE!</v>
      </c>
      <c r="S59" s="91"/>
    </row>
    <row r="60" spans="2:26" ht="13.2">
      <c r="B60" s="100" t="s">
        <v>103</v>
      </c>
      <c r="C60" s="101"/>
      <c r="D60" s="101"/>
      <c r="E60" s="102"/>
      <c r="F60" s="103"/>
      <c r="G60" s="104"/>
      <c r="H60" s="105"/>
      <c r="I60" s="105"/>
      <c r="J60" s="106"/>
      <c r="K60" s="107"/>
      <c r="L60" s="108"/>
      <c r="M60" s="108"/>
      <c r="N60" s="107">
        <f>SUM(N7:N59)</f>
        <v>19376146</v>
      </c>
      <c r="O60" s="500">
        <f>SUM(O7:O59)</f>
        <v>896592.6</v>
      </c>
      <c r="P60" s="107">
        <f>SUM(P7:P59)</f>
        <v>18479553.399999999</v>
      </c>
      <c r="Q60" s="105"/>
      <c r="R60" s="109"/>
      <c r="S60" s="110"/>
    </row>
    <row r="61" spans="2:26" ht="12">
      <c r="B61" s="111"/>
      <c r="C61" s="112"/>
      <c r="D61" s="112"/>
      <c r="E61" s="113"/>
      <c r="F61" s="114"/>
      <c r="G61" s="115"/>
      <c r="H61" s="116"/>
      <c r="I61" s="478"/>
      <c r="J61" s="117"/>
      <c r="K61" s="118"/>
      <c r="L61" s="119"/>
      <c r="M61" s="120"/>
      <c r="N61" s="118"/>
      <c r="O61" s="514"/>
      <c r="P61" s="122" t="str">
        <f>IFERROR(IF(AND($G61&lt;&gt;"",$H61&lt;&gt;""),$L61*$M61,""),0)</f>
        <v/>
      </c>
      <c r="Q61" s="116"/>
      <c r="S61" s="1"/>
    </row>
    <row r="62" spans="2:26" ht="12">
      <c r="B62" s="592" t="s">
        <v>104</v>
      </c>
      <c r="C62" s="593"/>
      <c r="D62" s="593"/>
      <c r="E62" s="594"/>
      <c r="F62" s="123" t="s">
        <v>105</v>
      </c>
      <c r="H62" s="124"/>
      <c r="I62" s="124"/>
      <c r="J62" s="86"/>
      <c r="K62" s="47"/>
      <c r="L62" s="47"/>
      <c r="M62" s="46"/>
      <c r="N62" s="47"/>
      <c r="O62" s="505"/>
      <c r="P62" s="48" t="str">
        <f>IFERROR(IF(AND($F62&lt;&gt;"",$H62&lt;&gt;""),$L62*$M62,""),0)</f>
        <v/>
      </c>
      <c r="Q62" s="124"/>
    </row>
    <row r="63" spans="2:26" ht="12">
      <c r="B63" s="27" t="s">
        <v>106</v>
      </c>
      <c r="C63" s="40"/>
      <c r="D63" s="40"/>
      <c r="E63" s="53"/>
      <c r="F63" s="123" t="s">
        <v>107</v>
      </c>
      <c r="G63" s="125"/>
      <c r="H63" s="82"/>
      <c r="I63" s="82"/>
      <c r="J63" s="86"/>
      <c r="K63" s="47"/>
      <c r="L63" s="47"/>
      <c r="M63" s="46"/>
      <c r="N63" s="47"/>
      <c r="O63" s="505"/>
      <c r="P63" s="48" t="str">
        <f>IFERROR(IF(AND($G63&lt;&gt;"",$H63&lt;&gt;""),$L63*$M63,""),0)</f>
        <v/>
      </c>
      <c r="Q63" s="82"/>
    </row>
    <row r="64" spans="2:26" ht="15" customHeight="1">
      <c r="B64" s="51"/>
      <c r="C64" s="126" t="s">
        <v>108</v>
      </c>
      <c r="D64" s="40"/>
      <c r="E64" s="53"/>
      <c r="F64" s="84" t="s">
        <v>109</v>
      </c>
      <c r="G64" s="127" t="s">
        <v>110</v>
      </c>
      <c r="H64" s="82">
        <v>1</v>
      </c>
      <c r="I64" s="404">
        <v>1</v>
      </c>
      <c r="J64" s="86">
        <v>0</v>
      </c>
      <c r="K64" s="69">
        <v>0.5</v>
      </c>
      <c r="L64" s="47">
        <f>K64+J64</f>
        <v>0.5</v>
      </c>
      <c r="M64" s="46">
        <v>8629347.5</v>
      </c>
      <c r="N64" s="47">
        <f t="shared" ref="N64:N73" si="13">IFERROR(IF(AND($G64&lt;&gt;"",$H64&lt;&gt;""),$H64*$M64,""),0)</f>
        <v>8629347.5</v>
      </c>
      <c r="O64" s="505">
        <f t="shared" ref="O64:O65" si="14">IFERROR(IF(AND($G64&lt;&gt;"",$H64&lt;&gt;""),$I64*$M64,""),0)</f>
        <v>8629347.5</v>
      </c>
      <c r="P64" s="48">
        <f>+N64-O64</f>
        <v>0</v>
      </c>
      <c r="Q64" s="82"/>
      <c r="R64" s="128"/>
      <c r="Y64" s="2">
        <v>1850878.5</v>
      </c>
      <c r="Z64" s="573">
        <f>Y64*I64</f>
        <v>1850878.5</v>
      </c>
    </row>
    <row r="65" spans="2:27" ht="13.2">
      <c r="B65" s="51"/>
      <c r="C65" s="126" t="s">
        <v>111</v>
      </c>
      <c r="D65" s="40"/>
      <c r="E65" s="53"/>
      <c r="F65" s="84" t="s">
        <v>112</v>
      </c>
      <c r="G65" s="127" t="s">
        <v>110</v>
      </c>
      <c r="H65" s="82">
        <v>1</v>
      </c>
      <c r="I65" s="404">
        <v>1</v>
      </c>
      <c r="J65" s="86">
        <v>0</v>
      </c>
      <c r="K65" s="47">
        <f t="shared" ref="K65" si="15">L65-J65</f>
        <v>0</v>
      </c>
      <c r="L65" s="47"/>
      <c r="M65" s="46">
        <v>2132655</v>
      </c>
      <c r="N65" s="47">
        <f t="shared" si="13"/>
        <v>2132655</v>
      </c>
      <c r="O65" s="505">
        <f t="shared" si="14"/>
        <v>2132655</v>
      </c>
      <c r="P65" s="48">
        <f>+N65-O65</f>
        <v>0</v>
      </c>
      <c r="Q65" s="82"/>
      <c r="R65" s="128"/>
    </row>
    <row r="66" spans="2:27" ht="13.2">
      <c r="B66" s="51"/>
      <c r="C66" s="126" t="s">
        <v>113</v>
      </c>
      <c r="D66" s="40"/>
      <c r="E66" s="53"/>
      <c r="F66" s="84" t="s">
        <v>114</v>
      </c>
      <c r="G66" s="127"/>
      <c r="H66" s="82"/>
      <c r="I66" s="404"/>
      <c r="J66" s="86"/>
      <c r="K66" s="47"/>
      <c r="L66" s="47"/>
      <c r="M66" s="46"/>
      <c r="N66" s="47" t="str">
        <f t="shared" si="13"/>
        <v/>
      </c>
      <c r="O66" s="505" t="str">
        <f>IFERROR(IF(AND($G66&lt;&gt;"",$H66&lt;&gt;""),$I66*$M66,""),0)</f>
        <v/>
      </c>
      <c r="P66" s="48" t="str">
        <f>IFERROR(IF(AND($G66&lt;&gt;"",$H66&lt;&gt;""),$L66*$M66,""),0)</f>
        <v/>
      </c>
      <c r="Q66" s="82"/>
      <c r="R66" s="128"/>
    </row>
    <row r="67" spans="2:27" ht="13.2">
      <c r="B67" s="51"/>
      <c r="C67" s="40"/>
      <c r="D67" s="126" t="s">
        <v>67</v>
      </c>
      <c r="E67" s="53"/>
      <c r="F67" s="84" t="s">
        <v>115</v>
      </c>
      <c r="G67" s="127" t="s">
        <v>18</v>
      </c>
      <c r="H67" s="75">
        <v>3</v>
      </c>
      <c r="I67" s="404">
        <v>3</v>
      </c>
      <c r="J67" s="86">
        <v>0</v>
      </c>
      <c r="K67" s="69">
        <v>3</v>
      </c>
      <c r="L67" s="47">
        <f>K67+J67</f>
        <v>3</v>
      </c>
      <c r="M67" s="46">
        <v>489536</v>
      </c>
      <c r="N67" s="47">
        <f t="shared" si="13"/>
        <v>1468608</v>
      </c>
      <c r="O67" s="505">
        <f t="shared" ref="O67:O68" si="16">IFERROR(IF(AND($G67&lt;&gt;"",$H67&lt;&gt;""),$I67*$M67,""),0)</f>
        <v>1468608</v>
      </c>
      <c r="P67" s="48">
        <f>+N67-O67</f>
        <v>0</v>
      </c>
      <c r="Q67" s="488" t="s">
        <v>754</v>
      </c>
      <c r="R67" s="128"/>
    </row>
    <row r="68" spans="2:27" ht="13.2">
      <c r="B68" s="51"/>
      <c r="C68" s="40"/>
      <c r="D68" s="126" t="s">
        <v>70</v>
      </c>
      <c r="E68" s="53"/>
      <c r="F68" s="84" t="s">
        <v>116</v>
      </c>
      <c r="G68" s="127" t="s">
        <v>18</v>
      </c>
      <c r="H68" s="75">
        <v>9</v>
      </c>
      <c r="I68" s="421">
        <v>9</v>
      </c>
      <c r="J68" s="86">
        <v>0</v>
      </c>
      <c r="K68" s="69">
        <v>3</v>
      </c>
      <c r="L68" s="47">
        <f>K68+J68</f>
        <v>3</v>
      </c>
      <c r="M68" s="46">
        <v>745896</v>
      </c>
      <c r="N68" s="47">
        <f t="shared" si="13"/>
        <v>6713064</v>
      </c>
      <c r="O68" s="505">
        <f t="shared" si="16"/>
        <v>6713064</v>
      </c>
      <c r="P68" s="48">
        <f t="shared" ref="P68:P75" si="17">+N68-O68</f>
        <v>0</v>
      </c>
      <c r="Q68" s="488" t="s">
        <v>754</v>
      </c>
      <c r="R68" s="128"/>
      <c r="Y68" s="2">
        <v>395000</v>
      </c>
      <c r="Z68" s="573">
        <f>Y68*7</f>
        <v>2765000</v>
      </c>
      <c r="AA68" s="2" t="s">
        <v>986</v>
      </c>
    </row>
    <row r="69" spans="2:27" ht="15.6">
      <c r="B69" s="27"/>
      <c r="C69" s="126" t="s">
        <v>117</v>
      </c>
      <c r="D69" s="40"/>
      <c r="E69" s="53"/>
      <c r="F69" s="84" t="s">
        <v>118</v>
      </c>
      <c r="G69" s="129"/>
      <c r="H69" s="63"/>
      <c r="I69" s="410"/>
      <c r="J69" s="64"/>
      <c r="K69" s="34"/>
      <c r="L69" s="34"/>
      <c r="M69" s="65"/>
      <c r="N69" s="34" t="str">
        <f t="shared" si="13"/>
        <v/>
      </c>
      <c r="O69" s="513" t="str">
        <f>IFERROR(IF(AND($G69&lt;&gt;"",$H69&lt;&gt;""),$I69*$M69,""),0)</f>
        <v/>
      </c>
      <c r="P69" s="48"/>
      <c r="Q69" s="63"/>
      <c r="R69" s="128"/>
      <c r="S69" s="130"/>
      <c r="T69" s="131"/>
      <c r="U69" s="131"/>
    </row>
    <row r="70" spans="2:27" ht="13.2">
      <c r="B70" s="51"/>
      <c r="C70" s="40"/>
      <c r="D70" s="126" t="s">
        <v>67</v>
      </c>
      <c r="E70" s="53"/>
      <c r="F70" s="84" t="s">
        <v>119</v>
      </c>
      <c r="G70" s="127" t="s">
        <v>120</v>
      </c>
      <c r="H70" s="75">
        <v>3</v>
      </c>
      <c r="I70" s="421">
        <v>0</v>
      </c>
      <c r="J70" s="86">
        <v>0</v>
      </c>
      <c r="K70" s="47">
        <f t="shared" ref="K70:K73" si="18">L70-J70</f>
        <v>0</v>
      </c>
      <c r="L70" s="47"/>
      <c r="M70" s="46">
        <v>550000</v>
      </c>
      <c r="N70" s="47">
        <f t="shared" si="13"/>
        <v>1650000</v>
      </c>
      <c r="O70" s="505">
        <f t="shared" ref="O70:O73" si="19">IFERROR(IF(AND($G70&lt;&gt;"",$H70&lt;&gt;""),$I70*$M70,""),0)</f>
        <v>0</v>
      </c>
      <c r="P70" s="48">
        <f t="shared" si="17"/>
        <v>1650000</v>
      </c>
      <c r="Q70" s="75" t="s">
        <v>738</v>
      </c>
      <c r="R70" s="128"/>
      <c r="S70" s="83"/>
    </row>
    <row r="71" spans="2:27" ht="13.2">
      <c r="B71" s="51"/>
      <c r="C71" s="40"/>
      <c r="D71" s="126" t="s">
        <v>70</v>
      </c>
      <c r="E71" s="53"/>
      <c r="F71" s="84" t="s">
        <v>121</v>
      </c>
      <c r="G71" s="127" t="s">
        <v>120</v>
      </c>
      <c r="H71" s="75">
        <v>3</v>
      </c>
      <c r="I71" s="421">
        <v>0</v>
      </c>
      <c r="J71" s="86">
        <v>0</v>
      </c>
      <c r="K71" s="47">
        <f t="shared" si="18"/>
        <v>0</v>
      </c>
      <c r="L71" s="47"/>
      <c r="M71" s="46">
        <v>550000</v>
      </c>
      <c r="N71" s="47">
        <f t="shared" si="13"/>
        <v>1650000</v>
      </c>
      <c r="O71" s="505">
        <f t="shared" si="19"/>
        <v>0</v>
      </c>
      <c r="P71" s="48">
        <f t="shared" si="17"/>
        <v>1650000</v>
      </c>
      <c r="Q71" s="75" t="s">
        <v>738</v>
      </c>
      <c r="R71" s="128"/>
      <c r="S71" s="83"/>
    </row>
    <row r="72" spans="2:27" ht="13.2">
      <c r="B72" s="51"/>
      <c r="C72" s="40"/>
      <c r="D72" s="52" t="s">
        <v>72</v>
      </c>
      <c r="E72" s="53"/>
      <c r="F72" s="84" t="s">
        <v>122</v>
      </c>
      <c r="G72" s="127" t="s">
        <v>18</v>
      </c>
      <c r="H72" s="75">
        <v>3</v>
      </c>
      <c r="I72" s="421">
        <v>0</v>
      </c>
      <c r="J72" s="86">
        <v>0</v>
      </c>
      <c r="K72" s="47">
        <f t="shared" si="18"/>
        <v>0</v>
      </c>
      <c r="L72" s="47"/>
      <c r="M72" s="46">
        <v>150000</v>
      </c>
      <c r="N72" s="47">
        <f t="shared" si="13"/>
        <v>450000</v>
      </c>
      <c r="O72" s="505">
        <f t="shared" si="19"/>
        <v>0</v>
      </c>
      <c r="P72" s="48">
        <f t="shared" si="17"/>
        <v>450000</v>
      </c>
      <c r="Q72" s="75" t="s">
        <v>738</v>
      </c>
      <c r="R72" s="128"/>
      <c r="S72" s="83"/>
    </row>
    <row r="73" spans="2:27" ht="13.2">
      <c r="B73" s="51"/>
      <c r="C73" s="40"/>
      <c r="D73" s="126" t="s">
        <v>74</v>
      </c>
      <c r="E73" s="53"/>
      <c r="F73" s="84" t="s">
        <v>123</v>
      </c>
      <c r="G73" s="127" t="s">
        <v>102</v>
      </c>
      <c r="H73" s="82">
        <v>1</v>
      </c>
      <c r="I73" s="404">
        <v>0</v>
      </c>
      <c r="J73" s="86">
        <v>0</v>
      </c>
      <c r="K73" s="47">
        <f t="shared" si="18"/>
        <v>0</v>
      </c>
      <c r="L73" s="47"/>
      <c r="M73" s="46">
        <v>1500000</v>
      </c>
      <c r="N73" s="47">
        <f t="shared" si="13"/>
        <v>1500000</v>
      </c>
      <c r="O73" s="505">
        <f t="shared" si="19"/>
        <v>0</v>
      </c>
      <c r="P73" s="48">
        <f t="shared" si="17"/>
        <v>1500000</v>
      </c>
      <c r="Q73" s="75" t="s">
        <v>738</v>
      </c>
      <c r="R73" s="128"/>
      <c r="S73" s="83"/>
    </row>
    <row r="74" spans="2:27" ht="13.2">
      <c r="B74" s="51"/>
      <c r="C74" s="40"/>
      <c r="D74" s="126"/>
      <c r="E74" s="53"/>
      <c r="F74" s="84"/>
      <c r="G74" s="127"/>
      <c r="H74" s="82"/>
      <c r="I74" s="404"/>
      <c r="J74" s="86"/>
      <c r="K74" s="47"/>
      <c r="L74" s="47"/>
      <c r="M74" s="46"/>
      <c r="N74" s="47"/>
      <c r="O74" s="505"/>
      <c r="P74" s="48">
        <f t="shared" si="17"/>
        <v>0</v>
      </c>
      <c r="Q74" s="82"/>
      <c r="R74" s="128"/>
      <c r="S74" s="83"/>
    </row>
    <row r="75" spans="2:27" ht="13.2">
      <c r="B75" s="132" t="s">
        <v>124</v>
      </c>
      <c r="C75" s="133"/>
      <c r="D75" s="134"/>
      <c r="E75" s="135"/>
      <c r="F75" s="81" t="s">
        <v>125</v>
      </c>
      <c r="G75" s="127" t="s">
        <v>126</v>
      </c>
      <c r="H75" s="82">
        <v>20</v>
      </c>
      <c r="I75" s="404">
        <v>19.2</v>
      </c>
      <c r="J75" s="86">
        <v>0</v>
      </c>
      <c r="K75" s="47">
        <f>L75-J75</f>
        <v>0</v>
      </c>
      <c r="L75" s="47"/>
      <c r="M75" s="46">
        <v>1800</v>
      </c>
      <c r="N75" s="47">
        <f>IFERROR(IF(AND($G75&lt;&gt;"",$H75&lt;&gt;""),$H75*$M75,""),0)</f>
        <v>36000</v>
      </c>
      <c r="O75" s="505">
        <f>IFERROR(IF(AND($G75&lt;&gt;"",$H75&lt;&gt;""),$I75*$M75,""),0)</f>
        <v>34560</v>
      </c>
      <c r="P75" s="48">
        <f t="shared" si="17"/>
        <v>1440</v>
      </c>
      <c r="Q75" s="82" t="s">
        <v>736</v>
      </c>
      <c r="R75" s="128"/>
      <c r="S75" s="83"/>
    </row>
    <row r="76" spans="2:27" ht="13.2">
      <c r="B76" s="136" t="s">
        <v>103</v>
      </c>
      <c r="C76" s="137"/>
      <c r="D76" s="137"/>
      <c r="E76" s="102"/>
      <c r="F76" s="103"/>
      <c r="G76" s="138"/>
      <c r="H76" s="139"/>
      <c r="I76" s="139"/>
      <c r="J76" s="140"/>
      <c r="K76" s="141"/>
      <c r="L76" s="142"/>
      <c r="M76" s="142"/>
      <c r="N76" s="141">
        <f>SUM(N64:N75)</f>
        <v>24229674.5</v>
      </c>
      <c r="O76" s="515">
        <f>SUM(O64:O75)</f>
        <v>18978234.5</v>
      </c>
      <c r="P76" s="141">
        <f>SUM(P64:P75)</f>
        <v>5251440</v>
      </c>
      <c r="Q76" s="139"/>
      <c r="R76" s="143">
        <f>P76</f>
        <v>5251440</v>
      </c>
      <c r="S76" s="90"/>
      <c r="T76" s="110"/>
      <c r="U76" s="110"/>
      <c r="Z76" s="141">
        <f>SUM(Z64:Z75)</f>
        <v>4615878.5</v>
      </c>
    </row>
    <row r="77" spans="2:27" ht="13.2">
      <c r="B77" s="144"/>
      <c r="C77" s="145"/>
      <c r="D77" s="145"/>
      <c r="E77" s="146"/>
      <c r="F77" s="147"/>
      <c r="G77" s="148"/>
      <c r="H77" s="149"/>
      <c r="I77" s="479"/>
      <c r="J77" s="150"/>
      <c r="K77" s="151"/>
      <c r="L77" s="151"/>
      <c r="M77" s="152"/>
      <c r="N77" s="151"/>
      <c r="O77" s="516"/>
      <c r="P77" s="153" t="str">
        <f>IFERROR(IF(AND($G77&lt;&gt;"",$H77&lt;&gt;""),$L77*$M77,""),0)</f>
        <v/>
      </c>
      <c r="Q77" s="149"/>
      <c r="R77" s="128"/>
      <c r="S77" s="83"/>
    </row>
    <row r="78" spans="2:27" ht="13.2">
      <c r="B78" s="592" t="s">
        <v>127</v>
      </c>
      <c r="C78" s="593"/>
      <c r="D78" s="593"/>
      <c r="E78" s="594"/>
      <c r="F78" s="154" t="s">
        <v>128</v>
      </c>
      <c r="G78" s="1"/>
      <c r="H78" s="155"/>
      <c r="I78" s="155"/>
      <c r="J78" s="64"/>
      <c r="K78" s="34"/>
      <c r="L78" s="34"/>
      <c r="M78" s="65"/>
      <c r="N78" s="34"/>
      <c r="O78" s="513"/>
      <c r="P78" s="48" t="str">
        <f>IFERROR(IF(AND($F78&lt;&gt;"",$H78&lt;&gt;""),$L78*$M78,""),0)</f>
        <v/>
      </c>
      <c r="Q78" s="155"/>
      <c r="R78" s="128"/>
      <c r="S78" s="83"/>
      <c r="T78" s="1"/>
      <c r="U78" s="1"/>
    </row>
    <row r="79" spans="2:27" ht="13.2">
      <c r="B79" s="27" t="s">
        <v>129</v>
      </c>
      <c r="C79" s="59"/>
      <c r="D79" s="59"/>
      <c r="E79" s="60"/>
      <c r="F79" s="156" t="s">
        <v>130</v>
      </c>
      <c r="G79" s="62"/>
      <c r="H79" s="63"/>
      <c r="I79" s="63"/>
      <c r="J79" s="64"/>
      <c r="K79" s="34"/>
      <c r="L79" s="34"/>
      <c r="M79" s="65"/>
      <c r="N79" s="34"/>
      <c r="O79" s="513"/>
      <c r="P79" s="48" t="str">
        <f>IFERROR(IF(AND($G79&lt;&gt;"",$H79&lt;&gt;""),$L79*$M79,""),0)</f>
        <v/>
      </c>
      <c r="Q79" s="63"/>
      <c r="R79" s="128"/>
      <c r="S79" s="83"/>
      <c r="T79" s="1"/>
      <c r="U79" s="1"/>
    </row>
    <row r="80" spans="2:27" ht="13.2">
      <c r="B80" s="51"/>
      <c r="C80" s="126" t="s">
        <v>131</v>
      </c>
      <c r="D80" s="40"/>
      <c r="E80" s="53"/>
      <c r="F80" s="157" t="s">
        <v>132</v>
      </c>
      <c r="G80" s="74" t="s">
        <v>126</v>
      </c>
      <c r="H80" s="158">
        <v>150</v>
      </c>
      <c r="I80" s="421">
        <v>117</v>
      </c>
      <c r="J80" s="86">
        <v>0</v>
      </c>
      <c r="K80" s="69">
        <v>117</v>
      </c>
      <c r="L80" s="47">
        <f>K80+J80</f>
        <v>117</v>
      </c>
      <c r="M80" s="46">
        <v>3840</v>
      </c>
      <c r="N80" s="47">
        <f t="shared" ref="N80:N111" si="20">IFERROR(IF(AND($G80&lt;&gt;"",$H80&lt;&gt;""),$H80*$M80,""),0)</f>
        <v>576000</v>
      </c>
      <c r="O80" s="505">
        <f t="shared" ref="O80:O85" si="21">IFERROR(IF(AND($G80&lt;&gt;"",$H80&lt;&gt;""),$I80*$M80,""),0)</f>
        <v>449280</v>
      </c>
      <c r="P80" s="48">
        <f t="shared" ref="P80:P85" si="22">+N80-O80</f>
        <v>126720</v>
      </c>
      <c r="Q80" s="82" t="s">
        <v>736</v>
      </c>
      <c r="R80" s="128"/>
      <c r="S80" s="83"/>
    </row>
    <row r="81" spans="2:19" ht="13.2">
      <c r="B81" s="51"/>
      <c r="C81" s="126" t="s">
        <v>133</v>
      </c>
      <c r="D81" s="40"/>
      <c r="E81" s="53"/>
      <c r="F81" s="157" t="s">
        <v>134</v>
      </c>
      <c r="G81" s="74" t="s">
        <v>126</v>
      </c>
      <c r="H81" s="158">
        <v>200</v>
      </c>
      <c r="I81" s="421">
        <v>101</v>
      </c>
      <c r="J81" s="86">
        <v>0</v>
      </c>
      <c r="K81" s="69">
        <v>101</v>
      </c>
      <c r="L81" s="47">
        <f>K81+J81</f>
        <v>101</v>
      </c>
      <c r="M81" s="46">
        <v>1500</v>
      </c>
      <c r="N81" s="47">
        <f t="shared" si="20"/>
        <v>300000</v>
      </c>
      <c r="O81" s="505">
        <f t="shared" si="21"/>
        <v>151500</v>
      </c>
      <c r="P81" s="48">
        <f t="shared" si="22"/>
        <v>148500</v>
      </c>
      <c r="Q81" s="82" t="s">
        <v>736</v>
      </c>
      <c r="R81" s="128"/>
      <c r="S81" s="83"/>
    </row>
    <row r="82" spans="2:19" ht="13.2">
      <c r="B82" s="51"/>
      <c r="C82" s="126" t="s">
        <v>135</v>
      </c>
      <c r="D82" s="40"/>
      <c r="E82" s="53"/>
      <c r="F82" s="159" t="s">
        <v>136</v>
      </c>
      <c r="G82" s="74" t="s">
        <v>126</v>
      </c>
      <c r="H82" s="158">
        <v>100</v>
      </c>
      <c r="I82" s="421">
        <v>132</v>
      </c>
      <c r="J82" s="86">
        <v>0</v>
      </c>
      <c r="K82" s="69">
        <v>132</v>
      </c>
      <c r="L82" s="47">
        <f>K82+J82</f>
        <v>132</v>
      </c>
      <c r="M82" s="46">
        <v>600</v>
      </c>
      <c r="N82" s="47">
        <f t="shared" si="20"/>
        <v>60000</v>
      </c>
      <c r="O82" s="505">
        <f t="shared" si="21"/>
        <v>79200</v>
      </c>
      <c r="P82" s="48">
        <f t="shared" si="22"/>
        <v>-19200</v>
      </c>
      <c r="Q82" s="82" t="s">
        <v>736</v>
      </c>
      <c r="R82" s="128"/>
      <c r="S82" s="83"/>
    </row>
    <row r="83" spans="2:19" ht="13.2">
      <c r="B83" s="51"/>
      <c r="C83" s="126" t="s">
        <v>137</v>
      </c>
      <c r="D83" s="40"/>
      <c r="E83" s="53"/>
      <c r="F83" s="159" t="s">
        <v>138</v>
      </c>
      <c r="G83" s="74" t="s">
        <v>126</v>
      </c>
      <c r="H83" s="158">
        <v>300</v>
      </c>
      <c r="I83" s="421">
        <v>166.16</v>
      </c>
      <c r="J83" s="86">
        <v>0</v>
      </c>
      <c r="K83" s="69">
        <v>166.16</v>
      </c>
      <c r="L83" s="47">
        <f>K83+J83</f>
        <v>166.16</v>
      </c>
      <c r="M83" s="46">
        <v>500</v>
      </c>
      <c r="N83" s="47">
        <f t="shared" si="20"/>
        <v>150000</v>
      </c>
      <c r="O83" s="505">
        <f t="shared" si="21"/>
        <v>83080</v>
      </c>
      <c r="P83" s="48">
        <f t="shared" si="22"/>
        <v>66920</v>
      </c>
      <c r="Q83" s="82" t="s">
        <v>736</v>
      </c>
      <c r="R83" s="128"/>
      <c r="S83" s="85"/>
    </row>
    <row r="84" spans="2:19" ht="13.2">
      <c r="B84" s="51"/>
      <c r="C84" s="126" t="s">
        <v>139</v>
      </c>
      <c r="D84" s="40"/>
      <c r="E84" s="53"/>
      <c r="F84" s="159" t="s">
        <v>140</v>
      </c>
      <c r="G84" s="74" t="s">
        <v>126</v>
      </c>
      <c r="H84" s="158">
        <v>20</v>
      </c>
      <c r="I84" s="421">
        <v>15</v>
      </c>
      <c r="J84" s="86"/>
      <c r="K84" s="69">
        <v>15</v>
      </c>
      <c r="L84" s="47">
        <v>15</v>
      </c>
      <c r="M84" s="46">
        <v>800</v>
      </c>
      <c r="N84" s="47">
        <f t="shared" si="20"/>
        <v>16000</v>
      </c>
      <c r="O84" s="505">
        <f t="shared" si="21"/>
        <v>12000</v>
      </c>
      <c r="P84" s="48">
        <f t="shared" si="22"/>
        <v>4000</v>
      </c>
      <c r="Q84" s="82" t="s">
        <v>736</v>
      </c>
      <c r="R84" s="128"/>
      <c r="S84" s="83"/>
    </row>
    <row r="85" spans="2:19" ht="13.2">
      <c r="B85" s="51"/>
      <c r="C85" s="126" t="s">
        <v>141</v>
      </c>
      <c r="D85" s="40"/>
      <c r="E85" s="53"/>
      <c r="F85" s="157" t="s">
        <v>142</v>
      </c>
      <c r="G85" s="158" t="s">
        <v>143</v>
      </c>
      <c r="H85" s="158">
        <v>6</v>
      </c>
      <c r="I85" s="421">
        <v>6</v>
      </c>
      <c r="J85" s="86">
        <v>0</v>
      </c>
      <c r="K85" s="69">
        <v>6</v>
      </c>
      <c r="L85" s="47">
        <f>K85+J85</f>
        <v>6</v>
      </c>
      <c r="M85" s="46">
        <v>3500</v>
      </c>
      <c r="N85" s="47">
        <f t="shared" si="20"/>
        <v>21000</v>
      </c>
      <c r="O85" s="505">
        <f t="shared" si="21"/>
        <v>21000</v>
      </c>
      <c r="P85" s="48">
        <f t="shared" si="22"/>
        <v>0</v>
      </c>
      <c r="Q85" s="82" t="s">
        <v>736</v>
      </c>
      <c r="R85" s="128"/>
      <c r="S85" s="83"/>
    </row>
    <row r="86" spans="2:19" ht="13.2">
      <c r="B86" s="51"/>
      <c r="C86" s="126" t="s">
        <v>144</v>
      </c>
      <c r="D86" s="40"/>
      <c r="E86" s="53"/>
      <c r="F86" s="157" t="s">
        <v>145</v>
      </c>
      <c r="G86" s="158"/>
      <c r="H86" s="158"/>
      <c r="I86" s="421">
        <v>0</v>
      </c>
      <c r="J86" s="86"/>
      <c r="K86" s="160">
        <f t="shared" ref="K86:K120" si="23">L86-J86</f>
        <v>0</v>
      </c>
      <c r="L86" s="47"/>
      <c r="M86" s="46"/>
      <c r="N86" s="47" t="str">
        <f t="shared" si="20"/>
        <v/>
      </c>
      <c r="O86" s="505" t="str">
        <f>IFERROR(IF(AND($G86&lt;&gt;"",$H86&lt;&gt;""),$I86*$M86,""),0)</f>
        <v/>
      </c>
      <c r="P86" s="48" t="str">
        <f>IFERROR(IF(AND($G86&lt;&gt;"",$H86&lt;&gt;""),$L86*$M86,""),0)</f>
        <v/>
      </c>
      <c r="Q86" s="82"/>
      <c r="R86" s="128"/>
      <c r="S86" s="83"/>
    </row>
    <row r="87" spans="2:19" ht="13.2">
      <c r="B87" s="51"/>
      <c r="C87" s="40"/>
      <c r="D87" s="126" t="s">
        <v>67</v>
      </c>
      <c r="E87" s="53"/>
      <c r="F87" s="157" t="s">
        <v>146</v>
      </c>
      <c r="G87" s="158" t="s">
        <v>143</v>
      </c>
      <c r="H87" s="158">
        <v>2</v>
      </c>
      <c r="I87" s="421">
        <v>2</v>
      </c>
      <c r="J87" s="86">
        <v>0</v>
      </c>
      <c r="K87" s="69">
        <v>2</v>
      </c>
      <c r="L87" s="47">
        <f>K87+J87</f>
        <v>2</v>
      </c>
      <c r="M87" s="46">
        <v>18000</v>
      </c>
      <c r="N87" s="47">
        <f t="shared" si="20"/>
        <v>36000</v>
      </c>
      <c r="O87" s="505">
        <f t="shared" ref="O87:O89" si="24">IFERROR(IF(AND($G87&lt;&gt;"",$H87&lt;&gt;""),$I87*$M87,""),0)</f>
        <v>36000</v>
      </c>
      <c r="P87" s="48">
        <f t="shared" ref="P87:P89" si="25">+N87-O87</f>
        <v>0</v>
      </c>
      <c r="Q87" s="82" t="s">
        <v>736</v>
      </c>
      <c r="R87" s="128"/>
      <c r="S87" s="83"/>
    </row>
    <row r="88" spans="2:19" ht="13.2">
      <c r="B88" s="51"/>
      <c r="C88" s="40"/>
      <c r="D88" s="126" t="s">
        <v>70</v>
      </c>
      <c r="E88" s="53"/>
      <c r="F88" s="157" t="s">
        <v>147</v>
      </c>
      <c r="G88" s="158" t="s">
        <v>143</v>
      </c>
      <c r="H88" s="158">
        <v>2</v>
      </c>
      <c r="I88" s="421">
        <v>2</v>
      </c>
      <c r="J88" s="86">
        <v>0</v>
      </c>
      <c r="K88" s="69">
        <v>2</v>
      </c>
      <c r="L88" s="47">
        <f>K88+J88</f>
        <v>2</v>
      </c>
      <c r="M88" s="46">
        <v>22000</v>
      </c>
      <c r="N88" s="47">
        <f t="shared" si="20"/>
        <v>44000</v>
      </c>
      <c r="O88" s="505">
        <f t="shared" si="24"/>
        <v>44000</v>
      </c>
      <c r="P88" s="48">
        <f t="shared" si="25"/>
        <v>0</v>
      </c>
      <c r="Q88" s="82" t="s">
        <v>736</v>
      </c>
      <c r="R88" s="128"/>
      <c r="S88" s="83"/>
    </row>
    <row r="89" spans="2:19" ht="13.2">
      <c r="B89" s="51"/>
      <c r="C89" s="126" t="s">
        <v>148</v>
      </c>
      <c r="D89" s="40"/>
      <c r="E89" s="53"/>
      <c r="F89" s="159" t="s">
        <v>149</v>
      </c>
      <c r="G89" s="158" t="s">
        <v>143</v>
      </c>
      <c r="H89" s="158">
        <v>2</v>
      </c>
      <c r="I89" s="421">
        <v>2</v>
      </c>
      <c r="J89" s="86">
        <v>0</v>
      </c>
      <c r="K89" s="69">
        <v>2</v>
      </c>
      <c r="L89" s="47">
        <f>K89+J89</f>
        <v>2</v>
      </c>
      <c r="M89" s="46">
        <v>25000</v>
      </c>
      <c r="N89" s="160">
        <f t="shared" si="20"/>
        <v>50000</v>
      </c>
      <c r="O89" s="505">
        <f t="shared" si="24"/>
        <v>50000</v>
      </c>
      <c r="P89" s="48">
        <f t="shared" si="25"/>
        <v>0</v>
      </c>
      <c r="Q89" s="82" t="s">
        <v>736</v>
      </c>
      <c r="R89" s="128"/>
      <c r="S89" s="83"/>
    </row>
    <row r="90" spans="2:19" ht="13.2">
      <c r="B90" s="51"/>
      <c r="C90" s="126"/>
      <c r="D90" s="40"/>
      <c r="E90" s="53"/>
      <c r="F90" s="157"/>
      <c r="G90" s="158"/>
      <c r="H90" s="161"/>
      <c r="I90" s="404"/>
      <c r="J90" s="76"/>
      <c r="K90" s="47">
        <f t="shared" si="23"/>
        <v>0</v>
      </c>
      <c r="L90" s="47"/>
      <c r="M90" s="46"/>
      <c r="N90" s="47" t="str">
        <f t="shared" si="20"/>
        <v/>
      </c>
      <c r="O90" s="505" t="str">
        <f>IFERROR(IF(AND($G90&lt;&gt;"",$H90&lt;&gt;""),$I90*$M90,""),0)</f>
        <v/>
      </c>
      <c r="P90" s="48" t="str">
        <f>IFERROR(IF(AND($G90&lt;&gt;"",$H90&lt;&gt;""),$L90*$M90,""),0)</f>
        <v/>
      </c>
      <c r="Q90" s="82"/>
      <c r="R90" s="128"/>
      <c r="S90" s="85"/>
    </row>
    <row r="91" spans="2:19" ht="13.2">
      <c r="B91" s="27" t="s">
        <v>150</v>
      </c>
      <c r="C91" s="40"/>
      <c r="D91" s="40"/>
      <c r="E91" s="53"/>
      <c r="F91" s="156" t="s">
        <v>151</v>
      </c>
      <c r="G91" s="158"/>
      <c r="H91" s="162"/>
      <c r="I91" s="404"/>
      <c r="J91" s="86"/>
      <c r="K91" s="47">
        <f t="shared" si="23"/>
        <v>0</v>
      </c>
      <c r="L91" s="47"/>
      <c r="N91" s="47" t="str">
        <f t="shared" si="20"/>
        <v/>
      </c>
      <c r="O91" s="505" t="str">
        <f>IFERROR(IF(AND($G91&lt;&gt;"",$H91&lt;&gt;""),$I91*$M91,""),0)</f>
        <v/>
      </c>
      <c r="P91" s="48" t="str">
        <f>IFERROR(IF(AND($G91&lt;&gt;"",$H91&lt;&gt;""),$L91*$M91,""),0)</f>
        <v/>
      </c>
      <c r="Q91" s="82"/>
      <c r="R91" s="128"/>
      <c r="S91" s="83"/>
    </row>
    <row r="92" spans="2:19" ht="13.2">
      <c r="B92" s="51"/>
      <c r="C92" s="126" t="s">
        <v>152</v>
      </c>
      <c r="D92" s="40"/>
      <c r="E92" s="53"/>
      <c r="F92" s="159" t="s">
        <v>153</v>
      </c>
      <c r="G92" s="74" t="s">
        <v>126</v>
      </c>
      <c r="H92" s="158">
        <v>15</v>
      </c>
      <c r="I92" s="421">
        <v>0</v>
      </c>
      <c r="J92" s="86"/>
      <c r="K92" s="47">
        <f t="shared" si="23"/>
        <v>0</v>
      </c>
      <c r="L92" s="47"/>
      <c r="M92" s="46">
        <v>600</v>
      </c>
      <c r="N92" s="47">
        <f t="shared" si="20"/>
        <v>9000</v>
      </c>
      <c r="O92" s="505">
        <f t="shared" ref="O92:O98" si="26">IFERROR(IF(AND($G92&lt;&gt;"",$H92&lt;&gt;""),$I92*$M92,""),0)</f>
        <v>0</v>
      </c>
      <c r="P92" s="48">
        <f t="shared" ref="P92:P98" si="27">+N92-O92</f>
        <v>9000</v>
      </c>
      <c r="Q92" s="82" t="s">
        <v>736</v>
      </c>
      <c r="R92" s="128"/>
      <c r="S92" s="83"/>
    </row>
    <row r="93" spans="2:19" ht="13.2">
      <c r="B93" s="51"/>
      <c r="C93" s="126" t="s">
        <v>154</v>
      </c>
      <c r="D93" s="40"/>
      <c r="E93" s="53"/>
      <c r="F93" s="159" t="s">
        <v>155</v>
      </c>
      <c r="G93" s="74" t="s">
        <v>126</v>
      </c>
      <c r="H93" s="158">
        <v>20</v>
      </c>
      <c r="I93" s="421">
        <v>0</v>
      </c>
      <c r="J93" s="86"/>
      <c r="K93" s="47">
        <f t="shared" si="23"/>
        <v>0</v>
      </c>
      <c r="L93" s="47"/>
      <c r="M93" s="46">
        <v>600</v>
      </c>
      <c r="N93" s="47">
        <f t="shared" si="20"/>
        <v>12000</v>
      </c>
      <c r="O93" s="505">
        <f t="shared" si="26"/>
        <v>0</v>
      </c>
      <c r="P93" s="48">
        <f t="shared" si="27"/>
        <v>12000</v>
      </c>
      <c r="Q93" s="82" t="s">
        <v>736</v>
      </c>
      <c r="R93" s="128"/>
      <c r="S93" s="83"/>
    </row>
    <row r="94" spans="2:19" ht="13.2">
      <c r="B94" s="51"/>
      <c r="C94" s="126" t="s">
        <v>156</v>
      </c>
      <c r="D94" s="40"/>
      <c r="E94" s="53"/>
      <c r="F94" s="159" t="s">
        <v>157</v>
      </c>
      <c r="G94" s="74" t="s">
        <v>126</v>
      </c>
      <c r="H94" s="158">
        <v>10</v>
      </c>
      <c r="I94" s="421">
        <v>0</v>
      </c>
      <c r="J94" s="86"/>
      <c r="K94" s="47">
        <f t="shared" si="23"/>
        <v>0</v>
      </c>
      <c r="L94" s="47"/>
      <c r="M94" s="46">
        <v>600</v>
      </c>
      <c r="N94" s="47">
        <f t="shared" si="20"/>
        <v>6000</v>
      </c>
      <c r="O94" s="505">
        <f t="shared" si="26"/>
        <v>0</v>
      </c>
      <c r="P94" s="48">
        <f t="shared" si="27"/>
        <v>6000</v>
      </c>
      <c r="Q94" s="82" t="s">
        <v>736</v>
      </c>
      <c r="R94" s="128"/>
      <c r="S94" s="83"/>
    </row>
    <row r="95" spans="2:19" ht="13.2">
      <c r="B95" s="51"/>
      <c r="C95" s="126" t="s">
        <v>158</v>
      </c>
      <c r="D95" s="40"/>
      <c r="E95" s="53"/>
      <c r="F95" s="159" t="s">
        <v>159</v>
      </c>
      <c r="G95" s="74" t="s">
        <v>126</v>
      </c>
      <c r="H95" s="158">
        <v>40</v>
      </c>
      <c r="I95" s="421">
        <v>0</v>
      </c>
      <c r="J95" s="76"/>
      <c r="K95" s="47">
        <f t="shared" si="23"/>
        <v>0</v>
      </c>
      <c r="L95" s="47"/>
      <c r="M95" s="46">
        <v>550</v>
      </c>
      <c r="N95" s="47">
        <f t="shared" si="20"/>
        <v>22000</v>
      </c>
      <c r="O95" s="505">
        <f t="shared" si="26"/>
        <v>0</v>
      </c>
      <c r="P95" s="48">
        <f t="shared" si="27"/>
        <v>22000</v>
      </c>
      <c r="Q95" s="82" t="s">
        <v>736</v>
      </c>
      <c r="R95" s="128"/>
      <c r="S95" s="85"/>
    </row>
    <row r="96" spans="2:19" ht="13.2">
      <c r="B96" s="51"/>
      <c r="C96" s="126" t="s">
        <v>160</v>
      </c>
      <c r="D96" s="40"/>
      <c r="E96" s="53"/>
      <c r="F96" s="157" t="s">
        <v>161</v>
      </c>
      <c r="G96" s="74" t="s">
        <v>126</v>
      </c>
      <c r="H96" s="158">
        <v>40</v>
      </c>
      <c r="I96" s="421">
        <v>21.12</v>
      </c>
      <c r="J96" s="76">
        <v>0</v>
      </c>
      <c r="K96" s="69">
        <v>21.12</v>
      </c>
      <c r="L96" s="47">
        <v>21.12</v>
      </c>
      <c r="M96" s="46">
        <v>550</v>
      </c>
      <c r="N96" s="47">
        <f t="shared" si="20"/>
        <v>22000</v>
      </c>
      <c r="O96" s="505">
        <f t="shared" si="26"/>
        <v>11616</v>
      </c>
      <c r="P96" s="48">
        <f t="shared" si="27"/>
        <v>10384</v>
      </c>
      <c r="Q96" s="82" t="s">
        <v>736</v>
      </c>
      <c r="R96" s="128"/>
      <c r="S96" s="83"/>
    </row>
    <row r="97" spans="2:24" ht="13.2">
      <c r="B97" s="51"/>
      <c r="C97" s="126" t="s">
        <v>162</v>
      </c>
      <c r="D97" s="40"/>
      <c r="E97" s="53"/>
      <c r="F97" s="157" t="s">
        <v>163</v>
      </c>
      <c r="G97" s="74" t="s">
        <v>126</v>
      </c>
      <c r="H97" s="158">
        <v>24</v>
      </c>
      <c r="I97" s="421">
        <v>10.92</v>
      </c>
      <c r="J97" s="86"/>
      <c r="K97" s="69">
        <v>10.92</v>
      </c>
      <c r="L97" s="47">
        <v>10.92</v>
      </c>
      <c r="M97" s="46">
        <v>1200</v>
      </c>
      <c r="N97" s="47">
        <f t="shared" si="20"/>
        <v>28800</v>
      </c>
      <c r="O97" s="505">
        <f t="shared" si="26"/>
        <v>13104</v>
      </c>
      <c r="P97" s="48">
        <f t="shared" si="27"/>
        <v>15696</v>
      </c>
      <c r="Q97" s="82" t="s">
        <v>736</v>
      </c>
      <c r="R97" s="128"/>
      <c r="S97" s="83"/>
    </row>
    <row r="98" spans="2:24" ht="13.2">
      <c r="B98" s="51"/>
      <c r="C98" s="126" t="s">
        <v>164</v>
      </c>
      <c r="D98" s="40"/>
      <c r="E98" s="53"/>
      <c r="F98" s="157" t="s">
        <v>165</v>
      </c>
      <c r="G98" s="74" t="s">
        <v>126</v>
      </c>
      <c r="H98" s="158">
        <v>24</v>
      </c>
      <c r="I98" s="421">
        <v>10.92</v>
      </c>
      <c r="J98" s="86"/>
      <c r="K98" s="69">
        <v>10.92</v>
      </c>
      <c r="L98" s="47">
        <v>10.92</v>
      </c>
      <c r="M98" s="46">
        <v>1200</v>
      </c>
      <c r="N98" s="47">
        <f t="shared" si="20"/>
        <v>28800</v>
      </c>
      <c r="O98" s="505">
        <f t="shared" si="26"/>
        <v>13104</v>
      </c>
      <c r="P98" s="48">
        <f t="shared" si="27"/>
        <v>15696</v>
      </c>
      <c r="Q98" s="82" t="s">
        <v>736</v>
      </c>
      <c r="R98" s="128"/>
      <c r="S98" s="83"/>
    </row>
    <row r="99" spans="2:24" ht="13.2">
      <c r="B99" s="51"/>
      <c r="C99" s="126"/>
      <c r="D99" s="40"/>
      <c r="E99" s="53"/>
      <c r="F99" s="157"/>
      <c r="G99" s="74"/>
      <c r="H99" s="162"/>
      <c r="I99" s="421">
        <v>0</v>
      </c>
      <c r="J99" s="86"/>
      <c r="K99" s="47">
        <f t="shared" si="23"/>
        <v>0</v>
      </c>
      <c r="L99" s="47"/>
      <c r="N99" s="47" t="str">
        <f t="shared" si="20"/>
        <v/>
      </c>
      <c r="O99" s="505" t="str">
        <f>IFERROR(IF(AND($G99&lt;&gt;"",$H99&lt;&gt;""),$I99*$M99,""),0)</f>
        <v/>
      </c>
      <c r="P99" s="48" t="str">
        <f>IFERROR(IF(AND($G99&lt;&gt;"",$H99&lt;&gt;""),$L99*$M99,""),0)</f>
        <v/>
      </c>
      <c r="Q99" s="82"/>
      <c r="R99" s="128"/>
      <c r="S99" s="83"/>
    </row>
    <row r="100" spans="2:24" ht="13.2">
      <c r="B100" s="27" t="s">
        <v>166</v>
      </c>
      <c r="C100" s="59"/>
      <c r="D100" s="59"/>
      <c r="E100" s="60"/>
      <c r="F100" s="156" t="s">
        <v>167</v>
      </c>
      <c r="G100" s="158"/>
      <c r="H100" s="110"/>
      <c r="I100" s="410"/>
      <c r="J100" s="64"/>
      <c r="K100" s="47">
        <f t="shared" si="23"/>
        <v>0</v>
      </c>
      <c r="L100" s="47"/>
      <c r="M100" s="163"/>
      <c r="N100" s="47" t="str">
        <f t="shared" si="20"/>
        <v/>
      </c>
      <c r="O100" s="505" t="str">
        <f>IFERROR(IF(AND($G100&lt;&gt;"",$H100&lt;&gt;""),$I100*$M100,""),0)</f>
        <v/>
      </c>
      <c r="P100" s="48" t="str">
        <f>IFERROR(IF(AND($G100&lt;&gt;"",$H100&lt;&gt;""),$L100*$M100,""),0)</f>
        <v/>
      </c>
      <c r="Q100" s="63"/>
      <c r="R100" s="128"/>
      <c r="S100" s="83"/>
      <c r="T100" s="1"/>
      <c r="U100" s="1"/>
      <c r="V100" s="1"/>
      <c r="W100" s="1"/>
      <c r="X100" s="1"/>
    </row>
    <row r="101" spans="2:24" ht="13.2">
      <c r="B101" s="51"/>
      <c r="C101" s="126" t="s">
        <v>168</v>
      </c>
      <c r="D101" s="40"/>
      <c r="E101" s="53"/>
      <c r="F101" s="157" t="s">
        <v>169</v>
      </c>
      <c r="G101" s="158" t="s">
        <v>143</v>
      </c>
      <c r="H101" s="158">
        <v>6</v>
      </c>
      <c r="I101" s="421">
        <v>6</v>
      </c>
      <c r="J101" s="86">
        <v>0</v>
      </c>
      <c r="K101" s="69">
        <v>6</v>
      </c>
      <c r="L101" s="47">
        <v>6</v>
      </c>
      <c r="M101" s="46">
        <v>2500</v>
      </c>
      <c r="N101" s="47">
        <f t="shared" si="20"/>
        <v>15000</v>
      </c>
      <c r="O101" s="505">
        <f t="shared" ref="O101:O124" si="28">IFERROR(IF(AND($G101&lt;&gt;"",$H101&lt;&gt;""),$I101*$M101,""),0)</f>
        <v>15000</v>
      </c>
      <c r="P101" s="48">
        <f t="shared" ref="P101:P124" si="29">+N101-O101</f>
        <v>0</v>
      </c>
      <c r="Q101" s="82" t="s">
        <v>736</v>
      </c>
      <c r="R101" s="128"/>
      <c r="S101" s="83"/>
    </row>
    <row r="102" spans="2:24" ht="13.2">
      <c r="B102" s="51"/>
      <c r="C102" s="126" t="s">
        <v>170</v>
      </c>
      <c r="D102" s="40"/>
      <c r="E102" s="53"/>
      <c r="F102" s="157" t="s">
        <v>171</v>
      </c>
      <c r="G102" s="158" t="s">
        <v>143</v>
      </c>
      <c r="H102" s="158">
        <v>20</v>
      </c>
      <c r="I102" s="421">
        <v>20</v>
      </c>
      <c r="J102" s="86">
        <v>0</v>
      </c>
      <c r="K102" s="69">
        <v>20</v>
      </c>
      <c r="L102" s="47">
        <v>20</v>
      </c>
      <c r="M102" s="46">
        <v>800</v>
      </c>
      <c r="N102" s="47">
        <f t="shared" si="20"/>
        <v>16000</v>
      </c>
      <c r="O102" s="505">
        <f t="shared" si="28"/>
        <v>16000</v>
      </c>
      <c r="P102" s="48">
        <f t="shared" si="29"/>
        <v>0</v>
      </c>
      <c r="Q102" s="82" t="s">
        <v>736</v>
      </c>
      <c r="R102" s="128"/>
      <c r="S102" s="83"/>
    </row>
    <row r="103" spans="2:24" ht="13.2">
      <c r="B103" s="51"/>
      <c r="C103" s="126" t="s">
        <v>172</v>
      </c>
      <c r="D103" s="40"/>
      <c r="E103" s="53"/>
      <c r="F103" s="157" t="s">
        <v>173</v>
      </c>
      <c r="G103" s="158" t="s">
        <v>143</v>
      </c>
      <c r="H103" s="158">
        <v>5</v>
      </c>
      <c r="I103" s="421">
        <v>5</v>
      </c>
      <c r="J103" s="79">
        <v>0</v>
      </c>
      <c r="K103" s="69">
        <v>5</v>
      </c>
      <c r="L103" s="47">
        <v>5</v>
      </c>
      <c r="M103" s="46">
        <v>4500</v>
      </c>
      <c r="N103" s="47">
        <f t="shared" si="20"/>
        <v>22500</v>
      </c>
      <c r="O103" s="505">
        <f t="shared" si="28"/>
        <v>22500</v>
      </c>
      <c r="P103" s="48">
        <f t="shared" si="29"/>
        <v>0</v>
      </c>
      <c r="Q103" s="82" t="s">
        <v>736</v>
      </c>
      <c r="R103" s="49"/>
      <c r="S103" s="90"/>
      <c r="T103" s="91"/>
      <c r="U103" s="91"/>
      <c r="V103" s="91"/>
      <c r="W103" s="91"/>
      <c r="X103" s="91"/>
    </row>
    <row r="104" spans="2:24" ht="13.2">
      <c r="B104" s="51"/>
      <c r="C104" s="126" t="s">
        <v>174</v>
      </c>
      <c r="D104" s="40"/>
      <c r="E104" s="53"/>
      <c r="F104" s="159" t="s">
        <v>175</v>
      </c>
      <c r="G104" s="158" t="s">
        <v>143</v>
      </c>
      <c r="H104" s="158">
        <v>1</v>
      </c>
      <c r="I104" s="421">
        <v>0</v>
      </c>
      <c r="J104" s="86"/>
      <c r="K104" s="160">
        <f t="shared" si="23"/>
        <v>0</v>
      </c>
      <c r="L104" s="47"/>
      <c r="M104" s="46">
        <v>6000</v>
      </c>
      <c r="N104" s="47">
        <f t="shared" si="20"/>
        <v>6000</v>
      </c>
      <c r="O104" s="505">
        <f t="shared" si="28"/>
        <v>0</v>
      </c>
      <c r="P104" s="48">
        <f t="shared" si="29"/>
        <v>6000</v>
      </c>
      <c r="Q104" s="82" t="s">
        <v>736</v>
      </c>
      <c r="R104" s="128"/>
      <c r="S104" s="83"/>
    </row>
    <row r="105" spans="2:24" ht="13.2">
      <c r="B105" s="51"/>
      <c r="C105" s="126" t="s">
        <v>176</v>
      </c>
      <c r="D105" s="40"/>
      <c r="E105" s="53"/>
      <c r="F105" s="157" t="s">
        <v>177</v>
      </c>
      <c r="G105" s="158" t="s">
        <v>143</v>
      </c>
      <c r="H105" s="158">
        <v>1</v>
      </c>
      <c r="I105" s="421">
        <v>1</v>
      </c>
      <c r="J105" s="86">
        <v>0</v>
      </c>
      <c r="K105" s="69">
        <v>1</v>
      </c>
      <c r="L105" s="47">
        <v>1</v>
      </c>
      <c r="M105" s="46">
        <v>27000</v>
      </c>
      <c r="N105" s="47">
        <f t="shared" si="20"/>
        <v>27000</v>
      </c>
      <c r="O105" s="505">
        <f t="shared" si="28"/>
        <v>27000</v>
      </c>
      <c r="P105" s="48">
        <f t="shared" si="29"/>
        <v>0</v>
      </c>
      <c r="Q105" s="82" t="s">
        <v>736</v>
      </c>
      <c r="R105" s="128"/>
      <c r="S105" s="83"/>
      <c r="X105" s="164" t="e">
        <f>SUM(#REF!)</f>
        <v>#REF!</v>
      </c>
    </row>
    <row r="106" spans="2:24" ht="13.2">
      <c r="B106" s="51"/>
      <c r="C106" s="126" t="s">
        <v>178</v>
      </c>
      <c r="D106" s="40"/>
      <c r="E106" s="53"/>
      <c r="F106" s="157" t="s">
        <v>179</v>
      </c>
      <c r="G106" s="158" t="s">
        <v>143</v>
      </c>
      <c r="H106" s="158">
        <v>2</v>
      </c>
      <c r="I106" s="421">
        <v>0</v>
      </c>
      <c r="J106" s="86"/>
      <c r="K106" s="160">
        <f t="shared" si="23"/>
        <v>0</v>
      </c>
      <c r="L106" s="47"/>
      <c r="M106" s="46">
        <v>2200</v>
      </c>
      <c r="N106" s="47">
        <f t="shared" si="20"/>
        <v>4400</v>
      </c>
      <c r="O106" s="505">
        <f t="shared" si="28"/>
        <v>0</v>
      </c>
      <c r="P106" s="48">
        <f t="shared" si="29"/>
        <v>4400</v>
      </c>
      <c r="Q106" s="82" t="s">
        <v>736</v>
      </c>
      <c r="R106" s="128"/>
      <c r="S106" s="83"/>
    </row>
    <row r="107" spans="2:24" ht="13.2">
      <c r="B107" s="51"/>
      <c r="C107" s="126" t="s">
        <v>180</v>
      </c>
      <c r="D107" s="40"/>
      <c r="E107" s="53"/>
      <c r="F107" s="157" t="s">
        <v>181</v>
      </c>
      <c r="G107" s="158" t="s">
        <v>143</v>
      </c>
      <c r="H107" s="158">
        <v>6</v>
      </c>
      <c r="I107" s="421">
        <v>4</v>
      </c>
      <c r="J107" s="86">
        <v>0</v>
      </c>
      <c r="K107" s="69">
        <v>4</v>
      </c>
      <c r="L107" s="47">
        <v>4</v>
      </c>
      <c r="M107" s="46">
        <v>2500</v>
      </c>
      <c r="N107" s="47">
        <f t="shared" si="20"/>
        <v>15000</v>
      </c>
      <c r="O107" s="505">
        <f t="shared" si="28"/>
        <v>10000</v>
      </c>
      <c r="P107" s="48">
        <f t="shared" si="29"/>
        <v>5000</v>
      </c>
      <c r="Q107" s="82" t="s">
        <v>736</v>
      </c>
      <c r="R107" s="128"/>
      <c r="S107" s="83"/>
    </row>
    <row r="108" spans="2:24" ht="13.2">
      <c r="B108" s="51"/>
      <c r="C108" s="126" t="s">
        <v>182</v>
      </c>
      <c r="D108" s="40"/>
      <c r="E108" s="53"/>
      <c r="F108" s="157" t="s">
        <v>183</v>
      </c>
      <c r="G108" s="158" t="s">
        <v>143</v>
      </c>
      <c r="H108" s="158">
        <v>20</v>
      </c>
      <c r="I108" s="421">
        <v>14</v>
      </c>
      <c r="J108" s="86">
        <v>0</v>
      </c>
      <c r="K108" s="69">
        <v>14</v>
      </c>
      <c r="L108" s="47">
        <f>4+8+2</f>
        <v>14</v>
      </c>
      <c r="M108" s="46">
        <v>650</v>
      </c>
      <c r="N108" s="47">
        <f t="shared" si="20"/>
        <v>13000</v>
      </c>
      <c r="O108" s="505">
        <f t="shared" si="28"/>
        <v>9100</v>
      </c>
      <c r="P108" s="48">
        <f t="shared" si="29"/>
        <v>3900</v>
      </c>
      <c r="Q108" s="82" t="s">
        <v>736</v>
      </c>
      <c r="R108" s="128"/>
      <c r="S108" s="83"/>
    </row>
    <row r="109" spans="2:24" ht="13.2">
      <c r="B109" s="51"/>
      <c r="C109" s="126" t="s">
        <v>184</v>
      </c>
      <c r="D109" s="40"/>
      <c r="E109" s="53"/>
      <c r="F109" s="159" t="s">
        <v>185</v>
      </c>
      <c r="G109" s="158" t="s">
        <v>143</v>
      </c>
      <c r="H109" s="158">
        <v>2</v>
      </c>
      <c r="I109" s="421">
        <v>0</v>
      </c>
      <c r="J109" s="86"/>
      <c r="K109" s="160">
        <f t="shared" si="23"/>
        <v>0</v>
      </c>
      <c r="L109" s="47"/>
      <c r="M109" s="46">
        <v>650</v>
      </c>
      <c r="N109" s="47">
        <f t="shared" si="20"/>
        <v>1300</v>
      </c>
      <c r="O109" s="505">
        <f t="shared" si="28"/>
        <v>0</v>
      </c>
      <c r="P109" s="48">
        <f t="shared" si="29"/>
        <v>1300</v>
      </c>
      <c r="Q109" s="82" t="s">
        <v>736</v>
      </c>
      <c r="R109" s="128"/>
      <c r="S109" s="83"/>
    </row>
    <row r="110" spans="2:24" ht="13.2">
      <c r="B110" s="51"/>
      <c r="C110" s="126" t="s">
        <v>186</v>
      </c>
      <c r="D110" s="40"/>
      <c r="E110" s="53"/>
      <c r="F110" s="157" t="s">
        <v>187</v>
      </c>
      <c r="G110" s="158" t="s">
        <v>143</v>
      </c>
      <c r="H110" s="158">
        <v>10</v>
      </c>
      <c r="I110" s="421">
        <v>14</v>
      </c>
      <c r="J110" s="79">
        <v>0</v>
      </c>
      <c r="K110" s="69">
        <v>14</v>
      </c>
      <c r="L110" s="47">
        <v>14</v>
      </c>
      <c r="M110" s="46">
        <v>900</v>
      </c>
      <c r="N110" s="47">
        <f t="shared" si="20"/>
        <v>9000</v>
      </c>
      <c r="O110" s="505">
        <f t="shared" si="28"/>
        <v>12600</v>
      </c>
      <c r="P110" s="48">
        <f t="shared" si="29"/>
        <v>-3600</v>
      </c>
      <c r="Q110" s="82" t="s">
        <v>736</v>
      </c>
      <c r="R110" s="49"/>
      <c r="S110" s="90"/>
      <c r="T110" s="91"/>
      <c r="U110" s="91"/>
      <c r="V110" s="91"/>
      <c r="W110" s="91"/>
      <c r="X110" s="91"/>
    </row>
    <row r="111" spans="2:24" ht="13.2">
      <c r="B111" s="51"/>
      <c r="C111" s="126" t="s">
        <v>188</v>
      </c>
      <c r="D111" s="40"/>
      <c r="E111" s="53"/>
      <c r="F111" s="159" t="s">
        <v>189</v>
      </c>
      <c r="G111" s="158" t="s">
        <v>143</v>
      </c>
      <c r="H111" s="158">
        <v>10</v>
      </c>
      <c r="I111" s="421">
        <v>0</v>
      </c>
      <c r="J111" s="86"/>
      <c r="K111" s="160">
        <f t="shared" si="23"/>
        <v>0</v>
      </c>
      <c r="L111" s="47"/>
      <c r="M111" s="46">
        <v>650</v>
      </c>
      <c r="N111" s="47">
        <f t="shared" si="20"/>
        <v>6500</v>
      </c>
      <c r="O111" s="505">
        <f t="shared" si="28"/>
        <v>0</v>
      </c>
      <c r="P111" s="48">
        <f t="shared" si="29"/>
        <v>6500</v>
      </c>
      <c r="Q111" s="82" t="s">
        <v>736</v>
      </c>
      <c r="R111" s="128"/>
      <c r="S111" s="83"/>
    </row>
    <row r="112" spans="2:24" ht="13.2">
      <c r="B112" s="165"/>
      <c r="C112" s="166" t="s">
        <v>190</v>
      </c>
      <c r="D112" s="167"/>
      <c r="E112" s="168"/>
      <c r="F112" s="169" t="s">
        <v>191</v>
      </c>
      <c r="G112" s="170" t="s">
        <v>143</v>
      </c>
      <c r="H112" s="170">
        <v>2</v>
      </c>
      <c r="I112" s="421">
        <v>2</v>
      </c>
      <c r="J112" s="172">
        <v>0</v>
      </c>
      <c r="K112" s="69">
        <v>2</v>
      </c>
      <c r="L112" s="160">
        <v>2</v>
      </c>
      <c r="M112" s="88">
        <v>950</v>
      </c>
      <c r="N112" s="160">
        <f t="shared" ref="N112:N144" si="30">IFERROR(IF(AND($G112&lt;&gt;"",$H112&lt;&gt;""),$H112*$M112,""),0)</f>
        <v>1900</v>
      </c>
      <c r="O112" s="505">
        <f t="shared" si="28"/>
        <v>1900</v>
      </c>
      <c r="P112" s="48">
        <f t="shared" si="29"/>
        <v>0</v>
      </c>
      <c r="Q112" s="171" t="s">
        <v>736</v>
      </c>
      <c r="R112" s="173"/>
      <c r="S112" s="174"/>
      <c r="T112" s="175"/>
      <c r="U112" s="175"/>
      <c r="V112" s="175"/>
      <c r="W112" s="175"/>
      <c r="X112" s="175"/>
    </row>
    <row r="113" spans="2:19" ht="13.2">
      <c r="B113" s="51"/>
      <c r="C113" s="126" t="s">
        <v>192</v>
      </c>
      <c r="D113" s="40"/>
      <c r="E113" s="53"/>
      <c r="F113" s="159" t="s">
        <v>193</v>
      </c>
      <c r="G113" s="158" t="s">
        <v>143</v>
      </c>
      <c r="H113" s="158">
        <v>5</v>
      </c>
      <c r="I113" s="421">
        <v>0</v>
      </c>
      <c r="J113" s="86"/>
      <c r="K113" s="160">
        <f t="shared" si="23"/>
        <v>0</v>
      </c>
      <c r="L113" s="47"/>
      <c r="M113" s="46">
        <v>800</v>
      </c>
      <c r="N113" s="47">
        <f t="shared" si="30"/>
        <v>4000</v>
      </c>
      <c r="O113" s="505">
        <f t="shared" si="28"/>
        <v>0</v>
      </c>
      <c r="P113" s="48">
        <f t="shared" si="29"/>
        <v>4000</v>
      </c>
      <c r="Q113" s="82" t="s">
        <v>736</v>
      </c>
      <c r="R113" s="128"/>
      <c r="S113" s="83"/>
    </row>
    <row r="114" spans="2:19" ht="13.2">
      <c r="B114" s="51"/>
      <c r="C114" s="126" t="s">
        <v>194</v>
      </c>
      <c r="D114" s="40"/>
      <c r="E114" s="176"/>
      <c r="F114" s="157" t="s">
        <v>195</v>
      </c>
      <c r="G114" s="158" t="s">
        <v>143</v>
      </c>
      <c r="H114" s="158">
        <v>3</v>
      </c>
      <c r="I114" s="421">
        <v>3</v>
      </c>
      <c r="J114" s="86">
        <v>0</v>
      </c>
      <c r="K114" s="69">
        <v>3</v>
      </c>
      <c r="L114" s="47">
        <v>3</v>
      </c>
      <c r="M114" s="46">
        <v>850</v>
      </c>
      <c r="N114" s="47">
        <f t="shared" si="30"/>
        <v>2550</v>
      </c>
      <c r="O114" s="505">
        <f t="shared" si="28"/>
        <v>2550</v>
      </c>
      <c r="P114" s="48">
        <f t="shared" si="29"/>
        <v>0</v>
      </c>
      <c r="Q114" s="82" t="s">
        <v>736</v>
      </c>
      <c r="R114" s="128"/>
      <c r="S114" s="83"/>
    </row>
    <row r="115" spans="2:19" ht="13.2">
      <c r="B115" s="165"/>
      <c r="C115" s="166" t="s">
        <v>196</v>
      </c>
      <c r="D115" s="167"/>
      <c r="E115" s="177"/>
      <c r="F115" s="169" t="s">
        <v>197</v>
      </c>
      <c r="G115" s="170" t="s">
        <v>143</v>
      </c>
      <c r="H115" s="170">
        <v>7</v>
      </c>
      <c r="I115" s="421">
        <v>7</v>
      </c>
      <c r="J115" s="172">
        <v>0</v>
      </c>
      <c r="K115" s="69">
        <v>7</v>
      </c>
      <c r="L115" s="160">
        <v>7</v>
      </c>
      <c r="M115" s="88">
        <v>19000</v>
      </c>
      <c r="N115" s="160">
        <f t="shared" si="30"/>
        <v>133000</v>
      </c>
      <c r="O115" s="505">
        <f t="shared" si="28"/>
        <v>133000</v>
      </c>
      <c r="P115" s="48">
        <f t="shared" si="29"/>
        <v>0</v>
      </c>
      <c r="Q115" s="171" t="s">
        <v>736</v>
      </c>
      <c r="R115" s="173"/>
      <c r="S115" s="174"/>
    </row>
    <row r="116" spans="2:19" ht="13.2">
      <c r="B116" s="51"/>
      <c r="C116" s="126" t="s">
        <v>198</v>
      </c>
      <c r="D116" s="40"/>
      <c r="E116" s="176"/>
      <c r="F116" s="157" t="s">
        <v>199</v>
      </c>
      <c r="G116" s="158" t="s">
        <v>143</v>
      </c>
      <c r="H116" s="158">
        <v>6</v>
      </c>
      <c r="I116" s="421">
        <v>0</v>
      </c>
      <c r="J116" s="86"/>
      <c r="K116" s="160">
        <f t="shared" si="23"/>
        <v>0</v>
      </c>
      <c r="L116" s="47"/>
      <c r="M116" s="46">
        <v>100</v>
      </c>
      <c r="N116" s="47">
        <f t="shared" si="30"/>
        <v>600</v>
      </c>
      <c r="O116" s="505">
        <f t="shared" si="28"/>
        <v>0</v>
      </c>
      <c r="P116" s="48">
        <f t="shared" si="29"/>
        <v>600</v>
      </c>
      <c r="Q116" s="82" t="s">
        <v>736</v>
      </c>
      <c r="R116" s="128"/>
      <c r="S116" s="83"/>
    </row>
    <row r="117" spans="2:19" ht="13.2">
      <c r="B117" s="51"/>
      <c r="C117" s="126" t="s">
        <v>200</v>
      </c>
      <c r="D117" s="40"/>
      <c r="E117" s="176"/>
      <c r="F117" s="157" t="s">
        <v>201</v>
      </c>
      <c r="G117" s="158" t="s">
        <v>143</v>
      </c>
      <c r="H117" s="158">
        <v>2</v>
      </c>
      <c r="I117" s="421">
        <v>0</v>
      </c>
      <c r="J117" s="86"/>
      <c r="K117" s="160">
        <f t="shared" si="23"/>
        <v>0</v>
      </c>
      <c r="L117" s="47"/>
      <c r="M117" s="46">
        <v>20000</v>
      </c>
      <c r="N117" s="47">
        <f t="shared" si="30"/>
        <v>40000</v>
      </c>
      <c r="O117" s="505">
        <f t="shared" si="28"/>
        <v>0</v>
      </c>
      <c r="P117" s="48">
        <f t="shared" si="29"/>
        <v>40000</v>
      </c>
      <c r="Q117" s="82" t="s">
        <v>736</v>
      </c>
      <c r="R117" s="128"/>
      <c r="S117" s="83"/>
    </row>
    <row r="118" spans="2:19" ht="13.2">
      <c r="B118" s="51"/>
      <c r="C118" s="126" t="s">
        <v>202</v>
      </c>
      <c r="D118" s="40"/>
      <c r="E118" s="176"/>
      <c r="F118" s="159" t="s">
        <v>203</v>
      </c>
      <c r="G118" s="158" t="s">
        <v>143</v>
      </c>
      <c r="H118" s="158">
        <v>1</v>
      </c>
      <c r="I118" s="421">
        <v>1</v>
      </c>
      <c r="J118" s="86"/>
      <c r="K118" s="69">
        <v>1</v>
      </c>
      <c r="L118" s="47"/>
      <c r="M118" s="46">
        <v>12000</v>
      </c>
      <c r="N118" s="47">
        <f t="shared" si="30"/>
        <v>12000</v>
      </c>
      <c r="O118" s="505">
        <f t="shared" si="28"/>
        <v>12000</v>
      </c>
      <c r="P118" s="48">
        <f t="shared" si="29"/>
        <v>0</v>
      </c>
      <c r="Q118" s="82" t="s">
        <v>736</v>
      </c>
      <c r="R118" s="128"/>
      <c r="S118" s="83"/>
    </row>
    <row r="119" spans="2:19" ht="13.2">
      <c r="B119" s="51"/>
      <c r="C119" s="126" t="s">
        <v>204</v>
      </c>
      <c r="D119" s="40"/>
      <c r="E119" s="176"/>
      <c r="F119" s="157" t="s">
        <v>205</v>
      </c>
      <c r="G119" s="158" t="s">
        <v>143</v>
      </c>
      <c r="H119" s="158">
        <v>1</v>
      </c>
      <c r="I119" s="421">
        <v>1</v>
      </c>
      <c r="J119" s="86">
        <v>0</v>
      </c>
      <c r="K119" s="69">
        <v>1</v>
      </c>
      <c r="L119" s="47">
        <v>1</v>
      </c>
      <c r="M119" s="46">
        <v>800</v>
      </c>
      <c r="N119" s="47">
        <f t="shared" si="30"/>
        <v>800</v>
      </c>
      <c r="O119" s="505">
        <f t="shared" si="28"/>
        <v>800</v>
      </c>
      <c r="P119" s="48">
        <f t="shared" si="29"/>
        <v>0</v>
      </c>
      <c r="Q119" s="82" t="s">
        <v>736</v>
      </c>
      <c r="R119" s="128"/>
      <c r="S119" s="83"/>
    </row>
    <row r="120" spans="2:19" ht="13.2">
      <c r="B120" s="51"/>
      <c r="C120" s="126" t="s">
        <v>206</v>
      </c>
      <c r="D120" s="40"/>
      <c r="E120" s="176"/>
      <c r="F120" s="157" t="s">
        <v>207</v>
      </c>
      <c r="G120" s="158" t="s">
        <v>143</v>
      </c>
      <c r="H120" s="158">
        <v>2</v>
      </c>
      <c r="I120" s="421">
        <v>0</v>
      </c>
      <c r="J120" s="86"/>
      <c r="K120" s="160">
        <f t="shared" si="23"/>
        <v>0</v>
      </c>
      <c r="L120" s="47"/>
      <c r="M120" s="46">
        <v>300</v>
      </c>
      <c r="N120" s="47">
        <f t="shared" si="30"/>
        <v>600</v>
      </c>
      <c r="O120" s="505">
        <f t="shared" si="28"/>
        <v>0</v>
      </c>
      <c r="P120" s="48">
        <f t="shared" si="29"/>
        <v>600</v>
      </c>
      <c r="Q120" s="82" t="s">
        <v>736</v>
      </c>
      <c r="R120" s="128"/>
      <c r="S120" s="83"/>
    </row>
    <row r="121" spans="2:19" ht="13.2">
      <c r="B121" s="51"/>
      <c r="C121" s="126" t="s">
        <v>208</v>
      </c>
      <c r="D121" s="40"/>
      <c r="E121" s="176"/>
      <c r="F121" s="157" t="s">
        <v>209</v>
      </c>
      <c r="G121" s="158" t="s">
        <v>143</v>
      </c>
      <c r="H121" s="158">
        <v>1</v>
      </c>
      <c r="I121" s="421">
        <v>1</v>
      </c>
      <c r="J121" s="86"/>
      <c r="K121" s="69">
        <v>1</v>
      </c>
      <c r="L121" s="47">
        <v>1</v>
      </c>
      <c r="M121" s="46">
        <v>18000</v>
      </c>
      <c r="N121" s="47">
        <f t="shared" si="30"/>
        <v>18000</v>
      </c>
      <c r="O121" s="505">
        <f t="shared" si="28"/>
        <v>18000</v>
      </c>
      <c r="P121" s="48">
        <f t="shared" si="29"/>
        <v>0</v>
      </c>
      <c r="Q121" s="82" t="s">
        <v>736</v>
      </c>
      <c r="R121" s="128"/>
      <c r="S121" s="83"/>
    </row>
    <row r="122" spans="2:19" ht="13.2">
      <c r="B122" s="51"/>
      <c r="C122" s="126" t="s">
        <v>210</v>
      </c>
      <c r="D122" s="40"/>
      <c r="E122" s="176"/>
      <c r="F122" s="157" t="s">
        <v>211</v>
      </c>
      <c r="G122" s="158" t="s">
        <v>143</v>
      </c>
      <c r="H122" s="158">
        <v>2</v>
      </c>
      <c r="I122" s="421">
        <v>2</v>
      </c>
      <c r="J122" s="86">
        <v>0</v>
      </c>
      <c r="K122" s="69">
        <v>2</v>
      </c>
      <c r="L122" s="47">
        <v>2</v>
      </c>
      <c r="M122" s="46">
        <v>2000</v>
      </c>
      <c r="N122" s="47">
        <f t="shared" si="30"/>
        <v>4000</v>
      </c>
      <c r="O122" s="505">
        <f t="shared" si="28"/>
        <v>4000</v>
      </c>
      <c r="P122" s="48">
        <f t="shared" si="29"/>
        <v>0</v>
      </c>
      <c r="Q122" s="82" t="s">
        <v>736</v>
      </c>
      <c r="R122" s="128"/>
      <c r="S122" s="83"/>
    </row>
    <row r="123" spans="2:19" ht="13.2">
      <c r="B123" s="51"/>
      <c r="C123" s="126" t="s">
        <v>212</v>
      </c>
      <c r="D123" s="40"/>
      <c r="E123" s="176"/>
      <c r="F123" s="157" t="s">
        <v>213</v>
      </c>
      <c r="G123" s="158" t="s">
        <v>143</v>
      </c>
      <c r="H123" s="158">
        <v>3</v>
      </c>
      <c r="I123" s="421">
        <v>3</v>
      </c>
      <c r="J123" s="86"/>
      <c r="K123" s="69">
        <v>3</v>
      </c>
      <c r="L123" s="47">
        <v>3</v>
      </c>
      <c r="M123" s="46">
        <v>1200</v>
      </c>
      <c r="N123" s="47">
        <f t="shared" si="30"/>
        <v>3600</v>
      </c>
      <c r="O123" s="505">
        <f t="shared" si="28"/>
        <v>3600</v>
      </c>
      <c r="P123" s="48">
        <f t="shared" si="29"/>
        <v>0</v>
      </c>
      <c r="Q123" s="82" t="s">
        <v>736</v>
      </c>
      <c r="R123" s="128"/>
      <c r="S123" s="83"/>
    </row>
    <row r="124" spans="2:19" ht="22.8">
      <c r="B124" s="51"/>
      <c r="C124" s="126" t="s">
        <v>214</v>
      </c>
      <c r="D124" s="40"/>
      <c r="E124" s="176"/>
      <c r="F124" s="157" t="s">
        <v>215</v>
      </c>
      <c r="G124" s="158" t="s">
        <v>143</v>
      </c>
      <c r="H124" s="158">
        <v>1</v>
      </c>
      <c r="I124" s="421">
        <v>1</v>
      </c>
      <c r="J124" s="76">
        <v>0</v>
      </c>
      <c r="K124" s="69">
        <v>1</v>
      </c>
      <c r="L124" s="47">
        <v>1</v>
      </c>
      <c r="M124" s="46">
        <v>2500</v>
      </c>
      <c r="N124" s="47">
        <f t="shared" si="30"/>
        <v>2500</v>
      </c>
      <c r="O124" s="505">
        <f t="shared" si="28"/>
        <v>2500</v>
      </c>
      <c r="P124" s="48">
        <f t="shared" si="29"/>
        <v>0</v>
      </c>
      <c r="Q124" s="82" t="s">
        <v>736</v>
      </c>
      <c r="R124" s="128"/>
      <c r="S124" s="85"/>
    </row>
    <row r="125" spans="2:19" ht="13.2">
      <c r="B125" s="51"/>
      <c r="C125" s="126"/>
      <c r="D125" s="40"/>
      <c r="E125" s="176"/>
      <c r="F125" s="157"/>
      <c r="G125" s="158"/>
      <c r="H125" s="158"/>
      <c r="I125" s="75"/>
      <c r="J125" s="76"/>
      <c r="K125" s="47"/>
      <c r="L125" s="47"/>
      <c r="M125" s="46"/>
      <c r="N125" s="47" t="str">
        <f t="shared" si="30"/>
        <v/>
      </c>
      <c r="O125" s="505" t="str">
        <f>IFERROR(IF(AND($G125&lt;&gt;"",$H125&lt;&gt;""),$I125*$M125,""),0)</f>
        <v/>
      </c>
      <c r="P125" s="48" t="str">
        <f>IFERROR(IF(AND($G125&lt;&gt;"",$H125&lt;&gt;""),$L125*$M125,""),0)</f>
        <v/>
      </c>
      <c r="Q125" s="82"/>
      <c r="R125" s="128"/>
      <c r="S125" s="85"/>
    </row>
    <row r="126" spans="2:19" ht="13.2">
      <c r="B126" s="27" t="s">
        <v>216</v>
      </c>
      <c r="C126" s="59"/>
      <c r="D126" s="59"/>
      <c r="E126" s="60"/>
      <c r="F126" s="156" t="s">
        <v>217</v>
      </c>
      <c r="G126" s="158"/>
      <c r="H126" s="158"/>
      <c r="I126" s="63"/>
      <c r="J126" s="64"/>
      <c r="K126" s="34"/>
      <c r="L126" s="34"/>
      <c r="M126" s="65"/>
      <c r="N126" s="47" t="str">
        <f t="shared" si="30"/>
        <v/>
      </c>
      <c r="O126" s="505" t="str">
        <f>IFERROR(IF(AND($G126&lt;&gt;"",$H126&lt;&gt;""),$I126*$M126,""),0)</f>
        <v/>
      </c>
      <c r="P126" s="48" t="str">
        <f>IFERROR(IF(AND($G126&lt;&gt;"",$H126&lt;&gt;""),$L126*$M126,""),0)</f>
        <v/>
      </c>
      <c r="Q126" s="63"/>
      <c r="R126" s="128"/>
      <c r="S126" s="83"/>
    </row>
    <row r="127" spans="2:19" ht="22.8">
      <c r="B127" s="51"/>
      <c r="C127" s="126" t="s">
        <v>218</v>
      </c>
      <c r="D127" s="40"/>
      <c r="E127" s="53"/>
      <c r="F127" s="157" t="s">
        <v>219</v>
      </c>
      <c r="G127" s="158" t="s">
        <v>102</v>
      </c>
      <c r="H127" s="158">
        <v>1</v>
      </c>
      <c r="I127" s="464"/>
      <c r="J127" s="76"/>
      <c r="K127" s="160">
        <v>0</v>
      </c>
      <c r="L127" s="47"/>
      <c r="M127" s="46">
        <v>12000</v>
      </c>
      <c r="N127" s="47">
        <f t="shared" si="30"/>
        <v>12000</v>
      </c>
      <c r="O127" s="505">
        <f t="shared" ref="O127:O132" si="31">IFERROR(IF(AND($G127&lt;&gt;"",$H127&lt;&gt;""),$I127*$M127,""),0)</f>
        <v>0</v>
      </c>
      <c r="P127" s="48">
        <f t="shared" ref="P127:P132" si="32">+N127-O127</f>
        <v>12000</v>
      </c>
      <c r="Q127" s="161" t="s">
        <v>739</v>
      </c>
      <c r="R127" s="128"/>
      <c r="S127" s="85"/>
    </row>
    <row r="128" spans="2:19" ht="25.2" customHeight="1">
      <c r="B128" s="51"/>
      <c r="C128" s="126" t="s">
        <v>220</v>
      </c>
      <c r="D128" s="40"/>
      <c r="E128" s="53"/>
      <c r="F128" s="157" t="s">
        <v>221</v>
      </c>
      <c r="G128" s="158" t="s">
        <v>58</v>
      </c>
      <c r="H128" s="82">
        <v>12000</v>
      </c>
      <c r="I128" s="464"/>
      <c r="J128" s="76"/>
      <c r="K128" s="47">
        <f t="shared" ref="K128:K132" si="33">L128-J128</f>
        <v>0</v>
      </c>
      <c r="L128" s="47"/>
      <c r="M128" s="89">
        <v>0.1</v>
      </c>
      <c r="N128" s="47">
        <f t="shared" si="30"/>
        <v>1200</v>
      </c>
      <c r="O128" s="505">
        <f t="shared" si="31"/>
        <v>0</v>
      </c>
      <c r="P128" s="48">
        <f t="shared" si="32"/>
        <v>1200</v>
      </c>
      <c r="Q128" s="161" t="s">
        <v>739</v>
      </c>
      <c r="R128" s="128"/>
      <c r="S128" s="85"/>
    </row>
    <row r="129" spans="2:20" ht="48" customHeight="1">
      <c r="B129" s="51"/>
      <c r="C129" s="126" t="s">
        <v>222</v>
      </c>
      <c r="D129" s="40"/>
      <c r="E129" s="53"/>
      <c r="F129" s="159" t="s">
        <v>223</v>
      </c>
      <c r="G129" s="158" t="s">
        <v>102</v>
      </c>
      <c r="H129" s="158">
        <v>1</v>
      </c>
      <c r="I129" s="489">
        <f>149745.29/150000</f>
        <v>0.99830193333333339</v>
      </c>
      <c r="J129" s="76"/>
      <c r="K129" s="47">
        <f t="shared" si="33"/>
        <v>0</v>
      </c>
      <c r="L129" s="47"/>
      <c r="M129" s="46">
        <v>150000</v>
      </c>
      <c r="N129" s="47">
        <f t="shared" si="30"/>
        <v>150000</v>
      </c>
      <c r="O129" s="505">
        <f t="shared" si="31"/>
        <v>149745.29</v>
      </c>
      <c r="P129" s="48">
        <f t="shared" si="32"/>
        <v>254.70999999999185</v>
      </c>
      <c r="Q129" s="82" t="s">
        <v>736</v>
      </c>
      <c r="R129" s="128"/>
      <c r="S129" s="85"/>
      <c r="T129" s="94"/>
    </row>
    <row r="130" spans="2:20" ht="25.2" customHeight="1">
      <c r="B130" s="51"/>
      <c r="C130" s="126" t="s">
        <v>224</v>
      </c>
      <c r="D130" s="40"/>
      <c r="E130" s="53"/>
      <c r="F130" s="157" t="s">
        <v>225</v>
      </c>
      <c r="G130" s="158" t="s">
        <v>58</v>
      </c>
      <c r="H130" s="82">
        <v>150000</v>
      </c>
      <c r="I130" s="404">
        <f>O129*M130</f>
        <v>14974.529000000002</v>
      </c>
      <c r="J130" s="76"/>
      <c r="K130" s="47">
        <f t="shared" si="33"/>
        <v>0</v>
      </c>
      <c r="L130" s="47"/>
      <c r="M130" s="89">
        <v>0.1</v>
      </c>
      <c r="N130" s="47">
        <f t="shared" si="30"/>
        <v>15000</v>
      </c>
      <c r="O130" s="505">
        <f t="shared" si="31"/>
        <v>1497.4529000000002</v>
      </c>
      <c r="P130" s="48">
        <f t="shared" si="32"/>
        <v>13502.5471</v>
      </c>
      <c r="Q130" s="82" t="s">
        <v>736</v>
      </c>
      <c r="R130" s="128"/>
      <c r="S130" s="85"/>
      <c r="T130" s="94"/>
    </row>
    <row r="131" spans="2:20" ht="60" customHeight="1">
      <c r="B131" s="51"/>
      <c r="C131" s="126" t="s">
        <v>226</v>
      </c>
      <c r="D131" s="40"/>
      <c r="E131" s="53"/>
      <c r="F131" s="159" t="s">
        <v>227</v>
      </c>
      <c r="G131" s="158" t="s">
        <v>102</v>
      </c>
      <c r="H131" s="158">
        <v>1</v>
      </c>
      <c r="I131" s="404"/>
      <c r="J131" s="76"/>
      <c r="K131" s="47">
        <f t="shared" si="33"/>
        <v>0</v>
      </c>
      <c r="L131" s="47"/>
      <c r="M131" s="46">
        <v>100000</v>
      </c>
      <c r="N131" s="47">
        <f t="shared" si="30"/>
        <v>100000</v>
      </c>
      <c r="O131" s="505">
        <f t="shared" si="31"/>
        <v>0</v>
      </c>
      <c r="P131" s="48">
        <f t="shared" si="32"/>
        <v>100000</v>
      </c>
      <c r="Q131" s="82" t="s">
        <v>753</v>
      </c>
      <c r="R131" s="128"/>
      <c r="S131" s="85"/>
      <c r="T131" s="94"/>
    </row>
    <row r="132" spans="2:20" ht="13.2">
      <c r="B132" s="51"/>
      <c r="C132" s="126" t="s">
        <v>228</v>
      </c>
      <c r="D132" s="40"/>
      <c r="E132" s="53"/>
      <c r="F132" s="157" t="s">
        <v>229</v>
      </c>
      <c r="G132" s="158" t="s">
        <v>58</v>
      </c>
      <c r="H132" s="82">
        <v>100000</v>
      </c>
      <c r="I132" s="404"/>
      <c r="J132" s="76"/>
      <c r="K132" s="47">
        <f t="shared" si="33"/>
        <v>0</v>
      </c>
      <c r="L132" s="47"/>
      <c r="M132" s="89">
        <v>0.1</v>
      </c>
      <c r="N132" s="47">
        <f t="shared" si="30"/>
        <v>10000</v>
      </c>
      <c r="O132" s="505">
        <f t="shared" si="31"/>
        <v>0</v>
      </c>
      <c r="P132" s="48">
        <f t="shared" si="32"/>
        <v>10000</v>
      </c>
      <c r="Q132" s="82" t="s">
        <v>753</v>
      </c>
      <c r="R132" s="128"/>
      <c r="S132" s="85"/>
      <c r="T132" s="94"/>
    </row>
    <row r="133" spans="2:20" ht="13.2">
      <c r="B133" s="51"/>
      <c r="C133" s="126"/>
      <c r="D133" s="40"/>
      <c r="E133" s="53"/>
      <c r="F133" s="178"/>
      <c r="G133" s="158"/>
      <c r="H133" s="82"/>
      <c r="I133" s="82"/>
      <c r="J133" s="76"/>
      <c r="K133" s="47"/>
      <c r="L133" s="47"/>
      <c r="M133" s="46"/>
      <c r="N133" s="47" t="str">
        <f t="shared" si="30"/>
        <v/>
      </c>
      <c r="O133" s="505" t="str">
        <f>IFERROR(IF(AND($G133&lt;&gt;"",$H133&lt;&gt;""),$I133*$M133,""),0)</f>
        <v/>
      </c>
      <c r="P133" s="48"/>
      <c r="Q133" s="82"/>
      <c r="R133" s="128"/>
      <c r="S133" s="85"/>
      <c r="T133" s="94"/>
    </row>
    <row r="134" spans="2:20" ht="13.2">
      <c r="B134" s="27" t="s">
        <v>230</v>
      </c>
      <c r="C134" s="40"/>
      <c r="D134" s="40"/>
      <c r="E134" s="53"/>
      <c r="F134" s="179" t="s">
        <v>231</v>
      </c>
      <c r="G134" s="180"/>
      <c r="H134" s="180"/>
      <c r="I134" s="180"/>
      <c r="J134" s="86"/>
      <c r="K134" s="47"/>
      <c r="L134" s="47"/>
      <c r="M134" s="46"/>
      <c r="N134" s="47" t="str">
        <f t="shared" si="30"/>
        <v/>
      </c>
      <c r="O134" s="505" t="str">
        <f>IFERROR(IF(AND($G134&lt;&gt;"",$H134&lt;&gt;""),$I134*$M134,""),0)</f>
        <v/>
      </c>
      <c r="P134" s="48" t="str">
        <f>IFERROR(IF(AND($G134&lt;&gt;"",$H134&lt;&gt;""),$L134*$M134,""),0)</f>
        <v/>
      </c>
      <c r="Q134" s="180"/>
      <c r="R134" s="128"/>
      <c r="S134" s="83"/>
    </row>
    <row r="135" spans="2:20" ht="13.2">
      <c r="B135" s="51"/>
      <c r="C135" s="126" t="s">
        <v>232</v>
      </c>
      <c r="D135" s="40"/>
      <c r="E135" s="53"/>
      <c r="F135" s="157" t="s">
        <v>233</v>
      </c>
      <c r="G135" s="158" t="s">
        <v>26</v>
      </c>
      <c r="H135" s="158">
        <v>1</v>
      </c>
      <c r="I135" s="404">
        <v>1</v>
      </c>
      <c r="J135" s="86">
        <v>0</v>
      </c>
      <c r="K135" s="69">
        <v>1</v>
      </c>
      <c r="L135" s="47">
        <v>1</v>
      </c>
      <c r="M135" s="46">
        <v>18000</v>
      </c>
      <c r="N135" s="47">
        <f t="shared" si="30"/>
        <v>18000</v>
      </c>
      <c r="O135" s="505">
        <f t="shared" ref="O135:O136" si="34">IFERROR(IF(AND($G135&lt;&gt;"",$H135&lt;&gt;""),$I135*$M135,""),0)</f>
        <v>18000</v>
      </c>
      <c r="P135" s="48">
        <f t="shared" ref="P135:P136" si="35">+N135-O135</f>
        <v>0</v>
      </c>
      <c r="Q135" s="82" t="s">
        <v>736</v>
      </c>
      <c r="R135" s="128"/>
      <c r="S135" s="83"/>
    </row>
    <row r="136" spans="2:20" ht="13.2">
      <c r="B136" s="51"/>
      <c r="C136" s="126" t="s">
        <v>234</v>
      </c>
      <c r="D136" s="40"/>
      <c r="E136" s="53"/>
      <c r="F136" s="157" t="s">
        <v>235</v>
      </c>
      <c r="G136" s="158" t="s">
        <v>18</v>
      </c>
      <c r="H136" s="158">
        <v>12</v>
      </c>
      <c r="I136" s="404">
        <v>9</v>
      </c>
      <c r="J136" s="86">
        <v>0</v>
      </c>
      <c r="K136" s="69">
        <v>3</v>
      </c>
      <c r="L136" s="47">
        <v>3</v>
      </c>
      <c r="M136" s="46">
        <v>8000</v>
      </c>
      <c r="N136" s="47">
        <f t="shared" si="30"/>
        <v>96000</v>
      </c>
      <c r="O136" s="505">
        <f t="shared" si="34"/>
        <v>72000</v>
      </c>
      <c r="P136" s="48">
        <f t="shared" si="35"/>
        <v>24000</v>
      </c>
      <c r="Q136" s="82" t="s">
        <v>736</v>
      </c>
      <c r="R136" s="128"/>
      <c r="S136" s="83"/>
    </row>
    <row r="137" spans="2:20" ht="13.2">
      <c r="B137" s="51"/>
      <c r="C137" s="126"/>
      <c r="D137" s="40"/>
      <c r="E137" s="53"/>
      <c r="F137" s="157"/>
      <c r="G137" s="158"/>
      <c r="H137" s="158"/>
      <c r="I137" s="404"/>
      <c r="J137" s="86"/>
      <c r="K137" s="47"/>
      <c r="L137" s="47"/>
      <c r="M137" s="46"/>
      <c r="N137" s="47" t="str">
        <f t="shared" si="30"/>
        <v/>
      </c>
      <c r="O137" s="505" t="str">
        <f>IFERROR(IF(AND($G137&lt;&gt;"",$H137&lt;&gt;""),$I137*$M137,""),0)</f>
        <v/>
      </c>
      <c r="P137" s="48"/>
      <c r="Q137" s="82"/>
      <c r="R137" s="128"/>
      <c r="S137" s="83"/>
    </row>
    <row r="138" spans="2:20" ht="13.2">
      <c r="B138" s="27" t="s">
        <v>236</v>
      </c>
      <c r="C138" s="40"/>
      <c r="D138" s="40"/>
      <c r="E138" s="53"/>
      <c r="F138" s="156" t="s">
        <v>237</v>
      </c>
      <c r="G138" s="158"/>
      <c r="H138" s="158"/>
      <c r="I138" s="82"/>
      <c r="J138" s="86"/>
      <c r="K138" s="47"/>
      <c r="L138" s="47"/>
      <c r="M138" s="46"/>
      <c r="N138" s="47" t="str">
        <f t="shared" si="30"/>
        <v/>
      </c>
      <c r="O138" s="505" t="str">
        <f>IFERROR(IF(AND($G138&lt;&gt;"",$H138&lt;&gt;""),$I138*$M138,""),0)</f>
        <v/>
      </c>
      <c r="P138" s="48" t="str">
        <f>IFERROR(IF(AND($G138&lt;&gt;"",$H138&lt;&gt;""),$L138*$M138,""),0)</f>
        <v/>
      </c>
      <c r="Q138" s="82"/>
      <c r="R138" s="128"/>
      <c r="S138" s="83"/>
    </row>
    <row r="139" spans="2:20" ht="22.8">
      <c r="B139" s="51"/>
      <c r="C139" s="126" t="s">
        <v>238</v>
      </c>
      <c r="D139" s="40"/>
      <c r="E139" s="53"/>
      <c r="F139" s="157" t="s">
        <v>239</v>
      </c>
      <c r="G139" s="158" t="s">
        <v>240</v>
      </c>
      <c r="H139" s="158">
        <v>24</v>
      </c>
      <c r="I139" s="421">
        <f>6*2</f>
        <v>12</v>
      </c>
      <c r="J139" s="76"/>
      <c r="K139" s="47">
        <f t="shared" ref="K139:K140" si="36">L139-J139</f>
        <v>0</v>
      </c>
      <c r="L139" s="47"/>
      <c r="M139" s="46">
        <v>2250</v>
      </c>
      <c r="N139" s="47">
        <f t="shared" si="30"/>
        <v>54000</v>
      </c>
      <c r="O139" s="505">
        <f t="shared" ref="O139:O140" si="37">IFERROR(IF(AND($G139&lt;&gt;"",$H139&lt;&gt;""),$I139*$M139,""),0)</f>
        <v>27000</v>
      </c>
      <c r="P139" s="48">
        <f t="shared" ref="P139:P140" si="38">+N139-O139</f>
        <v>27000</v>
      </c>
      <c r="Q139" s="82" t="s">
        <v>755</v>
      </c>
      <c r="R139" s="58"/>
      <c r="S139" s="85"/>
      <c r="T139" s="85"/>
    </row>
    <row r="140" spans="2:20" ht="13.2">
      <c r="B140" s="51"/>
      <c r="C140" s="126" t="s">
        <v>241</v>
      </c>
      <c r="D140" s="40"/>
      <c r="E140" s="53"/>
      <c r="F140" s="157" t="s">
        <v>242</v>
      </c>
      <c r="G140" s="158" t="s">
        <v>91</v>
      </c>
      <c r="H140" s="158">
        <v>720</v>
      </c>
      <c r="I140" s="421">
        <f>12*60</f>
        <v>720</v>
      </c>
      <c r="J140" s="86"/>
      <c r="K140" s="47">
        <f t="shared" si="36"/>
        <v>0</v>
      </c>
      <c r="L140" s="47"/>
      <c r="M140" s="46">
        <v>15</v>
      </c>
      <c r="N140" s="47">
        <f t="shared" si="30"/>
        <v>10800</v>
      </c>
      <c r="O140" s="505">
        <f t="shared" si="37"/>
        <v>10800</v>
      </c>
      <c r="P140" s="48">
        <f t="shared" si="38"/>
        <v>0</v>
      </c>
      <c r="Q140" s="82" t="s">
        <v>756</v>
      </c>
      <c r="R140" s="128"/>
      <c r="S140" s="83"/>
    </row>
    <row r="141" spans="2:20" ht="13.2">
      <c r="B141" s="51"/>
      <c r="C141" s="126"/>
      <c r="D141" s="40"/>
      <c r="E141" s="53"/>
      <c r="F141" s="157"/>
      <c r="G141" s="158"/>
      <c r="H141" s="158"/>
      <c r="I141" s="75"/>
      <c r="J141" s="86"/>
      <c r="K141" s="47"/>
      <c r="L141" s="47"/>
      <c r="M141" s="46"/>
      <c r="N141" s="47" t="str">
        <f t="shared" si="30"/>
        <v/>
      </c>
      <c r="O141" s="505" t="str">
        <f>IFERROR(IF(AND($G141&lt;&gt;"",$H141&lt;&gt;""),$I141*$M141,""),0)</f>
        <v/>
      </c>
      <c r="P141" s="48"/>
      <c r="Q141" s="82"/>
      <c r="R141" s="128"/>
      <c r="S141" s="83"/>
    </row>
    <row r="142" spans="2:20" ht="24">
      <c r="B142" s="27" t="s">
        <v>243</v>
      </c>
      <c r="C142" s="59"/>
      <c r="D142" s="59"/>
      <c r="E142" s="60"/>
      <c r="F142" s="156" t="s">
        <v>244</v>
      </c>
      <c r="G142" s="181"/>
      <c r="H142" s="181"/>
      <c r="I142" s="63"/>
      <c r="J142" s="182"/>
      <c r="K142" s="34"/>
      <c r="L142" s="34"/>
      <c r="M142" s="65"/>
      <c r="N142" s="47" t="str">
        <f t="shared" si="30"/>
        <v/>
      </c>
      <c r="O142" s="505" t="str">
        <f>IFERROR(IF(AND($G142&lt;&gt;"",$H142&lt;&gt;""),$I142*$M142,""),0)</f>
        <v/>
      </c>
      <c r="P142" s="48" t="str">
        <f>IFERROR(IF(AND($G142&lt;&gt;"",$H142&lt;&gt;""),$L142*$M142,""),0)</f>
        <v/>
      </c>
      <c r="Q142" s="63"/>
      <c r="R142" s="128"/>
      <c r="S142" s="183"/>
      <c r="T142" s="184"/>
    </row>
    <row r="143" spans="2:20" ht="22.8">
      <c r="B143" s="51"/>
      <c r="C143" s="126" t="s">
        <v>245</v>
      </c>
      <c r="D143" s="40"/>
      <c r="E143" s="53"/>
      <c r="F143" s="157" t="s">
        <v>246</v>
      </c>
      <c r="G143" s="158" t="s">
        <v>26</v>
      </c>
      <c r="H143" s="158">
        <v>1</v>
      </c>
      <c r="I143" s="404">
        <v>1</v>
      </c>
      <c r="J143" s="79">
        <v>0</v>
      </c>
      <c r="K143" s="69">
        <v>1</v>
      </c>
      <c r="L143" s="47">
        <v>1</v>
      </c>
      <c r="M143" s="46">
        <v>10000</v>
      </c>
      <c r="N143" s="47">
        <f t="shared" si="30"/>
        <v>10000</v>
      </c>
      <c r="O143" s="505">
        <f t="shared" ref="O143:O144" si="39">IFERROR(IF(AND($G143&lt;&gt;"",$H143&lt;&gt;""),$I143*$M143,""),0)</f>
        <v>10000</v>
      </c>
      <c r="P143" s="48">
        <f t="shared" ref="P143:P144" si="40">+N143-O143</f>
        <v>0</v>
      </c>
      <c r="Q143" s="82" t="s">
        <v>736</v>
      </c>
      <c r="R143" s="49"/>
      <c r="S143" s="90"/>
      <c r="T143" s="91"/>
    </row>
    <row r="144" spans="2:20" ht="34.200000000000003">
      <c r="B144" s="51"/>
      <c r="C144" s="126" t="s">
        <v>247</v>
      </c>
      <c r="D144" s="40"/>
      <c r="E144" s="53"/>
      <c r="F144" s="157" t="s">
        <v>248</v>
      </c>
      <c r="G144" s="158" t="s">
        <v>18</v>
      </c>
      <c r="H144" s="158">
        <v>12</v>
      </c>
      <c r="I144" s="404">
        <v>9</v>
      </c>
      <c r="J144" s="79">
        <v>0</v>
      </c>
      <c r="K144" s="69">
        <v>3</v>
      </c>
      <c r="L144" s="47">
        <v>3</v>
      </c>
      <c r="M144" s="46">
        <v>54500</v>
      </c>
      <c r="N144" s="47">
        <f t="shared" si="30"/>
        <v>654000</v>
      </c>
      <c r="O144" s="505">
        <f t="shared" si="39"/>
        <v>490500</v>
      </c>
      <c r="P144" s="48">
        <f t="shared" si="40"/>
        <v>163500</v>
      </c>
      <c r="Q144" s="82" t="s">
        <v>736</v>
      </c>
      <c r="R144" s="49"/>
      <c r="S144" s="90"/>
      <c r="T144" s="91"/>
    </row>
    <row r="145" spans="2:19" ht="13.2">
      <c r="B145" s="100" t="s">
        <v>103</v>
      </c>
      <c r="C145" s="101"/>
      <c r="D145" s="101"/>
      <c r="E145" s="102"/>
      <c r="F145" s="103"/>
      <c r="G145" s="138"/>
      <c r="H145" s="139"/>
      <c r="I145" s="139"/>
      <c r="J145" s="140"/>
      <c r="K145" s="141"/>
      <c r="L145" s="142"/>
      <c r="M145" s="142"/>
      <c r="N145" s="141">
        <f>SUM(N80:N144)</f>
        <v>2871850</v>
      </c>
      <c r="O145" s="515">
        <f>SUM(O80:O144)</f>
        <v>2033976.7429</v>
      </c>
      <c r="P145" s="141">
        <f>SUM(P80:P144)</f>
        <v>837873.25710000005</v>
      </c>
      <c r="Q145" s="139"/>
      <c r="R145" s="143">
        <f>P145</f>
        <v>837873.25710000005</v>
      </c>
      <c r="S145" s="90"/>
    </row>
    <row r="146" spans="2:19" ht="13.2">
      <c r="B146" s="144"/>
      <c r="C146" s="145"/>
      <c r="D146" s="145"/>
      <c r="E146" s="146"/>
      <c r="F146" s="147"/>
      <c r="G146" s="115"/>
      <c r="H146" s="116"/>
      <c r="I146" s="478"/>
      <c r="J146" s="117"/>
      <c r="K146" s="118"/>
      <c r="L146" s="119"/>
      <c r="M146" s="120"/>
      <c r="N146" s="118"/>
      <c r="O146" s="514"/>
      <c r="P146" s="122" t="str">
        <f>IFERROR(IF(AND($G146&lt;&gt;"",$H146&lt;&gt;""),$L146*$M146,""),0)</f>
        <v/>
      </c>
      <c r="Q146" s="116"/>
      <c r="R146" s="128"/>
      <c r="S146" s="83"/>
    </row>
    <row r="147" spans="2:19" ht="13.2">
      <c r="B147" s="592" t="s">
        <v>249</v>
      </c>
      <c r="C147" s="593"/>
      <c r="D147" s="593"/>
      <c r="E147" s="594"/>
      <c r="F147" s="185" t="s">
        <v>250</v>
      </c>
      <c r="G147" s="162"/>
      <c r="H147" s="82"/>
      <c r="I147" s="82"/>
      <c r="J147" s="47"/>
      <c r="K147" s="47"/>
      <c r="L147" s="47"/>
      <c r="M147" s="47"/>
      <c r="N147" s="47"/>
      <c r="O147" s="69"/>
      <c r="P147" s="48" t="str">
        <f>IFERROR(IF(AND($F147&lt;&gt;"",$H147&lt;&gt;""),$L147*$M147,""),0)</f>
        <v/>
      </c>
      <c r="Q147" s="82"/>
      <c r="R147" s="128"/>
      <c r="S147" s="83"/>
    </row>
    <row r="148" spans="2:19" ht="13.2" hidden="1">
      <c r="B148" s="27" t="s">
        <v>251</v>
      </c>
      <c r="C148" s="40"/>
      <c r="D148" s="40"/>
      <c r="E148" s="53"/>
      <c r="F148" s="27" t="s">
        <v>252</v>
      </c>
      <c r="G148" s="181"/>
      <c r="H148" s="181"/>
      <c r="I148" s="82"/>
      <c r="J148" s="47"/>
      <c r="K148" s="186"/>
      <c r="L148" s="47"/>
      <c r="M148" s="47"/>
      <c r="N148" s="47"/>
      <c r="O148" s="505"/>
      <c r="P148" s="48" t="str">
        <f>IFERROR(IF(AND($G148&lt;&gt;"",$H148&lt;&gt;""),$L148*$M148,""),0)</f>
        <v/>
      </c>
      <c r="Q148" s="82"/>
      <c r="R148" s="128"/>
      <c r="S148" s="83"/>
    </row>
    <row r="149" spans="2:19" ht="13.2" hidden="1">
      <c r="B149" s="51"/>
      <c r="C149" s="126" t="s">
        <v>253</v>
      </c>
      <c r="D149" s="40"/>
      <c r="E149" s="53"/>
      <c r="F149" s="84" t="s">
        <v>254</v>
      </c>
      <c r="G149" s="158" t="s">
        <v>18</v>
      </c>
      <c r="H149" s="158"/>
      <c r="I149" s="82"/>
      <c r="J149" s="47"/>
      <c r="K149" s="47"/>
      <c r="L149" s="47"/>
      <c r="M149" s="46"/>
      <c r="N149" s="47" t="str">
        <f>IFERROR(IF(AND($G149&lt;&gt;"",$H149&lt;&gt;""),$H149*$M149,""),0)</f>
        <v/>
      </c>
      <c r="O149" s="505" t="str">
        <f>IFERROR(IF(AND($G149&lt;&gt;"",$H149&lt;&gt;""),$I149*$M149,""),0)</f>
        <v/>
      </c>
      <c r="P149" s="48" t="str">
        <f>IFERROR(IF(AND($G149&lt;&gt;"",$H149&lt;&gt;""),$L149*$M149,""),0)</f>
        <v/>
      </c>
      <c r="Q149" s="82"/>
      <c r="R149" s="128"/>
      <c r="S149" s="85"/>
    </row>
    <row r="150" spans="2:19" ht="13.2">
      <c r="B150" s="27" t="s">
        <v>255</v>
      </c>
      <c r="C150" s="40"/>
      <c r="D150" s="40"/>
      <c r="E150" s="53"/>
      <c r="F150" s="95" t="s">
        <v>256</v>
      </c>
      <c r="G150" s="74" t="s">
        <v>18</v>
      </c>
      <c r="H150" s="158">
        <v>9</v>
      </c>
      <c r="I150" s="404">
        <v>9</v>
      </c>
      <c r="J150" s="47"/>
      <c r="K150" s="47">
        <f>L150-J150</f>
        <v>0</v>
      </c>
      <c r="L150" s="47"/>
      <c r="M150" s="46">
        <v>25000</v>
      </c>
      <c r="N150" s="47">
        <f>+H150*M150</f>
        <v>225000</v>
      </c>
      <c r="O150" s="505">
        <f>+I150*M150</f>
        <v>225000</v>
      </c>
      <c r="P150" s="48">
        <f>+N150-O150</f>
        <v>0</v>
      </c>
      <c r="Q150" s="82" t="s">
        <v>736</v>
      </c>
      <c r="R150" s="128"/>
      <c r="S150" s="83"/>
    </row>
    <row r="151" spans="2:19" ht="13.2">
      <c r="B151" s="27"/>
      <c r="C151" s="40"/>
      <c r="D151" s="40"/>
      <c r="E151" s="53"/>
      <c r="F151" s="95"/>
      <c r="G151" s="74"/>
      <c r="H151" s="158"/>
      <c r="I151" s="404"/>
      <c r="J151" s="47"/>
      <c r="K151" s="47"/>
      <c r="L151" s="47"/>
      <c r="M151" s="46"/>
      <c r="N151" s="47"/>
      <c r="O151" s="505"/>
      <c r="P151" s="48"/>
      <c r="Q151" s="82"/>
      <c r="R151" s="128"/>
      <c r="S151" s="83"/>
    </row>
    <row r="152" spans="2:19" ht="13.2">
      <c r="B152" s="27" t="s">
        <v>257</v>
      </c>
      <c r="C152" s="40"/>
      <c r="D152" s="40"/>
      <c r="E152" s="53"/>
      <c r="F152" s="95" t="s">
        <v>258</v>
      </c>
      <c r="G152" s="74" t="s">
        <v>18</v>
      </c>
      <c r="H152" s="82">
        <v>9</v>
      </c>
      <c r="I152" s="404">
        <v>9</v>
      </c>
      <c r="J152" s="47">
        <v>0</v>
      </c>
      <c r="K152" s="69">
        <v>3</v>
      </c>
      <c r="L152" s="47">
        <v>3</v>
      </c>
      <c r="M152" s="47">
        <v>5500</v>
      </c>
      <c r="N152" s="47">
        <f>+H152*M152</f>
        <v>49500</v>
      </c>
      <c r="O152" s="505">
        <f>+I152*M152</f>
        <v>49500</v>
      </c>
      <c r="P152" s="48">
        <f t="shared" ref="P152" si="41">+N152-O152</f>
        <v>0</v>
      </c>
      <c r="Q152" s="82" t="s">
        <v>736</v>
      </c>
      <c r="R152" s="128"/>
      <c r="S152" s="83"/>
    </row>
    <row r="153" spans="2:19" ht="13.2">
      <c r="B153" s="27"/>
      <c r="C153" s="40"/>
      <c r="D153" s="40"/>
      <c r="E153" s="53"/>
      <c r="F153" s="95"/>
      <c r="G153" s="74"/>
      <c r="H153" s="82"/>
      <c r="I153" s="404"/>
      <c r="J153" s="47"/>
      <c r="K153" s="47"/>
      <c r="L153" s="47"/>
      <c r="M153" s="47"/>
      <c r="N153" s="47"/>
      <c r="O153" s="505"/>
      <c r="P153" s="48"/>
      <c r="Q153" s="82"/>
      <c r="R153" s="128"/>
      <c r="S153" s="83"/>
    </row>
    <row r="154" spans="2:19" ht="13.2">
      <c r="B154" s="27" t="s">
        <v>259</v>
      </c>
      <c r="C154" s="40"/>
      <c r="D154" s="40"/>
      <c r="E154" s="53"/>
      <c r="F154" s="95" t="s">
        <v>260</v>
      </c>
      <c r="G154" s="74"/>
      <c r="H154" s="82"/>
      <c r="I154" s="404"/>
      <c r="J154" s="47"/>
      <c r="K154" s="47"/>
      <c r="L154" s="47"/>
      <c r="M154" s="47"/>
      <c r="N154" s="47"/>
      <c r="O154" s="505"/>
      <c r="P154" s="48" t="str">
        <f>IFERROR(IF(AND($G154&lt;&gt;"",$H154&lt;&gt;""),$L154*$M154,""),0)</f>
        <v/>
      </c>
      <c r="Q154" s="82"/>
      <c r="R154" s="128"/>
      <c r="S154" s="83"/>
    </row>
    <row r="155" spans="2:19" ht="13.2">
      <c r="B155" s="187"/>
      <c r="C155" s="126" t="s">
        <v>261</v>
      </c>
      <c r="D155" s="40"/>
      <c r="E155" s="53"/>
      <c r="F155" s="84" t="s">
        <v>262</v>
      </c>
      <c r="G155" s="181"/>
      <c r="H155" s="181"/>
      <c r="I155" s="410"/>
      <c r="J155" s="34"/>
      <c r="K155" s="34"/>
      <c r="L155" s="34"/>
      <c r="M155" s="65"/>
      <c r="N155" s="34"/>
      <c r="O155" s="513"/>
      <c r="P155" s="48" t="str">
        <f>IFERROR(IF(AND($G155&lt;&gt;"",$H155&lt;&gt;""),$L155*$M155,""),0)</f>
        <v/>
      </c>
      <c r="Q155" s="63"/>
      <c r="R155" s="128"/>
      <c r="S155" s="183"/>
    </row>
    <row r="156" spans="2:19" ht="13.2">
      <c r="B156" s="51"/>
      <c r="C156" s="40"/>
      <c r="D156" s="188" t="s">
        <v>67</v>
      </c>
      <c r="E156" s="53"/>
      <c r="F156" s="84" t="s">
        <v>263</v>
      </c>
      <c r="G156" s="158"/>
      <c r="H156" s="158"/>
      <c r="I156" s="404"/>
      <c r="J156" s="47"/>
      <c r="K156" s="47"/>
      <c r="L156" s="47"/>
      <c r="M156" s="46"/>
      <c r="N156" s="47"/>
      <c r="O156" s="505"/>
      <c r="P156" s="48"/>
      <c r="Q156" s="82"/>
      <c r="R156" s="128"/>
      <c r="S156" s="83"/>
    </row>
    <row r="157" spans="2:19" ht="13.2">
      <c r="B157" s="51"/>
      <c r="C157" s="40"/>
      <c r="D157" s="188"/>
      <c r="E157" s="189" t="s">
        <v>264</v>
      </c>
      <c r="F157" s="84" t="s">
        <v>265</v>
      </c>
      <c r="G157" s="158" t="s">
        <v>266</v>
      </c>
      <c r="H157" s="190">
        <v>200</v>
      </c>
      <c r="I157" s="411">
        <v>0</v>
      </c>
      <c r="J157" s="47">
        <v>0</v>
      </c>
      <c r="K157" s="47">
        <f>L157-J157</f>
        <v>0</v>
      </c>
      <c r="L157" s="47">
        <v>0</v>
      </c>
      <c r="M157" s="46">
        <v>250</v>
      </c>
      <c r="N157" s="47">
        <f>+H157*M157</f>
        <v>50000</v>
      </c>
      <c r="O157" s="505">
        <f>+I157*M157</f>
        <v>0</v>
      </c>
      <c r="P157" s="48">
        <f t="shared" ref="P157" si="42">+N157-O157</f>
        <v>50000</v>
      </c>
      <c r="Q157" s="191"/>
      <c r="R157" s="128"/>
      <c r="S157" s="83"/>
    </row>
    <row r="158" spans="2:19" ht="13.2">
      <c r="B158" s="51"/>
      <c r="C158" s="40"/>
      <c r="D158" s="188" t="s">
        <v>70</v>
      </c>
      <c r="E158" s="53"/>
      <c r="F158" s="84" t="s">
        <v>267</v>
      </c>
      <c r="G158" s="158"/>
      <c r="H158" s="190"/>
      <c r="I158" s="411"/>
      <c r="J158" s="47"/>
      <c r="K158" s="47"/>
      <c r="L158" s="47"/>
      <c r="M158" s="46"/>
      <c r="N158" s="47"/>
      <c r="O158" s="505"/>
      <c r="P158" s="48"/>
      <c r="Q158" s="191"/>
      <c r="R158" s="128"/>
      <c r="S158" s="83"/>
    </row>
    <row r="159" spans="2:19" ht="13.2">
      <c r="B159" s="51"/>
      <c r="C159" s="40"/>
      <c r="D159" s="188"/>
      <c r="E159" s="189" t="s">
        <v>264</v>
      </c>
      <c r="F159" s="84" t="s">
        <v>265</v>
      </c>
      <c r="G159" s="158" t="s">
        <v>266</v>
      </c>
      <c r="H159" s="75">
        <v>2000</v>
      </c>
      <c r="I159" s="411">
        <f>'Acc Traffic'!G14</f>
        <v>1000</v>
      </c>
      <c r="J159" s="47">
        <v>0</v>
      </c>
      <c r="K159" s="47">
        <f>+L159-J159</f>
        <v>0</v>
      </c>
      <c r="L159" s="47">
        <v>0</v>
      </c>
      <c r="M159" s="46">
        <v>180</v>
      </c>
      <c r="N159" s="47">
        <f>+H159*M159</f>
        <v>360000</v>
      </c>
      <c r="O159" s="505">
        <f>+I159*M159</f>
        <v>180000</v>
      </c>
      <c r="P159" s="48">
        <f t="shared" ref="P159" si="43">+N159-O159</f>
        <v>180000</v>
      </c>
      <c r="Q159" s="191" t="s">
        <v>757</v>
      </c>
      <c r="R159" s="128"/>
      <c r="S159" s="83"/>
    </row>
    <row r="160" spans="2:19" ht="13.2">
      <c r="B160" s="51"/>
      <c r="C160" s="40"/>
      <c r="D160" s="188"/>
      <c r="E160" s="189"/>
      <c r="F160" s="84"/>
      <c r="G160" s="158"/>
      <c r="H160" s="75"/>
      <c r="I160" s="411"/>
      <c r="J160" s="47"/>
      <c r="K160" s="47"/>
      <c r="L160" s="47"/>
      <c r="M160" s="46"/>
      <c r="N160" s="47"/>
      <c r="O160" s="505"/>
      <c r="P160" s="48"/>
      <c r="Q160" s="191"/>
      <c r="R160" s="128"/>
      <c r="S160" s="83"/>
    </row>
    <row r="161" spans="2:20" ht="18.600000000000001" customHeight="1">
      <c r="B161" s="51"/>
      <c r="C161" s="28" t="s">
        <v>268</v>
      </c>
      <c r="D161" s="59"/>
      <c r="E161" s="60"/>
      <c r="F161" s="192" t="s">
        <v>269</v>
      </c>
      <c r="G161" s="193" t="s">
        <v>266</v>
      </c>
      <c r="H161" s="75">
        <v>100</v>
      </c>
      <c r="I161" s="411">
        <v>100</v>
      </c>
      <c r="J161" s="47">
        <v>0</v>
      </c>
      <c r="K161" s="47">
        <f>L161-J161</f>
        <v>0</v>
      </c>
      <c r="L161" s="47">
        <v>0</v>
      </c>
      <c r="M161" s="47">
        <v>325</v>
      </c>
      <c r="N161" s="47">
        <f>+H161*M161</f>
        <v>32500</v>
      </c>
      <c r="O161" s="505">
        <f>+I161*M161</f>
        <v>32500</v>
      </c>
      <c r="P161" s="48">
        <f t="shared" ref="P161" si="44">+N161-O161</f>
        <v>0</v>
      </c>
      <c r="Q161" s="190" t="s">
        <v>770</v>
      </c>
      <c r="R161" s="128"/>
      <c r="S161" s="83"/>
    </row>
    <row r="162" spans="2:20" ht="10.199999999999999" customHeight="1">
      <c r="B162" s="51"/>
      <c r="C162" s="28"/>
      <c r="D162" s="59"/>
      <c r="E162" s="60"/>
      <c r="F162" s="192"/>
      <c r="G162" s="193"/>
      <c r="H162" s="75"/>
      <c r="I162" s="411"/>
      <c r="J162" s="47"/>
      <c r="K162" s="47"/>
      <c r="L162" s="47"/>
      <c r="M162" s="47"/>
      <c r="N162" s="47"/>
      <c r="O162" s="505"/>
      <c r="P162" s="48"/>
      <c r="Q162" s="190"/>
      <c r="R162" s="128"/>
      <c r="S162" s="83"/>
    </row>
    <row r="163" spans="2:20" ht="18.600000000000001" customHeight="1">
      <c r="B163" s="51"/>
      <c r="C163" s="28" t="s">
        <v>270</v>
      </c>
      <c r="D163" s="59"/>
      <c r="E163" s="60"/>
      <c r="F163" s="192" t="s">
        <v>271</v>
      </c>
      <c r="G163" s="194" t="s">
        <v>272</v>
      </c>
      <c r="H163" s="82">
        <v>4300</v>
      </c>
      <c r="I163" s="404">
        <f>'Acc Traffic'!G18</f>
        <v>6510</v>
      </c>
      <c r="J163" s="47">
        <f ca="1">K163-I163</f>
        <v>0</v>
      </c>
      <c r="K163" s="47">
        <f ca="1">L163-J163</f>
        <v>0</v>
      </c>
      <c r="L163" s="47">
        <v>0</v>
      </c>
      <c r="M163" s="47">
        <v>540</v>
      </c>
      <c r="N163" s="47">
        <f>+H163*M163</f>
        <v>2322000</v>
      </c>
      <c r="O163" s="505">
        <f>+I163*M163</f>
        <v>3515400</v>
      </c>
      <c r="P163" s="48">
        <f t="shared" ref="P163" si="45">+N163-O163</f>
        <v>-1193400</v>
      </c>
      <c r="Q163" s="161" t="s">
        <v>775</v>
      </c>
      <c r="R163" s="128"/>
      <c r="S163" s="83"/>
      <c r="T163" s="195"/>
    </row>
    <row r="164" spans="2:20" ht="13.2">
      <c r="B164" s="51"/>
      <c r="C164" s="28"/>
      <c r="D164" s="59"/>
      <c r="E164" s="60"/>
      <c r="F164" s="192"/>
      <c r="G164" s="194"/>
      <c r="H164" s="82"/>
      <c r="I164" s="404"/>
      <c r="J164" s="47"/>
      <c r="K164" s="47"/>
      <c r="L164" s="47"/>
      <c r="M164" s="47"/>
      <c r="N164" s="47"/>
      <c r="O164" s="505"/>
      <c r="P164" s="48"/>
      <c r="Q164" s="82"/>
      <c r="R164" s="128"/>
      <c r="S164" s="83"/>
      <c r="T164" s="195"/>
    </row>
    <row r="165" spans="2:20" ht="13.2">
      <c r="B165" s="51"/>
      <c r="C165" s="28" t="s">
        <v>273</v>
      </c>
      <c r="D165" s="59"/>
      <c r="E165" s="60"/>
      <c r="F165" s="192" t="s">
        <v>274</v>
      </c>
      <c r="G165" s="194" t="s">
        <v>272</v>
      </c>
      <c r="H165" s="82">
        <v>500</v>
      </c>
      <c r="I165" s="404">
        <f>'Acc Traffic'!G20</f>
        <v>0</v>
      </c>
      <c r="J165" s="47">
        <v>0</v>
      </c>
      <c r="K165" s="47">
        <f>+L165-J165</f>
        <v>0</v>
      </c>
      <c r="L165" s="47">
        <v>0</v>
      </c>
      <c r="M165" s="47">
        <v>350</v>
      </c>
      <c r="N165" s="47">
        <f>+H165*M165</f>
        <v>175000</v>
      </c>
      <c r="O165" s="505">
        <f>+I165*M165</f>
        <v>0</v>
      </c>
      <c r="P165" s="48">
        <f>+N165-O165</f>
        <v>175000</v>
      </c>
      <c r="Q165" s="82"/>
      <c r="R165" s="128"/>
      <c r="S165" s="83"/>
    </row>
    <row r="166" spans="2:20" ht="13.2">
      <c r="B166" s="51"/>
      <c r="C166" s="28"/>
      <c r="D166" s="59"/>
      <c r="E166" s="60"/>
      <c r="F166" s="192"/>
      <c r="G166" s="194"/>
      <c r="H166" s="82"/>
      <c r="I166" s="404"/>
      <c r="J166" s="47"/>
      <c r="K166" s="47"/>
      <c r="L166" s="47"/>
      <c r="M166" s="47"/>
      <c r="N166" s="47"/>
      <c r="O166" s="505"/>
      <c r="P166" s="48"/>
      <c r="Q166" s="82"/>
      <c r="R166" s="128"/>
      <c r="S166" s="83"/>
    </row>
    <row r="167" spans="2:20" ht="13.2">
      <c r="B167" s="51"/>
      <c r="C167" s="28" t="s">
        <v>275</v>
      </c>
      <c r="D167" s="59"/>
      <c r="E167" s="60"/>
      <c r="F167" s="196" t="s">
        <v>276</v>
      </c>
      <c r="G167" s="194"/>
      <c r="H167" s="78"/>
      <c r="I167" s="404"/>
      <c r="J167" s="47"/>
      <c r="K167" s="47"/>
      <c r="L167" s="47"/>
      <c r="M167" s="47"/>
      <c r="N167" s="47"/>
      <c r="O167" s="505"/>
      <c r="P167" s="48" t="str">
        <f>IFERROR(IF(AND($G167&lt;&gt;"",$H167&lt;&gt;""),$L167*$M167,""),0)</f>
        <v/>
      </c>
      <c r="Q167" s="82"/>
      <c r="R167" s="128"/>
      <c r="S167" s="83"/>
    </row>
    <row r="168" spans="2:20" ht="34.200000000000003">
      <c r="B168" s="51"/>
      <c r="C168" s="40"/>
      <c r="D168" s="126" t="s">
        <v>67</v>
      </c>
      <c r="E168" s="53"/>
      <c r="F168" s="197" t="s">
        <v>277</v>
      </c>
      <c r="G168" s="194"/>
      <c r="H168" s="78"/>
      <c r="I168" s="404"/>
      <c r="J168" s="47"/>
      <c r="K168" s="47"/>
      <c r="L168" s="47"/>
      <c r="M168" s="47"/>
      <c r="N168" s="47"/>
      <c r="O168" s="505"/>
      <c r="P168" s="48" t="str">
        <f>IFERROR(IF(AND($G168&lt;&gt;"",$H168&lt;&gt;""),$L168*$M168,""),0)</f>
        <v/>
      </c>
      <c r="Q168" s="82"/>
      <c r="R168" s="128"/>
      <c r="S168" s="85"/>
      <c r="T168" s="94"/>
    </row>
    <row r="169" spans="2:20" ht="13.2">
      <c r="B169" s="51"/>
      <c r="C169" s="40"/>
      <c r="D169" s="40"/>
      <c r="E169" s="189" t="s">
        <v>278</v>
      </c>
      <c r="F169" s="197" t="s">
        <v>279</v>
      </c>
      <c r="G169" s="198" t="s">
        <v>280</v>
      </c>
      <c r="H169" s="78">
        <v>10</v>
      </c>
      <c r="I169" s="421">
        <f>'Acc Traffic'!G23</f>
        <v>6</v>
      </c>
      <c r="J169" s="47">
        <f ca="1">K169-I169</f>
        <v>0</v>
      </c>
      <c r="K169" s="47">
        <f t="shared" ref="J169:K173" ca="1" si="46">L169-J169</f>
        <v>0</v>
      </c>
      <c r="L169" s="47">
        <v>0</v>
      </c>
      <c r="M169" s="47">
        <v>6500</v>
      </c>
      <c r="N169" s="47">
        <f t="shared" ref="N169:N173" si="47">+H169*M169</f>
        <v>65000</v>
      </c>
      <c r="O169" s="505">
        <f t="shared" ref="O169:O173" si="48">+I169*M169</f>
        <v>39000</v>
      </c>
      <c r="P169" s="48">
        <f t="shared" ref="P169:P173" si="49">+N169-O169</f>
        <v>26000</v>
      </c>
      <c r="Q169" s="82"/>
      <c r="R169" s="128"/>
      <c r="S169" s="83"/>
    </row>
    <row r="170" spans="2:20" ht="13.2">
      <c r="B170" s="51"/>
      <c r="C170" s="40"/>
      <c r="D170" s="126" t="s">
        <v>70</v>
      </c>
      <c r="E170" s="53"/>
      <c r="F170" s="197" t="s">
        <v>281</v>
      </c>
      <c r="G170" s="198" t="s">
        <v>280</v>
      </c>
      <c r="H170" s="78">
        <v>10</v>
      </c>
      <c r="I170" s="421">
        <f>'Acc Traffic'!G24</f>
        <v>6</v>
      </c>
      <c r="J170" s="47">
        <f ca="1">K170-I170</f>
        <v>0</v>
      </c>
      <c r="K170" s="47">
        <f t="shared" ca="1" si="46"/>
        <v>0</v>
      </c>
      <c r="L170" s="47">
        <v>0</v>
      </c>
      <c r="M170" s="47">
        <v>4500</v>
      </c>
      <c r="N170" s="47">
        <f t="shared" si="47"/>
        <v>45000</v>
      </c>
      <c r="O170" s="505">
        <f t="shared" si="48"/>
        <v>27000</v>
      </c>
      <c r="P170" s="48">
        <f t="shared" si="49"/>
        <v>18000</v>
      </c>
      <c r="Q170" s="82"/>
      <c r="R170" s="128"/>
      <c r="S170" s="83"/>
    </row>
    <row r="171" spans="2:20" ht="25.8" customHeight="1">
      <c r="B171" s="187"/>
      <c r="C171" s="59"/>
      <c r="D171" s="126" t="s">
        <v>72</v>
      </c>
      <c r="E171" s="53"/>
      <c r="F171" s="77" t="s">
        <v>282</v>
      </c>
      <c r="G171" s="198" t="s">
        <v>280</v>
      </c>
      <c r="H171" s="78">
        <v>120</v>
      </c>
      <c r="I171" s="421">
        <f>'Acc Traffic'!G25</f>
        <v>102</v>
      </c>
      <c r="J171" s="47">
        <f t="shared" ca="1" si="46"/>
        <v>0</v>
      </c>
      <c r="K171" s="47">
        <f t="shared" ca="1" si="46"/>
        <v>0</v>
      </c>
      <c r="L171" s="47">
        <v>0</v>
      </c>
      <c r="M171" s="47">
        <v>1634</v>
      </c>
      <c r="N171" s="47">
        <f t="shared" si="47"/>
        <v>196080</v>
      </c>
      <c r="O171" s="505">
        <f t="shared" si="48"/>
        <v>166668</v>
      </c>
      <c r="P171" s="48">
        <f t="shared" si="49"/>
        <v>29412</v>
      </c>
      <c r="Q171" s="82"/>
      <c r="R171" s="128"/>
      <c r="S171" s="83"/>
      <c r="T171" s="1"/>
    </row>
    <row r="172" spans="2:20" ht="13.2">
      <c r="B172" s="51"/>
      <c r="C172" s="40"/>
      <c r="D172" s="126" t="s">
        <v>74</v>
      </c>
      <c r="E172" s="53"/>
      <c r="F172" s="197" t="s">
        <v>283</v>
      </c>
      <c r="G172" s="194" t="s">
        <v>280</v>
      </c>
      <c r="H172" s="78">
        <v>80</v>
      </c>
      <c r="I172" s="421">
        <f>'Acc Traffic'!G26</f>
        <v>0</v>
      </c>
      <c r="J172" s="47">
        <f t="shared" ca="1" si="46"/>
        <v>0</v>
      </c>
      <c r="K172" s="47">
        <f t="shared" ca="1" si="46"/>
        <v>0</v>
      </c>
      <c r="L172" s="47">
        <v>0</v>
      </c>
      <c r="M172" s="47">
        <v>1765.2</v>
      </c>
      <c r="N172" s="47">
        <f t="shared" si="47"/>
        <v>141216</v>
      </c>
      <c r="O172" s="505">
        <f t="shared" si="48"/>
        <v>0</v>
      </c>
      <c r="P172" s="48">
        <f t="shared" si="49"/>
        <v>141216</v>
      </c>
      <c r="Q172" s="82"/>
      <c r="R172" s="128"/>
      <c r="S172" s="83"/>
    </row>
    <row r="173" spans="2:20" ht="13.2">
      <c r="B173" s="51"/>
      <c r="C173" s="40"/>
      <c r="D173" s="126" t="s">
        <v>86</v>
      </c>
      <c r="E173" s="53"/>
      <c r="F173" s="199" t="s">
        <v>284</v>
      </c>
      <c r="G173" s="194" t="s">
        <v>280</v>
      </c>
      <c r="H173" s="78">
        <v>150</v>
      </c>
      <c r="I173" s="421">
        <f>'Acc Traffic'!G27</f>
        <v>0</v>
      </c>
      <c r="J173" s="47">
        <f t="shared" ca="1" si="46"/>
        <v>0</v>
      </c>
      <c r="K173" s="47">
        <f t="shared" ca="1" si="46"/>
        <v>0</v>
      </c>
      <c r="L173" s="47">
        <v>0</v>
      </c>
      <c r="M173" s="47">
        <v>580</v>
      </c>
      <c r="N173" s="47">
        <f t="shared" si="47"/>
        <v>87000</v>
      </c>
      <c r="O173" s="505">
        <f t="shared" si="48"/>
        <v>0</v>
      </c>
      <c r="P173" s="48">
        <f t="shared" si="49"/>
        <v>87000</v>
      </c>
      <c r="Q173" s="82" t="s">
        <v>787</v>
      </c>
      <c r="R173" s="128"/>
      <c r="S173" s="83"/>
    </row>
    <row r="174" spans="2:20" ht="13.2">
      <c r="B174" s="51"/>
      <c r="C174" s="126" t="s">
        <v>285</v>
      </c>
      <c r="D174" s="40"/>
      <c r="E174" s="53"/>
      <c r="F174" s="77" t="s">
        <v>286</v>
      </c>
      <c r="G174" s="74"/>
      <c r="H174" s="82"/>
      <c r="I174" s="421"/>
      <c r="J174" s="47"/>
      <c r="K174" s="47"/>
      <c r="L174" s="47"/>
      <c r="M174" s="47"/>
      <c r="N174" s="47" t="str">
        <f>IFERROR(IF(AND($G174&lt;&gt;"",$H174&lt;&gt;""),$H174*$M174,""),0)</f>
        <v/>
      </c>
      <c r="O174" s="505" t="str">
        <f>IFERROR(IF(AND($G174&lt;&gt;"",$H174&lt;&gt;""),$I174*$M174,""),0)</f>
        <v/>
      </c>
      <c r="P174" s="48" t="str">
        <f>IFERROR(IF(AND($G174&lt;&gt;"",$H174&lt;&gt;""),$L174*$M174,""),0)</f>
        <v/>
      </c>
      <c r="Q174" s="82"/>
      <c r="R174" s="128"/>
      <c r="S174" s="83"/>
    </row>
    <row r="175" spans="2:20" ht="22.8">
      <c r="B175" s="51"/>
      <c r="C175" s="40"/>
      <c r="D175" s="126" t="s">
        <v>287</v>
      </c>
      <c r="E175" s="53"/>
      <c r="F175" s="200" t="s">
        <v>288</v>
      </c>
      <c r="G175" s="194" t="s">
        <v>18</v>
      </c>
      <c r="H175" s="78">
        <v>9</v>
      </c>
      <c r="I175" s="421">
        <f>'Acc Traffic'!G29</f>
        <v>9</v>
      </c>
      <c r="J175" s="47">
        <f t="shared" ref="J175:K179" ca="1" si="50">K175-I175</f>
        <v>0</v>
      </c>
      <c r="K175" s="47">
        <f t="shared" ca="1" si="50"/>
        <v>0</v>
      </c>
      <c r="L175" s="47">
        <v>0</v>
      </c>
      <c r="M175" s="47">
        <v>500</v>
      </c>
      <c r="N175" s="47">
        <f t="shared" ref="N175:N179" si="51">+H175*M175</f>
        <v>4500</v>
      </c>
      <c r="O175" s="505">
        <f t="shared" ref="O175:O179" si="52">+I175*M175</f>
        <v>4500</v>
      </c>
      <c r="P175" s="48">
        <f t="shared" ref="P175:P179" si="53">+N175-O175</f>
        <v>0</v>
      </c>
      <c r="Q175" s="82"/>
      <c r="R175" s="128"/>
      <c r="S175" s="85"/>
      <c r="T175" s="94"/>
    </row>
    <row r="176" spans="2:20" ht="13.2">
      <c r="B176" s="51"/>
      <c r="C176" s="40"/>
      <c r="D176" s="126" t="s">
        <v>70</v>
      </c>
      <c r="E176" s="53"/>
      <c r="F176" s="197" t="s">
        <v>289</v>
      </c>
      <c r="G176" s="194" t="s">
        <v>18</v>
      </c>
      <c r="H176" s="78">
        <v>9</v>
      </c>
      <c r="I176" s="421">
        <f>'Acc Traffic'!G30</f>
        <v>9</v>
      </c>
      <c r="J176" s="47">
        <f t="shared" ca="1" si="50"/>
        <v>0</v>
      </c>
      <c r="K176" s="47">
        <f t="shared" ca="1" si="50"/>
        <v>0</v>
      </c>
      <c r="L176" s="47">
        <v>0</v>
      </c>
      <c r="M176" s="47">
        <v>500</v>
      </c>
      <c r="N176" s="47">
        <f t="shared" si="51"/>
        <v>4500</v>
      </c>
      <c r="O176" s="505">
        <f t="shared" si="52"/>
        <v>4500</v>
      </c>
      <c r="P176" s="48">
        <f t="shared" si="53"/>
        <v>0</v>
      </c>
      <c r="Q176" s="82"/>
      <c r="R176" s="128"/>
      <c r="S176" s="83"/>
    </row>
    <row r="177" spans="2:19" ht="13.2">
      <c r="B177" s="51"/>
      <c r="C177" s="40"/>
      <c r="D177" s="201" t="s">
        <v>72</v>
      </c>
      <c r="E177" s="53"/>
      <c r="F177" s="197" t="s">
        <v>282</v>
      </c>
      <c r="G177" s="194" t="s">
        <v>18</v>
      </c>
      <c r="H177" s="78">
        <v>9</v>
      </c>
      <c r="I177" s="421">
        <f>'Acc Traffic'!G31</f>
        <v>9</v>
      </c>
      <c r="J177" s="47">
        <f t="shared" ca="1" si="50"/>
        <v>0</v>
      </c>
      <c r="K177" s="47">
        <f t="shared" ca="1" si="50"/>
        <v>0</v>
      </c>
      <c r="L177" s="47">
        <v>0</v>
      </c>
      <c r="M177" s="47">
        <v>500</v>
      </c>
      <c r="N177" s="47">
        <f t="shared" si="51"/>
        <v>4500</v>
      </c>
      <c r="O177" s="505">
        <f t="shared" si="52"/>
        <v>4500</v>
      </c>
      <c r="P177" s="48">
        <f t="shared" si="53"/>
        <v>0</v>
      </c>
      <c r="Q177" s="82"/>
      <c r="R177" s="128"/>
      <c r="S177" s="83"/>
    </row>
    <row r="178" spans="2:19" ht="13.2">
      <c r="B178" s="51"/>
      <c r="C178" s="40"/>
      <c r="D178" s="126" t="s">
        <v>74</v>
      </c>
      <c r="E178" s="53"/>
      <c r="F178" s="197" t="s">
        <v>290</v>
      </c>
      <c r="G178" s="194" t="s">
        <v>18</v>
      </c>
      <c r="H178" s="78">
        <v>9</v>
      </c>
      <c r="I178" s="421">
        <f>'Acc Traffic'!G32</f>
        <v>9</v>
      </c>
      <c r="J178" s="47">
        <f t="shared" ca="1" si="50"/>
        <v>0</v>
      </c>
      <c r="K178" s="47">
        <f t="shared" ca="1" si="50"/>
        <v>0</v>
      </c>
      <c r="L178" s="47">
        <v>0</v>
      </c>
      <c r="M178" s="47">
        <v>500</v>
      </c>
      <c r="N178" s="47">
        <f t="shared" si="51"/>
        <v>4500</v>
      </c>
      <c r="O178" s="505">
        <f t="shared" si="52"/>
        <v>4500</v>
      </c>
      <c r="P178" s="48">
        <f t="shared" si="53"/>
        <v>0</v>
      </c>
      <c r="Q178" s="82"/>
      <c r="R178" s="128"/>
      <c r="S178" s="83"/>
    </row>
    <row r="179" spans="2:19" ht="13.2">
      <c r="B179" s="51"/>
      <c r="C179" s="40"/>
      <c r="D179" s="201" t="s">
        <v>86</v>
      </c>
      <c r="E179" s="53"/>
      <c r="F179" s="197" t="s">
        <v>291</v>
      </c>
      <c r="G179" s="194" t="s">
        <v>18</v>
      </c>
      <c r="H179" s="78">
        <v>9</v>
      </c>
      <c r="I179" s="421">
        <f>'Acc Traffic'!G33</f>
        <v>9</v>
      </c>
      <c r="J179" s="47">
        <f t="shared" ca="1" si="50"/>
        <v>0</v>
      </c>
      <c r="K179" s="47">
        <f t="shared" ca="1" si="50"/>
        <v>0</v>
      </c>
      <c r="L179" s="47">
        <v>0</v>
      </c>
      <c r="M179" s="47">
        <v>500</v>
      </c>
      <c r="N179" s="47">
        <f t="shared" si="51"/>
        <v>4500</v>
      </c>
      <c r="O179" s="505">
        <f t="shared" si="52"/>
        <v>4500</v>
      </c>
      <c r="P179" s="48">
        <f t="shared" si="53"/>
        <v>0</v>
      </c>
      <c r="Q179" s="82"/>
      <c r="R179" s="128"/>
      <c r="S179" s="83"/>
    </row>
    <row r="180" spans="2:19" ht="13.2">
      <c r="B180" s="51"/>
      <c r="C180" s="126" t="s">
        <v>292</v>
      </c>
      <c r="D180" s="40"/>
      <c r="E180" s="53"/>
      <c r="F180" s="87" t="s">
        <v>293</v>
      </c>
      <c r="G180" s="78"/>
      <c r="H180" s="78"/>
      <c r="I180" s="421">
        <f>'Acc Traffic'!G34</f>
        <v>0</v>
      </c>
      <c r="J180" s="47"/>
      <c r="K180" s="47"/>
      <c r="L180" s="47"/>
      <c r="M180" s="46"/>
      <c r="N180" s="47" t="str">
        <f>IFERROR(IF(AND($G180&lt;&gt;"",$H180&lt;&gt;""),$H180*$M180,""),0)</f>
        <v/>
      </c>
      <c r="O180" s="505" t="str">
        <f>IFERROR(IF(AND($G180&lt;&gt;"",$H180&lt;&gt;""),$I180*$M180,""),0)</f>
        <v/>
      </c>
      <c r="P180" s="48" t="str">
        <f>IFERROR(IF(AND($G180&lt;&gt;"",$H180&lt;&gt;""),$L180*$M180,""),0)</f>
        <v/>
      </c>
      <c r="Q180" s="82"/>
      <c r="R180" s="128"/>
      <c r="S180" s="83"/>
    </row>
    <row r="181" spans="2:19" ht="13.2">
      <c r="B181" s="51"/>
      <c r="C181" s="126"/>
      <c r="D181" s="40" t="s">
        <v>67</v>
      </c>
      <c r="E181" s="53"/>
      <c r="F181" s="87" t="s">
        <v>294</v>
      </c>
      <c r="G181" s="78"/>
      <c r="H181" s="78"/>
      <c r="I181" s="421">
        <f>'Acc Traffic'!G35</f>
        <v>0</v>
      </c>
      <c r="J181" s="47"/>
      <c r="K181" s="47"/>
      <c r="L181" s="47"/>
      <c r="M181" s="46"/>
      <c r="N181" s="47" t="str">
        <f>IFERROR(IF(AND($G181&lt;&gt;"",$H181&lt;&gt;""),$H181*$M181,""),0)</f>
        <v/>
      </c>
      <c r="O181" s="505" t="str">
        <f>IFERROR(IF(AND($G181&lt;&gt;"",$H181&lt;&gt;""),$I181*$M181,""),0)</f>
        <v/>
      </c>
      <c r="P181" s="48" t="str">
        <f>IFERROR(IF(AND($G181&lt;&gt;"",$H181&lt;&gt;""),$L181*$M181,""),0)</f>
        <v/>
      </c>
      <c r="Q181" s="82"/>
      <c r="R181" s="128"/>
      <c r="S181" s="83"/>
    </row>
    <row r="182" spans="2:19" ht="13.2">
      <c r="B182" s="51"/>
      <c r="C182" s="126"/>
      <c r="D182" s="40"/>
      <c r="E182" s="40" t="s">
        <v>264</v>
      </c>
      <c r="F182" s="87" t="s">
        <v>295</v>
      </c>
      <c r="G182" s="78" t="s">
        <v>120</v>
      </c>
      <c r="H182" s="78">
        <v>10</v>
      </c>
      <c r="I182" s="421">
        <f>'Acc Traffic'!G36</f>
        <v>102</v>
      </c>
      <c r="J182" s="47">
        <f ca="1">K182-I182</f>
        <v>0</v>
      </c>
      <c r="K182" s="47">
        <f ca="1">L182-J182</f>
        <v>0</v>
      </c>
      <c r="L182" s="47">
        <v>0</v>
      </c>
      <c r="M182" s="46">
        <v>150</v>
      </c>
      <c r="N182" s="47">
        <f>+H182*M182</f>
        <v>1500</v>
      </c>
      <c r="O182" s="505">
        <f>+I182*M182</f>
        <v>15300</v>
      </c>
      <c r="P182" s="48">
        <f t="shared" ref="P182" si="54">+N182-O182</f>
        <v>-13800</v>
      </c>
      <c r="Q182" s="82"/>
      <c r="R182" s="128"/>
      <c r="S182" s="83"/>
    </row>
    <row r="183" spans="2:19" ht="13.2">
      <c r="B183" s="51"/>
      <c r="C183" s="126"/>
      <c r="D183" s="40" t="s">
        <v>70</v>
      </c>
      <c r="E183" s="53"/>
      <c r="F183" s="87" t="s">
        <v>296</v>
      </c>
      <c r="G183" s="78"/>
      <c r="H183" s="78"/>
      <c r="I183" s="421"/>
      <c r="J183" s="47"/>
      <c r="K183" s="47"/>
      <c r="L183" s="47"/>
      <c r="M183" s="46"/>
      <c r="N183" s="47" t="str">
        <f>IFERROR(IF(AND($G183&lt;&gt;"",$H183&lt;&gt;""),$H183*$M183,""),0)</f>
        <v/>
      </c>
      <c r="O183" s="505" t="str">
        <f>IFERROR(IF(AND($G183&lt;&gt;"",$H183&lt;&gt;""),$I183*$M183,""),0)</f>
        <v/>
      </c>
      <c r="P183" s="48" t="str">
        <f>IFERROR(IF(AND($G183&lt;&gt;"",$H183&lt;&gt;""),$L183*$M183,""),0)</f>
        <v/>
      </c>
      <c r="Q183" s="82"/>
      <c r="R183" s="128"/>
      <c r="S183" s="83"/>
    </row>
    <row r="184" spans="2:19" ht="13.2">
      <c r="B184" s="51"/>
      <c r="C184" s="126"/>
      <c r="D184" s="40"/>
      <c r="E184" s="40" t="s">
        <v>278</v>
      </c>
      <c r="F184" s="87" t="s">
        <v>297</v>
      </c>
      <c r="G184" s="78" t="s">
        <v>120</v>
      </c>
      <c r="H184" s="78">
        <v>10</v>
      </c>
      <c r="I184" s="421">
        <f>'Acc Traffic'!G38</f>
        <v>33</v>
      </c>
      <c r="J184" s="47">
        <f t="shared" ref="J184:L193" ca="1" si="55">K184-I184</f>
        <v>0</v>
      </c>
      <c r="K184" s="47">
        <f t="shared" ca="1" si="55"/>
        <v>0</v>
      </c>
      <c r="L184" s="47">
        <f t="shared" ca="1" si="55"/>
        <v>0</v>
      </c>
      <c r="M184" s="46">
        <v>150</v>
      </c>
      <c r="N184" s="47">
        <f t="shared" ref="N184:N196" si="56">+H184*M184</f>
        <v>1500</v>
      </c>
      <c r="O184" s="505">
        <f t="shared" ref="O184:O196" si="57">+I184*M184</f>
        <v>4950</v>
      </c>
      <c r="P184" s="48">
        <f t="shared" ref="P184:P193" si="58">+N184-O184</f>
        <v>-3450</v>
      </c>
      <c r="Q184" s="82"/>
      <c r="R184" s="128"/>
      <c r="S184" s="83"/>
    </row>
    <row r="185" spans="2:19" ht="13.2">
      <c r="B185" s="51"/>
      <c r="C185" s="126"/>
      <c r="D185" s="40" t="s">
        <v>72</v>
      </c>
      <c r="E185" s="53"/>
      <c r="F185" s="87" t="s">
        <v>298</v>
      </c>
      <c r="G185" s="78" t="s">
        <v>120</v>
      </c>
      <c r="H185" s="78">
        <v>4</v>
      </c>
      <c r="I185" s="421">
        <f>'Acc Traffic'!G39</f>
        <v>0</v>
      </c>
      <c r="J185" s="47">
        <f t="shared" ca="1" si="55"/>
        <v>0</v>
      </c>
      <c r="K185" s="47">
        <f t="shared" ca="1" si="55"/>
        <v>0</v>
      </c>
      <c r="L185" s="47">
        <v>0</v>
      </c>
      <c r="M185" s="46">
        <v>150</v>
      </c>
      <c r="N185" s="47">
        <f t="shared" si="56"/>
        <v>600</v>
      </c>
      <c r="O185" s="505">
        <f t="shared" si="57"/>
        <v>0</v>
      </c>
      <c r="P185" s="48">
        <f t="shared" si="58"/>
        <v>600</v>
      </c>
      <c r="Q185" s="82"/>
      <c r="R185" s="128"/>
      <c r="S185" s="83"/>
    </row>
    <row r="186" spans="2:19" ht="22.8">
      <c r="B186" s="51"/>
      <c r="C186" s="126"/>
      <c r="D186" s="40" t="s">
        <v>74</v>
      </c>
      <c r="E186" s="53"/>
      <c r="F186" s="77" t="s">
        <v>299</v>
      </c>
      <c r="G186" s="78" t="s">
        <v>120</v>
      </c>
      <c r="H186" s="78">
        <v>8</v>
      </c>
      <c r="I186" s="421">
        <f>'Acc Traffic'!G40</f>
        <v>30</v>
      </c>
      <c r="J186" s="47">
        <f t="shared" ca="1" si="55"/>
        <v>0</v>
      </c>
      <c r="K186" s="47">
        <f t="shared" ca="1" si="55"/>
        <v>0</v>
      </c>
      <c r="L186" s="47">
        <f t="shared" ca="1" si="55"/>
        <v>0</v>
      </c>
      <c r="M186" s="46">
        <v>150</v>
      </c>
      <c r="N186" s="47">
        <f t="shared" si="56"/>
        <v>1200</v>
      </c>
      <c r="O186" s="505">
        <f t="shared" si="57"/>
        <v>4500</v>
      </c>
      <c r="P186" s="48">
        <f t="shared" si="58"/>
        <v>-3300</v>
      </c>
      <c r="Q186" s="82"/>
      <c r="R186" s="49"/>
      <c r="S186" s="90"/>
    </row>
    <row r="187" spans="2:19" ht="22.8">
      <c r="B187" s="51"/>
      <c r="C187" s="126"/>
      <c r="D187" s="40" t="s">
        <v>76</v>
      </c>
      <c r="E187" s="53"/>
      <c r="F187" s="77" t="s">
        <v>300</v>
      </c>
      <c r="G187" s="78" t="s">
        <v>120</v>
      </c>
      <c r="H187" s="78">
        <v>2</v>
      </c>
      <c r="I187" s="421">
        <f>'Acc Traffic'!G41</f>
        <v>0</v>
      </c>
      <c r="J187" s="47">
        <f t="shared" ca="1" si="55"/>
        <v>0</v>
      </c>
      <c r="K187" s="47">
        <f t="shared" ca="1" si="55"/>
        <v>0</v>
      </c>
      <c r="L187" s="47">
        <f t="shared" ca="1" si="55"/>
        <v>0</v>
      </c>
      <c r="M187" s="46">
        <v>150</v>
      </c>
      <c r="N187" s="47">
        <f t="shared" si="56"/>
        <v>300</v>
      </c>
      <c r="O187" s="505">
        <f t="shared" si="57"/>
        <v>0</v>
      </c>
      <c r="P187" s="48">
        <f t="shared" si="58"/>
        <v>300</v>
      </c>
      <c r="Q187" s="82"/>
      <c r="R187" s="128"/>
      <c r="S187" s="83"/>
    </row>
    <row r="188" spans="2:19" ht="13.2">
      <c r="B188" s="51"/>
      <c r="C188" s="126"/>
      <c r="D188" s="40" t="s">
        <v>78</v>
      </c>
      <c r="E188" s="53"/>
      <c r="F188" s="77" t="s">
        <v>301</v>
      </c>
      <c r="G188" s="78" t="s">
        <v>120</v>
      </c>
      <c r="H188" s="78">
        <v>5</v>
      </c>
      <c r="I188" s="421">
        <f>'Acc Traffic'!G42</f>
        <v>0</v>
      </c>
      <c r="J188" s="47">
        <f t="shared" ca="1" si="55"/>
        <v>0</v>
      </c>
      <c r="K188" s="47">
        <f t="shared" ca="1" si="55"/>
        <v>0</v>
      </c>
      <c r="L188" s="47">
        <v>0</v>
      </c>
      <c r="M188" s="46">
        <v>150</v>
      </c>
      <c r="N188" s="47">
        <f t="shared" si="56"/>
        <v>750</v>
      </c>
      <c r="O188" s="505">
        <f t="shared" si="57"/>
        <v>0</v>
      </c>
      <c r="P188" s="48">
        <f t="shared" si="58"/>
        <v>750</v>
      </c>
      <c r="Q188" s="82"/>
      <c r="R188" s="128"/>
      <c r="S188" s="83"/>
    </row>
    <row r="189" spans="2:19" ht="13.2">
      <c r="B189" s="51"/>
      <c r="C189" s="126"/>
      <c r="D189" s="40" t="s">
        <v>86</v>
      </c>
      <c r="E189" s="53"/>
      <c r="F189" s="77" t="s">
        <v>302</v>
      </c>
      <c r="G189" s="78" t="s">
        <v>120</v>
      </c>
      <c r="H189" s="78">
        <v>5</v>
      </c>
      <c r="I189" s="421">
        <f>'Acc Traffic'!G43</f>
        <v>54</v>
      </c>
      <c r="J189" s="47">
        <f t="shared" ca="1" si="55"/>
        <v>0</v>
      </c>
      <c r="K189" s="47">
        <f t="shared" ca="1" si="55"/>
        <v>0</v>
      </c>
      <c r="L189" s="47">
        <v>0</v>
      </c>
      <c r="M189" s="46">
        <v>150</v>
      </c>
      <c r="N189" s="47">
        <f t="shared" si="56"/>
        <v>750</v>
      </c>
      <c r="O189" s="505">
        <f t="shared" si="57"/>
        <v>8100</v>
      </c>
      <c r="P189" s="48">
        <f t="shared" si="58"/>
        <v>-7350</v>
      </c>
      <c r="Q189" s="82"/>
      <c r="R189" s="128"/>
      <c r="S189" s="83"/>
    </row>
    <row r="190" spans="2:19" ht="13.2">
      <c r="B190" s="51"/>
      <c r="C190" s="126"/>
      <c r="D190" s="40" t="s">
        <v>303</v>
      </c>
      <c r="E190" s="53"/>
      <c r="F190" s="77" t="s">
        <v>304</v>
      </c>
      <c r="G190" s="78" t="s">
        <v>120</v>
      </c>
      <c r="H190" s="78">
        <v>5</v>
      </c>
      <c r="I190" s="421">
        <f>'Acc Traffic'!G44</f>
        <v>0</v>
      </c>
      <c r="J190" s="47">
        <f t="shared" si="55"/>
        <v>0</v>
      </c>
      <c r="K190" s="47">
        <v>0</v>
      </c>
      <c r="L190" s="47">
        <v>0</v>
      </c>
      <c r="M190" s="46">
        <v>150</v>
      </c>
      <c r="N190" s="47">
        <f t="shared" si="56"/>
        <v>750</v>
      </c>
      <c r="O190" s="505">
        <f t="shared" si="57"/>
        <v>0</v>
      </c>
      <c r="P190" s="48">
        <f t="shared" si="58"/>
        <v>750</v>
      </c>
      <c r="Q190" s="82"/>
      <c r="R190" s="128"/>
      <c r="S190" s="83"/>
    </row>
    <row r="191" spans="2:19" ht="13.2">
      <c r="B191" s="51"/>
      <c r="C191" s="126"/>
      <c r="D191" s="40" t="s">
        <v>264</v>
      </c>
      <c r="E191" s="53"/>
      <c r="F191" s="77" t="s">
        <v>305</v>
      </c>
      <c r="G191" s="78" t="s">
        <v>120</v>
      </c>
      <c r="H191" s="78">
        <v>5</v>
      </c>
      <c r="I191" s="421">
        <f>'Acc Traffic'!G45</f>
        <v>0</v>
      </c>
      <c r="J191" s="47">
        <f t="shared" ca="1" si="55"/>
        <v>0</v>
      </c>
      <c r="K191" s="47">
        <f t="shared" ca="1" si="55"/>
        <v>0</v>
      </c>
      <c r="L191" s="47">
        <v>0</v>
      </c>
      <c r="M191" s="46">
        <v>150</v>
      </c>
      <c r="N191" s="47">
        <f t="shared" si="56"/>
        <v>750</v>
      </c>
      <c r="O191" s="505">
        <f t="shared" si="57"/>
        <v>0</v>
      </c>
      <c r="P191" s="48">
        <f t="shared" si="58"/>
        <v>750</v>
      </c>
      <c r="Q191" s="82"/>
      <c r="R191" s="128"/>
      <c r="S191" s="83"/>
    </row>
    <row r="192" spans="2:19" ht="13.2">
      <c r="B192" s="27" t="s">
        <v>306</v>
      </c>
      <c r="C192" s="40"/>
      <c r="D192" s="40"/>
      <c r="E192" s="53"/>
      <c r="F192" s="95" t="s">
        <v>307</v>
      </c>
      <c r="G192" s="78" t="s">
        <v>308</v>
      </c>
      <c r="H192" s="78">
        <v>18</v>
      </c>
      <c r="I192" s="421">
        <f>'Acc Traffic'!G46</f>
        <v>15</v>
      </c>
      <c r="J192" s="47">
        <f t="shared" ca="1" si="55"/>
        <v>0</v>
      </c>
      <c r="K192" s="47">
        <f t="shared" ca="1" si="55"/>
        <v>0</v>
      </c>
      <c r="L192" s="47">
        <v>0</v>
      </c>
      <c r="M192" s="46">
        <v>90000</v>
      </c>
      <c r="N192" s="47">
        <f t="shared" si="56"/>
        <v>1620000</v>
      </c>
      <c r="O192" s="505">
        <f t="shared" si="57"/>
        <v>1350000</v>
      </c>
      <c r="P192" s="48">
        <f t="shared" si="58"/>
        <v>270000</v>
      </c>
      <c r="Q192" s="161" t="s">
        <v>788</v>
      </c>
      <c r="R192" s="128"/>
      <c r="S192" s="83"/>
    </row>
    <row r="193" spans="2:26" ht="13.2">
      <c r="B193" s="27" t="s">
        <v>309</v>
      </c>
      <c r="C193" s="40"/>
      <c r="D193" s="40"/>
      <c r="E193" s="53"/>
      <c r="F193" s="95" t="s">
        <v>310</v>
      </c>
      <c r="G193" s="78" t="s">
        <v>18</v>
      </c>
      <c r="H193" s="78">
        <v>18</v>
      </c>
      <c r="I193" s="421">
        <f>'Acc Traffic'!G47</f>
        <v>15</v>
      </c>
      <c r="J193" s="47">
        <f t="shared" ca="1" si="55"/>
        <v>0</v>
      </c>
      <c r="K193" s="47">
        <f t="shared" ca="1" si="55"/>
        <v>0</v>
      </c>
      <c r="L193" s="47">
        <f t="shared" ca="1" si="55"/>
        <v>0</v>
      </c>
      <c r="M193" s="46">
        <v>120000</v>
      </c>
      <c r="N193" s="47">
        <f t="shared" si="56"/>
        <v>2160000</v>
      </c>
      <c r="O193" s="505">
        <f t="shared" si="57"/>
        <v>1800000</v>
      </c>
      <c r="P193" s="48">
        <f t="shared" si="58"/>
        <v>360000</v>
      </c>
      <c r="Q193" s="161" t="s">
        <v>788</v>
      </c>
      <c r="R193" s="128"/>
      <c r="S193" s="83"/>
    </row>
    <row r="194" spans="2:26" ht="13.2">
      <c r="B194" s="27" t="s">
        <v>311</v>
      </c>
      <c r="C194" s="40"/>
      <c r="D194" s="40"/>
      <c r="E194" s="53"/>
      <c r="F194" s="92" t="s">
        <v>312</v>
      </c>
      <c r="G194" s="74"/>
      <c r="H194" s="82"/>
      <c r="I194" s="421"/>
      <c r="J194" s="47"/>
      <c r="K194" s="47"/>
      <c r="L194" s="47"/>
      <c r="M194" s="46"/>
      <c r="N194" s="47">
        <f t="shared" si="56"/>
        <v>0</v>
      </c>
      <c r="O194" s="505">
        <f t="shared" si="57"/>
        <v>0</v>
      </c>
      <c r="P194" s="48" t="str">
        <f>IFERROR(IF(AND($G194&lt;&gt;"",$H194&lt;&gt;""),$L194*$M194,""),0)</f>
        <v/>
      </c>
      <c r="Q194" s="82"/>
      <c r="R194" s="128"/>
      <c r="S194" s="83"/>
    </row>
    <row r="195" spans="2:26" ht="13.2">
      <c r="B195" s="51"/>
      <c r="C195" s="40"/>
      <c r="D195" s="189" t="s">
        <v>313</v>
      </c>
      <c r="E195" s="40"/>
      <c r="F195" s="197" t="s">
        <v>314</v>
      </c>
      <c r="G195" s="194" t="s">
        <v>266</v>
      </c>
      <c r="H195" s="78">
        <v>10</v>
      </c>
      <c r="I195" s="421">
        <f>'Acc Traffic'!G49</f>
        <v>10</v>
      </c>
      <c r="J195" s="47">
        <f ca="1">K195-I195</f>
        <v>0</v>
      </c>
      <c r="K195" s="47">
        <f ca="1">L195-J195</f>
        <v>0</v>
      </c>
      <c r="L195" s="47">
        <v>0</v>
      </c>
      <c r="M195" s="47">
        <v>50</v>
      </c>
      <c r="N195" s="47">
        <f t="shared" si="56"/>
        <v>500</v>
      </c>
      <c r="O195" s="505">
        <f t="shared" si="57"/>
        <v>500</v>
      </c>
      <c r="P195" s="48">
        <f t="shared" ref="P195" si="59">+N195-O195</f>
        <v>0</v>
      </c>
      <c r="Q195" s="82" t="s">
        <v>790</v>
      </c>
      <c r="R195" s="128"/>
      <c r="S195" s="83"/>
    </row>
    <row r="196" spans="2:26" ht="13.2">
      <c r="B196" s="51"/>
      <c r="C196" s="40"/>
      <c r="D196" s="189" t="s">
        <v>315</v>
      </c>
      <c r="E196" s="40"/>
      <c r="F196" s="202" t="s">
        <v>316</v>
      </c>
      <c r="G196" s="78" t="s">
        <v>317</v>
      </c>
      <c r="H196" s="78">
        <v>0</v>
      </c>
      <c r="I196" s="421">
        <f>'Acc Traffic'!G50</f>
        <v>0</v>
      </c>
      <c r="J196" s="47">
        <f ca="1">K196-I196</f>
        <v>0</v>
      </c>
      <c r="K196" s="47">
        <f ca="1">L196-J196</f>
        <v>0</v>
      </c>
      <c r="L196" s="47">
        <f ca="1">M196-K196</f>
        <v>0</v>
      </c>
      <c r="M196" s="46">
        <v>100000</v>
      </c>
      <c r="N196" s="47">
        <f t="shared" si="56"/>
        <v>0</v>
      </c>
      <c r="O196" s="505">
        <f t="shared" si="57"/>
        <v>0</v>
      </c>
      <c r="P196" s="48">
        <f ca="1">IFERROR(IF(AND($G196&lt;&gt;"",$H196&lt;&gt;""),$L196*$M196,""),0)</f>
        <v>0</v>
      </c>
      <c r="Q196" s="82"/>
      <c r="R196" s="128"/>
      <c r="S196" s="83"/>
    </row>
    <row r="197" spans="2:26" ht="24">
      <c r="B197" s="27" t="s">
        <v>318</v>
      </c>
      <c r="C197" s="40"/>
      <c r="D197" s="40"/>
      <c r="E197" s="53"/>
      <c r="F197" s="203" t="s">
        <v>319</v>
      </c>
      <c r="G197" s="74"/>
      <c r="H197" s="82"/>
      <c r="I197" s="421">
        <f>'Acc Traffic'!G51</f>
        <v>0</v>
      </c>
      <c r="J197" s="47"/>
      <c r="K197" s="47"/>
      <c r="L197" s="47"/>
      <c r="M197" s="46"/>
      <c r="N197" s="47"/>
      <c r="O197" s="505"/>
      <c r="P197" s="48" t="str">
        <f>IFERROR(IF(AND($G197&lt;&gt;"",$H197&lt;&gt;""),$L197*$M197,""),0)</f>
        <v/>
      </c>
      <c r="Q197" s="82"/>
      <c r="R197" s="128"/>
      <c r="S197" s="85"/>
    </row>
    <row r="198" spans="2:26" ht="25.95" customHeight="1">
      <c r="B198" s="51"/>
      <c r="C198" s="126" t="s">
        <v>320</v>
      </c>
      <c r="D198" s="40"/>
      <c r="E198" s="53"/>
      <c r="F198" s="197" t="s">
        <v>321</v>
      </c>
      <c r="G198" s="194" t="s">
        <v>55</v>
      </c>
      <c r="H198" s="78">
        <v>1</v>
      </c>
      <c r="I198" s="421">
        <f>'Acc Traffic'!G52</f>
        <v>0</v>
      </c>
      <c r="J198" s="47">
        <f t="shared" ref="J198:K199" ca="1" si="60">K198-I198</f>
        <v>0</v>
      </c>
      <c r="K198" s="47">
        <f t="shared" ca="1" si="60"/>
        <v>0</v>
      </c>
      <c r="L198" s="47">
        <v>0</v>
      </c>
      <c r="M198" s="47">
        <v>100000</v>
      </c>
      <c r="N198" s="47">
        <f>+H198*M198</f>
        <v>100000</v>
      </c>
      <c r="O198" s="505">
        <f>+I198*M198</f>
        <v>0</v>
      </c>
      <c r="P198" s="48">
        <f t="shared" ref="P198" si="61">+N198-O198</f>
        <v>100000</v>
      </c>
      <c r="Q198" s="161" t="s">
        <v>789</v>
      </c>
      <c r="R198" s="128"/>
      <c r="S198" s="85"/>
    </row>
    <row r="199" spans="2:26" ht="22.8">
      <c r="B199" s="96"/>
      <c r="C199" s="204" t="s">
        <v>322</v>
      </c>
      <c r="D199" s="98"/>
      <c r="E199" s="99"/>
      <c r="F199" s="197" t="s">
        <v>323</v>
      </c>
      <c r="G199" s="194" t="s">
        <v>58</v>
      </c>
      <c r="H199" s="205">
        <v>0</v>
      </c>
      <c r="I199" s="421">
        <f>'Acc Traffic'!G53</f>
        <v>0</v>
      </c>
      <c r="J199" s="47">
        <v>0</v>
      </c>
      <c r="K199" s="47">
        <f t="shared" si="60"/>
        <v>0</v>
      </c>
      <c r="L199" s="47">
        <v>0</v>
      </c>
      <c r="M199" s="206">
        <v>0.1</v>
      </c>
      <c r="N199" s="47">
        <f>+H199*M199</f>
        <v>0</v>
      </c>
      <c r="O199" s="505">
        <f>+I199*M199</f>
        <v>0</v>
      </c>
      <c r="P199" s="48">
        <v>0</v>
      </c>
      <c r="Q199" s="205"/>
      <c r="R199" s="128"/>
      <c r="S199" s="85"/>
    </row>
    <row r="200" spans="2:26" ht="13.2">
      <c r="B200" s="100" t="s">
        <v>103</v>
      </c>
      <c r="C200" s="101"/>
      <c r="D200" s="101"/>
      <c r="E200" s="102"/>
      <c r="F200" s="207"/>
      <c r="G200" s="208"/>
      <c r="H200" s="209"/>
      <c r="I200" s="209"/>
      <c r="J200" s="210"/>
      <c r="K200" s="107"/>
      <c r="L200" s="107"/>
      <c r="M200" s="107"/>
      <c r="N200" s="107">
        <f>SUM(N150:N199)</f>
        <v>7659396</v>
      </c>
      <c r="O200" s="500">
        <f>SUM(O149:O199)</f>
        <v>7440918</v>
      </c>
      <c r="P200" s="500">
        <f ca="1">SUM(P150:P199)</f>
        <v>0</v>
      </c>
      <c r="Q200" s="209"/>
      <c r="R200" s="109">
        <f ca="1">P200</f>
        <v>0</v>
      </c>
      <c r="S200" s="83"/>
      <c r="Z200" s="164">
        <f>+N200-O200</f>
        <v>218478</v>
      </c>
    </row>
    <row r="201" spans="2:26" ht="13.2">
      <c r="B201" s="144"/>
      <c r="C201" s="145"/>
      <c r="D201" s="145"/>
      <c r="E201" s="146"/>
      <c r="F201" s="147"/>
      <c r="G201" s="148" t="s">
        <v>324</v>
      </c>
      <c r="H201" s="149"/>
      <c r="I201" s="479"/>
      <c r="J201" s="150"/>
      <c r="K201" s="151"/>
      <c r="L201" s="151"/>
      <c r="M201" s="152"/>
      <c r="N201" s="151"/>
      <c r="O201" s="516"/>
      <c r="P201" s="153" t="str">
        <f>IFERROR(IF(AND($G201&lt;&gt;"",$H201&lt;&gt;""),$L201*$M201,""),0)</f>
        <v/>
      </c>
      <c r="Q201" s="149"/>
      <c r="R201" s="128"/>
      <c r="S201" s="83"/>
    </row>
    <row r="202" spans="2:26" ht="13.2">
      <c r="B202" s="592" t="s">
        <v>325</v>
      </c>
      <c r="C202" s="593"/>
      <c r="D202" s="593"/>
      <c r="E202" s="594"/>
      <c r="F202" s="92" t="s">
        <v>326</v>
      </c>
      <c r="G202" s="1"/>
      <c r="H202" s="211"/>
      <c r="I202" s="155"/>
      <c r="J202" s="64"/>
      <c r="K202" s="34"/>
      <c r="L202" s="34"/>
      <c r="M202" s="65"/>
      <c r="N202" s="34"/>
      <c r="O202" s="513"/>
      <c r="P202" s="48" t="str">
        <f>IFERROR(IF(AND($F202&lt;&gt;"",$H202&lt;&gt;""),$L202*$M202,""),0)</f>
        <v/>
      </c>
      <c r="Q202" s="155"/>
      <c r="R202" s="128"/>
      <c r="S202" s="212"/>
    </row>
    <row r="203" spans="2:26" ht="13.2">
      <c r="B203" s="27" t="s">
        <v>327</v>
      </c>
      <c r="C203" s="40"/>
      <c r="D203" s="40"/>
      <c r="E203" s="53"/>
      <c r="F203" s="92" t="s">
        <v>328</v>
      </c>
      <c r="G203" s="74"/>
      <c r="H203" s="82"/>
      <c r="I203" s="82"/>
      <c r="J203" s="86"/>
      <c r="K203" s="47"/>
      <c r="L203" s="47"/>
      <c r="M203" s="46"/>
      <c r="N203" s="47"/>
      <c r="O203" s="505"/>
      <c r="P203" s="48" t="str">
        <f>IFERROR(IF(AND($G203&lt;&gt;"",$H203&lt;&gt;""),$L203*$M203,""),0)</f>
        <v/>
      </c>
      <c r="Q203" s="82"/>
      <c r="R203" s="128"/>
      <c r="S203" s="83"/>
    </row>
    <row r="204" spans="2:26" ht="22.8">
      <c r="B204" s="51"/>
      <c r="C204" s="126" t="s">
        <v>329</v>
      </c>
      <c r="D204" s="40"/>
      <c r="E204" s="53"/>
      <c r="F204" s="197" t="s">
        <v>330</v>
      </c>
      <c r="G204" s="78" t="s">
        <v>331</v>
      </c>
      <c r="H204" s="82">
        <v>4.5</v>
      </c>
      <c r="I204" s="491">
        <f>'Clear and Grub'!G5</f>
        <v>4.46</v>
      </c>
      <c r="J204" s="47">
        <v>0</v>
      </c>
      <c r="K204" s="47">
        <f>L204-J204</f>
        <v>0</v>
      </c>
      <c r="L204" s="47">
        <v>0</v>
      </c>
      <c r="M204" s="46">
        <v>16500</v>
      </c>
      <c r="N204" s="47">
        <f>IFERROR(IF(AND($G204&lt;&gt;"",$H204&lt;&gt;""),$H204*$M204,""),0)</f>
        <v>74250</v>
      </c>
      <c r="O204" s="505">
        <f>IFERROR(IF(AND($G204&lt;&gt;"",$H204&lt;&gt;""),$I204*$M204,""),0)</f>
        <v>73590</v>
      </c>
      <c r="P204" s="48">
        <f t="shared" ref="P204" si="62">+N204-O204</f>
        <v>660</v>
      </c>
      <c r="Q204" s="82"/>
      <c r="R204" s="49"/>
      <c r="S204" s="90"/>
    </row>
    <row r="205" spans="2:26" ht="13.2">
      <c r="B205" s="27" t="s">
        <v>332</v>
      </c>
      <c r="C205" s="40"/>
      <c r="D205" s="40"/>
      <c r="E205" s="53"/>
      <c r="F205" s="92" t="s">
        <v>333</v>
      </c>
      <c r="G205" s="74"/>
      <c r="H205" s="82"/>
      <c r="I205" s="491"/>
      <c r="J205" s="47"/>
      <c r="K205" s="47"/>
      <c r="L205" s="47"/>
      <c r="M205" s="46"/>
      <c r="N205" s="47"/>
      <c r="O205" s="505"/>
      <c r="P205" s="48" t="str">
        <f>IFERROR(IF(AND($G205&lt;&gt;"",$H205&lt;&gt;""),$L205*$M205,""),0)</f>
        <v/>
      </c>
      <c r="Q205" s="82"/>
      <c r="R205" s="128"/>
      <c r="S205" s="83"/>
    </row>
    <row r="206" spans="2:26" ht="22.8">
      <c r="B206" s="51"/>
      <c r="C206" s="126" t="s">
        <v>334</v>
      </c>
      <c r="D206" s="40"/>
      <c r="E206" s="53"/>
      <c r="F206" s="197" t="s">
        <v>335</v>
      </c>
      <c r="G206" s="78" t="s">
        <v>331</v>
      </c>
      <c r="H206" s="82">
        <v>4.5</v>
      </c>
      <c r="I206" s="491">
        <f>'Clear and Grub'!G7</f>
        <v>4.46</v>
      </c>
      <c r="J206" s="47">
        <v>0</v>
      </c>
      <c r="K206" s="47">
        <f>L206-J206</f>
        <v>0</v>
      </c>
      <c r="L206" s="47">
        <v>0</v>
      </c>
      <c r="M206" s="46">
        <v>18000</v>
      </c>
      <c r="N206" s="47">
        <f>IFERROR(IF(AND($G206&lt;&gt;"",$H206&lt;&gt;""),$H206*$M206,""),0)</f>
        <v>81000</v>
      </c>
      <c r="O206" s="505">
        <f>IFERROR(IF(AND($G206&lt;&gt;"",$H206&lt;&gt;""),$I206*$M206,""),0)</f>
        <v>80280</v>
      </c>
      <c r="P206" s="48">
        <f t="shared" ref="P206" si="63">+N206-O206</f>
        <v>720</v>
      </c>
      <c r="Q206" s="82"/>
      <c r="R206" s="49"/>
      <c r="S206" s="90"/>
    </row>
    <row r="207" spans="2:26" ht="13.2">
      <c r="B207" s="27" t="s">
        <v>336</v>
      </c>
      <c r="C207" s="40"/>
      <c r="D207" s="40"/>
      <c r="E207" s="53"/>
      <c r="F207" s="92" t="s">
        <v>337</v>
      </c>
      <c r="G207" s="74"/>
      <c r="H207" s="82"/>
      <c r="I207" s="491"/>
      <c r="J207" s="47"/>
      <c r="K207" s="47"/>
      <c r="L207" s="47"/>
      <c r="M207" s="46"/>
      <c r="N207" s="47"/>
      <c r="O207" s="505"/>
      <c r="P207" s="48" t="str">
        <f>IFERROR(IF(AND($G207&lt;&gt;"",$H207&lt;&gt;""),$L207*$M207,""),0)</f>
        <v/>
      </c>
      <c r="Q207" s="82"/>
      <c r="R207" s="128"/>
      <c r="S207" s="83"/>
    </row>
    <row r="208" spans="2:26" ht="22.8">
      <c r="B208" s="213" t="s">
        <v>338</v>
      </c>
      <c r="C208" s="126"/>
      <c r="D208" s="126"/>
      <c r="E208" s="53"/>
      <c r="F208" s="54" t="s">
        <v>339</v>
      </c>
      <c r="G208" s="78"/>
      <c r="H208" s="82"/>
      <c r="I208" s="491"/>
      <c r="J208" s="47"/>
      <c r="K208" s="47"/>
      <c r="L208" s="47"/>
      <c r="M208" s="46"/>
      <c r="N208" s="47"/>
      <c r="O208" s="505"/>
      <c r="P208" s="48"/>
      <c r="Q208" s="82"/>
      <c r="R208" s="128"/>
      <c r="S208" s="212"/>
    </row>
    <row r="209" spans="2:19" ht="22.8">
      <c r="B209" s="187"/>
      <c r="C209" s="59"/>
      <c r="D209" s="126" t="s">
        <v>67</v>
      </c>
      <c r="E209" s="53"/>
      <c r="F209" s="54" t="s">
        <v>340</v>
      </c>
      <c r="G209" s="193" t="s">
        <v>341</v>
      </c>
      <c r="H209" s="82">
        <v>450000</v>
      </c>
      <c r="I209" s="491">
        <f>'Clear and Grub'!G10</f>
        <v>111500</v>
      </c>
      <c r="J209" s="47">
        <v>0</v>
      </c>
      <c r="K209" s="47">
        <f>L209-J209</f>
        <v>0</v>
      </c>
      <c r="L209" s="47">
        <v>0</v>
      </c>
      <c r="M209" s="46">
        <v>7</v>
      </c>
      <c r="N209" s="47">
        <f>IFERROR(IF(AND($G209&lt;&gt;"",$H209&lt;&gt;""),$H209*$M209,""),0)</f>
        <v>3150000</v>
      </c>
      <c r="O209" s="505">
        <f>IFERROR(IF(AND($G209&lt;&gt;"",$H209&lt;&gt;""),$I209*$M209,""),0)</f>
        <v>780500</v>
      </c>
      <c r="P209" s="48">
        <f t="shared" ref="P209" si="64">+N209-O209</f>
        <v>2369500</v>
      </c>
      <c r="Q209" s="82"/>
      <c r="R209" s="214"/>
      <c r="S209" s="215"/>
    </row>
    <row r="210" spans="2:19" ht="13.2">
      <c r="B210" s="100" t="s">
        <v>103</v>
      </c>
      <c r="C210" s="101"/>
      <c r="D210" s="101"/>
      <c r="E210" s="102"/>
      <c r="F210" s="207"/>
      <c r="G210" s="208"/>
      <c r="H210" s="209"/>
      <c r="I210" s="209"/>
      <c r="J210" s="210"/>
      <c r="K210" s="107"/>
      <c r="L210" s="107"/>
      <c r="M210" s="107"/>
      <c r="N210" s="107">
        <f>SUM(N204:N209)</f>
        <v>3305250</v>
      </c>
      <c r="O210" s="500">
        <f>SUM(O204:O209)</f>
        <v>934370</v>
      </c>
      <c r="P210" s="107">
        <f>SUM(P204:P209)</f>
        <v>2370880</v>
      </c>
      <c r="Q210" s="209"/>
      <c r="R210" s="109">
        <f>P210</f>
        <v>2370880</v>
      </c>
      <c r="S210" s="83"/>
    </row>
    <row r="211" spans="2:19" ht="13.2">
      <c r="B211" s="144"/>
      <c r="C211" s="145"/>
      <c r="D211" s="145"/>
      <c r="E211" s="146"/>
      <c r="F211" s="147"/>
      <c r="G211" s="216"/>
      <c r="H211" s="217"/>
      <c r="I211" s="480"/>
      <c r="J211" s="218"/>
      <c r="K211" s="118"/>
      <c r="L211" s="118"/>
      <c r="M211" s="121"/>
      <c r="N211" s="118"/>
      <c r="O211" s="514"/>
      <c r="P211" s="122" t="str">
        <f>IFERROR(IF(AND($G211&lt;&gt;"",$H211&lt;&gt;""),$L211*$M211,""),0)</f>
        <v/>
      </c>
      <c r="Q211" s="217"/>
      <c r="R211" s="128"/>
      <c r="S211" s="83"/>
    </row>
    <row r="212" spans="2:19" ht="13.2">
      <c r="B212" s="592" t="s">
        <v>342</v>
      </c>
      <c r="C212" s="593"/>
      <c r="D212" s="593"/>
      <c r="E212" s="594"/>
      <c r="F212" s="219" t="s">
        <v>343</v>
      </c>
      <c r="G212" s="1"/>
      <c r="H212" s="220"/>
      <c r="I212" s="220"/>
      <c r="J212" s="34"/>
      <c r="K212" s="34"/>
      <c r="L212" s="34"/>
      <c r="M212" s="34"/>
      <c r="N212" s="34"/>
      <c r="O212" s="517"/>
      <c r="P212" s="48" t="str">
        <f>IFERROR(IF(AND($F212&lt;&gt;"",$H212&lt;&gt;""),$L212*$M212,""),0)</f>
        <v/>
      </c>
      <c r="Q212" s="220"/>
      <c r="R212" s="128"/>
      <c r="S212" s="83"/>
    </row>
    <row r="213" spans="2:19" ht="13.2">
      <c r="B213" s="27" t="s">
        <v>344</v>
      </c>
      <c r="C213" s="59"/>
      <c r="D213" s="59"/>
      <c r="E213" s="60"/>
      <c r="F213" s="203" t="s">
        <v>345</v>
      </c>
      <c r="G213" s="74"/>
      <c r="H213" s="82"/>
      <c r="I213" s="82"/>
      <c r="J213" s="47"/>
      <c r="K213" s="47"/>
      <c r="L213" s="47"/>
      <c r="M213" s="46"/>
      <c r="N213" s="47"/>
      <c r="O213" s="505"/>
      <c r="P213" s="48" t="str">
        <f>IFERROR(IF(AND($G213&lt;&gt;"",$H213&lt;&gt;""),$L213*$M213,""),0)</f>
        <v/>
      </c>
      <c r="Q213" s="82"/>
      <c r="R213" s="128"/>
      <c r="S213" s="83"/>
    </row>
    <row r="214" spans="2:19" ht="13.2">
      <c r="B214" s="51"/>
      <c r="C214" s="40"/>
      <c r="D214" s="126" t="s">
        <v>67</v>
      </c>
      <c r="E214" s="53"/>
      <c r="F214" s="197" t="s">
        <v>346</v>
      </c>
      <c r="G214" s="74" t="s">
        <v>347</v>
      </c>
      <c r="H214" s="82">
        <v>990</v>
      </c>
      <c r="I214" s="491">
        <v>0</v>
      </c>
      <c r="J214" s="47">
        <v>0</v>
      </c>
      <c r="K214" s="47">
        <f>L214-J214</f>
        <v>0</v>
      </c>
      <c r="L214" s="47">
        <v>0</v>
      </c>
      <c r="M214" s="46">
        <v>105</v>
      </c>
      <c r="N214" s="47">
        <f t="shared" ref="N214:N231" si="65">IFERROR(IF(AND($G214&lt;&gt;"",$H214&lt;&gt;""),$H214*$M214,""),0)</f>
        <v>103950</v>
      </c>
      <c r="O214" s="505">
        <f t="shared" ref="O214:O220" si="66">IFERROR(IF(AND($G214&lt;&gt;"",$H214&lt;&gt;""),$I214*$M214,""),0)</f>
        <v>0</v>
      </c>
      <c r="P214" s="48">
        <f t="shared" ref="P214" si="67">+N214-O214</f>
        <v>103950</v>
      </c>
      <c r="Q214" s="82"/>
      <c r="R214" s="128"/>
      <c r="S214" s="90"/>
    </row>
    <row r="215" spans="2:19" ht="13.2">
      <c r="B215" s="51"/>
      <c r="C215" s="40"/>
      <c r="D215" s="126"/>
      <c r="E215" s="53"/>
      <c r="F215" s="197"/>
      <c r="G215" s="74"/>
      <c r="H215" s="82"/>
      <c r="I215" s="491"/>
      <c r="J215" s="47"/>
      <c r="K215" s="47"/>
      <c r="L215" s="47"/>
      <c r="M215" s="46"/>
      <c r="N215" s="47" t="str">
        <f t="shared" si="65"/>
        <v/>
      </c>
      <c r="O215" s="505" t="str">
        <f t="shared" si="66"/>
        <v/>
      </c>
      <c r="P215" s="48"/>
      <c r="Q215" s="82"/>
      <c r="R215" s="128"/>
      <c r="S215" s="90"/>
    </row>
    <row r="216" spans="2:19" ht="24">
      <c r="B216" s="51"/>
      <c r="C216" s="28" t="s">
        <v>348</v>
      </c>
      <c r="D216" s="59"/>
      <c r="E216" s="60"/>
      <c r="F216" s="196" t="s">
        <v>349</v>
      </c>
      <c r="G216" s="194"/>
      <c r="H216" s="91"/>
      <c r="I216" s="491"/>
      <c r="J216" s="47"/>
      <c r="K216" s="47"/>
      <c r="L216" s="47"/>
      <c r="M216" s="5"/>
      <c r="N216" s="47" t="str">
        <f t="shared" si="65"/>
        <v/>
      </c>
      <c r="O216" s="505" t="str">
        <f t="shared" si="66"/>
        <v/>
      </c>
      <c r="P216" s="48" t="str">
        <f>IFERROR(IF(AND($G216&lt;&gt;"",$H217&lt;&gt;""),$L216*$M217,""),0)</f>
        <v/>
      </c>
      <c r="Q216" s="82"/>
      <c r="R216" s="221"/>
      <c r="S216" s="90"/>
    </row>
    <row r="217" spans="2:19" ht="13.2">
      <c r="B217" s="51"/>
      <c r="C217" s="126" t="s">
        <v>348</v>
      </c>
      <c r="D217" s="40"/>
      <c r="E217" s="53"/>
      <c r="F217" s="197" t="s">
        <v>350</v>
      </c>
      <c r="G217" s="74" t="s">
        <v>351</v>
      </c>
      <c r="H217" s="222">
        <v>1930</v>
      </c>
      <c r="I217" s="491">
        <v>0</v>
      </c>
      <c r="J217" s="47">
        <v>0</v>
      </c>
      <c r="K217" s="47">
        <f>L217-J217</f>
        <v>0</v>
      </c>
      <c r="L217" s="47">
        <v>0</v>
      </c>
      <c r="M217" s="47">
        <v>105</v>
      </c>
      <c r="N217" s="47">
        <f t="shared" si="65"/>
        <v>202650</v>
      </c>
      <c r="O217" s="505">
        <f t="shared" si="66"/>
        <v>0</v>
      </c>
      <c r="P217" s="48" t="str">
        <f>IFERROR(IF(AND($G217&lt;&gt;"",$H218&lt;&gt;""),$L217*$M218,""),0)</f>
        <v/>
      </c>
      <c r="Q217" s="82"/>
      <c r="R217" s="221"/>
      <c r="S217" s="90"/>
    </row>
    <row r="218" spans="2:19" ht="13.2">
      <c r="B218" s="51"/>
      <c r="C218" s="126"/>
      <c r="D218" s="40"/>
      <c r="E218" s="53"/>
      <c r="F218" s="197"/>
      <c r="G218" s="74"/>
      <c r="H218" s="82"/>
      <c r="I218" s="491"/>
      <c r="J218" s="47"/>
      <c r="K218" s="47"/>
      <c r="L218" s="47"/>
      <c r="M218" s="46"/>
      <c r="N218" s="47" t="str">
        <f t="shared" si="65"/>
        <v/>
      </c>
      <c r="O218" s="505" t="str">
        <f t="shared" si="66"/>
        <v/>
      </c>
      <c r="P218" s="48"/>
      <c r="Q218" s="82"/>
      <c r="R218" s="221"/>
      <c r="S218" s="90"/>
    </row>
    <row r="219" spans="2:19" ht="36">
      <c r="B219" s="27" t="s">
        <v>352</v>
      </c>
      <c r="C219" s="59"/>
      <c r="D219" s="59"/>
      <c r="E219" s="60"/>
      <c r="F219" s="203" t="s">
        <v>353</v>
      </c>
      <c r="G219" s="223"/>
      <c r="H219" s="82"/>
      <c r="I219" s="492"/>
      <c r="J219" s="47"/>
      <c r="K219" s="47"/>
      <c r="L219" s="47"/>
      <c r="M219" s="46"/>
      <c r="N219" s="47" t="str">
        <f t="shared" si="65"/>
        <v/>
      </c>
      <c r="O219" s="505" t="str">
        <f t="shared" si="66"/>
        <v/>
      </c>
      <c r="P219" s="48" t="str">
        <f>IFERROR(IF(AND($G219&lt;&gt;"",$H221&lt;&gt;""),$L219*$M221,""),0)</f>
        <v/>
      </c>
      <c r="Q219" s="79"/>
      <c r="R219" s="221"/>
      <c r="S219" s="90"/>
    </row>
    <row r="220" spans="2:19" ht="13.2">
      <c r="B220" s="51"/>
      <c r="C220" s="28" t="s">
        <v>354</v>
      </c>
      <c r="D220" s="59"/>
      <c r="E220" s="60"/>
      <c r="F220" s="196" t="s">
        <v>355</v>
      </c>
      <c r="G220" s="194"/>
      <c r="H220" s="91"/>
      <c r="I220" s="491"/>
      <c r="J220" s="47"/>
      <c r="K220" s="47"/>
      <c r="L220" s="47"/>
      <c r="M220" s="5"/>
      <c r="N220" s="47" t="str">
        <f t="shared" si="65"/>
        <v/>
      </c>
      <c r="O220" s="505" t="str">
        <f t="shared" si="66"/>
        <v/>
      </c>
      <c r="P220" s="48" t="str">
        <f>IFERROR(IF(AND($G220&lt;&gt;"",$H222&lt;&gt;""),$L220*$M222,""),0)</f>
        <v/>
      </c>
      <c r="Q220" s="82"/>
      <c r="R220" s="221"/>
      <c r="S220" s="90"/>
    </row>
    <row r="221" spans="2:19" ht="13.2">
      <c r="B221" s="51"/>
      <c r="C221" s="40"/>
      <c r="D221" s="126" t="s">
        <v>67</v>
      </c>
      <c r="E221" s="53"/>
      <c r="F221" s="197" t="s">
        <v>356</v>
      </c>
      <c r="G221" s="74" t="s">
        <v>351</v>
      </c>
      <c r="H221" s="82">
        <v>200</v>
      </c>
      <c r="I221" s="491">
        <f>1.2*1.2*1*30</f>
        <v>43.199999999999996</v>
      </c>
      <c r="J221" s="47">
        <v>0</v>
      </c>
      <c r="K221" s="47">
        <f t="shared" ref="K221:K223" si="68">L221-J221</f>
        <v>0</v>
      </c>
      <c r="L221" s="47">
        <v>0</v>
      </c>
      <c r="M221" s="46">
        <v>190</v>
      </c>
      <c r="N221" s="47">
        <f t="shared" si="65"/>
        <v>38000</v>
      </c>
      <c r="O221" s="505">
        <f t="shared" ref="O221:O223" si="69">IFERROR(IF(AND($G221&lt;&gt;"",$H221&lt;&gt;""),$I221*$M221,""),0)</f>
        <v>8208</v>
      </c>
      <c r="P221" s="48">
        <f t="shared" ref="P221:P223" si="70">+N221-O221</f>
        <v>29792</v>
      </c>
      <c r="Q221" s="82"/>
      <c r="R221" s="128"/>
      <c r="S221" s="90"/>
    </row>
    <row r="222" spans="2:19" ht="13.2">
      <c r="B222" s="51"/>
      <c r="C222" s="40"/>
      <c r="D222" s="126" t="s">
        <v>70</v>
      </c>
      <c r="E222" s="53"/>
      <c r="F222" s="197" t="s">
        <v>357</v>
      </c>
      <c r="G222" s="74" t="s">
        <v>351</v>
      </c>
      <c r="H222" s="222">
        <v>540</v>
      </c>
      <c r="I222" s="491">
        <v>540</v>
      </c>
      <c r="J222" s="47">
        <v>0</v>
      </c>
      <c r="K222" s="47">
        <f t="shared" si="68"/>
        <v>0</v>
      </c>
      <c r="L222" s="47">
        <v>0</v>
      </c>
      <c r="M222" s="47">
        <v>190</v>
      </c>
      <c r="N222" s="47">
        <f t="shared" si="65"/>
        <v>102600</v>
      </c>
      <c r="O222" s="505">
        <f t="shared" si="69"/>
        <v>102600</v>
      </c>
      <c r="P222" s="48">
        <f t="shared" si="70"/>
        <v>0</v>
      </c>
      <c r="Q222" s="82"/>
      <c r="R222" s="128"/>
      <c r="S222" s="90"/>
    </row>
    <row r="223" spans="2:19" ht="13.2">
      <c r="B223" s="51"/>
      <c r="C223" s="40"/>
      <c r="D223" s="126" t="s">
        <v>72</v>
      </c>
      <c r="E223" s="53"/>
      <c r="F223" s="197" t="s">
        <v>358</v>
      </c>
      <c r="G223" s="74" t="s">
        <v>351</v>
      </c>
      <c r="H223" s="82">
        <v>1930</v>
      </c>
      <c r="I223" s="491">
        <f>22300*2*1*0.075*0.5</f>
        <v>1672.5</v>
      </c>
      <c r="J223" s="47">
        <v>0</v>
      </c>
      <c r="K223" s="47">
        <f t="shared" si="68"/>
        <v>0</v>
      </c>
      <c r="L223" s="47">
        <v>0</v>
      </c>
      <c r="M223" s="46">
        <v>190</v>
      </c>
      <c r="N223" s="47">
        <f t="shared" si="65"/>
        <v>366700</v>
      </c>
      <c r="O223" s="505">
        <f t="shared" si="69"/>
        <v>317775</v>
      </c>
      <c r="P223" s="48">
        <f t="shared" si="70"/>
        <v>48925</v>
      </c>
      <c r="Q223" s="82"/>
      <c r="R223" s="128"/>
      <c r="S223" s="90"/>
    </row>
    <row r="224" spans="2:19" ht="13.2">
      <c r="B224" s="51"/>
      <c r="C224" s="40"/>
      <c r="D224" s="126"/>
      <c r="E224" s="53"/>
      <c r="F224" s="197"/>
      <c r="G224" s="74"/>
      <c r="H224" s="82"/>
      <c r="I224" s="491"/>
      <c r="J224" s="47"/>
      <c r="K224" s="47"/>
      <c r="L224" s="47"/>
      <c r="M224" s="46"/>
      <c r="N224" s="47" t="str">
        <f t="shared" si="65"/>
        <v/>
      </c>
      <c r="O224" s="505" t="str">
        <f t="shared" ref="O224:O245" si="71">IFERROR(IF(AND($G224&lt;&gt;"",$H224&lt;&gt;""),$I224*$M224,""),0)</f>
        <v/>
      </c>
      <c r="P224" s="48"/>
      <c r="Q224" s="82"/>
      <c r="R224" s="128"/>
      <c r="S224" s="90"/>
    </row>
    <row r="225" spans="2:19" s="91" customFormat="1" ht="24">
      <c r="B225" s="27" t="s">
        <v>359</v>
      </c>
      <c r="C225" s="40"/>
      <c r="D225" s="126"/>
      <c r="E225" s="53"/>
      <c r="F225" s="224" t="s">
        <v>360</v>
      </c>
      <c r="G225" s="74"/>
      <c r="H225" s="82"/>
      <c r="I225" s="491"/>
      <c r="J225" s="47"/>
      <c r="K225" s="47"/>
      <c r="L225" s="47"/>
      <c r="M225" s="46"/>
      <c r="N225" s="47" t="str">
        <f t="shared" si="65"/>
        <v/>
      </c>
      <c r="O225" s="505" t="str">
        <f t="shared" si="71"/>
        <v/>
      </c>
      <c r="P225" s="48"/>
      <c r="Q225" s="82"/>
      <c r="R225" s="128"/>
      <c r="S225" s="90"/>
    </row>
    <row r="226" spans="2:19" s="91" customFormat="1" ht="22.8">
      <c r="B226" s="51"/>
      <c r="C226" s="126" t="s">
        <v>361</v>
      </c>
      <c r="D226" s="40"/>
      <c r="E226" s="60"/>
      <c r="F226" s="225" t="s">
        <v>362</v>
      </c>
      <c r="G226" s="74"/>
      <c r="I226" s="491"/>
      <c r="J226" s="47"/>
      <c r="K226" s="47"/>
      <c r="L226" s="47"/>
      <c r="M226" s="46"/>
      <c r="N226" s="47" t="str">
        <f t="shared" si="65"/>
        <v/>
      </c>
      <c r="O226" s="505" t="str">
        <f t="shared" si="71"/>
        <v/>
      </c>
      <c r="P226" s="48"/>
      <c r="Q226" s="82"/>
      <c r="R226" s="128"/>
      <c r="S226" s="90"/>
    </row>
    <row r="227" spans="2:19" s="91" customFormat="1" ht="13.2">
      <c r="B227" s="51"/>
      <c r="C227" s="40"/>
      <c r="D227" s="126" t="s">
        <v>67</v>
      </c>
      <c r="E227" s="53"/>
      <c r="F227" s="225" t="s">
        <v>363</v>
      </c>
      <c r="G227" s="74" t="s">
        <v>351</v>
      </c>
      <c r="H227" s="82">
        <v>2460</v>
      </c>
      <c r="I227" s="491">
        <f>+I235*0.42</f>
        <v>911.4</v>
      </c>
      <c r="J227" s="47">
        <v>0</v>
      </c>
      <c r="K227" s="47">
        <f>L227-J227</f>
        <v>0</v>
      </c>
      <c r="L227" s="47">
        <v>0</v>
      </c>
      <c r="M227" s="46">
        <v>190</v>
      </c>
      <c r="N227" s="47">
        <f t="shared" si="65"/>
        <v>467400</v>
      </c>
      <c r="O227" s="505">
        <f t="shared" si="71"/>
        <v>173166</v>
      </c>
      <c r="P227" s="48">
        <f t="shared" ref="P227" si="72">+N227-O227</f>
        <v>294234</v>
      </c>
      <c r="Q227" s="82"/>
      <c r="R227" s="128"/>
      <c r="S227" s="90"/>
    </row>
    <row r="228" spans="2:19" s="91" customFormat="1" ht="13.2">
      <c r="B228" s="27" t="s">
        <v>364</v>
      </c>
      <c r="C228" s="40"/>
      <c r="D228" s="126"/>
      <c r="E228" s="53"/>
      <c r="F228" s="224" t="s">
        <v>365</v>
      </c>
      <c r="G228" s="74"/>
      <c r="H228" s="82"/>
      <c r="I228" s="491"/>
      <c r="J228" s="47"/>
      <c r="K228" s="47"/>
      <c r="L228" s="47"/>
      <c r="M228" s="46"/>
      <c r="N228" s="47" t="str">
        <f t="shared" si="65"/>
        <v/>
      </c>
      <c r="O228" s="505" t="str">
        <f t="shared" si="71"/>
        <v/>
      </c>
      <c r="P228" s="48"/>
      <c r="Q228" s="82"/>
      <c r="R228" s="128"/>
      <c r="S228" s="90"/>
    </row>
    <row r="229" spans="2:19" s="91" customFormat="1" ht="22.8">
      <c r="B229" s="51"/>
      <c r="C229" s="126" t="s">
        <v>366</v>
      </c>
      <c r="D229" s="126"/>
      <c r="E229" s="53"/>
      <c r="F229" s="225" t="s">
        <v>367</v>
      </c>
      <c r="G229" s="74" t="s">
        <v>351</v>
      </c>
      <c r="H229" s="82">
        <v>1720</v>
      </c>
      <c r="I229" s="491">
        <v>0</v>
      </c>
      <c r="J229" s="47">
        <v>0</v>
      </c>
      <c r="K229" s="47">
        <f>L229-J229</f>
        <v>0</v>
      </c>
      <c r="L229" s="47">
        <v>0</v>
      </c>
      <c r="M229" s="46">
        <v>75</v>
      </c>
      <c r="N229" s="47">
        <f t="shared" si="65"/>
        <v>129000</v>
      </c>
      <c r="O229" s="505">
        <f t="shared" si="71"/>
        <v>0</v>
      </c>
      <c r="P229" s="48">
        <f t="shared" ref="P229" si="73">+N229-O229</f>
        <v>129000</v>
      </c>
      <c r="Q229" s="82"/>
      <c r="R229" s="128"/>
      <c r="S229" s="90"/>
    </row>
    <row r="230" spans="2:19" s="91" customFormat="1" ht="24">
      <c r="B230" s="27" t="s">
        <v>368</v>
      </c>
      <c r="C230" s="40"/>
      <c r="D230" s="126"/>
      <c r="E230" s="53"/>
      <c r="F230" s="224" t="s">
        <v>369</v>
      </c>
      <c r="G230" s="74"/>
      <c r="H230" s="82"/>
      <c r="I230" s="491"/>
      <c r="J230" s="47"/>
      <c r="K230" s="47"/>
      <c r="L230" s="47"/>
      <c r="M230" s="46"/>
      <c r="N230" s="47" t="str">
        <f t="shared" si="65"/>
        <v/>
      </c>
      <c r="O230" s="505" t="str">
        <f t="shared" si="71"/>
        <v/>
      </c>
      <c r="P230" s="48"/>
      <c r="Q230" s="82"/>
      <c r="R230" s="128"/>
      <c r="S230" s="90"/>
    </row>
    <row r="231" spans="2:19" s="91" customFormat="1" ht="13.2">
      <c r="B231" s="51"/>
      <c r="C231" s="126" t="s">
        <v>370</v>
      </c>
      <c r="D231" s="126"/>
      <c r="E231" s="53"/>
      <c r="F231" s="225" t="s">
        <v>371</v>
      </c>
      <c r="G231" s="74" t="s">
        <v>351</v>
      </c>
      <c r="H231" s="82">
        <v>500</v>
      </c>
      <c r="I231" s="491">
        <f>+I235*0.12</f>
        <v>260.39999999999998</v>
      </c>
      <c r="J231" s="47">
        <v>0</v>
      </c>
      <c r="K231" s="47">
        <f>L231-J231</f>
        <v>0</v>
      </c>
      <c r="L231" s="47">
        <v>0</v>
      </c>
      <c r="M231" s="46">
        <v>650</v>
      </c>
      <c r="N231" s="47">
        <f t="shared" si="65"/>
        <v>325000</v>
      </c>
      <c r="O231" s="505">
        <f t="shared" si="71"/>
        <v>169259.99999999997</v>
      </c>
      <c r="P231" s="48">
        <f t="shared" ref="P231" si="74">+N231-O231</f>
        <v>155740.00000000003</v>
      </c>
      <c r="Q231" s="82"/>
      <c r="R231" s="128"/>
      <c r="S231" s="90"/>
    </row>
    <row r="232" spans="2:19" s="91" customFormat="1" ht="24">
      <c r="B232" s="27" t="s">
        <v>372</v>
      </c>
      <c r="C232" s="40"/>
      <c r="D232" s="126"/>
      <c r="E232" s="53"/>
      <c r="F232" s="224" t="s">
        <v>373</v>
      </c>
      <c r="G232" s="74"/>
      <c r="H232" s="82"/>
      <c r="I232" s="491"/>
      <c r="J232" s="47"/>
      <c r="K232" s="47"/>
      <c r="L232" s="47"/>
      <c r="M232" s="46"/>
      <c r="N232" s="47"/>
      <c r="O232" s="505" t="str">
        <f t="shared" si="71"/>
        <v/>
      </c>
      <c r="P232" s="48"/>
      <c r="Q232" s="82"/>
      <c r="R232" s="128"/>
      <c r="S232" s="90"/>
    </row>
    <row r="233" spans="2:19" s="91" customFormat="1" ht="13.2">
      <c r="B233" s="51"/>
      <c r="C233" s="126" t="s">
        <v>374</v>
      </c>
      <c r="D233" s="126"/>
      <c r="E233" s="53"/>
      <c r="F233" s="225" t="s">
        <v>375</v>
      </c>
      <c r="G233" s="74" t="s">
        <v>351</v>
      </c>
      <c r="H233" s="82">
        <v>250</v>
      </c>
      <c r="I233" s="491">
        <f>+I235*0.3</f>
        <v>651</v>
      </c>
      <c r="J233" s="47">
        <v>0</v>
      </c>
      <c r="K233" s="47">
        <f>L233-J233</f>
        <v>0</v>
      </c>
      <c r="L233" s="47">
        <v>0</v>
      </c>
      <c r="M233" s="46">
        <v>650</v>
      </c>
      <c r="N233" s="47">
        <f>IFERROR(IF(AND($G233&lt;&gt;"",$H233&lt;&gt;""),$H233*$M233,""),0)</f>
        <v>162500</v>
      </c>
      <c r="O233" s="505">
        <f t="shared" si="71"/>
        <v>423150</v>
      </c>
      <c r="P233" s="48">
        <f t="shared" ref="P233" si="75">+N233-O233</f>
        <v>-260650</v>
      </c>
      <c r="Q233" s="82"/>
      <c r="R233" s="128"/>
      <c r="S233" s="90"/>
    </row>
    <row r="234" spans="2:19" s="91" customFormat="1" ht="13.2">
      <c r="B234" s="27" t="s">
        <v>376</v>
      </c>
      <c r="C234" s="40"/>
      <c r="D234" s="126"/>
      <c r="E234" s="53"/>
      <c r="F234" s="224" t="s">
        <v>377</v>
      </c>
      <c r="G234" s="74"/>
      <c r="H234" s="82"/>
      <c r="I234" s="491"/>
      <c r="J234" s="47"/>
      <c r="K234" s="47"/>
      <c r="L234" s="47"/>
      <c r="M234" s="46"/>
      <c r="N234" s="47"/>
      <c r="O234" s="505" t="str">
        <f t="shared" si="71"/>
        <v/>
      </c>
      <c r="P234" s="48"/>
      <c r="Q234" s="82"/>
      <c r="R234" s="128"/>
      <c r="S234" s="90"/>
    </row>
    <row r="235" spans="2:19" s="91" customFormat="1" ht="22.8">
      <c r="B235" s="51"/>
      <c r="C235" s="126" t="s">
        <v>378</v>
      </c>
      <c r="D235" s="126"/>
      <c r="E235" s="53"/>
      <c r="F235" s="225" t="s">
        <v>379</v>
      </c>
      <c r="G235" s="74" t="s">
        <v>380</v>
      </c>
      <c r="H235" s="82">
        <v>6132.5000000000009</v>
      </c>
      <c r="I235" s="491">
        <v>2170</v>
      </c>
      <c r="J235" s="47">
        <v>0</v>
      </c>
      <c r="K235" s="47">
        <f>L235-J235</f>
        <v>0</v>
      </c>
      <c r="L235" s="47">
        <v>0</v>
      </c>
      <c r="M235" s="46">
        <v>65</v>
      </c>
      <c r="N235" s="47">
        <f>IFERROR(IF(AND($G235&lt;&gt;"",$H235&lt;&gt;""),$H235*$M235,""),0)</f>
        <v>398612.50000000006</v>
      </c>
      <c r="O235" s="505">
        <f t="shared" si="71"/>
        <v>141050</v>
      </c>
      <c r="P235" s="48">
        <f t="shared" ref="P235" si="76">+N235-O235</f>
        <v>257562.50000000006</v>
      </c>
      <c r="Q235" s="82"/>
      <c r="R235" s="128"/>
      <c r="S235" s="90"/>
    </row>
    <row r="236" spans="2:19" s="91" customFormat="1" ht="13.2">
      <c r="B236" s="27" t="s">
        <v>381</v>
      </c>
      <c r="C236" s="40"/>
      <c r="D236" s="126"/>
      <c r="E236" s="53"/>
      <c r="F236" s="224" t="s">
        <v>382</v>
      </c>
      <c r="G236" s="74"/>
      <c r="H236" s="82"/>
      <c r="I236" s="491"/>
      <c r="J236" s="47"/>
      <c r="K236" s="47"/>
      <c r="L236" s="47"/>
      <c r="M236" s="46"/>
      <c r="N236" s="47"/>
      <c r="O236" s="505" t="str">
        <f t="shared" si="71"/>
        <v/>
      </c>
      <c r="P236" s="48"/>
      <c r="Q236" s="82"/>
      <c r="R236" s="128"/>
      <c r="S236" s="90"/>
    </row>
    <row r="237" spans="2:19" s="91" customFormat="1" ht="13.2">
      <c r="B237" s="51"/>
      <c r="C237" s="126" t="s">
        <v>383</v>
      </c>
      <c r="D237" s="126"/>
      <c r="E237" s="53"/>
      <c r="F237" s="225" t="s">
        <v>384</v>
      </c>
      <c r="G237" s="74" t="s">
        <v>126</v>
      </c>
      <c r="H237" s="82">
        <v>8590</v>
      </c>
      <c r="I237" s="491">
        <f>+I235*1.87</f>
        <v>4057.9</v>
      </c>
      <c r="J237" s="47">
        <v>0</v>
      </c>
      <c r="K237" s="47">
        <f>L237-J237</f>
        <v>0</v>
      </c>
      <c r="L237" s="47">
        <v>0</v>
      </c>
      <c r="M237" s="46">
        <v>35</v>
      </c>
      <c r="N237" s="47">
        <f>IFERROR(IF(AND($G237&lt;&gt;"",$H237&lt;&gt;""),$H237*$M237,""),0)</f>
        <v>300650</v>
      </c>
      <c r="O237" s="505">
        <f t="shared" si="71"/>
        <v>142026.5</v>
      </c>
      <c r="P237" s="48">
        <f t="shared" ref="P237" si="77">+N237-O237</f>
        <v>158623.5</v>
      </c>
      <c r="Q237" s="82"/>
      <c r="R237" s="128"/>
      <c r="S237" s="90"/>
    </row>
    <row r="238" spans="2:19" s="91" customFormat="1" ht="24">
      <c r="B238" s="27" t="s">
        <v>385</v>
      </c>
      <c r="C238" s="40"/>
      <c r="D238" s="126"/>
      <c r="E238" s="53"/>
      <c r="F238" s="224" t="s">
        <v>386</v>
      </c>
      <c r="G238" s="74"/>
      <c r="H238" s="82"/>
      <c r="I238" s="491"/>
      <c r="J238" s="47"/>
      <c r="K238" s="47"/>
      <c r="L238" s="47"/>
      <c r="M238" s="46"/>
      <c r="N238" s="47"/>
      <c r="O238" s="505" t="str">
        <f t="shared" si="71"/>
        <v/>
      </c>
      <c r="P238" s="48"/>
      <c r="Q238" s="82"/>
      <c r="R238" s="128"/>
      <c r="S238" s="90"/>
    </row>
    <row r="239" spans="2:19" s="91" customFormat="1" ht="13.2">
      <c r="B239" s="51"/>
      <c r="C239" s="126" t="s">
        <v>387</v>
      </c>
      <c r="D239" s="59"/>
      <c r="E239" s="60"/>
      <c r="F239" s="225" t="s">
        <v>388</v>
      </c>
      <c r="G239" s="194" t="s">
        <v>143</v>
      </c>
      <c r="H239" s="222">
        <v>60</v>
      </c>
      <c r="I239" s="491">
        <v>4</v>
      </c>
      <c r="J239" s="47">
        <v>0</v>
      </c>
      <c r="K239" s="47">
        <f>L239-J239</f>
        <v>0</v>
      </c>
      <c r="L239" s="47">
        <v>0</v>
      </c>
      <c r="M239" s="47">
        <v>1450</v>
      </c>
      <c r="N239" s="47">
        <f>IFERROR(IF(AND($G239&lt;&gt;"",$H239&lt;&gt;""),$H239*$M239,""),0)</f>
        <v>87000</v>
      </c>
      <c r="O239" s="505">
        <f t="shared" si="71"/>
        <v>5800</v>
      </c>
      <c r="P239" s="48">
        <f t="shared" ref="P239" si="78">+N239-O239</f>
        <v>81200</v>
      </c>
      <c r="Q239" s="82"/>
      <c r="R239" s="221"/>
      <c r="S239" s="90"/>
    </row>
    <row r="240" spans="2:19" s="91" customFormat="1" ht="13.2">
      <c r="B240" s="27" t="s">
        <v>389</v>
      </c>
      <c r="C240" s="28"/>
      <c r="D240" s="59"/>
      <c r="E240" s="60"/>
      <c r="F240" s="224" t="s">
        <v>390</v>
      </c>
      <c r="G240" s="194"/>
      <c r="H240" s="222"/>
      <c r="I240" s="491"/>
      <c r="J240" s="47"/>
      <c r="K240" s="47"/>
      <c r="L240" s="47"/>
      <c r="M240" s="47"/>
      <c r="N240" s="47"/>
      <c r="O240" s="505" t="str">
        <f t="shared" si="71"/>
        <v/>
      </c>
      <c r="P240" s="48"/>
      <c r="Q240" s="82"/>
      <c r="R240" s="221"/>
      <c r="S240" s="90"/>
    </row>
    <row r="241" spans="2:19" s="91" customFormat="1" ht="13.8" customHeight="1">
      <c r="B241" s="51"/>
      <c r="C241" s="126" t="s">
        <v>391</v>
      </c>
      <c r="D241" s="59"/>
      <c r="E241" s="60"/>
      <c r="F241" s="225" t="s">
        <v>392</v>
      </c>
      <c r="G241" s="194" t="s">
        <v>143</v>
      </c>
      <c r="H241" s="222">
        <v>60</v>
      </c>
      <c r="I241" s="491">
        <v>8</v>
      </c>
      <c r="J241" s="47">
        <v>0</v>
      </c>
      <c r="K241" s="47">
        <f t="shared" ref="K241:K243" si="79">L241-J241</f>
        <v>0</v>
      </c>
      <c r="L241" s="47">
        <v>0</v>
      </c>
      <c r="M241" s="47">
        <v>185</v>
      </c>
      <c r="N241" s="47">
        <f>IFERROR(IF(AND($G241&lt;&gt;"",$H241&lt;&gt;""),$H241*$M241,""),0)</f>
        <v>11100</v>
      </c>
      <c r="O241" s="505">
        <f t="shared" si="71"/>
        <v>1480</v>
      </c>
      <c r="P241" s="48">
        <f t="shared" ref="P241:P243" si="80">+N241-O241</f>
        <v>9620</v>
      </c>
      <c r="Q241" s="82"/>
      <c r="R241" s="221"/>
      <c r="S241" s="90"/>
    </row>
    <row r="242" spans="2:19" s="91" customFormat="1" ht="13.2">
      <c r="B242" s="27" t="s">
        <v>393</v>
      </c>
      <c r="C242" s="28"/>
      <c r="D242" s="59"/>
      <c r="E242" s="60"/>
      <c r="F242" s="224" t="s">
        <v>394</v>
      </c>
      <c r="G242" s="194" t="s">
        <v>55</v>
      </c>
      <c r="H242" s="222">
        <v>1</v>
      </c>
      <c r="I242" s="491">
        <v>1</v>
      </c>
      <c r="J242" s="47">
        <v>0</v>
      </c>
      <c r="K242" s="47">
        <f t="shared" si="79"/>
        <v>0</v>
      </c>
      <c r="L242" s="47">
        <v>0</v>
      </c>
      <c r="M242" s="47">
        <v>100000</v>
      </c>
      <c r="N242" s="47">
        <f>IFERROR(IF(AND($G242&lt;&gt;"",$H242&lt;&gt;""),$H242*$M242,""),0)</f>
        <v>100000</v>
      </c>
      <c r="O242" s="505">
        <f t="shared" si="71"/>
        <v>100000</v>
      </c>
      <c r="P242" s="48">
        <f t="shared" si="80"/>
        <v>0</v>
      </c>
      <c r="Q242" s="82"/>
      <c r="R242" s="221"/>
      <c r="S242" s="90"/>
    </row>
    <row r="243" spans="2:19" s="91" customFormat="1" ht="27" customHeight="1">
      <c r="B243" s="27" t="s">
        <v>395</v>
      </c>
      <c r="C243" s="126"/>
      <c r="D243" s="59"/>
      <c r="E243" s="60"/>
      <c r="F243" s="226" t="s">
        <v>396</v>
      </c>
      <c r="G243" s="194" t="s">
        <v>143</v>
      </c>
      <c r="H243" s="222">
        <v>60</v>
      </c>
      <c r="I243" s="491">
        <v>4</v>
      </c>
      <c r="J243" s="47">
        <v>0</v>
      </c>
      <c r="K243" s="47">
        <f t="shared" si="79"/>
        <v>0</v>
      </c>
      <c r="L243" s="47">
        <v>0</v>
      </c>
      <c r="M243" s="47">
        <v>350</v>
      </c>
      <c r="N243" s="47">
        <f>IFERROR(IF(AND($G243&lt;&gt;"",$H243&lt;&gt;""),$H243*$M243,""),0)</f>
        <v>21000</v>
      </c>
      <c r="O243" s="505">
        <f t="shared" si="71"/>
        <v>1400</v>
      </c>
      <c r="P243" s="48">
        <f t="shared" si="80"/>
        <v>19600</v>
      </c>
      <c r="Q243" s="82"/>
      <c r="R243" s="221"/>
      <c r="S243" s="90"/>
    </row>
    <row r="244" spans="2:19" s="91" customFormat="1" ht="22.8">
      <c r="B244" s="51" t="s">
        <v>397</v>
      </c>
      <c r="C244" s="28"/>
      <c r="D244" s="59"/>
      <c r="E244" s="60"/>
      <c r="F244" s="227" t="s">
        <v>339</v>
      </c>
      <c r="G244" s="194"/>
      <c r="H244" s="222"/>
      <c r="I244" s="491"/>
      <c r="J244" s="47"/>
      <c r="K244" s="47"/>
      <c r="L244" s="47"/>
      <c r="M244" s="47"/>
      <c r="N244" s="47"/>
      <c r="O244" s="505" t="str">
        <f t="shared" si="71"/>
        <v/>
      </c>
      <c r="P244" s="48"/>
      <c r="Q244" s="82"/>
      <c r="R244" s="221"/>
      <c r="S244" s="90"/>
    </row>
    <row r="245" spans="2:19" s="91" customFormat="1" ht="22.8">
      <c r="B245" s="51"/>
      <c r="C245" s="28"/>
      <c r="D245" s="40" t="s">
        <v>67</v>
      </c>
      <c r="E245" s="60"/>
      <c r="F245" s="228" t="s">
        <v>340</v>
      </c>
      <c r="G245" s="193" t="s">
        <v>341</v>
      </c>
      <c r="H245" s="222">
        <v>92000</v>
      </c>
      <c r="I245" s="491">
        <f>Drains!K35</f>
        <v>56392.499999999993</v>
      </c>
      <c r="J245" s="47">
        <v>0</v>
      </c>
      <c r="K245" s="47">
        <f>L245-J245</f>
        <v>0</v>
      </c>
      <c r="L245" s="47">
        <v>0</v>
      </c>
      <c r="M245" s="47">
        <v>7</v>
      </c>
      <c r="N245" s="47">
        <f>IFERROR(IF(AND($G245&lt;&gt;"",$H245&lt;&gt;""),$H245*$M245,""),0)</f>
        <v>644000</v>
      </c>
      <c r="O245" s="505">
        <f t="shared" si="71"/>
        <v>394747.49999999994</v>
      </c>
      <c r="P245" s="48">
        <f t="shared" ref="P245" si="81">+N245-O245</f>
        <v>249252.50000000006</v>
      </c>
      <c r="Q245" s="82"/>
      <c r="R245" s="221"/>
      <c r="S245" s="90"/>
    </row>
    <row r="246" spans="2:19" s="231" customFormat="1" ht="13.2">
      <c r="B246" s="100" t="s">
        <v>103</v>
      </c>
      <c r="C246" s="101"/>
      <c r="D246" s="101"/>
      <c r="E246" s="102"/>
      <c r="F246" s="207"/>
      <c r="G246" s="208"/>
      <c r="H246" s="209"/>
      <c r="I246" s="209"/>
      <c r="J246" s="107"/>
      <c r="K246" s="107"/>
      <c r="L246" s="107"/>
      <c r="M246" s="107"/>
      <c r="N246" s="107">
        <f>SUM(N214:N245)</f>
        <v>3460162.5</v>
      </c>
      <c r="O246" s="500">
        <f>SUM(O214:O245)</f>
        <v>1980663</v>
      </c>
      <c r="P246" s="107">
        <f>SUM(P214:P245)</f>
        <v>1276849.5</v>
      </c>
      <c r="Q246" s="209"/>
      <c r="R246" s="109">
        <f>P246</f>
        <v>1276849.5</v>
      </c>
      <c r="S246" s="230"/>
    </row>
    <row r="247" spans="2:19" s="231" customFormat="1" ht="13.2">
      <c r="B247" s="232"/>
      <c r="C247" s="232"/>
      <c r="D247" s="232"/>
      <c r="E247" s="233"/>
      <c r="F247" s="234"/>
      <c r="G247" s="235"/>
      <c r="H247" s="236"/>
      <c r="I247" s="236"/>
      <c r="J247" s="237"/>
      <c r="K247" s="238"/>
      <c r="L247" s="238"/>
      <c r="M247" s="238"/>
      <c r="N247" s="238"/>
      <c r="O247" s="518"/>
      <c r="P247" s="238"/>
      <c r="Q247" s="236"/>
      <c r="R247" s="109"/>
      <c r="S247" s="230"/>
    </row>
    <row r="248" spans="2:19" s="231" customFormat="1" ht="13.2">
      <c r="B248" s="592" t="s">
        <v>398</v>
      </c>
      <c r="C248" s="593"/>
      <c r="D248" s="593"/>
      <c r="E248" s="594"/>
      <c r="F248" s="239" t="s">
        <v>399</v>
      </c>
      <c r="G248" s="240"/>
      <c r="H248" s="241"/>
      <c r="I248" s="481"/>
      <c r="J248" s="242"/>
      <c r="K248" s="243"/>
      <c r="L248" s="243"/>
      <c r="M248" s="243"/>
      <c r="N248" s="243"/>
      <c r="O248" s="519"/>
      <c r="P248" s="244" t="str">
        <f>IFERROR(IF(AND($F248&lt;&gt;"",$H248&lt;&gt;""),$L248*$M248,""),0)</f>
        <v/>
      </c>
      <c r="Q248" s="241"/>
      <c r="R248" s="109"/>
      <c r="S248" s="230"/>
    </row>
    <row r="249" spans="2:19" s="231" customFormat="1" ht="13.2">
      <c r="B249" s="27"/>
      <c r="C249" s="28"/>
      <c r="D249" s="28"/>
      <c r="E249" s="29"/>
      <c r="F249" s="245"/>
      <c r="G249" s="1"/>
      <c r="H249" s="246"/>
      <c r="I249" s="482"/>
      <c r="J249" s="34"/>
      <c r="K249" s="34"/>
      <c r="L249" s="34"/>
      <c r="M249" s="34"/>
      <c r="N249" s="34"/>
      <c r="O249" s="517"/>
      <c r="P249" s="48"/>
      <c r="Q249" s="246"/>
      <c r="R249" s="109"/>
      <c r="S249" s="230"/>
    </row>
    <row r="250" spans="2:19" s="231" customFormat="1" ht="13.2">
      <c r="B250" s="27" t="s">
        <v>400</v>
      </c>
      <c r="C250" s="40"/>
      <c r="D250" s="40"/>
      <c r="E250" s="53"/>
      <c r="F250" s="203" t="s">
        <v>401</v>
      </c>
      <c r="G250" s="74"/>
      <c r="H250" s="82"/>
      <c r="I250" s="82"/>
      <c r="J250" s="7"/>
      <c r="K250" s="47"/>
      <c r="L250" s="7"/>
      <c r="M250" s="46"/>
      <c r="N250" s="47"/>
      <c r="O250" s="505"/>
      <c r="P250" s="48" t="str">
        <f>IFERROR(IF(AND($G250&lt;&gt;"",$H250&lt;&gt;""),$L250*$M250,""),0)</f>
        <v/>
      </c>
      <c r="Q250" s="82"/>
      <c r="R250" s="109"/>
      <c r="S250" s="230"/>
    </row>
    <row r="251" spans="2:19" s="231" customFormat="1" ht="22.8">
      <c r="B251" s="51"/>
      <c r="C251" s="126" t="s">
        <v>402</v>
      </c>
      <c r="D251" s="40"/>
      <c r="E251" s="53"/>
      <c r="F251" s="197" t="s">
        <v>403</v>
      </c>
      <c r="G251" s="74" t="s">
        <v>126</v>
      </c>
      <c r="H251" s="78">
        <v>280</v>
      </c>
      <c r="I251" s="421">
        <f>'Kerbs_conc drains'!H5</f>
        <v>279.93</v>
      </c>
      <c r="J251" s="7">
        <v>0</v>
      </c>
      <c r="K251" s="247">
        <f t="shared" ref="K251:K252" si="82">L251-J251</f>
        <v>0</v>
      </c>
      <c r="L251" s="7">
        <v>0</v>
      </c>
      <c r="M251" s="247">
        <v>2100</v>
      </c>
      <c r="N251" s="247">
        <f>IFERROR(IF(AND($G251&lt;&gt;"",$H251&lt;&gt;""),$H251*$M251,""),0)</f>
        <v>588000</v>
      </c>
      <c r="O251" s="520">
        <f>IFERROR(IF(AND($G251&lt;&gt;"",$H251&lt;&gt;""),$I251*$M251,""),0)</f>
        <v>587853</v>
      </c>
      <c r="P251" s="48">
        <f t="shared" ref="P251:P252" si="83">+N251-O251</f>
        <v>147</v>
      </c>
      <c r="Q251" s="82"/>
      <c r="R251" s="109"/>
      <c r="S251" s="230"/>
    </row>
    <row r="252" spans="2:19" s="231" customFormat="1" ht="22.8">
      <c r="B252" s="51"/>
      <c r="C252" s="126" t="s">
        <v>404</v>
      </c>
      <c r="D252" s="40"/>
      <c r="E252" s="53"/>
      <c r="F252" s="197" t="s">
        <v>405</v>
      </c>
      <c r="G252" s="74" t="s">
        <v>126</v>
      </c>
      <c r="H252" s="78">
        <v>8370</v>
      </c>
      <c r="I252" s="421">
        <f>'Kerbs_conc drains'!H6</f>
        <v>2235.1</v>
      </c>
      <c r="J252" s="7">
        <v>0</v>
      </c>
      <c r="K252" s="247">
        <f t="shared" si="82"/>
        <v>0</v>
      </c>
      <c r="L252" s="7">
        <v>0</v>
      </c>
      <c r="M252" s="247">
        <v>140</v>
      </c>
      <c r="N252" s="247">
        <f>IFERROR(IF(AND($G252&lt;&gt;"",$H252&lt;&gt;""),$H252*$M252,""),0)</f>
        <v>1171800</v>
      </c>
      <c r="O252" s="520">
        <f>IFERROR(IF(AND($G252&lt;&gt;"",$H252&lt;&gt;""),$I252*$M252,""),0)</f>
        <v>312914</v>
      </c>
      <c r="P252" s="48">
        <f t="shared" si="83"/>
        <v>858886</v>
      </c>
      <c r="Q252" s="82"/>
      <c r="R252" s="109"/>
      <c r="S252" s="230"/>
    </row>
    <row r="253" spans="2:19" s="231" customFormat="1" ht="24">
      <c r="B253" s="27" t="s">
        <v>406</v>
      </c>
      <c r="C253" s="59"/>
      <c r="D253" s="59"/>
      <c r="E253" s="60"/>
      <c r="F253" s="42" t="s">
        <v>407</v>
      </c>
      <c r="G253" s="62"/>
      <c r="H253" s="63"/>
      <c r="I253" s="421"/>
      <c r="J253" s="7"/>
      <c r="K253" s="250"/>
      <c r="L253" s="7"/>
      <c r="M253" s="250"/>
      <c r="N253" s="250"/>
      <c r="O253" s="521"/>
      <c r="P253" s="249" t="str">
        <f>IFERROR(IF(AND($G253&lt;&gt;"",$H253&lt;&gt;""),$L253*$M253,""),0)</f>
        <v/>
      </c>
      <c r="Q253" s="63"/>
      <c r="R253" s="109"/>
      <c r="S253" s="230"/>
    </row>
    <row r="254" spans="2:19" s="231" customFormat="1" ht="13.2">
      <c r="B254" s="51"/>
      <c r="C254" s="126" t="s">
        <v>408</v>
      </c>
      <c r="D254" s="40"/>
      <c r="E254" s="53"/>
      <c r="F254" s="197" t="s">
        <v>409</v>
      </c>
      <c r="G254" s="74" t="s">
        <v>126</v>
      </c>
      <c r="H254" s="82">
        <v>1000</v>
      </c>
      <c r="I254" s="421">
        <f>'Kerbs_conc drains'!H8</f>
        <v>542.5</v>
      </c>
      <c r="J254" s="7">
        <v>0</v>
      </c>
      <c r="K254" s="247">
        <f t="shared" ref="K254:K256" si="84">L254-J254</f>
        <v>0</v>
      </c>
      <c r="L254" s="7">
        <v>0</v>
      </c>
      <c r="M254" s="248">
        <v>430</v>
      </c>
      <c r="N254" s="247">
        <f>IFERROR(IF(AND($G254&lt;&gt;"",$H254&lt;&gt;""),$H254*$M254,""),0)</f>
        <v>430000</v>
      </c>
      <c r="O254" s="520">
        <f>IFERROR(IF(AND($G254&lt;&gt;"",$H254&lt;&gt;""),$I254*$M254,""),0)</f>
        <v>233275</v>
      </c>
      <c r="P254" s="48">
        <f t="shared" ref="P254:P256" si="85">+N254-O254</f>
        <v>196725</v>
      </c>
      <c r="Q254" s="82"/>
      <c r="R254" s="109"/>
      <c r="S254" s="230"/>
    </row>
    <row r="255" spans="2:19" s="231" customFormat="1" ht="13.2">
      <c r="B255" s="51"/>
      <c r="C255" s="126" t="s">
        <v>410</v>
      </c>
      <c r="D255" s="40"/>
      <c r="E255" s="53"/>
      <c r="F255" s="197" t="s">
        <v>411</v>
      </c>
      <c r="G255" s="74" t="s">
        <v>126</v>
      </c>
      <c r="H255" s="82">
        <v>200</v>
      </c>
      <c r="I255" s="421">
        <f>'Kerbs_conc drains'!H9</f>
        <v>93.129166666666677</v>
      </c>
      <c r="J255" s="7">
        <v>0</v>
      </c>
      <c r="K255" s="247">
        <f t="shared" si="84"/>
        <v>0</v>
      </c>
      <c r="L255" s="7">
        <v>0</v>
      </c>
      <c r="M255" s="248">
        <v>430</v>
      </c>
      <c r="N255" s="247">
        <f>IFERROR(IF(AND($G255&lt;&gt;"",$H255&lt;&gt;""),$H255*$M255,""),0)</f>
        <v>86000</v>
      </c>
      <c r="O255" s="520">
        <f>IFERROR(IF(AND($G255&lt;&gt;"",$H255&lt;&gt;""),$I255*$M255,""),0)</f>
        <v>40045.541666666672</v>
      </c>
      <c r="P255" s="48">
        <f t="shared" si="85"/>
        <v>45954.458333333328</v>
      </c>
      <c r="Q255" s="82"/>
      <c r="R255" s="109"/>
      <c r="S255" s="230"/>
    </row>
    <row r="256" spans="2:19" s="231" customFormat="1" ht="36">
      <c r="B256" s="27" t="s">
        <v>412</v>
      </c>
      <c r="C256" s="59"/>
      <c r="D256" s="59"/>
      <c r="E256" s="60"/>
      <c r="F256" s="196" t="s">
        <v>413</v>
      </c>
      <c r="G256" s="74" t="s">
        <v>40</v>
      </c>
      <c r="H256" s="82">
        <v>770</v>
      </c>
      <c r="I256" s="421">
        <f>'Kerbs_conc drains'!H10</f>
        <v>187.28833333333336</v>
      </c>
      <c r="J256" s="7">
        <v>0</v>
      </c>
      <c r="K256" s="247">
        <f t="shared" si="84"/>
        <v>0</v>
      </c>
      <c r="L256" s="7">
        <v>0</v>
      </c>
      <c r="M256" s="247">
        <v>65</v>
      </c>
      <c r="N256" s="247">
        <f>IFERROR(IF(AND($G256&lt;&gt;"",$H256&lt;&gt;""),$H256*$M256,""),0)</f>
        <v>50050</v>
      </c>
      <c r="O256" s="520">
        <f>IFERROR(IF(AND($G256&lt;&gt;"",$H256&lt;&gt;""),$I256*$M256,""),0)</f>
        <v>12173.741666666669</v>
      </c>
      <c r="P256" s="48">
        <f t="shared" si="85"/>
        <v>37876.258333333331</v>
      </c>
      <c r="Q256" s="63"/>
      <c r="R256" s="109"/>
      <c r="S256" s="230"/>
    </row>
    <row r="257" spans="2:19" ht="13.2">
      <c r="B257" s="27" t="s">
        <v>414</v>
      </c>
      <c r="C257" s="59"/>
      <c r="D257" s="59"/>
      <c r="E257" s="60"/>
      <c r="F257" s="196" t="s">
        <v>415</v>
      </c>
      <c r="G257" s="62"/>
      <c r="H257" s="82"/>
      <c r="I257" s="421"/>
      <c r="J257" s="7"/>
      <c r="K257" s="250"/>
      <c r="L257" s="7"/>
      <c r="M257" s="250"/>
      <c r="N257" s="247"/>
      <c r="O257" s="520"/>
      <c r="P257" s="249"/>
      <c r="Q257" s="63"/>
      <c r="R257" s="109"/>
      <c r="S257" s="230"/>
    </row>
    <row r="258" spans="2:19" ht="13.2">
      <c r="B258" s="27"/>
      <c r="C258" s="126" t="s">
        <v>416</v>
      </c>
      <c r="D258" s="59"/>
      <c r="E258" s="60"/>
      <c r="F258" s="196" t="s">
        <v>417</v>
      </c>
      <c r="G258" s="74" t="s">
        <v>418</v>
      </c>
      <c r="H258" s="82">
        <v>17760</v>
      </c>
      <c r="I258" s="421">
        <f>'Kerbs_conc drains'!H12</f>
        <v>4313.7429999999995</v>
      </c>
      <c r="J258" s="7">
        <v>0</v>
      </c>
      <c r="K258" s="247">
        <f>L258-J258</f>
        <v>0</v>
      </c>
      <c r="L258" s="7">
        <v>0</v>
      </c>
      <c r="M258" s="247">
        <v>75</v>
      </c>
      <c r="N258" s="247">
        <f>IFERROR(IF(AND($G258&lt;&gt;"",$H258&lt;&gt;""),$H258*$M258,""),0)</f>
        <v>1332000</v>
      </c>
      <c r="O258" s="520">
        <f>IFERROR(IF(AND($G258&lt;&gt;"",$H258&lt;&gt;""),$I258*$M258,""),0)</f>
        <v>323530.72499999998</v>
      </c>
      <c r="P258" s="48">
        <f t="shared" ref="P258" si="86">+N258-O258</f>
        <v>1008469.275</v>
      </c>
      <c r="Q258" s="63"/>
      <c r="R258" s="109"/>
      <c r="S258" s="230"/>
    </row>
    <row r="259" spans="2:19" ht="13.2">
      <c r="B259" s="27"/>
      <c r="C259" s="59"/>
      <c r="D259" s="59"/>
      <c r="E259" s="60"/>
      <c r="F259" s="196"/>
      <c r="G259" s="62"/>
      <c r="H259" s="63"/>
      <c r="I259" s="410"/>
      <c r="J259" s="250"/>
      <c r="K259" s="250"/>
      <c r="L259" s="250"/>
      <c r="M259" s="250"/>
      <c r="N259" s="247"/>
      <c r="O259" s="520"/>
      <c r="P259" s="249"/>
      <c r="Q259" s="63"/>
      <c r="R259" s="109"/>
      <c r="S259" s="230"/>
    </row>
    <row r="260" spans="2:19" ht="13.2">
      <c r="B260" s="27"/>
      <c r="C260" s="59"/>
      <c r="D260" s="59"/>
      <c r="E260" s="60"/>
      <c r="F260" s="196"/>
      <c r="G260" s="62"/>
      <c r="H260" s="63"/>
      <c r="I260" s="63"/>
      <c r="J260" s="251"/>
      <c r="K260" s="34"/>
      <c r="L260" s="34"/>
      <c r="M260" s="34"/>
      <c r="N260" s="47"/>
      <c r="O260" s="505"/>
      <c r="P260" s="48"/>
      <c r="Q260" s="63"/>
      <c r="R260" s="109"/>
      <c r="S260" s="230"/>
    </row>
    <row r="261" spans="2:19" ht="13.2">
      <c r="B261" s="96"/>
      <c r="C261" s="204"/>
      <c r="D261" s="98"/>
      <c r="E261" s="99"/>
      <c r="F261" s="252"/>
      <c r="G261" s="74"/>
      <c r="H261" s="253"/>
      <c r="I261" s="253"/>
      <c r="J261" s="86"/>
      <c r="K261" s="47"/>
      <c r="L261" s="47"/>
      <c r="M261" s="46"/>
      <c r="N261" s="47" t="str">
        <f>IFERROR(IF(AND($G261&lt;&gt;"",$H261&lt;&gt;""),$H261*$M261,""),0)</f>
        <v/>
      </c>
      <c r="O261" s="505"/>
      <c r="P261" s="48" t="str">
        <f>IFERROR(IF(AND($G261&lt;&gt;"",$H261&lt;&gt;""),$L261*$M261,""),0)</f>
        <v/>
      </c>
      <c r="Q261" s="253"/>
      <c r="R261" s="109"/>
      <c r="S261" s="230"/>
    </row>
    <row r="262" spans="2:19" ht="13.2">
      <c r="B262" s="100" t="s">
        <v>103</v>
      </c>
      <c r="C262" s="101"/>
      <c r="D262" s="101"/>
      <c r="E262" s="102"/>
      <c r="F262" s="207"/>
      <c r="G262" s="208"/>
      <c r="H262" s="209"/>
      <c r="I262" s="209"/>
      <c r="J262" s="210"/>
      <c r="K262" s="107"/>
      <c r="L262" s="107"/>
      <c r="M262" s="107"/>
      <c r="N262" s="107">
        <f>SUM(N251:N261)</f>
        <v>3657850</v>
      </c>
      <c r="O262" s="500">
        <f>SUM(O251:O261)</f>
        <v>1509792.0083333333</v>
      </c>
      <c r="P262" s="107">
        <f>SUM(P251:P261)</f>
        <v>2148057.9916666667</v>
      </c>
      <c r="Q262" s="209"/>
      <c r="R262" s="109"/>
      <c r="S262" s="230"/>
    </row>
    <row r="263" spans="2:19" ht="13.2">
      <c r="B263" s="254"/>
      <c r="C263" s="255"/>
      <c r="D263" s="255"/>
      <c r="E263" s="256"/>
      <c r="F263" s="257"/>
      <c r="G263" s="258"/>
      <c r="H263" s="259"/>
      <c r="I263" s="483"/>
      <c r="J263" s="260"/>
      <c r="K263" s="261"/>
      <c r="L263" s="261"/>
      <c r="M263" s="262"/>
      <c r="N263" s="261"/>
      <c r="O263" s="522"/>
      <c r="P263" s="263" t="str">
        <f>IFERROR(IF(AND($G263&lt;&gt;"",$H263&lt;&gt;""),$L263*$M263,""),0)</f>
        <v/>
      </c>
      <c r="Q263" s="259"/>
      <c r="R263" s="128"/>
      <c r="S263" s="83"/>
    </row>
    <row r="264" spans="2:19" ht="13.2">
      <c r="B264" s="592" t="s">
        <v>419</v>
      </c>
      <c r="C264" s="593"/>
      <c r="D264" s="593"/>
      <c r="E264" s="594"/>
      <c r="F264" s="264" t="s">
        <v>420</v>
      </c>
      <c r="G264" s="1"/>
      <c r="H264" s="264"/>
      <c r="I264" s="264"/>
      <c r="J264" s="64"/>
      <c r="K264" s="34"/>
      <c r="L264" s="34"/>
      <c r="M264" s="34"/>
      <c r="N264" s="34"/>
      <c r="O264" s="517"/>
      <c r="P264" s="48" t="str">
        <f>IFERROR(IF(AND($F264&lt;&gt;"",$H264&lt;&gt;""),$L264*$M264,""),0)</f>
        <v/>
      </c>
      <c r="Q264" s="264"/>
      <c r="R264" s="128"/>
      <c r="S264" s="83"/>
    </row>
    <row r="265" spans="2:19" ht="13.2">
      <c r="B265" s="27"/>
      <c r="C265" s="28"/>
      <c r="D265" s="28"/>
      <c r="E265" s="29"/>
      <c r="F265" s="265"/>
      <c r="G265" s="1"/>
      <c r="H265" s="264"/>
      <c r="I265" s="264"/>
      <c r="J265" s="64"/>
      <c r="K265" s="34"/>
      <c r="L265" s="34"/>
      <c r="M265" s="34"/>
      <c r="N265" s="34"/>
      <c r="O265" s="517"/>
      <c r="P265" s="48"/>
      <c r="Q265" s="264"/>
      <c r="R265" s="128"/>
      <c r="S265" s="83"/>
    </row>
    <row r="266" spans="2:19" ht="13.2">
      <c r="B266" s="27"/>
      <c r="C266" s="28"/>
      <c r="D266" s="28"/>
      <c r="E266" s="29"/>
      <c r="F266" s="265"/>
      <c r="G266" s="266"/>
      <c r="H266" s="267"/>
      <c r="I266" s="267"/>
      <c r="J266" s="64"/>
      <c r="K266" s="34"/>
      <c r="L266" s="34"/>
      <c r="M266" s="34"/>
      <c r="N266" s="34"/>
      <c r="O266" s="517"/>
      <c r="P266" s="48"/>
      <c r="Q266" s="267"/>
      <c r="R266" s="128"/>
      <c r="S266" s="83"/>
    </row>
    <row r="267" spans="2:19" ht="13.2">
      <c r="B267" s="27" t="s">
        <v>421</v>
      </c>
      <c r="C267" s="40"/>
      <c r="D267" s="40"/>
      <c r="E267" s="53"/>
      <c r="F267" s="203" t="s">
        <v>422</v>
      </c>
      <c r="G267" s="74"/>
      <c r="H267" s="82"/>
      <c r="I267" s="82"/>
      <c r="J267" s="86"/>
      <c r="K267" s="47"/>
      <c r="L267" s="47"/>
      <c r="M267" s="46"/>
      <c r="N267" s="47"/>
      <c r="O267" s="505"/>
      <c r="P267" s="48" t="str">
        <f>IFERROR(IF(AND($G267&lt;&gt;"",$H267&lt;&gt;""),$L267*$M267,""),0)</f>
        <v/>
      </c>
      <c r="Q267" s="82"/>
      <c r="R267" s="128"/>
      <c r="S267" s="83"/>
    </row>
    <row r="268" spans="2:19" ht="13.2">
      <c r="B268" s="51"/>
      <c r="C268" s="126" t="s">
        <v>423</v>
      </c>
      <c r="D268" s="40"/>
      <c r="E268" s="53"/>
      <c r="F268" s="197" t="s">
        <v>424</v>
      </c>
      <c r="G268" s="194" t="s">
        <v>55</v>
      </c>
      <c r="H268" s="78">
        <v>1</v>
      </c>
      <c r="I268" s="421">
        <v>0</v>
      </c>
      <c r="J268" s="7">
        <v>0</v>
      </c>
      <c r="K268" s="47">
        <f t="shared" ref="K268:K269" si="87">L268-J268</f>
        <v>0</v>
      </c>
      <c r="L268" s="7">
        <v>0</v>
      </c>
      <c r="M268" s="268">
        <v>1000000</v>
      </c>
      <c r="N268" s="47">
        <f>IFERROR(IF(AND($G268&lt;&gt;"",$H268&lt;&gt;""),$H268*$M268,""),0)</f>
        <v>1000000</v>
      </c>
      <c r="O268" s="505">
        <f>IFERROR(IF(AND($G268&lt;&gt;"",$H268&lt;&gt;""),$I268*$M268,""),0)</f>
        <v>0</v>
      </c>
      <c r="P268" s="48">
        <f t="shared" ref="P268:P269" si="88">+N268-O268</f>
        <v>1000000</v>
      </c>
      <c r="Q268" s="82"/>
      <c r="R268" s="128"/>
      <c r="S268" s="85"/>
    </row>
    <row r="269" spans="2:19" ht="13.2">
      <c r="B269" s="51"/>
      <c r="C269" s="126" t="s">
        <v>425</v>
      </c>
      <c r="D269" s="40"/>
      <c r="E269" s="53"/>
      <c r="F269" s="197" t="s">
        <v>426</v>
      </c>
      <c r="G269" s="194" t="s">
        <v>58</v>
      </c>
      <c r="H269" s="269">
        <v>1000000</v>
      </c>
      <c r="I269" s="421">
        <v>0</v>
      </c>
      <c r="J269" s="7">
        <v>0</v>
      </c>
      <c r="K269" s="47">
        <f t="shared" si="87"/>
        <v>0</v>
      </c>
      <c r="L269" s="7">
        <v>0</v>
      </c>
      <c r="M269" s="206">
        <v>0.1</v>
      </c>
      <c r="N269" s="47">
        <f>IFERROR(IF(AND($G269&lt;&gt;"",$H269&lt;&gt;""),$H269*$M269,""),0)</f>
        <v>100000</v>
      </c>
      <c r="O269" s="505">
        <f>IFERROR(IF(AND($G269&lt;&gt;"",$H269&lt;&gt;""),$I269*$M269,""),0)</f>
        <v>0</v>
      </c>
      <c r="P269" s="48">
        <f t="shared" si="88"/>
        <v>100000</v>
      </c>
      <c r="Q269" s="270"/>
      <c r="R269" s="128"/>
      <c r="S269" s="85"/>
    </row>
    <row r="270" spans="2:19" ht="13.2">
      <c r="B270" s="27"/>
      <c r="C270" s="59"/>
      <c r="D270" s="59"/>
      <c r="E270" s="60"/>
      <c r="F270" s="42"/>
      <c r="G270" s="62"/>
      <c r="H270" s="63"/>
      <c r="I270" s="63"/>
      <c r="J270" s="251"/>
      <c r="K270" s="34"/>
      <c r="L270" s="34"/>
      <c r="M270" s="34"/>
      <c r="N270" s="34"/>
      <c r="O270" s="517"/>
      <c r="P270" s="48" t="str">
        <f>IFERROR(IF(AND($G270&lt;&gt;"",$H270&lt;&gt;""),$L270*$M270,""),0)</f>
        <v/>
      </c>
      <c r="Q270" s="63"/>
      <c r="R270" s="128"/>
      <c r="S270" s="83"/>
    </row>
    <row r="271" spans="2:19" ht="13.2">
      <c r="B271" s="51"/>
      <c r="C271" s="126"/>
      <c r="D271" s="40"/>
      <c r="E271" s="53"/>
      <c r="F271" s="197"/>
      <c r="G271" s="74"/>
      <c r="H271" s="82"/>
      <c r="I271" s="82"/>
      <c r="J271" s="86"/>
      <c r="K271" s="47"/>
      <c r="L271" s="47"/>
      <c r="M271" s="46"/>
      <c r="N271" s="47" t="str">
        <f>IFERROR(IF(AND($G271&lt;&gt;"",$H271&lt;&gt;""),$H271*$M271,""),0)</f>
        <v/>
      </c>
      <c r="O271" s="505" t="str">
        <f>IFERROR(IF(AND($G271&lt;&gt;"",$H271&lt;&gt;""),$I271*$M271,""),0)</f>
        <v/>
      </c>
      <c r="P271" s="48" t="str">
        <f>IFERROR(IF(AND($G271&lt;&gt;"",$H271&lt;&gt;""),$L271*$M271,""),0)</f>
        <v/>
      </c>
      <c r="Q271" s="82"/>
      <c r="R271" s="128"/>
      <c r="S271" s="83"/>
    </row>
    <row r="272" spans="2:19" ht="13.2">
      <c r="B272" s="51"/>
      <c r="C272" s="126"/>
      <c r="D272" s="40"/>
      <c r="E272" s="53"/>
      <c r="F272" s="197"/>
      <c r="G272" s="127"/>
      <c r="H272" s="253"/>
      <c r="I272" s="253"/>
      <c r="J272" s="86"/>
      <c r="K272" s="47"/>
      <c r="L272" s="47"/>
      <c r="M272" s="46"/>
      <c r="N272" s="47" t="str">
        <f>IFERROR(IF(AND($G272&lt;&gt;"",$H272&lt;&gt;""),$H272*$M272,""),0)</f>
        <v/>
      </c>
      <c r="O272" s="505" t="str">
        <f>IFERROR(IF(AND($G272&lt;&gt;"",$H272&lt;&gt;""),$I272*$M272,""),0)</f>
        <v/>
      </c>
      <c r="P272" s="48" t="str">
        <f>IFERROR(IF(AND($G272&lt;&gt;"",$H272&lt;&gt;""),$L272*$M272,""),0)</f>
        <v/>
      </c>
      <c r="Q272" s="253"/>
      <c r="R272" s="128"/>
      <c r="S272" s="83"/>
    </row>
    <row r="273" spans="2:19" ht="13.2">
      <c r="B273" s="100" t="s">
        <v>103</v>
      </c>
      <c r="C273" s="101"/>
      <c r="D273" s="101"/>
      <c r="E273" s="102"/>
      <c r="F273" s="207"/>
      <c r="G273" s="208"/>
      <c r="H273" s="209"/>
      <c r="I273" s="209"/>
      <c r="J273" s="210"/>
      <c r="K273" s="107"/>
      <c r="L273" s="107"/>
      <c r="M273" s="107"/>
      <c r="N273" s="107">
        <f>SUM(N268:N272)</f>
        <v>1100000</v>
      </c>
      <c r="O273" s="500">
        <f>SUM(O268:O272)</f>
        <v>0</v>
      </c>
      <c r="P273" s="107">
        <f>SUM(P268:P272)</f>
        <v>1100000</v>
      </c>
      <c r="Q273" s="209"/>
      <c r="R273" s="109">
        <f>P273</f>
        <v>1100000</v>
      </c>
      <c r="S273" s="230"/>
    </row>
    <row r="274" spans="2:19" ht="13.2">
      <c r="B274" s="144"/>
      <c r="C274" s="145"/>
      <c r="D274" s="145"/>
      <c r="E274" s="146"/>
      <c r="F274" s="147"/>
      <c r="G274" s="216"/>
      <c r="H274" s="217"/>
      <c r="I274" s="480"/>
      <c r="J274" s="218"/>
      <c r="K274" s="118"/>
      <c r="L274" s="118"/>
      <c r="M274" s="121"/>
      <c r="N274" s="118"/>
      <c r="O274" s="514"/>
      <c r="P274" s="122" t="str">
        <f>IFERROR(IF(AND($G274&lt;&gt;"",$H274&lt;&gt;""),$L274*$M274,""),0)</f>
        <v/>
      </c>
      <c r="Q274" s="217"/>
      <c r="R274" s="128"/>
      <c r="S274" s="83"/>
    </row>
    <row r="275" spans="2:19" ht="13.2">
      <c r="B275" s="592" t="s">
        <v>427</v>
      </c>
      <c r="C275" s="593"/>
      <c r="D275" s="593"/>
      <c r="E275" s="594"/>
      <c r="F275" s="271" t="s">
        <v>428</v>
      </c>
      <c r="H275" s="272"/>
      <c r="I275" s="253"/>
      <c r="J275" s="86"/>
      <c r="K275" s="47"/>
      <c r="L275" s="47"/>
      <c r="M275" s="46"/>
      <c r="N275" s="47"/>
      <c r="O275" s="505"/>
      <c r="P275" s="48" t="str">
        <f>IFERROR(IF(AND($F275&lt;&gt;"",$H275&lt;&gt;""),$L275*$M275,""),0)</f>
        <v/>
      </c>
      <c r="Q275" s="272"/>
      <c r="R275" s="128"/>
      <c r="S275" s="83"/>
    </row>
    <row r="276" spans="2:19" ht="13.2">
      <c r="B276" s="27" t="s">
        <v>429</v>
      </c>
      <c r="C276" s="40"/>
      <c r="D276" s="40"/>
      <c r="E276" s="53"/>
      <c r="F276" s="203" t="s">
        <v>430</v>
      </c>
      <c r="G276" s="273"/>
      <c r="H276" s="273"/>
      <c r="I276" s="82"/>
      <c r="J276" s="86"/>
      <c r="K276" s="47"/>
      <c r="L276" s="47"/>
      <c r="M276" s="46"/>
      <c r="N276" s="47"/>
      <c r="O276" s="505"/>
      <c r="P276" s="48" t="str">
        <f>IFERROR(IF(AND($G276&lt;&gt;"",$H276&lt;&gt;""),$L276*$M276,""),0)</f>
        <v/>
      </c>
      <c r="Q276" s="273"/>
      <c r="R276" s="128"/>
      <c r="S276" s="83"/>
    </row>
    <row r="277" spans="2:19" ht="13.2">
      <c r="B277" s="187"/>
      <c r="C277" s="126" t="s">
        <v>431</v>
      </c>
      <c r="D277" s="59"/>
      <c r="E277" s="60"/>
      <c r="F277" s="197" t="s">
        <v>432</v>
      </c>
      <c r="G277" s="62"/>
      <c r="H277" s="63"/>
      <c r="I277" s="410"/>
      <c r="J277" s="64"/>
      <c r="K277" s="34"/>
      <c r="L277" s="34"/>
      <c r="M277" s="65"/>
      <c r="N277" s="34"/>
      <c r="O277" s="513"/>
      <c r="P277" s="48" t="str">
        <f>IFERROR(IF(AND($G277&lt;&gt;"",$H277&lt;&gt;""),$L277*$M277,""),0)</f>
        <v/>
      </c>
      <c r="Q277" s="63"/>
      <c r="R277" s="128"/>
      <c r="S277" s="83"/>
    </row>
    <row r="278" spans="2:19" ht="13.2">
      <c r="B278" s="51"/>
      <c r="C278" s="40"/>
      <c r="D278" s="126" t="s">
        <v>70</v>
      </c>
      <c r="E278" s="53"/>
      <c r="F278" s="197" t="s">
        <v>433</v>
      </c>
      <c r="G278" s="74" t="s">
        <v>40</v>
      </c>
      <c r="H278" s="274">
        <v>1100</v>
      </c>
      <c r="I278" s="404">
        <v>0</v>
      </c>
      <c r="J278" s="47">
        <v>0</v>
      </c>
      <c r="K278" s="47">
        <f t="shared" ref="K278:K280" si="89">L278-J278</f>
        <v>0</v>
      </c>
      <c r="L278" s="47">
        <v>0</v>
      </c>
      <c r="M278" s="46">
        <v>65</v>
      </c>
      <c r="N278" s="47">
        <f t="shared" ref="N278:N283" si="90">IFERROR(IF(AND($G278&lt;&gt;"",$H278&lt;&gt;""),$H278*$M278,""),0)</f>
        <v>71500</v>
      </c>
      <c r="O278" s="505">
        <f t="shared" ref="O278:O283" si="91">IFERROR(IF(AND($G278&lt;&gt;"",$H278&lt;&gt;""),$I278*$M278,""),0)</f>
        <v>0</v>
      </c>
      <c r="P278" s="48">
        <f t="shared" ref="P278:P280" si="92">+N278-O278</f>
        <v>71500</v>
      </c>
      <c r="Q278" s="82" t="s">
        <v>791</v>
      </c>
      <c r="R278" s="128"/>
      <c r="S278" s="83"/>
    </row>
    <row r="279" spans="2:19" ht="13.2">
      <c r="B279" s="51"/>
      <c r="C279" s="126" t="s">
        <v>434</v>
      </c>
      <c r="D279" s="40"/>
      <c r="E279" s="53"/>
      <c r="F279" s="197" t="s">
        <v>435</v>
      </c>
      <c r="G279" s="74" t="s">
        <v>436</v>
      </c>
      <c r="H279" s="274">
        <v>180</v>
      </c>
      <c r="I279" s="404">
        <v>0</v>
      </c>
      <c r="J279" s="47">
        <v>0</v>
      </c>
      <c r="K279" s="47">
        <f t="shared" si="89"/>
        <v>0</v>
      </c>
      <c r="L279" s="47">
        <v>0</v>
      </c>
      <c r="M279" s="46">
        <v>21</v>
      </c>
      <c r="N279" s="47">
        <f t="shared" si="90"/>
        <v>3780</v>
      </c>
      <c r="O279" s="505">
        <f t="shared" si="91"/>
        <v>0</v>
      </c>
      <c r="P279" s="48">
        <f t="shared" si="92"/>
        <v>3780</v>
      </c>
      <c r="Q279" s="82" t="s">
        <v>791</v>
      </c>
      <c r="R279" s="128"/>
      <c r="S279" s="83"/>
    </row>
    <row r="280" spans="2:19" ht="13.2">
      <c r="B280" s="187"/>
      <c r="C280" s="126" t="s">
        <v>437</v>
      </c>
      <c r="D280" s="59"/>
      <c r="E280" s="60"/>
      <c r="F280" s="197" t="s">
        <v>438</v>
      </c>
      <c r="G280" s="74" t="s">
        <v>439</v>
      </c>
      <c r="H280" s="82">
        <v>130</v>
      </c>
      <c r="I280" s="404">
        <v>0</v>
      </c>
      <c r="J280" s="47">
        <v>0</v>
      </c>
      <c r="K280" s="47">
        <f t="shared" si="89"/>
        <v>0</v>
      </c>
      <c r="L280" s="47">
        <v>0</v>
      </c>
      <c r="M280" s="46">
        <v>21</v>
      </c>
      <c r="N280" s="47">
        <f t="shared" si="90"/>
        <v>2730</v>
      </c>
      <c r="O280" s="505">
        <f t="shared" si="91"/>
        <v>0</v>
      </c>
      <c r="P280" s="48">
        <f t="shared" si="92"/>
        <v>2730</v>
      </c>
      <c r="Q280" s="82" t="s">
        <v>791</v>
      </c>
      <c r="R280" s="128"/>
      <c r="S280" s="83"/>
    </row>
    <row r="281" spans="2:19" ht="13.2">
      <c r="B281" s="51"/>
      <c r="C281" s="126" t="s">
        <v>440</v>
      </c>
      <c r="D281" s="40"/>
      <c r="E281" s="53"/>
      <c r="F281" s="197" t="s">
        <v>441</v>
      </c>
      <c r="G281" s="74"/>
      <c r="H281" s="274"/>
      <c r="I281" s="404"/>
      <c r="J281" s="47"/>
      <c r="K281" s="47"/>
      <c r="L281" s="47"/>
      <c r="M281" s="46"/>
      <c r="N281" s="47" t="str">
        <f t="shared" si="90"/>
        <v/>
      </c>
      <c r="O281" s="505" t="str">
        <f t="shared" si="91"/>
        <v/>
      </c>
      <c r="P281" s="48" t="str">
        <f>IFERROR(IF(AND($G281&lt;&gt;"",$H281&lt;&gt;""),$L281*$M281,""),0)</f>
        <v/>
      </c>
      <c r="Q281" s="82"/>
      <c r="R281" s="128"/>
      <c r="S281" s="83"/>
    </row>
    <row r="282" spans="2:19" ht="13.2">
      <c r="B282" s="51"/>
      <c r="C282" s="126"/>
      <c r="D282" s="40" t="s">
        <v>67</v>
      </c>
      <c r="E282" s="53"/>
      <c r="F282" s="197" t="s">
        <v>442</v>
      </c>
      <c r="G282" s="74" t="s">
        <v>439</v>
      </c>
      <c r="H282" s="274">
        <v>330</v>
      </c>
      <c r="I282" s="404">
        <v>0</v>
      </c>
      <c r="J282" s="47">
        <v>0</v>
      </c>
      <c r="K282" s="47">
        <f>L282-J282</f>
        <v>0</v>
      </c>
      <c r="L282" s="47">
        <v>0</v>
      </c>
      <c r="M282" s="46">
        <v>21</v>
      </c>
      <c r="N282" s="47">
        <f t="shared" si="90"/>
        <v>6930</v>
      </c>
      <c r="O282" s="505">
        <f t="shared" si="91"/>
        <v>0</v>
      </c>
      <c r="P282" s="48">
        <f t="shared" ref="P282" si="93">+N282-O282</f>
        <v>6930</v>
      </c>
      <c r="Q282" s="82" t="s">
        <v>791</v>
      </c>
      <c r="R282" s="128"/>
      <c r="S282" s="83"/>
    </row>
    <row r="283" spans="2:19" ht="13.2">
      <c r="B283" s="96"/>
      <c r="C283" s="98"/>
      <c r="D283" s="98"/>
      <c r="E283" s="275"/>
      <c r="F283" s="197"/>
      <c r="G283" s="74"/>
      <c r="H283" s="274"/>
      <c r="I283" s="82"/>
      <c r="J283" s="86"/>
      <c r="K283" s="47"/>
      <c r="L283" s="47"/>
      <c r="M283" s="46"/>
      <c r="N283" s="47" t="str">
        <f t="shared" si="90"/>
        <v/>
      </c>
      <c r="O283" s="505" t="str">
        <f t="shared" si="91"/>
        <v/>
      </c>
      <c r="P283" s="48" t="str">
        <f>IFERROR(IF(AND($G283&lt;&gt;"",$H283&lt;&gt;""),$L283*$M283,""),0)</f>
        <v/>
      </c>
      <c r="Q283" s="82"/>
      <c r="R283" s="128"/>
      <c r="S283" s="83"/>
    </row>
    <row r="284" spans="2:19" ht="13.2">
      <c r="B284" s="100" t="s">
        <v>103</v>
      </c>
      <c r="C284" s="101"/>
      <c r="D284" s="101"/>
      <c r="E284" s="102"/>
      <c r="F284" s="207"/>
      <c r="G284" s="104"/>
      <c r="H284" s="105"/>
      <c r="I284" s="105"/>
      <c r="J284" s="106"/>
      <c r="K284" s="107"/>
      <c r="L284" s="108"/>
      <c r="M284" s="108"/>
      <c r="N284" s="107">
        <f>SUM(N277:N283)</f>
        <v>84940</v>
      </c>
      <c r="O284" s="500">
        <f>SUM(O277:O283)</f>
        <v>0</v>
      </c>
      <c r="P284" s="107">
        <f>SUM(P277:P283)</f>
        <v>84940</v>
      </c>
      <c r="Q284" s="105"/>
      <c r="R284" s="109">
        <f>P284</f>
        <v>84940</v>
      </c>
      <c r="S284" s="230"/>
    </row>
    <row r="285" spans="2:19" ht="13.2">
      <c r="B285" s="144"/>
      <c r="C285" s="145"/>
      <c r="D285" s="145"/>
      <c r="E285" s="146"/>
      <c r="F285" s="147"/>
      <c r="G285" s="276"/>
      <c r="H285" s="277"/>
      <c r="I285" s="484"/>
      <c r="J285" s="278"/>
      <c r="K285" s="151"/>
      <c r="L285" s="279"/>
      <c r="M285" s="280"/>
      <c r="N285" s="151"/>
      <c r="O285" s="516"/>
      <c r="P285" s="122" t="str">
        <f>IFERROR(IF(AND($G285&lt;&gt;"",$H285&lt;&gt;""),$L285*$M285,""),0)</f>
        <v/>
      </c>
      <c r="Q285" s="277"/>
      <c r="R285" s="128"/>
      <c r="S285" s="83"/>
    </row>
    <row r="286" spans="2:19" ht="13.2">
      <c r="B286" s="592" t="s">
        <v>443</v>
      </c>
      <c r="C286" s="593"/>
      <c r="D286" s="593"/>
      <c r="E286" s="594"/>
      <c r="F286" s="92" t="s">
        <v>444</v>
      </c>
      <c r="H286" s="272"/>
      <c r="I286" s="253"/>
      <c r="J286" s="86"/>
      <c r="K286" s="47"/>
      <c r="L286" s="47"/>
      <c r="M286" s="46"/>
      <c r="N286" s="47"/>
      <c r="O286" s="505"/>
      <c r="P286" s="48" t="str">
        <f>IFERROR(IF(AND($F286&lt;&gt;"",$H286&lt;&gt;""),$L286*$M286,""),0)</f>
        <v/>
      </c>
      <c r="Q286" s="272"/>
      <c r="R286" s="128"/>
      <c r="S286" s="83"/>
    </row>
    <row r="287" spans="2:19" ht="13.2">
      <c r="B287" s="27" t="s">
        <v>445</v>
      </c>
      <c r="C287" s="59"/>
      <c r="D287" s="59"/>
      <c r="E287" s="60"/>
      <c r="F287" s="265" t="s">
        <v>446</v>
      </c>
      <c r="G287" s="62"/>
      <c r="H287" s="63"/>
      <c r="I287" s="63"/>
      <c r="J287" s="64"/>
      <c r="K287" s="34"/>
      <c r="L287" s="34"/>
      <c r="M287" s="65"/>
      <c r="N287" s="34"/>
      <c r="O287" s="513"/>
      <c r="P287" s="48" t="str">
        <f>IFERROR(IF(AND($G287&lt;&gt;"",$H287&lt;&gt;""),$L287*$M287,""),0)</f>
        <v/>
      </c>
      <c r="Q287" s="63"/>
      <c r="R287" s="128"/>
      <c r="S287" s="83"/>
    </row>
    <row r="288" spans="2:19" ht="13.2">
      <c r="B288" s="187"/>
      <c r="C288" s="126" t="s">
        <v>447</v>
      </c>
      <c r="D288" s="59"/>
      <c r="E288" s="60"/>
      <c r="F288" s="197" t="s">
        <v>448</v>
      </c>
      <c r="G288" s="62"/>
      <c r="H288" s="63"/>
      <c r="I288" s="63"/>
      <c r="J288" s="182"/>
      <c r="K288" s="34"/>
      <c r="L288" s="34"/>
      <c r="M288" s="65"/>
      <c r="N288" s="34"/>
      <c r="O288" s="513"/>
      <c r="P288" s="48" t="str">
        <f>IFERROR(IF(AND($G288&lt;&gt;"",$H288&lt;&gt;""),$L288*$M288,""),0)</f>
        <v/>
      </c>
      <c r="Q288" s="63"/>
      <c r="R288" s="128"/>
      <c r="S288" s="85"/>
    </row>
    <row r="289" spans="2:26" ht="13.2">
      <c r="B289" s="51"/>
      <c r="C289" s="40"/>
      <c r="D289" s="126" t="s">
        <v>67</v>
      </c>
      <c r="E289" s="53"/>
      <c r="F289" s="197" t="s">
        <v>449</v>
      </c>
      <c r="G289" s="74" t="s">
        <v>40</v>
      </c>
      <c r="H289" s="274">
        <v>7000</v>
      </c>
      <c r="I289" s="493">
        <v>0</v>
      </c>
      <c r="J289" s="47">
        <v>0</v>
      </c>
      <c r="K289" s="47">
        <f>L289-J289</f>
        <v>0</v>
      </c>
      <c r="L289" s="47">
        <v>0</v>
      </c>
      <c r="M289" s="46">
        <v>56</v>
      </c>
      <c r="N289" s="47">
        <f t="shared" ref="N289:N306" si="94">IFERROR(IF(AND($G289&lt;&gt;"",$H289&lt;&gt;""),$H289*$M289,""),0)</f>
        <v>392000</v>
      </c>
      <c r="O289" s="505">
        <f>IFERROR(IF(AND($G289&lt;&gt;"",$H289&lt;&gt;""),$I289*$M289,""),0)</f>
        <v>0</v>
      </c>
      <c r="P289" s="48">
        <f t="shared" ref="P289:P291" si="95">+N289-O289</f>
        <v>392000</v>
      </c>
      <c r="Q289" s="82"/>
      <c r="R289" s="128"/>
      <c r="S289" s="83"/>
      <c r="Y289" s="2">
        <v>50</v>
      </c>
      <c r="Z289" s="573">
        <f>Y289*I289</f>
        <v>0</v>
      </c>
    </row>
    <row r="290" spans="2:26" ht="13.2">
      <c r="B290" s="51"/>
      <c r="C290" s="126" t="s">
        <v>450</v>
      </c>
      <c r="D290" s="126"/>
      <c r="E290" s="53"/>
      <c r="F290" s="197" t="s">
        <v>451</v>
      </c>
      <c r="G290" s="74"/>
      <c r="H290" s="274"/>
      <c r="I290" s="493"/>
      <c r="J290" s="47"/>
      <c r="K290" s="47"/>
      <c r="L290" s="47"/>
      <c r="M290" s="46"/>
      <c r="N290" s="47" t="str">
        <f t="shared" si="94"/>
        <v/>
      </c>
      <c r="O290" s="505"/>
      <c r="P290" s="48"/>
      <c r="Q290" s="82"/>
      <c r="R290" s="128"/>
      <c r="S290" s="83"/>
    </row>
    <row r="291" spans="2:26" ht="13.2">
      <c r="B291" s="51"/>
      <c r="C291" s="40"/>
      <c r="D291" s="126" t="s">
        <v>70</v>
      </c>
      <c r="E291" s="53"/>
      <c r="F291" s="197" t="s">
        <v>452</v>
      </c>
      <c r="G291" s="74" t="s">
        <v>40</v>
      </c>
      <c r="H291" s="274">
        <v>7000</v>
      </c>
      <c r="I291" s="493">
        <v>10041.799999999999</v>
      </c>
      <c r="J291" s="47">
        <v>0</v>
      </c>
      <c r="K291" s="47">
        <f>L291-J291</f>
        <v>0</v>
      </c>
      <c r="L291" s="47">
        <v>0</v>
      </c>
      <c r="M291" s="46">
        <v>56</v>
      </c>
      <c r="N291" s="47">
        <f t="shared" si="94"/>
        <v>392000</v>
      </c>
      <c r="O291" s="505">
        <f>IFERROR(IF(AND($G291&lt;&gt;"",$H291&lt;&gt;""),$I291*$M291,""),0)</f>
        <v>562340.79999999993</v>
      </c>
      <c r="P291" s="48">
        <f t="shared" si="95"/>
        <v>-170340.79999999993</v>
      </c>
      <c r="Q291" s="82"/>
      <c r="R291" s="128"/>
      <c r="S291" s="83"/>
      <c r="Y291" s="2">
        <v>75</v>
      </c>
      <c r="Z291" s="573">
        <f>Y291*I291</f>
        <v>753135</v>
      </c>
    </row>
    <row r="292" spans="2:26" ht="24">
      <c r="B292" s="27" t="s">
        <v>453</v>
      </c>
      <c r="C292" s="59"/>
      <c r="D292" s="59"/>
      <c r="E292" s="60"/>
      <c r="F292" s="196" t="s">
        <v>454</v>
      </c>
      <c r="G292" s="62"/>
      <c r="H292" s="63"/>
      <c r="I292" s="63"/>
      <c r="J292" s="47"/>
      <c r="K292" s="34"/>
      <c r="L292" s="47"/>
      <c r="M292" s="65"/>
      <c r="N292" s="47" t="str">
        <f t="shared" si="94"/>
        <v/>
      </c>
      <c r="O292" s="513"/>
      <c r="P292" s="48" t="str">
        <f>IFERROR(IF(AND($G292&lt;&gt;"",$H292&lt;&gt;""),$L292*$M292,""),0)</f>
        <v/>
      </c>
      <c r="Q292" s="63"/>
      <c r="R292" s="128"/>
      <c r="S292" s="85"/>
    </row>
    <row r="293" spans="2:26" ht="13.2">
      <c r="B293" s="27"/>
      <c r="C293" s="126" t="s">
        <v>455</v>
      </c>
      <c r="D293" s="59"/>
      <c r="E293" s="60"/>
      <c r="F293" s="197" t="s">
        <v>456</v>
      </c>
      <c r="G293" s="62"/>
      <c r="H293" s="63"/>
      <c r="I293" s="63"/>
      <c r="J293" s="47"/>
      <c r="K293" s="34"/>
      <c r="L293" s="47"/>
      <c r="M293" s="65"/>
      <c r="N293" s="47" t="str">
        <f t="shared" si="94"/>
        <v/>
      </c>
      <c r="O293" s="513"/>
      <c r="P293" s="48" t="str">
        <f>IFERROR(IF(AND($G293&lt;&gt;"",$H293&lt;&gt;""),$L293*$M293,""),0)</f>
        <v/>
      </c>
      <c r="Q293" s="63"/>
      <c r="R293" s="128"/>
      <c r="S293" s="85"/>
    </row>
    <row r="294" spans="2:26" ht="22.8">
      <c r="B294" s="27"/>
      <c r="C294" s="40"/>
      <c r="D294" s="126" t="s">
        <v>70</v>
      </c>
      <c r="E294" s="53"/>
      <c r="F294" s="197" t="s">
        <v>457</v>
      </c>
      <c r="G294" s="194" t="s">
        <v>351</v>
      </c>
      <c r="H294" s="222">
        <v>1090</v>
      </c>
      <c r="I294" s="494">
        <v>66.8</v>
      </c>
      <c r="J294" s="47">
        <v>0</v>
      </c>
      <c r="K294" s="47">
        <f t="shared" ref="K294:K296" si="96">L294-J294</f>
        <v>0</v>
      </c>
      <c r="L294" s="47">
        <v>0</v>
      </c>
      <c r="M294" s="47">
        <v>340</v>
      </c>
      <c r="N294" s="47">
        <f t="shared" si="94"/>
        <v>370600</v>
      </c>
      <c r="O294" s="505">
        <f>IFERROR(IF(AND($G294&lt;&gt;"",$H294&lt;&gt;""),$I294*$M294,""),0)</f>
        <v>22712</v>
      </c>
      <c r="P294" s="48">
        <f t="shared" ref="P294:P296" si="97">+N294-O294</f>
        <v>347888</v>
      </c>
      <c r="Q294" s="82">
        <f>+P294*2.4</f>
        <v>834931.19999999995</v>
      </c>
      <c r="R294" s="128"/>
      <c r="S294" s="85"/>
      <c r="Y294" s="2">
        <v>450</v>
      </c>
      <c r="Z294" s="573">
        <f t="shared" ref="Z294:Z296" si="98">Y294*I294</f>
        <v>30060</v>
      </c>
    </row>
    <row r="295" spans="2:26" ht="22.8">
      <c r="B295" s="27"/>
      <c r="C295" s="40"/>
      <c r="D295" s="126" t="s">
        <v>72</v>
      </c>
      <c r="E295" s="53"/>
      <c r="F295" s="197" t="s">
        <v>458</v>
      </c>
      <c r="G295" s="194" t="s">
        <v>351</v>
      </c>
      <c r="H295" s="222">
        <v>90</v>
      </c>
      <c r="I295" s="494">
        <v>362</v>
      </c>
      <c r="J295" s="47">
        <v>0</v>
      </c>
      <c r="K295" s="47">
        <f t="shared" si="96"/>
        <v>0</v>
      </c>
      <c r="L295" s="47">
        <v>0</v>
      </c>
      <c r="M295" s="47">
        <v>340</v>
      </c>
      <c r="N295" s="47">
        <f t="shared" si="94"/>
        <v>30600</v>
      </c>
      <c r="O295" s="505">
        <f>IFERROR(IF(AND($G295&lt;&gt;"",$H295&lt;&gt;""),$I295*$M295,""),0)</f>
        <v>123080</v>
      </c>
      <c r="P295" s="48">
        <f t="shared" si="97"/>
        <v>-92480</v>
      </c>
      <c r="Q295" s="82">
        <f>+P295*2.4</f>
        <v>-221952</v>
      </c>
      <c r="R295" s="128"/>
      <c r="S295" s="85"/>
      <c r="Y295" s="2">
        <v>311</v>
      </c>
      <c r="Z295" s="573">
        <f t="shared" si="98"/>
        <v>112582</v>
      </c>
    </row>
    <row r="296" spans="2:26" ht="13.2">
      <c r="B296" s="27"/>
      <c r="C296" s="40"/>
      <c r="D296" s="126" t="s">
        <v>74</v>
      </c>
      <c r="E296" s="53"/>
      <c r="F296" s="197" t="s">
        <v>459</v>
      </c>
      <c r="G296" s="194" t="s">
        <v>351</v>
      </c>
      <c r="H296" s="222">
        <v>1090</v>
      </c>
      <c r="I296" s="494">
        <v>456.79</v>
      </c>
      <c r="J296" s="47">
        <v>0</v>
      </c>
      <c r="K296" s="47">
        <f t="shared" si="96"/>
        <v>0</v>
      </c>
      <c r="L296" s="47">
        <v>0</v>
      </c>
      <c r="M296" s="47">
        <v>340</v>
      </c>
      <c r="N296" s="47">
        <f t="shared" si="94"/>
        <v>370600</v>
      </c>
      <c r="O296" s="505">
        <f>IFERROR(IF(AND($G296&lt;&gt;"",$H296&lt;&gt;""),$I296*$M296,""),0)</f>
        <v>155308.6</v>
      </c>
      <c r="P296" s="48">
        <f t="shared" si="97"/>
        <v>215291.4</v>
      </c>
      <c r="Q296" s="82">
        <f>+P296*2.4</f>
        <v>516699.36</v>
      </c>
      <c r="R296" s="128"/>
      <c r="S296" s="85"/>
      <c r="Y296" s="2">
        <v>233</v>
      </c>
      <c r="Z296" s="573">
        <f t="shared" si="98"/>
        <v>106432.07</v>
      </c>
    </row>
    <row r="297" spans="2:26" ht="13.2">
      <c r="B297" s="187"/>
      <c r="C297" s="126" t="s">
        <v>460</v>
      </c>
      <c r="D297" s="59"/>
      <c r="E297" s="60"/>
      <c r="F297" s="197" t="s">
        <v>461</v>
      </c>
      <c r="G297" s="62"/>
      <c r="H297" s="63"/>
      <c r="I297" s="495"/>
      <c r="J297" s="47"/>
      <c r="K297" s="34"/>
      <c r="L297" s="47"/>
      <c r="M297" s="65"/>
      <c r="N297" s="47" t="str">
        <f t="shared" si="94"/>
        <v/>
      </c>
      <c r="O297" s="513"/>
      <c r="P297" s="48" t="str">
        <f>IFERROR(IF(AND($G297&lt;&gt;"",$H297&lt;&gt;""),$L297*$M297,""),0)</f>
        <v/>
      </c>
      <c r="Q297" s="82"/>
      <c r="R297" s="128"/>
      <c r="S297" s="90"/>
    </row>
    <row r="298" spans="2:26" ht="22.8">
      <c r="B298" s="187"/>
      <c r="C298" s="126"/>
      <c r="D298" s="126" t="s">
        <v>70</v>
      </c>
      <c r="E298" s="53"/>
      <c r="F298" s="197" t="s">
        <v>457</v>
      </c>
      <c r="G298" s="194" t="s">
        <v>351</v>
      </c>
      <c r="H298" s="82">
        <v>200</v>
      </c>
      <c r="I298" s="491">
        <v>0</v>
      </c>
      <c r="J298" s="47">
        <v>0</v>
      </c>
      <c r="K298" s="47">
        <f t="shared" ref="K298:K301" si="99">L298-J298</f>
        <v>0</v>
      </c>
      <c r="L298" s="47">
        <v>0</v>
      </c>
      <c r="M298" s="46">
        <v>340</v>
      </c>
      <c r="N298" s="47">
        <f t="shared" si="94"/>
        <v>68000</v>
      </c>
      <c r="O298" s="505">
        <f>IFERROR(IF(AND($G298&lt;&gt;"",$H298&lt;&gt;""),$I298*$M298,""),0)</f>
        <v>0</v>
      </c>
      <c r="P298" s="48">
        <f t="shared" ref="P298:P301" si="100">+N298-O298</f>
        <v>68000</v>
      </c>
      <c r="Q298" s="82">
        <f t="shared" ref="Q298:Q300" si="101">+P298*2.4</f>
        <v>163200</v>
      </c>
      <c r="R298" s="128"/>
      <c r="S298" s="90"/>
      <c r="Y298" s="2">
        <v>466.69</v>
      </c>
      <c r="Z298" s="573">
        <f t="shared" ref="Z298:Z301" si="102">Y298*I298</f>
        <v>0</v>
      </c>
    </row>
    <row r="299" spans="2:26" ht="22.8">
      <c r="B299" s="187"/>
      <c r="C299" s="126"/>
      <c r="D299" s="126" t="s">
        <v>72</v>
      </c>
      <c r="E299" s="53"/>
      <c r="F299" s="197" t="s">
        <v>458</v>
      </c>
      <c r="G299" s="194" t="s">
        <v>351</v>
      </c>
      <c r="H299" s="82">
        <v>20</v>
      </c>
      <c r="I299" s="491">
        <v>0</v>
      </c>
      <c r="J299" s="47">
        <v>0</v>
      </c>
      <c r="K299" s="47">
        <f t="shared" si="99"/>
        <v>0</v>
      </c>
      <c r="L299" s="47">
        <v>0</v>
      </c>
      <c r="M299" s="46">
        <v>340</v>
      </c>
      <c r="N299" s="47">
        <f t="shared" si="94"/>
        <v>6800</v>
      </c>
      <c r="O299" s="505">
        <f>IFERROR(IF(AND($G299&lt;&gt;"",$H299&lt;&gt;""),$I299*$M299,""),0)</f>
        <v>0</v>
      </c>
      <c r="P299" s="48">
        <f t="shared" si="100"/>
        <v>6800</v>
      </c>
      <c r="Q299" s="82">
        <f t="shared" si="101"/>
        <v>16320</v>
      </c>
      <c r="R299" s="128"/>
      <c r="S299" s="90"/>
      <c r="Y299" s="2">
        <v>538.49</v>
      </c>
      <c r="Z299" s="573">
        <f t="shared" si="102"/>
        <v>0</v>
      </c>
    </row>
    <row r="300" spans="2:26" ht="13.2">
      <c r="B300" s="51"/>
      <c r="C300" s="40"/>
      <c r="D300" s="126" t="s">
        <v>74</v>
      </c>
      <c r="E300" s="53"/>
      <c r="F300" s="197" t="s">
        <v>459</v>
      </c>
      <c r="G300" s="194" t="s">
        <v>351</v>
      </c>
      <c r="H300" s="78">
        <v>200</v>
      </c>
      <c r="I300" s="496">
        <v>0</v>
      </c>
      <c r="J300" s="47">
        <v>0</v>
      </c>
      <c r="K300" s="47">
        <f t="shared" si="99"/>
        <v>0</v>
      </c>
      <c r="L300" s="47">
        <v>0</v>
      </c>
      <c r="M300" s="47">
        <v>340</v>
      </c>
      <c r="N300" s="47">
        <f t="shared" si="94"/>
        <v>68000</v>
      </c>
      <c r="O300" s="505">
        <f>IFERROR(IF(AND($G300&lt;&gt;"",$H300&lt;&gt;""),$I300*$M300,""),0)</f>
        <v>0</v>
      </c>
      <c r="P300" s="48">
        <f t="shared" si="100"/>
        <v>68000</v>
      </c>
      <c r="Q300" s="82">
        <f t="shared" si="101"/>
        <v>163200</v>
      </c>
      <c r="R300" s="128"/>
      <c r="S300" s="85"/>
      <c r="Y300" s="2">
        <v>233.35</v>
      </c>
      <c r="Z300" s="573">
        <f t="shared" si="102"/>
        <v>0</v>
      </c>
    </row>
    <row r="301" spans="2:26" ht="24">
      <c r="B301" s="27" t="s">
        <v>462</v>
      </c>
      <c r="C301" s="59"/>
      <c r="D301" s="59"/>
      <c r="E301" s="60"/>
      <c r="F301" s="196" t="s">
        <v>463</v>
      </c>
      <c r="G301" s="194" t="s">
        <v>464</v>
      </c>
      <c r="H301" s="82">
        <v>12000</v>
      </c>
      <c r="I301" s="491">
        <v>11812.31</v>
      </c>
      <c r="J301" s="47">
        <v>0</v>
      </c>
      <c r="K301" s="47">
        <f t="shared" si="99"/>
        <v>0</v>
      </c>
      <c r="L301" s="47">
        <v>0</v>
      </c>
      <c r="M301" s="46">
        <v>45</v>
      </c>
      <c r="N301" s="47">
        <f t="shared" si="94"/>
        <v>540000</v>
      </c>
      <c r="O301" s="505">
        <f>+I301*M301</f>
        <v>531553.94999999995</v>
      </c>
      <c r="P301" s="48">
        <f t="shared" si="100"/>
        <v>8446.0500000000466</v>
      </c>
      <c r="Q301" s="82">
        <f>+P301*0.055*2.4</f>
        <v>1114.8786000000061</v>
      </c>
      <c r="R301" s="128"/>
      <c r="S301" s="85"/>
      <c r="Y301" s="2">
        <v>4.9800000000000004</v>
      </c>
      <c r="Z301" s="573">
        <f t="shared" si="102"/>
        <v>58825.303800000002</v>
      </c>
    </row>
    <row r="302" spans="2:26" ht="13.2">
      <c r="B302" s="27" t="s">
        <v>465</v>
      </c>
      <c r="C302" s="59"/>
      <c r="D302" s="59"/>
      <c r="E302" s="60"/>
      <c r="F302" s="196" t="s">
        <v>466</v>
      </c>
      <c r="G302" s="62"/>
      <c r="H302" s="63"/>
      <c r="I302" s="63"/>
      <c r="J302" s="47"/>
      <c r="K302" s="34"/>
      <c r="L302" s="47"/>
      <c r="M302" s="65"/>
      <c r="N302" s="47" t="str">
        <f t="shared" si="94"/>
        <v/>
      </c>
      <c r="O302" s="513"/>
      <c r="P302" s="48" t="str">
        <f>IFERROR(IF(AND($G302&lt;&gt;"",$H302&lt;&gt;""),$L302*$M302,""),0)</f>
        <v/>
      </c>
      <c r="Q302" s="82"/>
      <c r="R302" s="49"/>
      <c r="S302" s="90"/>
    </row>
    <row r="303" spans="2:26" ht="45.6">
      <c r="B303" s="51"/>
      <c r="C303" s="126" t="s">
        <v>467</v>
      </c>
      <c r="D303" s="40"/>
      <c r="E303" s="53"/>
      <c r="F303" s="197" t="s">
        <v>468</v>
      </c>
      <c r="G303" s="74"/>
      <c r="H303" s="274"/>
      <c r="I303" s="274"/>
      <c r="J303" s="47"/>
      <c r="K303" s="47"/>
      <c r="L303" s="47"/>
      <c r="M303" s="46"/>
      <c r="N303" s="47" t="str">
        <f t="shared" si="94"/>
        <v/>
      </c>
      <c r="O303" s="505"/>
      <c r="P303" s="48" t="str">
        <f>IFERROR(IF(AND($G303&lt;&gt;"",$H303&lt;&gt;""),$L303*$M303,""),0)</f>
        <v/>
      </c>
      <c r="Q303" s="82"/>
      <c r="R303" s="128"/>
      <c r="S303" s="90"/>
    </row>
    <row r="304" spans="2:26" ht="22.8">
      <c r="B304" s="51"/>
      <c r="C304" s="40"/>
      <c r="D304" s="126" t="s">
        <v>70</v>
      </c>
      <c r="E304" s="53"/>
      <c r="F304" s="197" t="s">
        <v>457</v>
      </c>
      <c r="G304" s="74" t="s">
        <v>37</v>
      </c>
      <c r="H304" s="78">
        <v>2900</v>
      </c>
      <c r="I304" s="496">
        <v>167</v>
      </c>
      <c r="J304" s="47">
        <v>0</v>
      </c>
      <c r="K304" s="47">
        <f t="shared" ref="K304:K306" si="103">L304-J304</f>
        <v>0</v>
      </c>
      <c r="L304" s="47">
        <v>0</v>
      </c>
      <c r="M304" s="47">
        <v>1000</v>
      </c>
      <c r="N304" s="47">
        <f t="shared" si="94"/>
        <v>2900000</v>
      </c>
      <c r="O304" s="505">
        <f>+M304*I304</f>
        <v>167000</v>
      </c>
      <c r="P304" s="48">
        <f t="shared" ref="P304:P306" si="104">+N304-O304</f>
        <v>2733000</v>
      </c>
      <c r="Q304" s="82">
        <f>+P304/2.4</f>
        <v>1138750</v>
      </c>
      <c r="R304" s="128"/>
      <c r="S304" s="85"/>
      <c r="Y304" s="2">
        <v>2402.4499999999998</v>
      </c>
      <c r="Z304" s="573">
        <f t="shared" ref="Z304:Z306" si="105">Y304*I304</f>
        <v>401209.14999999997</v>
      </c>
    </row>
    <row r="305" spans="2:26" s="94" customFormat="1" ht="22.8">
      <c r="B305" s="51"/>
      <c r="C305" s="40"/>
      <c r="D305" s="126" t="s">
        <v>72</v>
      </c>
      <c r="E305" s="53"/>
      <c r="F305" s="197" t="s">
        <v>458</v>
      </c>
      <c r="G305" s="74" t="s">
        <v>37</v>
      </c>
      <c r="H305" s="78">
        <v>230</v>
      </c>
      <c r="I305" s="496">
        <v>905</v>
      </c>
      <c r="J305" s="47">
        <v>0</v>
      </c>
      <c r="K305" s="47">
        <f t="shared" si="103"/>
        <v>0</v>
      </c>
      <c r="L305" s="47">
        <v>0</v>
      </c>
      <c r="M305" s="47">
        <v>1000</v>
      </c>
      <c r="N305" s="47">
        <f t="shared" si="94"/>
        <v>230000</v>
      </c>
      <c r="O305" s="505">
        <f>+M305*I305</f>
        <v>905000</v>
      </c>
      <c r="P305" s="574">
        <f t="shared" si="104"/>
        <v>-675000</v>
      </c>
      <c r="Q305" s="82">
        <f t="shared" ref="Q305:Q306" si="106">+P305/2.4</f>
        <v>-281250</v>
      </c>
      <c r="R305" s="575"/>
      <c r="S305" s="576"/>
      <c r="T305" s="162"/>
      <c r="U305" s="162"/>
      <c r="V305" s="162"/>
      <c r="W305" s="162"/>
      <c r="X305" s="162"/>
      <c r="Y305" s="560">
        <v>2456.29</v>
      </c>
      <c r="Z305" s="577">
        <f t="shared" si="105"/>
        <v>2222942.4500000002</v>
      </c>
    </row>
    <row r="306" spans="2:26" s="94" customFormat="1" ht="13.2">
      <c r="B306" s="51"/>
      <c r="C306" s="40"/>
      <c r="D306" s="126" t="s">
        <v>74</v>
      </c>
      <c r="E306" s="53"/>
      <c r="F306" s="197" t="s">
        <v>459</v>
      </c>
      <c r="G306" s="74" t="s">
        <v>37</v>
      </c>
      <c r="H306" s="78">
        <v>2900</v>
      </c>
      <c r="I306" s="496">
        <v>1141.97</v>
      </c>
      <c r="J306" s="47">
        <v>0</v>
      </c>
      <c r="K306" s="47">
        <f t="shared" si="103"/>
        <v>0</v>
      </c>
      <c r="L306" s="47">
        <v>0</v>
      </c>
      <c r="M306" s="47">
        <v>1000</v>
      </c>
      <c r="N306" s="47">
        <f t="shared" si="94"/>
        <v>2900000</v>
      </c>
      <c r="O306" s="505">
        <f>+M306*I306</f>
        <v>1141970</v>
      </c>
      <c r="P306" s="48">
        <f t="shared" si="104"/>
        <v>1758030</v>
      </c>
      <c r="Q306" s="82">
        <f t="shared" si="106"/>
        <v>732512.5</v>
      </c>
      <c r="R306" s="128"/>
      <c r="S306" s="85"/>
      <c r="Y306" s="94">
        <v>2247.3200000000002</v>
      </c>
      <c r="Z306" s="573">
        <f t="shared" si="105"/>
        <v>2566372.0204000003</v>
      </c>
    </row>
    <row r="307" spans="2:26" s="94" customFormat="1" ht="13.2">
      <c r="B307" s="96"/>
      <c r="C307" s="98"/>
      <c r="D307" s="98"/>
      <c r="E307" s="275"/>
      <c r="F307" s="197"/>
      <c r="G307" s="74"/>
      <c r="H307" s="274"/>
      <c r="I307" s="82"/>
      <c r="J307" s="76"/>
      <c r="K307" s="47"/>
      <c r="L307" s="47"/>
      <c r="M307" s="46"/>
      <c r="N307" s="47"/>
      <c r="O307" s="505"/>
      <c r="P307" s="48"/>
      <c r="Q307" s="82"/>
      <c r="R307" s="128"/>
      <c r="S307" s="85"/>
    </row>
    <row r="308" spans="2:26" s="231" customFormat="1" ht="13.2">
      <c r="B308" s="100" t="s">
        <v>103</v>
      </c>
      <c r="C308" s="101"/>
      <c r="D308" s="101"/>
      <c r="E308" s="102"/>
      <c r="F308" s="207"/>
      <c r="G308" s="104"/>
      <c r="H308" s="105"/>
      <c r="I308" s="105"/>
      <c r="J308" s="106"/>
      <c r="K308" s="107"/>
      <c r="L308" s="108"/>
      <c r="M308" s="108"/>
      <c r="N308" s="107">
        <f>SUM(N287:N307)</f>
        <v>8268600</v>
      </c>
      <c r="O308" s="500">
        <f>SUM(O287:O307)</f>
        <v>3608965.3499999996</v>
      </c>
      <c r="P308" s="107">
        <f>SUM(P287:P307)</f>
        <v>4659634.6500000004</v>
      </c>
      <c r="Q308" s="105"/>
      <c r="R308" s="109">
        <f>P308</f>
        <v>4659634.6500000004</v>
      </c>
      <c r="S308" s="230"/>
      <c r="Z308" s="107">
        <f>SUM(Z287:Z307)</f>
        <v>6251557.9942000005</v>
      </c>
    </row>
    <row r="309" spans="2:26" s="231" customFormat="1" ht="13.2">
      <c r="B309" s="144"/>
      <c r="C309" s="145"/>
      <c r="D309" s="145"/>
      <c r="E309" s="146"/>
      <c r="F309" s="147"/>
      <c r="G309" s="216"/>
      <c r="H309" s="217"/>
      <c r="I309" s="480"/>
      <c r="J309" s="218"/>
      <c r="K309" s="118"/>
      <c r="L309" s="118"/>
      <c r="M309" s="121"/>
      <c r="N309" s="118"/>
      <c r="O309" s="514"/>
      <c r="P309" s="122" t="str">
        <f>IFERROR(IF(AND($G309&lt;&gt;"",$H309&lt;&gt;""),$L309*$M309,""),0)</f>
        <v/>
      </c>
      <c r="Q309" s="217"/>
      <c r="R309" s="109"/>
      <c r="S309" s="230"/>
    </row>
    <row r="310" spans="2:26" s="231" customFormat="1" ht="13.2">
      <c r="B310" s="592" t="s">
        <v>469</v>
      </c>
      <c r="C310" s="593"/>
      <c r="D310" s="593"/>
      <c r="E310" s="594"/>
      <c r="F310" s="92" t="s">
        <v>470</v>
      </c>
      <c r="G310" s="2"/>
      <c r="H310" s="272"/>
      <c r="I310" s="253"/>
      <c r="J310" s="86"/>
      <c r="K310" s="47"/>
      <c r="L310" s="47"/>
      <c r="M310" s="46"/>
      <c r="N310" s="47"/>
      <c r="O310" s="505"/>
      <c r="P310" s="48" t="str">
        <f>IFERROR(IF(AND($F310&lt;&gt;"",$H310&lt;&gt;""),$L310*$M310,""),0)</f>
        <v/>
      </c>
      <c r="Q310" s="272"/>
      <c r="R310" s="109"/>
      <c r="S310" s="230"/>
    </row>
    <row r="311" spans="2:26" s="231" customFormat="1" ht="13.2">
      <c r="B311" s="27"/>
      <c r="C311" s="28"/>
      <c r="D311" s="28"/>
      <c r="E311" s="29"/>
      <c r="F311" s="92"/>
      <c r="G311" s="162"/>
      <c r="H311" s="273"/>
      <c r="I311" s="82"/>
      <c r="J311" s="86"/>
      <c r="K311" s="47"/>
      <c r="L311" s="47"/>
      <c r="M311" s="46"/>
      <c r="N311" s="47"/>
      <c r="O311" s="505"/>
      <c r="P311" s="48"/>
      <c r="Q311" s="273"/>
      <c r="R311" s="109"/>
      <c r="S311" s="230"/>
    </row>
    <row r="312" spans="2:26" s="231" customFormat="1" ht="18" customHeight="1">
      <c r="B312" s="27" t="s">
        <v>471</v>
      </c>
      <c r="C312" s="40"/>
      <c r="D312" s="40"/>
      <c r="E312" s="53"/>
      <c r="F312" s="203" t="s">
        <v>472</v>
      </c>
      <c r="G312" s="273"/>
      <c r="H312" s="273"/>
      <c r="I312" s="82"/>
      <c r="J312" s="86"/>
      <c r="K312" s="47"/>
      <c r="L312" s="47"/>
      <c r="M312" s="46"/>
      <c r="N312" s="47"/>
      <c r="O312" s="505"/>
      <c r="P312" s="48" t="str">
        <f>IFERROR(IF(AND($G312&lt;&gt;"",$H312&lt;&gt;""),$L312*$M312,""),0)</f>
        <v/>
      </c>
      <c r="Q312" s="273"/>
      <c r="R312" s="109"/>
      <c r="S312" s="230"/>
    </row>
    <row r="313" spans="2:26" s="231" customFormat="1" ht="13.2">
      <c r="B313" s="187"/>
      <c r="C313" s="126" t="s">
        <v>473</v>
      </c>
      <c r="D313" s="59"/>
      <c r="E313" s="60"/>
      <c r="F313" s="197" t="s">
        <v>474</v>
      </c>
      <c r="G313" s="74" t="s">
        <v>26</v>
      </c>
      <c r="H313" s="274">
        <v>1</v>
      </c>
      <c r="I313" s="404">
        <f>'Water-cutting'!G5</f>
        <v>1</v>
      </c>
      <c r="J313" s="86">
        <v>0</v>
      </c>
      <c r="K313" s="47">
        <f t="shared" ref="K313:K315" si="107">L313-J313</f>
        <v>0</v>
      </c>
      <c r="L313" s="47">
        <v>0</v>
      </c>
      <c r="M313" s="46">
        <v>100000</v>
      </c>
      <c r="N313" s="47">
        <f>IFERROR(IF(AND($G313&lt;&gt;"",$H313&lt;&gt;""),$H313*$M313,""),0)</f>
        <v>100000</v>
      </c>
      <c r="O313" s="505">
        <f>IFERROR(IF(AND($G313&lt;&gt;"",$H313&lt;&gt;""),$I313*$M313,""),0)</f>
        <v>100000</v>
      </c>
      <c r="P313" s="48">
        <f t="shared" ref="P313:P315" si="108">+N313-O313</f>
        <v>0</v>
      </c>
      <c r="Q313" s="82"/>
      <c r="R313" s="109"/>
      <c r="S313" s="230"/>
    </row>
    <row r="314" spans="2:26" s="231" customFormat="1" ht="13.2">
      <c r="B314" s="51"/>
      <c r="C314" s="126" t="s">
        <v>475</v>
      </c>
      <c r="D314" s="40"/>
      <c r="E314" s="53"/>
      <c r="F314" s="197" t="s">
        <v>435</v>
      </c>
      <c r="G314" s="74" t="s">
        <v>126</v>
      </c>
      <c r="H314" s="274">
        <v>30000</v>
      </c>
      <c r="I314" s="404">
        <f>'Water-cutting'!G6</f>
        <v>34950</v>
      </c>
      <c r="J314" s="86">
        <v>0</v>
      </c>
      <c r="K314" s="47">
        <f t="shared" si="107"/>
        <v>0</v>
      </c>
      <c r="L314" s="47">
        <v>0</v>
      </c>
      <c r="M314" s="46">
        <v>38</v>
      </c>
      <c r="N314" s="47">
        <f>IFERROR(IF(AND($G314&lt;&gt;"",$H314&lt;&gt;""),$H314*$M314,""),0)</f>
        <v>1140000</v>
      </c>
      <c r="O314" s="505">
        <f>IFERROR(IF(AND($G314&lt;&gt;"",$H314&lt;&gt;""),$I314*$M314,""),0)</f>
        <v>1328100</v>
      </c>
      <c r="P314" s="48">
        <f t="shared" si="108"/>
        <v>-188100</v>
      </c>
      <c r="Q314" s="82"/>
      <c r="R314" s="109"/>
      <c r="S314" s="230"/>
      <c r="Y314" s="231">
        <v>29.67</v>
      </c>
      <c r="Z314" s="577">
        <f t="shared" ref="Z314" si="109">Y314*I314</f>
        <v>1036966.5000000001</v>
      </c>
    </row>
    <row r="315" spans="2:26" s="231" customFormat="1" ht="13.2">
      <c r="B315" s="27" t="s">
        <v>476</v>
      </c>
      <c r="C315" s="40"/>
      <c r="D315" s="40"/>
      <c r="E315" s="53"/>
      <c r="F315" s="203" t="s">
        <v>477</v>
      </c>
      <c r="G315" s="74" t="s">
        <v>126</v>
      </c>
      <c r="H315" s="82">
        <v>150</v>
      </c>
      <c r="I315" s="404">
        <f>'Water-cutting'!G7</f>
        <v>150</v>
      </c>
      <c r="J315" s="86">
        <v>0</v>
      </c>
      <c r="K315" s="47">
        <f t="shared" si="107"/>
        <v>0</v>
      </c>
      <c r="L315" s="47">
        <v>0</v>
      </c>
      <c r="M315" s="46">
        <v>350</v>
      </c>
      <c r="N315" s="47">
        <f>IFERROR(IF(AND($G315&lt;&gt;"",$H315&lt;&gt;""),$H315*$M315,""),0)</f>
        <v>52500</v>
      </c>
      <c r="O315" s="505">
        <f>IFERROR(IF(AND($G315&lt;&gt;"",$H315&lt;&gt;""),$I315*$M315,""),0)</f>
        <v>52500</v>
      </c>
      <c r="P315" s="48">
        <f t="shared" si="108"/>
        <v>0</v>
      </c>
      <c r="Q315" s="82"/>
      <c r="R315" s="109"/>
      <c r="S315" s="230"/>
    </row>
    <row r="316" spans="2:26" s="231" customFormat="1" ht="13.2">
      <c r="B316" s="51"/>
      <c r="C316" s="126"/>
      <c r="D316" s="40"/>
      <c r="E316" s="53"/>
      <c r="F316" s="197"/>
      <c r="G316" s="74"/>
      <c r="H316" s="274"/>
      <c r="I316" s="82"/>
      <c r="J316" s="86"/>
      <c r="K316" s="47"/>
      <c r="L316" s="47"/>
      <c r="M316" s="46"/>
      <c r="N316" s="47"/>
      <c r="O316" s="505"/>
      <c r="P316" s="48"/>
      <c r="Q316" s="82"/>
      <c r="R316" s="109"/>
      <c r="S316" s="230"/>
    </row>
    <row r="317" spans="2:26" s="231" customFormat="1" ht="13.2">
      <c r="B317" s="51"/>
      <c r="C317" s="126"/>
      <c r="D317" s="40"/>
      <c r="E317" s="53"/>
      <c r="F317" s="197"/>
      <c r="G317" s="74"/>
      <c r="H317" s="274"/>
      <c r="I317" s="82"/>
      <c r="J317" s="86"/>
      <c r="K317" s="47"/>
      <c r="L317" s="47"/>
      <c r="M317" s="46"/>
      <c r="N317" s="47"/>
      <c r="O317" s="505"/>
      <c r="P317" s="48"/>
      <c r="Q317" s="82"/>
      <c r="R317" s="109"/>
      <c r="S317" s="230"/>
    </row>
    <row r="318" spans="2:26" s="231" customFormat="1" ht="13.2">
      <c r="B318" s="96"/>
      <c r="C318" s="98"/>
      <c r="D318" s="98"/>
      <c r="E318" s="275"/>
      <c r="F318" s="197"/>
      <c r="G318" s="127"/>
      <c r="H318" s="281"/>
      <c r="I318" s="253"/>
      <c r="J318" s="86"/>
      <c r="K318" s="47"/>
      <c r="L318" s="47"/>
      <c r="M318" s="46"/>
      <c r="N318" s="47" t="str">
        <f>IFERROR(IF(AND($G318&lt;&gt;"",$H318&lt;&gt;""),$H318*$M318,""),0)</f>
        <v/>
      </c>
      <c r="O318" s="505" t="str">
        <f>IFERROR(IF(AND($G318&lt;&gt;"",$H318&lt;&gt;""),$I318*$M318,""),0)</f>
        <v/>
      </c>
      <c r="P318" s="48" t="str">
        <f>IFERROR(IF(AND($G318&lt;&gt;"",$H318&lt;&gt;""),$L318*$M318,""),0)</f>
        <v/>
      </c>
      <c r="Q318" s="253"/>
      <c r="R318" s="109"/>
      <c r="S318" s="230"/>
    </row>
    <row r="319" spans="2:26" s="231" customFormat="1" ht="13.2">
      <c r="B319" s="100" t="s">
        <v>103</v>
      </c>
      <c r="C319" s="101"/>
      <c r="D319" s="101"/>
      <c r="E319" s="102"/>
      <c r="F319" s="207"/>
      <c r="G319" s="104"/>
      <c r="H319" s="105"/>
      <c r="I319" s="105"/>
      <c r="J319" s="106"/>
      <c r="K319" s="107"/>
      <c r="L319" s="108"/>
      <c r="M319" s="108"/>
      <c r="N319" s="107">
        <f>SUM(N313:N318)</f>
        <v>1292500</v>
      </c>
      <c r="O319" s="500">
        <f>SUM(O313:O318)</f>
        <v>1480600</v>
      </c>
      <c r="P319" s="107">
        <f>SUM(P313:P318)</f>
        <v>-188100</v>
      </c>
      <c r="Q319" s="105"/>
      <c r="R319" s="109"/>
      <c r="S319" s="230"/>
      <c r="Z319" s="578">
        <f>SUM(Z313:Z318)</f>
        <v>1036966.5000000001</v>
      </c>
    </row>
    <row r="320" spans="2:26" s="1" customFormat="1" ht="13.2">
      <c r="B320" s="255"/>
      <c r="C320" s="255"/>
      <c r="D320" s="255"/>
      <c r="E320" s="256"/>
      <c r="F320" s="257"/>
      <c r="G320" s="282"/>
      <c r="H320" s="283"/>
      <c r="I320" s="485"/>
      <c r="J320" s="284"/>
      <c r="K320" s="285"/>
      <c r="L320" s="286"/>
      <c r="M320" s="287"/>
      <c r="N320" s="285"/>
      <c r="O320" s="522"/>
      <c r="P320" s="288" t="str">
        <f>IFERROR(IF(AND($G320&lt;&gt;"",$H320&lt;&gt;""),$L320*$M320,""),0)</f>
        <v/>
      </c>
      <c r="Q320" s="283"/>
      <c r="R320" s="128"/>
      <c r="S320" s="83"/>
    </row>
    <row r="321" spans="2:27" ht="13.2">
      <c r="B321" s="592" t="s">
        <v>478</v>
      </c>
      <c r="C321" s="593"/>
      <c r="D321" s="593"/>
      <c r="E321" s="594"/>
      <c r="F321" s="265" t="s">
        <v>479</v>
      </c>
      <c r="G321" s="266"/>
      <c r="H321" s="289"/>
      <c r="I321" s="63"/>
      <c r="J321" s="64"/>
      <c r="K321" s="34"/>
      <c r="L321" s="34"/>
      <c r="M321" s="65"/>
      <c r="N321" s="34"/>
      <c r="O321" s="513"/>
      <c r="P321" s="48" t="str">
        <f>IFERROR(IF(AND($F321&lt;&gt;"",$H321&lt;&gt;""),$L321*$M321,""),0)</f>
        <v/>
      </c>
      <c r="Q321" s="63"/>
      <c r="R321" s="128"/>
      <c r="S321" s="83"/>
    </row>
    <row r="322" spans="2:27" ht="13.2">
      <c r="B322" s="38" t="s">
        <v>480</v>
      </c>
      <c r="C322" s="59"/>
      <c r="D322" s="59"/>
      <c r="E322" s="60"/>
      <c r="F322" s="196" t="s">
        <v>481</v>
      </c>
      <c r="G322" s="290"/>
      <c r="H322" s="291"/>
      <c r="I322" s="291"/>
      <c r="J322" s="292"/>
      <c r="K322" s="34"/>
      <c r="L322" s="65"/>
      <c r="M322" s="65"/>
      <c r="N322" s="34"/>
      <c r="O322" s="517"/>
      <c r="P322" s="48" t="str">
        <f>IFERROR(IF(AND($G322&lt;&gt;"",$H322&lt;&gt;""),$L322*$M322,""),0)</f>
        <v/>
      </c>
      <c r="Q322" s="291"/>
      <c r="R322" s="128"/>
      <c r="S322" s="83"/>
    </row>
    <row r="323" spans="2:27" ht="13.2">
      <c r="B323" s="187"/>
      <c r="C323" s="52" t="s">
        <v>482</v>
      </c>
      <c r="D323" s="40"/>
      <c r="E323" s="53"/>
      <c r="F323" s="293" t="s">
        <v>483</v>
      </c>
      <c r="G323" s="82"/>
      <c r="H323" s="82"/>
      <c r="I323" s="82"/>
      <c r="J323" s="292"/>
      <c r="K323" s="34"/>
      <c r="L323" s="65"/>
      <c r="M323" s="65"/>
      <c r="N323" s="34"/>
      <c r="O323" s="517"/>
      <c r="P323" s="48" t="str">
        <f>IFERROR(IF(AND($G323&lt;&gt;"",$H323&lt;&gt;""),$L323*$M323,""),0)</f>
        <v/>
      </c>
      <c r="Q323" s="82"/>
      <c r="R323" s="128"/>
      <c r="S323" s="83"/>
    </row>
    <row r="324" spans="2:27" ht="22.8">
      <c r="B324" s="187"/>
      <c r="C324" s="40"/>
      <c r="D324" s="126" t="s">
        <v>67</v>
      </c>
      <c r="E324" s="60"/>
      <c r="F324" s="197" t="s">
        <v>484</v>
      </c>
      <c r="G324" s="78" t="s">
        <v>26</v>
      </c>
      <c r="H324" s="222">
        <v>1</v>
      </c>
      <c r="I324" s="428">
        <f>Overlay!G5</f>
        <v>1</v>
      </c>
      <c r="J324" s="57"/>
      <c r="K324" s="47">
        <f>L324-J324</f>
        <v>0</v>
      </c>
      <c r="L324" s="47"/>
      <c r="M324" s="46">
        <v>150000</v>
      </c>
      <c r="N324" s="47">
        <f>IFERROR(IF(AND($G324&lt;&gt;"",$H324&lt;&gt;""),$H324*$M324,""),0)</f>
        <v>150000</v>
      </c>
      <c r="O324" s="505">
        <f>IFERROR(IF(AND($G324&lt;&gt;"",$H324&lt;&gt;""),$I324*$M324,""),0)</f>
        <v>150000</v>
      </c>
      <c r="P324" s="48">
        <f>+N324-O324</f>
        <v>0</v>
      </c>
      <c r="Q324" s="44"/>
      <c r="R324" s="128"/>
      <c r="S324" s="90"/>
      <c r="Y324" s="2">
        <v>220000</v>
      </c>
      <c r="Z324" s="577">
        <f t="shared" ref="Z324:Z329" si="110">Y324*I324</f>
        <v>220000</v>
      </c>
    </row>
    <row r="325" spans="2:27" ht="13.2">
      <c r="B325" s="38" t="s">
        <v>485</v>
      </c>
      <c r="C325" s="59"/>
      <c r="D325" s="59"/>
      <c r="E325" s="60"/>
      <c r="F325" s="196" t="s">
        <v>486</v>
      </c>
      <c r="G325" s="55"/>
      <c r="H325" s="44"/>
      <c r="I325" s="428"/>
      <c r="J325" s="292"/>
      <c r="K325" s="34"/>
      <c r="L325" s="65"/>
      <c r="M325" s="65"/>
      <c r="N325" s="47"/>
      <c r="O325" s="505"/>
      <c r="P325" s="48"/>
      <c r="Q325" s="291"/>
      <c r="R325" s="128"/>
      <c r="S325" s="83"/>
    </row>
    <row r="326" spans="2:27" ht="34.200000000000003">
      <c r="B326" s="187"/>
      <c r="C326" s="52" t="s">
        <v>487</v>
      </c>
      <c r="D326" s="59"/>
      <c r="E326" s="60"/>
      <c r="F326" s="197" t="s">
        <v>488</v>
      </c>
      <c r="G326" s="74" t="s">
        <v>126</v>
      </c>
      <c r="H326" s="274">
        <v>1600</v>
      </c>
      <c r="I326" s="428">
        <f>Overlay!G7</f>
        <v>1920</v>
      </c>
      <c r="J326" s="247"/>
      <c r="K326" s="247">
        <f>L326-J326</f>
        <v>0</v>
      </c>
      <c r="L326" s="247"/>
      <c r="M326" s="248">
        <v>212</v>
      </c>
      <c r="N326" s="247">
        <f t="shared" ref="N326:N343" si="111">IFERROR(IF(AND($G326&lt;&gt;"",$H326&lt;&gt;""),$H326*$M326,""),0)</f>
        <v>339200</v>
      </c>
      <c r="O326" s="520">
        <f t="shared" ref="O326:O335" si="112">IFERROR(IF(AND($G326&lt;&gt;"",$H326&lt;&gt;""),$I326*$M326,""),0)</f>
        <v>407040</v>
      </c>
      <c r="P326" s="48">
        <f>+N326-O326</f>
        <v>-67840</v>
      </c>
      <c r="Q326" s="47"/>
      <c r="R326" s="49"/>
      <c r="S326" s="579"/>
      <c r="T326" s="560"/>
      <c r="U326" s="560"/>
      <c r="V326" s="560"/>
      <c r="W326" s="560"/>
      <c r="X326" s="560"/>
      <c r="Y326" s="560">
        <v>345.17</v>
      </c>
      <c r="Z326" s="577">
        <f t="shared" si="110"/>
        <v>662726.40000000002</v>
      </c>
    </row>
    <row r="327" spans="2:27" ht="13.2">
      <c r="B327" s="38" t="s">
        <v>489</v>
      </c>
      <c r="C327" s="40"/>
      <c r="D327" s="40"/>
      <c r="E327" s="53"/>
      <c r="F327" s="196" t="s">
        <v>490</v>
      </c>
      <c r="G327" s="55"/>
      <c r="H327" s="44"/>
      <c r="I327" s="428"/>
      <c r="J327" s="248"/>
      <c r="K327" s="247"/>
      <c r="L327" s="248"/>
      <c r="M327" s="248"/>
      <c r="N327" s="247" t="str">
        <f t="shared" si="111"/>
        <v/>
      </c>
      <c r="O327" s="520" t="str">
        <f t="shared" si="112"/>
        <v/>
      </c>
      <c r="P327" s="249" t="str">
        <f>IFERROR(IF(AND($G327&lt;&gt;"",$H327&lt;&gt;""),$L327*$M327,""),0)</f>
        <v/>
      </c>
      <c r="Q327" s="44"/>
      <c r="R327" s="128"/>
      <c r="S327" s="83"/>
    </row>
    <row r="328" spans="2:27" ht="31.2" customHeight="1">
      <c r="B328" s="51"/>
      <c r="C328" s="126" t="s">
        <v>491</v>
      </c>
      <c r="D328" s="40"/>
      <c r="E328" s="53"/>
      <c r="F328" s="197" t="s">
        <v>492</v>
      </c>
      <c r="G328" s="194" t="s">
        <v>493</v>
      </c>
      <c r="H328" s="82">
        <v>172000</v>
      </c>
      <c r="I328" s="428">
        <v>161671.66</v>
      </c>
      <c r="J328" s="247"/>
      <c r="K328" s="247">
        <f t="shared" ref="K328:K329" si="113">L328-J328</f>
        <v>0</v>
      </c>
      <c r="L328" s="247"/>
      <c r="M328" s="247">
        <v>13</v>
      </c>
      <c r="N328" s="247">
        <f t="shared" si="111"/>
        <v>2236000</v>
      </c>
      <c r="O328" s="520">
        <f t="shared" si="112"/>
        <v>2101731.58</v>
      </c>
      <c r="P328" s="48">
        <f>+N328-O328</f>
        <v>134268.41999999993</v>
      </c>
      <c r="Q328" s="82" t="s">
        <v>795</v>
      </c>
      <c r="R328" s="128"/>
      <c r="S328" s="85"/>
      <c r="Y328" s="91">
        <v>13.84</v>
      </c>
      <c r="Z328" s="577">
        <f t="shared" si="110"/>
        <v>2237535.7744</v>
      </c>
    </row>
    <row r="329" spans="2:27" ht="22.8">
      <c r="B329" s="51"/>
      <c r="C329" s="126" t="s">
        <v>494</v>
      </c>
      <c r="D329" s="40"/>
      <c r="E329" s="53"/>
      <c r="F329" s="197" t="s">
        <v>495</v>
      </c>
      <c r="G329" s="194" t="s">
        <v>439</v>
      </c>
      <c r="H329" s="82">
        <v>800</v>
      </c>
      <c r="I329" s="428">
        <v>376.57</v>
      </c>
      <c r="J329" s="247"/>
      <c r="K329" s="247">
        <f t="shared" si="113"/>
        <v>0</v>
      </c>
      <c r="L329" s="247"/>
      <c r="M329" s="247">
        <v>21</v>
      </c>
      <c r="N329" s="247">
        <f t="shared" si="111"/>
        <v>16800</v>
      </c>
      <c r="O329" s="520">
        <f t="shared" si="112"/>
        <v>7907.97</v>
      </c>
      <c r="P329" s="48">
        <f>+N329-O329</f>
        <v>8892.0299999999988</v>
      </c>
      <c r="Q329" s="82"/>
      <c r="R329" s="128"/>
      <c r="S329" s="85"/>
      <c r="Y329" s="2">
        <v>8</v>
      </c>
      <c r="Z329" s="577">
        <f t="shared" si="110"/>
        <v>3012.56</v>
      </c>
    </row>
    <row r="330" spans="2:27" ht="13.2">
      <c r="B330" s="38" t="s">
        <v>496</v>
      </c>
      <c r="C330" s="59"/>
      <c r="D330" s="59"/>
      <c r="E330" s="60"/>
      <c r="F330" s="196" t="s">
        <v>497</v>
      </c>
      <c r="G330" s="290"/>
      <c r="H330" s="291"/>
      <c r="I330" s="428"/>
      <c r="J330" s="294"/>
      <c r="K330" s="250"/>
      <c r="L330" s="294"/>
      <c r="M330" s="294"/>
      <c r="N330" s="247" t="str">
        <f t="shared" si="111"/>
        <v/>
      </c>
      <c r="O330" s="520" t="str">
        <f t="shared" si="112"/>
        <v/>
      </c>
      <c r="P330" s="249" t="str">
        <f>IFERROR(IF(AND($G330&lt;&gt;"",$H330&lt;&gt;""),$L330*$M330,""),0)</f>
        <v/>
      </c>
      <c r="Q330" s="291"/>
      <c r="R330" s="128"/>
      <c r="S330" s="83"/>
    </row>
    <row r="331" spans="2:27" ht="13.2">
      <c r="B331" s="187"/>
      <c r="C331" s="52" t="s">
        <v>498</v>
      </c>
      <c r="D331" s="59"/>
      <c r="E331" s="60"/>
      <c r="F331" s="197" t="s">
        <v>499</v>
      </c>
      <c r="G331" s="290"/>
      <c r="H331" s="291"/>
      <c r="I331" s="428"/>
      <c r="J331" s="294"/>
      <c r="K331" s="250"/>
      <c r="L331" s="294"/>
      <c r="M331" s="294"/>
      <c r="N331" s="247" t="str">
        <f t="shared" si="111"/>
        <v/>
      </c>
      <c r="O331" s="520" t="str">
        <f t="shared" si="112"/>
        <v/>
      </c>
      <c r="P331" s="249" t="str">
        <f>IFERROR(IF(AND($G331&lt;&gt;"",$H331&lt;&gt;""),$L331*$M331,""),0)</f>
        <v/>
      </c>
      <c r="Q331" s="291"/>
      <c r="R331" s="128"/>
      <c r="S331" s="83"/>
    </row>
    <row r="332" spans="2:27" s="558" customFormat="1" ht="34.200000000000003">
      <c r="B332" s="553"/>
      <c r="C332" s="501"/>
      <c r="D332" s="554" t="s">
        <v>500</v>
      </c>
      <c r="E332" s="502"/>
      <c r="F332" s="555" t="s">
        <v>501</v>
      </c>
      <c r="G332" s="504" t="s">
        <v>37</v>
      </c>
      <c r="H332" s="464">
        <v>39000</v>
      </c>
      <c r="I332" s="556">
        <v>40441.379999999997</v>
      </c>
      <c r="J332" s="557"/>
      <c r="K332" s="557">
        <f>L332-J332</f>
        <v>0</v>
      </c>
      <c r="L332" s="557"/>
      <c r="M332" s="69">
        <v>2565</v>
      </c>
      <c r="N332" s="580">
        <f>1380*39000</f>
        <v>53820000</v>
      </c>
      <c r="O332" s="505">
        <f t="shared" si="112"/>
        <v>103732139.69999999</v>
      </c>
      <c r="P332" s="506">
        <f>+N332-O332</f>
        <v>-49912139.699999988</v>
      </c>
      <c r="Q332" s="475"/>
      <c r="R332" s="581"/>
      <c r="S332" s="582"/>
      <c r="T332" s="583"/>
      <c r="U332" s="583"/>
      <c r="V332" s="583"/>
      <c r="W332" s="583"/>
      <c r="X332" s="583"/>
      <c r="Y332" s="584">
        <v>2293.5</v>
      </c>
      <c r="Z332" s="585">
        <f>Y332*I332</f>
        <v>92752305.030000001</v>
      </c>
      <c r="AA332" s="585">
        <f>O332-Z332</f>
        <v>10979834.669999987</v>
      </c>
    </row>
    <row r="333" spans="2:27" ht="13.2">
      <c r="B333" s="38" t="s">
        <v>502</v>
      </c>
      <c r="C333" s="59"/>
      <c r="D333" s="59"/>
      <c r="E333" s="60"/>
      <c r="F333" s="196" t="s">
        <v>503</v>
      </c>
      <c r="G333" s="290"/>
      <c r="H333" s="291"/>
      <c r="I333" s="428"/>
      <c r="J333" s="294"/>
      <c r="K333" s="250"/>
      <c r="L333" s="294"/>
      <c r="M333" s="294"/>
      <c r="N333" s="247" t="str">
        <f t="shared" si="111"/>
        <v/>
      </c>
      <c r="O333" s="520" t="str">
        <f t="shared" si="112"/>
        <v/>
      </c>
      <c r="P333" s="249" t="str">
        <f>IFERROR(IF(AND($G333&lt;&gt;"",$H333&lt;&gt;""),$L333*$M333,""),0)</f>
        <v/>
      </c>
      <c r="Q333" s="291"/>
      <c r="R333" s="128"/>
      <c r="S333" s="83"/>
    </row>
    <row r="334" spans="2:27" ht="13.2">
      <c r="B334" s="187"/>
      <c r="C334" s="52" t="s">
        <v>504</v>
      </c>
      <c r="D334" s="59"/>
      <c r="E334" s="60"/>
      <c r="F334" s="197" t="s">
        <v>505</v>
      </c>
      <c r="G334" s="74" t="s">
        <v>126</v>
      </c>
      <c r="H334" s="44">
        <v>311540</v>
      </c>
      <c r="I334" s="428">
        <f>Overlay!G15</f>
        <v>0</v>
      </c>
      <c r="J334" s="247"/>
      <c r="K334" s="247">
        <f>L334-J334</f>
        <v>0</v>
      </c>
      <c r="L334" s="247"/>
      <c r="M334" s="247">
        <v>15</v>
      </c>
      <c r="N334" s="247">
        <f t="shared" si="111"/>
        <v>4673100</v>
      </c>
      <c r="O334" s="520">
        <f t="shared" si="112"/>
        <v>0</v>
      </c>
      <c r="P334" s="48">
        <f>+N334-O334</f>
        <v>4673100</v>
      </c>
      <c r="Q334" s="291"/>
      <c r="R334" s="128"/>
      <c r="S334" s="83"/>
    </row>
    <row r="335" spans="2:27" ht="13.2">
      <c r="B335" s="38" t="s">
        <v>506</v>
      </c>
      <c r="C335" s="59"/>
      <c r="D335" s="59"/>
      <c r="E335" s="60"/>
      <c r="F335" s="196" t="s">
        <v>507</v>
      </c>
      <c r="G335" s="290"/>
      <c r="H335" s="291"/>
      <c r="I335" s="428"/>
      <c r="J335" s="294"/>
      <c r="K335" s="250"/>
      <c r="L335" s="294"/>
      <c r="M335" s="294"/>
      <c r="N335" s="247" t="str">
        <f t="shared" si="111"/>
        <v/>
      </c>
      <c r="O335" s="520" t="str">
        <f t="shared" si="112"/>
        <v/>
      </c>
      <c r="P335" s="249" t="str">
        <f>IFERROR(IF(AND($G335&lt;&gt;"",$H335&lt;&gt;""),$L335*$M335,""),0)</f>
        <v/>
      </c>
      <c r="Q335" s="291"/>
      <c r="R335" s="128"/>
      <c r="S335" s="83"/>
    </row>
    <row r="336" spans="2:27" ht="13.2">
      <c r="B336" s="187"/>
      <c r="C336" s="52" t="s">
        <v>508</v>
      </c>
      <c r="D336" s="59"/>
      <c r="E336" s="60"/>
      <c r="F336" s="197" t="s">
        <v>509</v>
      </c>
      <c r="G336" s="55" t="s">
        <v>37</v>
      </c>
      <c r="H336" s="291"/>
      <c r="I336" s="428">
        <f>Overlay!G17</f>
        <v>0</v>
      </c>
      <c r="J336" s="247"/>
      <c r="K336" s="247"/>
      <c r="L336" s="247"/>
      <c r="M336" s="248">
        <v>3000</v>
      </c>
      <c r="N336" s="247" t="str">
        <f t="shared" si="111"/>
        <v/>
      </c>
      <c r="O336" s="520" t="s">
        <v>510</v>
      </c>
      <c r="P336" s="249" t="str">
        <f>IFERROR(IF(AND($G336&lt;&gt;"",$H336&lt;&gt;""),$L336*$M336,""),0)</f>
        <v/>
      </c>
      <c r="Q336" s="291"/>
      <c r="R336" s="128"/>
      <c r="S336" s="83"/>
      <c r="Y336" s="2">
        <v>21054</v>
      </c>
    </row>
    <row r="337" spans="2:27" ht="13.2">
      <c r="B337" s="51"/>
      <c r="C337" s="126" t="s">
        <v>511</v>
      </c>
      <c r="D337" s="40"/>
      <c r="E337" s="53"/>
      <c r="F337" s="197" t="s">
        <v>512</v>
      </c>
      <c r="G337" s="74" t="s">
        <v>37</v>
      </c>
      <c r="H337" s="274"/>
      <c r="I337" s="428">
        <f>Overlay!G18</f>
        <v>0</v>
      </c>
      <c r="J337" s="247"/>
      <c r="K337" s="247"/>
      <c r="L337" s="247"/>
      <c r="M337" s="248">
        <v>3000</v>
      </c>
      <c r="N337" s="247" t="str">
        <f t="shared" si="111"/>
        <v/>
      </c>
      <c r="O337" s="520" t="s">
        <v>510</v>
      </c>
      <c r="P337" s="249" t="str">
        <f>IFERROR(IF(AND($G337&lt;&gt;"",$H337&lt;&gt;""),$L337*$M337,""),0)</f>
        <v/>
      </c>
      <c r="Q337" s="82"/>
      <c r="R337" s="128"/>
      <c r="S337" s="83"/>
      <c r="Y337" s="2">
        <v>385</v>
      </c>
    </row>
    <row r="338" spans="2:27" ht="13.2">
      <c r="B338" s="51"/>
      <c r="C338" s="126" t="s">
        <v>513</v>
      </c>
      <c r="D338" s="40"/>
      <c r="E338" s="53"/>
      <c r="F338" s="197" t="s">
        <v>514</v>
      </c>
      <c r="G338" s="74" t="s">
        <v>37</v>
      </c>
      <c r="H338" s="274"/>
      <c r="I338" s="428">
        <f>Overlay!G19</f>
        <v>0</v>
      </c>
      <c r="J338" s="247"/>
      <c r="K338" s="247"/>
      <c r="L338" s="247"/>
      <c r="M338" s="248">
        <v>3500</v>
      </c>
      <c r="N338" s="247" t="str">
        <f t="shared" si="111"/>
        <v/>
      </c>
      <c r="O338" s="520" t="s">
        <v>510</v>
      </c>
      <c r="P338" s="249" t="str">
        <f>IFERROR(IF(AND($G338&lt;&gt;"",$H338&lt;&gt;""),$L338*$M338,""),0)</f>
        <v/>
      </c>
      <c r="Q338" s="82"/>
      <c r="R338" s="128"/>
      <c r="S338" s="83"/>
      <c r="Y338" s="2">
        <v>2434</v>
      </c>
    </row>
    <row r="339" spans="2:27" ht="13.2">
      <c r="B339" s="38" t="s">
        <v>515</v>
      </c>
      <c r="C339" s="59"/>
      <c r="D339" s="59"/>
      <c r="E339" s="60"/>
      <c r="F339" s="196" t="s">
        <v>516</v>
      </c>
      <c r="G339" s="290"/>
      <c r="H339" s="291"/>
      <c r="I339" s="428"/>
      <c r="J339" s="294"/>
      <c r="K339" s="250"/>
      <c r="L339" s="294"/>
      <c r="M339" s="294"/>
      <c r="N339" s="247" t="str">
        <f t="shared" si="111"/>
        <v/>
      </c>
      <c r="O339" s="520" t="str">
        <f>IFERROR(IF(AND($G339&lt;&gt;"",$H339&lt;&gt;""),$I339*$M339,""),0)</f>
        <v/>
      </c>
      <c r="P339" s="249" t="str">
        <f>IFERROR(IF(AND($G339&lt;&gt;"",$H339&lt;&gt;""),$L339*$M339,""),0)</f>
        <v/>
      </c>
      <c r="Q339" s="291"/>
      <c r="R339" s="128"/>
      <c r="S339" s="83"/>
    </row>
    <row r="340" spans="2:27" ht="13.2">
      <c r="B340" s="51"/>
      <c r="C340" s="52" t="s">
        <v>517</v>
      </c>
      <c r="D340" s="40"/>
      <c r="E340" s="53"/>
      <c r="F340" s="197" t="s">
        <v>518</v>
      </c>
      <c r="G340" s="74" t="s">
        <v>143</v>
      </c>
      <c r="H340" s="295">
        <v>1730</v>
      </c>
      <c r="I340" s="428">
        <f>Overlay!G21</f>
        <v>0</v>
      </c>
      <c r="J340" s="247"/>
      <c r="K340" s="247">
        <f>L340-J340</f>
        <v>0</v>
      </c>
      <c r="L340" s="247"/>
      <c r="M340" s="248">
        <v>300</v>
      </c>
      <c r="N340" s="247">
        <f t="shared" si="111"/>
        <v>519000</v>
      </c>
      <c r="O340" s="520">
        <f>IFERROR(IF(AND($G340&lt;&gt;"",$H340&lt;&gt;""),$I340*$M340,""),0)</f>
        <v>0</v>
      </c>
      <c r="P340" s="48">
        <f>+N340-O340</f>
        <v>519000</v>
      </c>
      <c r="Q340" s="75" t="s">
        <v>800</v>
      </c>
      <c r="R340" s="128"/>
      <c r="S340" s="90"/>
      <c r="Y340" s="2">
        <v>250</v>
      </c>
      <c r="Z340" s="577">
        <f t="shared" ref="Z340:Z343" si="114">Y340*I340</f>
        <v>0</v>
      </c>
      <c r="AA340" s="2" t="s">
        <v>987</v>
      </c>
    </row>
    <row r="341" spans="2:27" ht="24">
      <c r="B341" s="38" t="s">
        <v>519</v>
      </c>
      <c r="C341" s="59"/>
      <c r="D341" s="59"/>
      <c r="E341" s="60"/>
      <c r="F341" s="196" t="s">
        <v>520</v>
      </c>
      <c r="G341" s="62"/>
      <c r="H341" s="296"/>
      <c r="I341" s="428">
        <f>Overlay!G22</f>
        <v>0</v>
      </c>
      <c r="J341" s="297"/>
      <c r="K341" s="297"/>
      <c r="L341" s="297"/>
      <c r="M341" s="294"/>
      <c r="N341" s="247" t="str">
        <f t="shared" si="111"/>
        <v/>
      </c>
      <c r="O341" s="520" t="str">
        <f>IFERROR(IF(AND($G341&lt;&gt;"",$H341&lt;&gt;""),$I341*$M341,""),0)</f>
        <v/>
      </c>
      <c r="P341" s="249" t="str">
        <f>IFERROR(IF(AND($G341&lt;&gt;"",$H341&lt;&gt;""),$L341*$M341,""),0)</f>
        <v/>
      </c>
      <c r="Q341" s="296"/>
      <c r="R341" s="128"/>
      <c r="S341" s="85"/>
    </row>
    <row r="342" spans="2:27" ht="22.8">
      <c r="B342" s="51"/>
      <c r="C342" s="52" t="s">
        <v>521</v>
      </c>
      <c r="D342" s="40"/>
      <c r="E342" s="53"/>
      <c r="F342" s="197" t="s">
        <v>522</v>
      </c>
      <c r="G342" s="55" t="s">
        <v>143</v>
      </c>
      <c r="H342" s="56">
        <v>1</v>
      </c>
      <c r="I342" s="428">
        <f>Overlay!G23</f>
        <v>1</v>
      </c>
      <c r="J342" s="247"/>
      <c r="K342" s="247">
        <f t="shared" ref="K342:K343" si="115">L342-J342</f>
        <v>0</v>
      </c>
      <c r="L342" s="247"/>
      <c r="M342" s="248">
        <v>35000</v>
      </c>
      <c r="N342" s="247">
        <f t="shared" si="111"/>
        <v>35000</v>
      </c>
      <c r="O342" s="520">
        <f>IFERROR(IF(AND($G342&lt;&gt;"",$H342&lt;&gt;""),$I342*$M342,""),0)</f>
        <v>35000</v>
      </c>
      <c r="P342" s="48">
        <f>+N342-O342</f>
        <v>0</v>
      </c>
      <c r="Q342" s="56"/>
      <c r="R342" s="128"/>
      <c r="S342" s="85"/>
      <c r="Y342" s="2">
        <v>75000</v>
      </c>
      <c r="Z342" s="577">
        <f t="shared" si="114"/>
        <v>75000</v>
      </c>
    </row>
    <row r="343" spans="2:27" ht="22.8">
      <c r="B343" s="51"/>
      <c r="C343" s="52" t="s">
        <v>523</v>
      </c>
      <c r="D343" s="40"/>
      <c r="E343" s="53"/>
      <c r="F343" s="197" t="s">
        <v>524</v>
      </c>
      <c r="G343" s="55" t="s">
        <v>525</v>
      </c>
      <c r="H343" s="44">
        <v>80</v>
      </c>
      <c r="I343" s="428">
        <v>89.2</v>
      </c>
      <c r="J343" s="248"/>
      <c r="K343" s="247">
        <f t="shared" si="115"/>
        <v>0</v>
      </c>
      <c r="L343" s="247"/>
      <c r="M343" s="248">
        <v>3500</v>
      </c>
      <c r="N343" s="247">
        <f t="shared" si="111"/>
        <v>280000</v>
      </c>
      <c r="O343" s="520">
        <f>IFERROR(IF(AND($G343&lt;&gt;"",$H343&lt;&gt;""),$I343*$M343,""),0)</f>
        <v>312200</v>
      </c>
      <c r="P343" s="48">
        <f>+N343-O343</f>
        <v>-32200</v>
      </c>
      <c r="Q343" s="44"/>
      <c r="R343" s="128"/>
      <c r="S343" s="85"/>
      <c r="Y343" s="2">
        <v>1320</v>
      </c>
      <c r="Z343" s="577">
        <f t="shared" si="114"/>
        <v>117744</v>
      </c>
    </row>
    <row r="344" spans="2:27" ht="13.2">
      <c r="B344" s="51"/>
      <c r="C344" s="52"/>
      <c r="D344" s="40"/>
      <c r="E344" s="53"/>
      <c r="F344" s="197"/>
      <c r="G344" s="55"/>
      <c r="H344" s="56"/>
      <c r="I344" s="44"/>
      <c r="J344" s="298"/>
      <c r="K344" s="299"/>
      <c r="L344" s="299"/>
      <c r="M344" s="248"/>
      <c r="N344" s="247"/>
      <c r="O344" s="520"/>
      <c r="P344" s="249"/>
      <c r="Q344" s="56"/>
      <c r="R344" s="49"/>
      <c r="S344" s="90"/>
    </row>
    <row r="345" spans="2:27" ht="13.2">
      <c r="B345" s="51"/>
      <c r="C345" s="52"/>
      <c r="D345" s="40"/>
      <c r="E345" s="53"/>
      <c r="F345" s="197"/>
      <c r="G345" s="55"/>
      <c r="H345" s="44"/>
      <c r="I345" s="44"/>
      <c r="J345" s="57"/>
      <c r="K345" s="47"/>
      <c r="L345" s="47"/>
      <c r="M345" s="46"/>
      <c r="N345" s="47"/>
      <c r="O345" s="505"/>
      <c r="P345" s="48"/>
      <c r="Q345" s="44"/>
      <c r="R345" s="128"/>
      <c r="S345" s="85"/>
    </row>
    <row r="346" spans="2:27" ht="13.2">
      <c r="B346" s="96"/>
      <c r="C346" s="204"/>
      <c r="D346" s="98"/>
      <c r="E346" s="99"/>
      <c r="F346" s="197"/>
      <c r="G346" s="127"/>
      <c r="H346" s="281"/>
      <c r="I346" s="253"/>
      <c r="J346" s="86"/>
      <c r="K346" s="47"/>
      <c r="L346" s="47"/>
      <c r="M346" s="46"/>
      <c r="N346" s="47"/>
      <c r="O346" s="505"/>
      <c r="P346" s="48"/>
      <c r="Q346" s="253"/>
      <c r="R346" s="128"/>
      <c r="S346" s="83"/>
    </row>
    <row r="347" spans="2:27" ht="13.2">
      <c r="B347" s="100" t="s">
        <v>103</v>
      </c>
      <c r="C347" s="101"/>
      <c r="D347" s="101"/>
      <c r="E347" s="102"/>
      <c r="F347" s="207"/>
      <c r="G347" s="104"/>
      <c r="H347" s="105"/>
      <c r="I347" s="105"/>
      <c r="J347" s="106"/>
      <c r="K347" s="107"/>
      <c r="L347" s="108"/>
      <c r="M347" s="108"/>
      <c r="N347" s="107">
        <f>SUM(N324:N346)</f>
        <v>62069100</v>
      </c>
      <c r="O347" s="500">
        <f>SUM(O324:O346)</f>
        <v>106746019.24999999</v>
      </c>
      <c r="P347" s="107">
        <f>SUM(P324:P346)</f>
        <v>-44676919.249999985</v>
      </c>
      <c r="Q347" s="105"/>
      <c r="R347" s="109">
        <f>P347</f>
        <v>-44676919.249999985</v>
      </c>
      <c r="S347" s="230"/>
      <c r="Z347" s="107">
        <f>SUM(Z324:Z346)</f>
        <v>96068323.764400005</v>
      </c>
    </row>
    <row r="348" spans="2:27" ht="13.2">
      <c r="B348" s="144"/>
      <c r="C348" s="145"/>
      <c r="D348" s="145"/>
      <c r="E348" s="146"/>
      <c r="F348" s="147"/>
      <c r="G348" s="216"/>
      <c r="H348" s="217"/>
      <c r="I348" s="480"/>
      <c r="J348" s="218"/>
      <c r="K348" s="118"/>
      <c r="L348" s="118"/>
      <c r="M348" s="121"/>
      <c r="N348" s="118"/>
      <c r="O348" s="516"/>
      <c r="P348" s="122" t="str">
        <f>IFERROR(IF(AND($G348&lt;&gt;"",$H348&lt;&gt;""),$L348*$M348,""),0)</f>
        <v/>
      </c>
      <c r="Q348" s="217"/>
      <c r="R348" s="128"/>
      <c r="S348" s="83"/>
    </row>
    <row r="349" spans="2:27" ht="13.2">
      <c r="B349" s="592" t="s">
        <v>526</v>
      </c>
      <c r="C349" s="593"/>
      <c r="D349" s="593"/>
      <c r="E349" s="594"/>
      <c r="F349" s="265" t="s">
        <v>527</v>
      </c>
      <c r="G349" s="1"/>
      <c r="H349" s="155"/>
      <c r="I349" s="155"/>
      <c r="J349" s="64"/>
      <c r="K349" s="34"/>
      <c r="L349" s="34"/>
      <c r="M349" s="65"/>
      <c r="N349" s="34"/>
      <c r="O349" s="513"/>
      <c r="P349" s="48" t="str">
        <f>IFERROR(IF(AND($F349&lt;&gt;"",$H349&lt;&gt;""),$L349*$M349,""),0)</f>
        <v/>
      </c>
      <c r="Q349" s="155"/>
      <c r="R349" s="128"/>
      <c r="S349" s="83"/>
    </row>
    <row r="350" spans="2:27" ht="13.2">
      <c r="B350" s="27" t="s">
        <v>528</v>
      </c>
      <c r="C350" s="59"/>
      <c r="D350" s="59"/>
      <c r="E350" s="60"/>
      <c r="F350" s="196" t="s">
        <v>529</v>
      </c>
      <c r="G350" s="62"/>
      <c r="H350" s="63"/>
      <c r="I350" s="63"/>
      <c r="J350" s="251"/>
      <c r="K350" s="34"/>
      <c r="L350" s="34"/>
      <c r="M350" s="34"/>
      <c r="N350" s="34"/>
      <c r="O350" s="517"/>
      <c r="P350" s="48" t="str">
        <f>IFERROR(IF(AND($G350&lt;&gt;"",$H350&lt;&gt;""),$L350*$M350,""),0)</f>
        <v/>
      </c>
      <c r="Q350" s="63"/>
      <c r="R350" s="128"/>
      <c r="S350" s="83"/>
    </row>
    <row r="351" spans="2:27" ht="22.8">
      <c r="B351" s="187"/>
      <c r="C351" s="604" t="s">
        <v>530</v>
      </c>
      <c r="D351" s="604"/>
      <c r="E351" s="605"/>
      <c r="F351" s="197" t="s">
        <v>531</v>
      </c>
      <c r="G351" s="74"/>
      <c r="H351" s="274"/>
      <c r="I351" s="82"/>
      <c r="J351" s="76"/>
      <c r="K351" s="47"/>
      <c r="L351" s="47"/>
      <c r="M351" s="46"/>
      <c r="N351" s="47"/>
      <c r="O351" s="505"/>
      <c r="P351" s="48"/>
      <c r="Q351" s="82"/>
      <c r="R351" s="128"/>
      <c r="S351" s="83"/>
    </row>
    <row r="352" spans="2:27" ht="13.2">
      <c r="B352" s="187"/>
      <c r="C352" s="300"/>
      <c r="D352" s="300" t="s">
        <v>67</v>
      </c>
      <c r="E352" s="301"/>
      <c r="F352" s="197" t="s">
        <v>532</v>
      </c>
      <c r="G352" s="74" t="s">
        <v>40</v>
      </c>
      <c r="H352" s="274">
        <v>6140</v>
      </c>
      <c r="I352" s="404">
        <f>Guardrails!G5</f>
        <v>8800</v>
      </c>
      <c r="J352" s="76"/>
      <c r="K352" s="47">
        <f>L352-J352</f>
        <v>0</v>
      </c>
      <c r="L352" s="47"/>
      <c r="M352" s="46">
        <v>1000</v>
      </c>
      <c r="N352" s="47">
        <f t="shared" ref="N352:N361" si="116">IFERROR(IF(AND($G352&lt;&gt;"",$H352&lt;&gt;""),$H352*$M352,""),0)</f>
        <v>6140000</v>
      </c>
      <c r="O352" s="505">
        <f t="shared" ref="O352:O361" si="117">IFERROR(IF(AND($G352&lt;&gt;"",$H352&lt;&gt;""),$I352*$M352,""),0)</f>
        <v>8800000</v>
      </c>
      <c r="P352" s="48">
        <f>+N352-O352</f>
        <v>-2660000</v>
      </c>
      <c r="Q352" s="82"/>
      <c r="R352" s="128"/>
      <c r="S352" s="83"/>
    </row>
    <row r="353" spans="2:19" ht="13.2">
      <c r="B353" s="187"/>
      <c r="C353" s="126" t="s">
        <v>533</v>
      </c>
      <c r="D353" s="59"/>
      <c r="E353" s="60"/>
      <c r="F353" s="197" t="s">
        <v>534</v>
      </c>
      <c r="G353" s="62"/>
      <c r="H353" s="63"/>
      <c r="I353" s="404">
        <f>Guardrails!G6</f>
        <v>0</v>
      </c>
      <c r="J353" s="64"/>
      <c r="K353" s="34"/>
      <c r="L353" s="34"/>
      <c r="M353" s="65"/>
      <c r="N353" s="47" t="str">
        <f t="shared" si="116"/>
        <v/>
      </c>
      <c r="O353" s="505" t="str">
        <f t="shared" si="117"/>
        <v/>
      </c>
      <c r="P353" s="48" t="str">
        <f>IFERROR(IF(AND($G353&lt;&gt;"",$H353&lt;&gt;""),$L353*$M353,""),0)</f>
        <v/>
      </c>
      <c r="Q353" s="63"/>
      <c r="R353" s="128"/>
      <c r="S353" s="83"/>
    </row>
    <row r="354" spans="2:19" ht="13.2">
      <c r="B354" s="51"/>
      <c r="C354" s="40"/>
      <c r="D354" s="52" t="s">
        <v>67</v>
      </c>
      <c r="E354" s="53"/>
      <c r="F354" s="197" t="s">
        <v>535</v>
      </c>
      <c r="G354" s="55" t="s">
        <v>143</v>
      </c>
      <c r="H354" s="44">
        <v>50</v>
      </c>
      <c r="I354" s="404">
        <f>Guardrails!G7</f>
        <v>0</v>
      </c>
      <c r="J354" s="57"/>
      <c r="K354" s="47">
        <f>L354-J354</f>
        <v>0</v>
      </c>
      <c r="L354" s="47"/>
      <c r="M354" s="46">
        <v>800</v>
      </c>
      <c r="N354" s="47">
        <f t="shared" si="116"/>
        <v>40000</v>
      </c>
      <c r="O354" s="505">
        <f t="shared" si="117"/>
        <v>0</v>
      </c>
      <c r="P354" s="48">
        <f>+N354-O354</f>
        <v>40000</v>
      </c>
      <c r="Q354" s="44"/>
      <c r="R354" s="128"/>
      <c r="S354" s="85"/>
    </row>
    <row r="355" spans="2:19" ht="13.2">
      <c r="B355" s="38" t="s">
        <v>536</v>
      </c>
      <c r="C355" s="59"/>
      <c r="D355" s="59"/>
      <c r="E355" s="60"/>
      <c r="F355" s="196" t="s">
        <v>537</v>
      </c>
      <c r="G355" s="290"/>
      <c r="H355" s="291"/>
      <c r="I355" s="404">
        <f>Guardrails!G8</f>
        <v>0</v>
      </c>
      <c r="J355" s="292"/>
      <c r="K355" s="34"/>
      <c r="L355" s="65"/>
      <c r="M355" s="65"/>
      <c r="N355" s="47" t="str">
        <f t="shared" si="116"/>
        <v/>
      </c>
      <c r="O355" s="505" t="str">
        <f t="shared" si="117"/>
        <v/>
      </c>
      <c r="P355" s="48" t="str">
        <f>IFERROR(IF(AND($G355&lt;&gt;"",$H355&lt;&gt;""),$L355*$M355,""),0)</f>
        <v/>
      </c>
      <c r="Q355" s="291"/>
      <c r="R355" s="128"/>
      <c r="S355" s="83"/>
    </row>
    <row r="356" spans="2:19" ht="13.2">
      <c r="B356" s="51"/>
      <c r="C356" s="52" t="s">
        <v>538</v>
      </c>
      <c r="D356" s="40"/>
      <c r="E356" s="53"/>
      <c r="F356" s="197" t="s">
        <v>539</v>
      </c>
      <c r="G356" s="55" t="s">
        <v>143</v>
      </c>
      <c r="H356" s="44">
        <v>3070</v>
      </c>
      <c r="I356" s="404">
        <f>Guardrails!G9</f>
        <v>1157.8947368421054</v>
      </c>
      <c r="J356" s="57"/>
      <c r="K356" s="47">
        <f t="shared" ref="K356:K358" si="118">L356-J356</f>
        <v>0</v>
      </c>
      <c r="L356" s="47"/>
      <c r="M356" s="46">
        <v>15</v>
      </c>
      <c r="N356" s="47">
        <f t="shared" si="116"/>
        <v>46050</v>
      </c>
      <c r="O356" s="505">
        <f t="shared" si="117"/>
        <v>17368.42105263158</v>
      </c>
      <c r="P356" s="48">
        <f>+N356-O356</f>
        <v>28681.57894736842</v>
      </c>
      <c r="Q356" s="44"/>
      <c r="R356" s="128"/>
      <c r="S356" s="85"/>
    </row>
    <row r="357" spans="2:19" ht="13.2">
      <c r="B357" s="38" t="s">
        <v>540</v>
      </c>
      <c r="C357" s="59"/>
      <c r="D357" s="59"/>
      <c r="E357" s="60"/>
      <c r="F357" s="196" t="s">
        <v>541</v>
      </c>
      <c r="G357" s="55" t="s">
        <v>40</v>
      </c>
      <c r="H357" s="274">
        <v>6140</v>
      </c>
      <c r="I357" s="404">
        <f>Guardrails!G10</f>
        <v>8800</v>
      </c>
      <c r="J357" s="86"/>
      <c r="K357" s="47">
        <f t="shared" si="118"/>
        <v>0</v>
      </c>
      <c r="L357" s="47"/>
      <c r="M357" s="46">
        <v>380</v>
      </c>
      <c r="N357" s="47">
        <f t="shared" si="116"/>
        <v>2333200</v>
      </c>
      <c r="O357" s="505">
        <f t="shared" si="117"/>
        <v>3344000</v>
      </c>
      <c r="P357" s="48">
        <f>+N357-O357</f>
        <v>-1010800</v>
      </c>
      <c r="Q357" s="82"/>
      <c r="R357" s="128"/>
      <c r="S357" s="83"/>
    </row>
    <row r="358" spans="2:19" ht="24">
      <c r="B358" s="38" t="s">
        <v>542</v>
      </c>
      <c r="C358" s="59"/>
      <c r="D358" s="59"/>
      <c r="E358" s="60"/>
      <c r="F358" s="196" t="s">
        <v>543</v>
      </c>
      <c r="G358" s="55" t="s">
        <v>143</v>
      </c>
      <c r="H358" s="44">
        <v>1620</v>
      </c>
      <c r="I358" s="404">
        <f>Guardrails!G11</f>
        <v>2315.7894736842109</v>
      </c>
      <c r="J358" s="57"/>
      <c r="K358" s="47">
        <f t="shared" si="118"/>
        <v>0</v>
      </c>
      <c r="L358" s="47"/>
      <c r="M358" s="46">
        <v>55</v>
      </c>
      <c r="N358" s="47">
        <f t="shared" si="116"/>
        <v>89100</v>
      </c>
      <c r="O358" s="505">
        <f t="shared" si="117"/>
        <v>127368.4210526316</v>
      </c>
      <c r="P358" s="48">
        <f>+N358-O358</f>
        <v>-38268.421052631602</v>
      </c>
      <c r="Q358" s="44"/>
      <c r="R358" s="128"/>
      <c r="S358" s="83"/>
    </row>
    <row r="359" spans="2:19" ht="13.2">
      <c r="B359" s="38" t="s">
        <v>544</v>
      </c>
      <c r="C359" s="59"/>
      <c r="D359" s="59"/>
      <c r="E359" s="60"/>
      <c r="F359" s="196" t="s">
        <v>545</v>
      </c>
      <c r="G359" s="290"/>
      <c r="H359" s="291"/>
      <c r="I359" s="404">
        <f>Guardrails!G12</f>
        <v>0</v>
      </c>
      <c r="J359" s="292"/>
      <c r="K359" s="34"/>
      <c r="L359" s="65"/>
      <c r="M359" s="65"/>
      <c r="N359" s="47" t="str">
        <f t="shared" si="116"/>
        <v/>
      </c>
      <c r="O359" s="505" t="str">
        <f t="shared" si="117"/>
        <v/>
      </c>
      <c r="P359" s="48" t="str">
        <f>IFERROR(IF(AND($G359&lt;&gt;"",$H359&lt;&gt;""),$L359*$M359,""),0)</f>
        <v/>
      </c>
      <c r="Q359" s="291"/>
      <c r="R359" s="128"/>
      <c r="S359" s="83"/>
    </row>
    <row r="360" spans="2:19" ht="13.2">
      <c r="B360" s="187"/>
      <c r="C360" s="52" t="s">
        <v>546</v>
      </c>
      <c r="D360" s="59"/>
      <c r="E360" s="60"/>
      <c r="F360" s="197" t="s">
        <v>547</v>
      </c>
      <c r="G360" s="55" t="s">
        <v>40</v>
      </c>
      <c r="H360" s="44">
        <v>6140</v>
      </c>
      <c r="I360" s="404">
        <f>Guardrails!G13</f>
        <v>8800</v>
      </c>
      <c r="J360" s="45"/>
      <c r="K360" s="47">
        <f t="shared" ref="K360:K361" si="119">L360-J360</f>
        <v>0</v>
      </c>
      <c r="L360" s="47"/>
      <c r="M360" s="46">
        <v>60</v>
      </c>
      <c r="N360" s="47">
        <f t="shared" si="116"/>
        <v>368400</v>
      </c>
      <c r="O360" s="505">
        <f t="shared" si="117"/>
        <v>528000</v>
      </c>
      <c r="P360" s="48">
        <f>+N360-O360</f>
        <v>-159600</v>
      </c>
      <c r="Q360" s="44"/>
      <c r="R360" s="128"/>
      <c r="S360" s="90"/>
    </row>
    <row r="361" spans="2:19" ht="13.2">
      <c r="B361" s="187"/>
      <c r="C361" s="52" t="s">
        <v>548</v>
      </c>
      <c r="D361" s="59"/>
      <c r="E361" s="60"/>
      <c r="F361" s="197" t="s">
        <v>549</v>
      </c>
      <c r="G361" s="55" t="s">
        <v>40</v>
      </c>
      <c r="H361" s="44">
        <v>620</v>
      </c>
      <c r="I361" s="404">
        <f>Guardrails!G14</f>
        <v>0</v>
      </c>
      <c r="J361" s="45"/>
      <c r="K361" s="47">
        <f t="shared" si="119"/>
        <v>0</v>
      </c>
      <c r="L361" s="47"/>
      <c r="M361" s="46">
        <v>80</v>
      </c>
      <c r="N361" s="47">
        <f t="shared" si="116"/>
        <v>49600</v>
      </c>
      <c r="O361" s="505">
        <f t="shared" si="117"/>
        <v>0</v>
      </c>
      <c r="P361" s="48">
        <f>+N361-O361</f>
        <v>49600</v>
      </c>
      <c r="Q361" s="44"/>
      <c r="R361" s="128"/>
      <c r="S361" s="83"/>
    </row>
    <row r="362" spans="2:19" ht="13.2">
      <c r="B362" s="38"/>
      <c r="C362" s="59"/>
      <c r="D362" s="59"/>
      <c r="E362" s="60"/>
      <c r="F362" s="196"/>
      <c r="G362" s="290"/>
      <c r="H362" s="291"/>
      <c r="I362" s="430"/>
      <c r="J362" s="292"/>
      <c r="K362" s="34"/>
      <c r="L362" s="65"/>
      <c r="M362" s="65"/>
      <c r="N362" s="47"/>
      <c r="O362" s="505"/>
      <c r="P362" s="48"/>
      <c r="Q362" s="291"/>
      <c r="R362" s="128"/>
      <c r="S362" s="83"/>
    </row>
    <row r="363" spans="2:19" ht="13.2">
      <c r="B363" s="187"/>
      <c r="C363" s="126"/>
      <c r="D363" s="59"/>
      <c r="E363" s="60"/>
      <c r="F363" s="197"/>
      <c r="G363" s="62"/>
      <c r="H363" s="63"/>
      <c r="I363" s="410"/>
      <c r="J363" s="251"/>
      <c r="K363" s="34"/>
      <c r="L363" s="34"/>
      <c r="M363" s="65"/>
      <c r="N363" s="47"/>
      <c r="O363" s="505"/>
      <c r="P363" s="48"/>
      <c r="Q363" s="63"/>
      <c r="R363" s="128"/>
      <c r="S363" s="90"/>
    </row>
    <row r="364" spans="2:19" ht="13.2">
      <c r="B364" s="51"/>
      <c r="C364" s="40"/>
      <c r="D364" s="52"/>
      <c r="E364" s="53"/>
      <c r="F364" s="197"/>
      <c r="G364" s="55"/>
      <c r="H364" s="44"/>
      <c r="I364" s="44"/>
      <c r="J364" s="302"/>
      <c r="K364" s="47"/>
      <c r="L364" s="47"/>
      <c r="M364" s="46"/>
      <c r="N364" s="47"/>
      <c r="O364" s="505"/>
      <c r="P364" s="48"/>
      <c r="Q364" s="44"/>
      <c r="R364" s="49"/>
      <c r="S364" s="90"/>
    </row>
    <row r="365" spans="2:19" ht="13.2">
      <c r="B365" s="100" t="s">
        <v>103</v>
      </c>
      <c r="C365" s="101"/>
      <c r="D365" s="101"/>
      <c r="E365" s="102"/>
      <c r="F365" s="207"/>
      <c r="G365" s="104"/>
      <c r="H365" s="105"/>
      <c r="I365" s="105"/>
      <c r="J365" s="106"/>
      <c r="K365" s="107"/>
      <c r="L365" s="108"/>
      <c r="M365" s="108"/>
      <c r="N365" s="107">
        <f>SUM(N349:N364)</f>
        <v>9066350</v>
      </c>
      <c r="O365" s="500">
        <f>SUM(O349:O364)</f>
        <v>12816736.842105262</v>
      </c>
      <c r="P365" s="107">
        <f>SUM(P349:P364)</f>
        <v>-3750386.8421052629</v>
      </c>
      <c r="Q365" s="105"/>
      <c r="R365" s="109">
        <f>P365</f>
        <v>-3750386.8421052629</v>
      </c>
      <c r="S365" s="230"/>
    </row>
    <row r="366" spans="2:19" ht="13.2">
      <c r="B366" s="144"/>
      <c r="C366" s="145"/>
      <c r="D366" s="145"/>
      <c r="E366" s="146"/>
      <c r="F366" s="147"/>
      <c r="G366" s="276"/>
      <c r="H366" s="277"/>
      <c r="I366" s="484"/>
      <c r="J366" s="278"/>
      <c r="K366" s="151"/>
      <c r="L366" s="279"/>
      <c r="M366" s="280"/>
      <c r="N366" s="151"/>
      <c r="O366" s="516"/>
      <c r="P366" s="122" t="str">
        <f>IFERROR(IF(AND($G366&lt;&gt;"",$H366&lt;&gt;""),$L366*$M366,""),0)</f>
        <v/>
      </c>
      <c r="Q366" s="277"/>
      <c r="R366" s="128"/>
      <c r="S366" s="83"/>
    </row>
    <row r="367" spans="2:19" ht="13.2">
      <c r="B367" s="601" t="s">
        <v>550</v>
      </c>
      <c r="C367" s="602"/>
      <c r="D367" s="602"/>
      <c r="E367" s="603"/>
      <c r="F367" s="265" t="s">
        <v>551</v>
      </c>
      <c r="G367" s="162"/>
      <c r="H367" s="44"/>
      <c r="I367" s="44"/>
      <c r="J367" s="45"/>
      <c r="K367" s="47"/>
      <c r="L367" s="46"/>
      <c r="M367" s="46"/>
      <c r="N367" s="47"/>
      <c r="O367" s="69"/>
      <c r="P367" s="48" t="str">
        <f>IFERROR(IF(AND($F367&lt;&gt;"",$H367&lt;&gt;""),$L367*$M367,""),0)</f>
        <v/>
      </c>
      <c r="Q367" s="44"/>
      <c r="R367" s="128"/>
      <c r="S367" s="83"/>
    </row>
    <row r="368" spans="2:19" ht="48">
      <c r="B368" s="38" t="s">
        <v>552</v>
      </c>
      <c r="C368" s="40"/>
      <c r="D368" s="40"/>
      <c r="E368" s="303"/>
      <c r="F368" s="196" t="s">
        <v>553</v>
      </c>
      <c r="G368" s="55"/>
      <c r="H368" s="44"/>
      <c r="I368" s="44"/>
      <c r="J368" s="45"/>
      <c r="K368" s="47"/>
      <c r="L368" s="46"/>
      <c r="M368" s="46"/>
      <c r="N368" s="47"/>
      <c r="O368" s="69"/>
      <c r="P368" s="48" t="str">
        <f>IFERROR(IF(AND($G368&lt;&gt;"",$H368&lt;&gt;""),$L368*$M368,""),0)</f>
        <v/>
      </c>
      <c r="Q368" s="44"/>
      <c r="R368" s="128"/>
      <c r="S368" s="83"/>
    </row>
    <row r="369" spans="2:19" ht="13.2">
      <c r="B369" s="38"/>
      <c r="C369" s="40" t="s">
        <v>554</v>
      </c>
      <c r="D369" s="40"/>
      <c r="E369" s="303"/>
      <c r="F369" s="197" t="s">
        <v>555</v>
      </c>
      <c r="G369" s="55">
        <f>0.2*0.2</f>
        <v>4.0000000000000008E-2</v>
      </c>
      <c r="H369" s="44"/>
      <c r="I369" s="44"/>
      <c r="J369" s="45"/>
      <c r="K369" s="47"/>
      <c r="L369" s="46"/>
      <c r="M369" s="46"/>
      <c r="N369" s="47"/>
      <c r="O369" s="69"/>
      <c r="P369" s="48" t="str">
        <f>IFERROR(IF(AND($G369&lt;&gt;"",$H369&lt;&gt;""),$L369*$M369,""),0)</f>
        <v/>
      </c>
      <c r="Q369" s="44"/>
      <c r="R369" s="128"/>
      <c r="S369" s="83"/>
    </row>
    <row r="370" spans="2:19" ht="13.2">
      <c r="B370" s="38"/>
      <c r="C370" s="40"/>
      <c r="D370" s="52" t="s">
        <v>67</v>
      </c>
      <c r="E370" s="303"/>
      <c r="F370" s="197" t="s">
        <v>556</v>
      </c>
      <c r="G370" s="55" t="s">
        <v>126</v>
      </c>
      <c r="H370" s="75">
        <v>15</v>
      </c>
      <c r="I370" s="421">
        <f>'Road signs'!G5</f>
        <v>1.26</v>
      </c>
      <c r="J370" s="7">
        <v>0</v>
      </c>
      <c r="K370" s="47">
        <f t="shared" ref="K370:K373" si="120">L370-J370</f>
        <v>0</v>
      </c>
      <c r="L370" s="7">
        <v>0</v>
      </c>
      <c r="M370" s="46">
        <v>650</v>
      </c>
      <c r="N370" s="47">
        <f t="shared" ref="N370:N395" si="121">IFERROR(IF(AND($G370&lt;&gt;"",$H370&lt;&gt;""),$H370*$M370,""),0)</f>
        <v>9750</v>
      </c>
      <c r="O370" s="505">
        <f t="shared" ref="O370:O375" si="122">IFERROR(IF(AND($G370&lt;&gt;"",$H370&lt;&gt;""),$I370*$M370,""),0)</f>
        <v>819</v>
      </c>
      <c r="P370" s="48">
        <f>+N370-O370</f>
        <v>8931</v>
      </c>
      <c r="Q370" s="75"/>
      <c r="R370" s="128"/>
      <c r="S370" s="83"/>
    </row>
    <row r="371" spans="2:19" ht="13.2">
      <c r="B371" s="38"/>
      <c r="C371" s="40"/>
      <c r="D371" s="52" t="s">
        <v>70</v>
      </c>
      <c r="E371" s="303"/>
      <c r="F371" s="197" t="s">
        <v>557</v>
      </c>
      <c r="G371" s="55" t="s">
        <v>126</v>
      </c>
      <c r="H371" s="75">
        <v>5</v>
      </c>
      <c r="I371" s="421">
        <f>'Road signs'!G6</f>
        <v>46.24</v>
      </c>
      <c r="J371" s="7">
        <v>0</v>
      </c>
      <c r="K371" s="47">
        <f t="shared" si="120"/>
        <v>0</v>
      </c>
      <c r="L371" s="7">
        <v>0</v>
      </c>
      <c r="M371" s="46">
        <v>680</v>
      </c>
      <c r="N371" s="47">
        <f t="shared" si="121"/>
        <v>3400</v>
      </c>
      <c r="O371" s="505">
        <f t="shared" si="122"/>
        <v>31443.200000000001</v>
      </c>
      <c r="P371" s="48">
        <f>+N371-O371</f>
        <v>-28043.200000000001</v>
      </c>
      <c r="Q371" s="75"/>
      <c r="R371" s="128"/>
      <c r="S371" s="83"/>
    </row>
    <row r="372" spans="2:19" ht="13.2">
      <c r="B372" s="38"/>
      <c r="C372" s="40"/>
      <c r="D372" s="52" t="s">
        <v>72</v>
      </c>
      <c r="E372" s="303"/>
      <c r="F372" s="197" t="s">
        <v>558</v>
      </c>
      <c r="G372" s="55" t="s">
        <v>126</v>
      </c>
      <c r="H372" s="75">
        <v>90</v>
      </c>
      <c r="I372" s="421">
        <f>'Road signs'!G7</f>
        <v>31.87</v>
      </c>
      <c r="J372" s="7">
        <v>0</v>
      </c>
      <c r="K372" s="47">
        <f t="shared" si="120"/>
        <v>0</v>
      </c>
      <c r="L372" s="7">
        <v>0</v>
      </c>
      <c r="M372" s="46">
        <v>700</v>
      </c>
      <c r="N372" s="47">
        <f t="shared" si="121"/>
        <v>63000</v>
      </c>
      <c r="O372" s="505">
        <f t="shared" si="122"/>
        <v>22309</v>
      </c>
      <c r="P372" s="48">
        <f>+N372-O372</f>
        <v>40691</v>
      </c>
      <c r="Q372" s="75"/>
      <c r="R372" s="128"/>
      <c r="S372" s="83"/>
    </row>
    <row r="373" spans="2:19" ht="13.2">
      <c r="B373" s="38"/>
      <c r="C373" s="40"/>
      <c r="D373" s="52" t="s">
        <v>74</v>
      </c>
      <c r="E373" s="303"/>
      <c r="F373" s="197" t="s">
        <v>559</v>
      </c>
      <c r="G373" s="55" t="s">
        <v>126</v>
      </c>
      <c r="H373" s="75">
        <v>90</v>
      </c>
      <c r="I373" s="421">
        <f>'Road signs'!G8</f>
        <v>10.16</v>
      </c>
      <c r="J373" s="7">
        <v>0</v>
      </c>
      <c r="K373" s="47">
        <f t="shared" si="120"/>
        <v>0</v>
      </c>
      <c r="L373" s="7">
        <v>0</v>
      </c>
      <c r="M373" s="46">
        <v>715</v>
      </c>
      <c r="N373" s="47">
        <f t="shared" si="121"/>
        <v>64350</v>
      </c>
      <c r="O373" s="505">
        <f t="shared" si="122"/>
        <v>7264.4000000000005</v>
      </c>
      <c r="P373" s="48">
        <f>+N373-O373</f>
        <v>57085.599999999999</v>
      </c>
      <c r="Q373" s="75"/>
      <c r="R373" s="128"/>
      <c r="S373" s="83"/>
    </row>
    <row r="374" spans="2:19" ht="13.2">
      <c r="B374" s="187"/>
      <c r="C374" s="52" t="s">
        <v>560</v>
      </c>
      <c r="D374" s="59"/>
      <c r="E374" s="60"/>
      <c r="F374" s="197" t="s">
        <v>561</v>
      </c>
      <c r="G374" s="290"/>
      <c r="H374" s="291"/>
      <c r="I374" s="421">
        <f>'Road signs'!G9</f>
        <v>0</v>
      </c>
      <c r="J374" s="304"/>
      <c r="K374" s="34"/>
      <c r="L374" s="304"/>
      <c r="M374" s="65"/>
      <c r="N374" s="47" t="str">
        <f t="shared" si="121"/>
        <v/>
      </c>
      <c r="O374" s="505" t="str">
        <f t="shared" si="122"/>
        <v/>
      </c>
      <c r="P374" s="48" t="str">
        <f>IFERROR(IF(AND($G374&lt;&gt;"",$H374&lt;&gt;""),$L374*$M374,""),0)</f>
        <v/>
      </c>
      <c r="Q374" s="291"/>
      <c r="R374" s="128"/>
      <c r="S374" s="83"/>
    </row>
    <row r="375" spans="2:19" ht="34.200000000000003">
      <c r="B375" s="187"/>
      <c r="C375" s="59"/>
      <c r="D375" s="52" t="s">
        <v>70</v>
      </c>
      <c r="E375" s="60"/>
      <c r="F375" s="197" t="s">
        <v>562</v>
      </c>
      <c r="G375" s="74" t="s">
        <v>143</v>
      </c>
      <c r="H375" s="75">
        <v>6</v>
      </c>
      <c r="I375" s="421">
        <f>'Road signs'!G10</f>
        <v>0</v>
      </c>
      <c r="J375" s="7">
        <v>0</v>
      </c>
      <c r="K375" s="47">
        <f>L375-J375</f>
        <v>0</v>
      </c>
      <c r="L375" s="7">
        <v>0</v>
      </c>
      <c r="M375" s="46">
        <v>650</v>
      </c>
      <c r="N375" s="47">
        <f t="shared" si="121"/>
        <v>3900</v>
      </c>
      <c r="O375" s="505">
        <f t="shared" si="122"/>
        <v>0</v>
      </c>
      <c r="P375" s="48">
        <f>+N375-O375</f>
        <v>3900</v>
      </c>
      <c r="Q375" s="75"/>
      <c r="R375" s="128"/>
      <c r="S375" s="83"/>
    </row>
    <row r="376" spans="2:19" ht="13.2">
      <c r="B376" s="187"/>
      <c r="C376" s="52" t="s">
        <v>563</v>
      </c>
      <c r="D376" s="59"/>
      <c r="E376" s="60"/>
      <c r="F376" s="197" t="s">
        <v>564</v>
      </c>
      <c r="G376" s="290"/>
      <c r="H376" s="75"/>
      <c r="I376" s="421">
        <f>'Road signs'!G11</f>
        <v>0</v>
      </c>
      <c r="J376" s="7"/>
      <c r="K376" s="305"/>
      <c r="L376" s="7"/>
      <c r="M376" s="46"/>
      <c r="N376" s="47" t="str">
        <f t="shared" si="121"/>
        <v/>
      </c>
      <c r="O376" s="505"/>
      <c r="P376" s="48"/>
      <c r="Q376" s="75"/>
      <c r="R376" s="128"/>
      <c r="S376" s="83"/>
    </row>
    <row r="377" spans="2:19" ht="34.200000000000003">
      <c r="B377" s="187"/>
      <c r="C377" s="59"/>
      <c r="D377" s="52" t="s">
        <v>72</v>
      </c>
      <c r="E377" s="60"/>
      <c r="F377" s="197" t="s">
        <v>565</v>
      </c>
      <c r="G377" s="74" t="s">
        <v>143</v>
      </c>
      <c r="H377" s="75">
        <v>2</v>
      </c>
      <c r="I377" s="421">
        <f>'Road signs'!G12</f>
        <v>24</v>
      </c>
      <c r="J377" s="7">
        <v>0</v>
      </c>
      <c r="K377" s="47">
        <f t="shared" ref="K377:K378" si="123">L377-J377</f>
        <v>0</v>
      </c>
      <c r="L377" s="7">
        <v>0</v>
      </c>
      <c r="M377" s="46">
        <v>1200</v>
      </c>
      <c r="N377" s="47">
        <f t="shared" si="121"/>
        <v>2400</v>
      </c>
      <c r="O377" s="505">
        <f t="shared" ref="O377:O394" si="124">IFERROR(IF(AND($G377&lt;&gt;"",$H377&lt;&gt;""),$I377*$M377,""),0)</f>
        <v>28800</v>
      </c>
      <c r="P377" s="48">
        <f>+N377-O377</f>
        <v>-26400</v>
      </c>
      <c r="Q377" s="75"/>
      <c r="R377" s="128"/>
      <c r="S377" s="83"/>
    </row>
    <row r="378" spans="2:19" ht="45.6">
      <c r="B378" s="51"/>
      <c r="C378" s="40" t="s">
        <v>566</v>
      </c>
      <c r="D378" s="40"/>
      <c r="E378" s="189"/>
      <c r="F378" s="197" t="s">
        <v>567</v>
      </c>
      <c r="G378" s="55" t="s">
        <v>126</v>
      </c>
      <c r="H378" s="75">
        <v>10</v>
      </c>
      <c r="I378" s="421">
        <f>'Road signs'!G13</f>
        <v>5.61</v>
      </c>
      <c r="J378" s="7">
        <v>0</v>
      </c>
      <c r="K378" s="47">
        <f t="shared" si="123"/>
        <v>0</v>
      </c>
      <c r="L378" s="7">
        <v>0</v>
      </c>
      <c r="M378" s="46">
        <v>1200</v>
      </c>
      <c r="N378" s="47">
        <f t="shared" si="121"/>
        <v>12000</v>
      </c>
      <c r="O378" s="505">
        <f t="shared" si="124"/>
        <v>6732</v>
      </c>
      <c r="P378" s="48">
        <f>+N378-O378</f>
        <v>5268</v>
      </c>
      <c r="Q378" s="75"/>
      <c r="R378" s="128"/>
      <c r="S378" s="85"/>
    </row>
    <row r="379" spans="2:19" ht="13.2">
      <c r="B379" s="38" t="s">
        <v>568</v>
      </c>
      <c r="C379" s="40"/>
      <c r="D379" s="40"/>
      <c r="E379" s="53"/>
      <c r="F379" s="196" t="s">
        <v>569</v>
      </c>
      <c r="G379" s="55"/>
      <c r="H379" s="44"/>
      <c r="I379" s="421">
        <f>'Road signs'!G14</f>
        <v>0</v>
      </c>
      <c r="J379" s="304"/>
      <c r="K379" s="47"/>
      <c r="L379" s="304"/>
      <c r="M379" s="46"/>
      <c r="N379" s="47" t="str">
        <f t="shared" si="121"/>
        <v/>
      </c>
      <c r="O379" s="505" t="str">
        <f t="shared" si="124"/>
        <v/>
      </c>
      <c r="P379" s="48" t="str">
        <f>IFERROR(IF(AND($G379&lt;&gt;"",$H379&lt;&gt;""),$L379*$M379,""),0)</f>
        <v/>
      </c>
      <c r="Q379" s="44"/>
      <c r="R379" s="128"/>
      <c r="S379" s="83"/>
    </row>
    <row r="380" spans="2:19" ht="13.2">
      <c r="B380" s="51"/>
      <c r="C380" s="52" t="s">
        <v>570</v>
      </c>
      <c r="D380" s="40"/>
      <c r="E380" s="53"/>
      <c r="F380" s="197" t="s">
        <v>571</v>
      </c>
      <c r="G380" s="55"/>
      <c r="H380" s="44"/>
      <c r="I380" s="421">
        <f>'Road signs'!G15</f>
        <v>0</v>
      </c>
      <c r="J380" s="304"/>
      <c r="K380" s="47"/>
      <c r="L380" s="304"/>
      <c r="M380" s="46"/>
      <c r="N380" s="47" t="str">
        <f t="shared" si="121"/>
        <v/>
      </c>
      <c r="O380" s="505" t="str">
        <f t="shared" si="124"/>
        <v/>
      </c>
      <c r="P380" s="48" t="str">
        <f>IFERROR(IF(AND($G380&lt;&gt;"",$H380&lt;&gt;""),$L380*$M380,""),0)</f>
        <v/>
      </c>
      <c r="Q380" s="44"/>
      <c r="R380" s="128"/>
      <c r="S380" s="85"/>
    </row>
    <row r="381" spans="2:19" ht="13.2">
      <c r="B381" s="51"/>
      <c r="C381" s="40"/>
      <c r="D381" s="126" t="s">
        <v>67</v>
      </c>
      <c r="E381" s="53"/>
      <c r="F381" s="197" t="s">
        <v>572</v>
      </c>
      <c r="G381" s="74" t="s">
        <v>126</v>
      </c>
      <c r="H381" s="274">
        <v>40</v>
      </c>
      <c r="I381" s="421">
        <f>'Road signs'!G16</f>
        <v>0</v>
      </c>
      <c r="J381" s="7">
        <v>0</v>
      </c>
      <c r="K381" s="47">
        <f>L381-J381</f>
        <v>0</v>
      </c>
      <c r="L381" s="7">
        <v>0</v>
      </c>
      <c r="M381" s="46">
        <v>650</v>
      </c>
      <c r="N381" s="47">
        <f t="shared" si="121"/>
        <v>26000</v>
      </c>
      <c r="O381" s="505">
        <f t="shared" si="124"/>
        <v>0</v>
      </c>
      <c r="P381" s="48">
        <f>+N381-O381</f>
        <v>26000</v>
      </c>
      <c r="Q381" s="82"/>
      <c r="R381" s="128"/>
      <c r="S381" s="83"/>
    </row>
    <row r="382" spans="2:19" ht="22.8">
      <c r="B382" s="51"/>
      <c r="C382" s="40" t="s">
        <v>573</v>
      </c>
      <c r="D382" s="40"/>
      <c r="E382" s="189"/>
      <c r="F382" s="197" t="s">
        <v>574</v>
      </c>
      <c r="G382" s="74"/>
      <c r="H382" s="82"/>
      <c r="I382" s="421">
        <f>'Road signs'!G17</f>
        <v>0</v>
      </c>
      <c r="J382" s="7"/>
      <c r="K382" s="47"/>
      <c r="L382" s="7"/>
      <c r="M382" s="46"/>
      <c r="N382" s="47" t="str">
        <f t="shared" si="121"/>
        <v/>
      </c>
      <c r="O382" s="505" t="str">
        <f t="shared" si="124"/>
        <v/>
      </c>
      <c r="P382" s="48" t="str">
        <f>IFERROR(IF(AND($G382&lt;&gt;"",$H382&lt;&gt;""),$L382*$M382,""),0)</f>
        <v/>
      </c>
      <c r="Q382" s="82"/>
      <c r="R382" s="128"/>
      <c r="S382" s="83"/>
    </row>
    <row r="383" spans="2:19" ht="13.2">
      <c r="B383" s="51"/>
      <c r="C383" s="40"/>
      <c r="D383" s="126" t="s">
        <v>70</v>
      </c>
      <c r="E383" s="53"/>
      <c r="F383" s="197" t="s">
        <v>575</v>
      </c>
      <c r="G383" s="74" t="s">
        <v>126</v>
      </c>
      <c r="H383" s="274">
        <v>40</v>
      </c>
      <c r="I383" s="421">
        <f>'Road signs'!G18</f>
        <v>0</v>
      </c>
      <c r="J383" s="7">
        <v>0</v>
      </c>
      <c r="K383" s="47">
        <f>L383-J383</f>
        <v>0</v>
      </c>
      <c r="L383" s="7">
        <v>0</v>
      </c>
      <c r="M383" s="46">
        <v>650</v>
      </c>
      <c r="N383" s="47">
        <f t="shared" si="121"/>
        <v>26000</v>
      </c>
      <c r="O383" s="505">
        <f t="shared" si="124"/>
        <v>0</v>
      </c>
      <c r="P383" s="48">
        <f>+N383-O383</f>
        <v>26000</v>
      </c>
      <c r="Q383" s="82"/>
      <c r="R383" s="128"/>
      <c r="S383" s="85"/>
    </row>
    <row r="384" spans="2:19" ht="23.4">
      <c r="B384" s="38" t="s">
        <v>576</v>
      </c>
      <c r="C384" s="40"/>
      <c r="D384" s="40"/>
      <c r="E384" s="53"/>
      <c r="F384" s="196" t="s">
        <v>577</v>
      </c>
      <c r="G384" s="55"/>
      <c r="H384" s="44"/>
      <c r="I384" s="421">
        <f>'Road signs'!G19</f>
        <v>0</v>
      </c>
      <c r="J384" s="304"/>
      <c r="K384" s="47"/>
      <c r="L384" s="304"/>
      <c r="M384" s="46"/>
      <c r="N384" s="47" t="str">
        <f t="shared" si="121"/>
        <v/>
      </c>
      <c r="O384" s="505" t="str">
        <f t="shared" si="124"/>
        <v/>
      </c>
      <c r="P384" s="48" t="str">
        <f>IFERROR(IF(AND($G384&lt;&gt;"",$H384&lt;&gt;""),$L384*$M384,""),0)</f>
        <v/>
      </c>
      <c r="Q384" s="44"/>
      <c r="R384" s="128"/>
      <c r="S384" s="83"/>
    </row>
    <row r="385" spans="2:19" ht="13.2">
      <c r="B385" s="51"/>
      <c r="C385" s="52" t="s">
        <v>578</v>
      </c>
      <c r="D385" s="40"/>
      <c r="E385" s="53"/>
      <c r="F385" s="197" t="s">
        <v>579</v>
      </c>
      <c r="G385" s="55" t="s">
        <v>37</v>
      </c>
      <c r="H385" s="44">
        <v>25</v>
      </c>
      <c r="I385" s="421">
        <f>'Road signs'!G20</f>
        <v>0</v>
      </c>
      <c r="J385" s="7">
        <v>0</v>
      </c>
      <c r="K385" s="47">
        <f t="shared" ref="K385:K386" si="125">L385-J385</f>
        <v>0</v>
      </c>
      <c r="L385" s="7">
        <v>0</v>
      </c>
      <c r="M385" s="46">
        <v>3500</v>
      </c>
      <c r="N385" s="47">
        <f t="shared" si="121"/>
        <v>87500</v>
      </c>
      <c r="O385" s="505">
        <f t="shared" si="124"/>
        <v>0</v>
      </c>
      <c r="P385" s="48">
        <f>+N385-O385</f>
        <v>87500</v>
      </c>
      <c r="Q385" s="44"/>
      <c r="R385" s="128"/>
      <c r="S385" s="85"/>
    </row>
    <row r="386" spans="2:19" ht="13.2">
      <c r="B386" s="187"/>
      <c r="C386" s="52" t="s">
        <v>580</v>
      </c>
      <c r="D386" s="40"/>
      <c r="E386" s="53"/>
      <c r="F386" s="197" t="s">
        <v>581</v>
      </c>
      <c r="G386" s="55" t="s">
        <v>40</v>
      </c>
      <c r="H386" s="44">
        <v>60</v>
      </c>
      <c r="I386" s="421">
        <f>'Road signs'!G21</f>
        <v>236</v>
      </c>
      <c r="J386" s="7">
        <v>0</v>
      </c>
      <c r="K386" s="47">
        <f t="shared" si="125"/>
        <v>0</v>
      </c>
      <c r="L386" s="7">
        <v>0</v>
      </c>
      <c r="M386" s="46">
        <v>150</v>
      </c>
      <c r="N386" s="47">
        <f t="shared" si="121"/>
        <v>9000</v>
      </c>
      <c r="O386" s="505">
        <f t="shared" si="124"/>
        <v>35400</v>
      </c>
      <c r="P386" s="48">
        <f>+N386-O386</f>
        <v>-26400</v>
      </c>
      <c r="Q386" s="44"/>
      <c r="R386" s="128"/>
      <c r="S386" s="83"/>
    </row>
    <row r="387" spans="2:19" ht="24">
      <c r="B387" s="38" t="s">
        <v>582</v>
      </c>
      <c r="C387" s="40"/>
      <c r="D387" s="40"/>
      <c r="E387" s="53"/>
      <c r="F387" s="196" t="s">
        <v>583</v>
      </c>
      <c r="G387" s="55"/>
      <c r="H387" s="44"/>
      <c r="I387" s="421">
        <f>'Road signs'!G22</f>
        <v>0</v>
      </c>
      <c r="J387" s="304"/>
      <c r="K387" s="47"/>
      <c r="L387" s="304"/>
      <c r="M387" s="46"/>
      <c r="N387" s="47" t="str">
        <f t="shared" si="121"/>
        <v/>
      </c>
      <c r="O387" s="505" t="str">
        <f t="shared" si="124"/>
        <v/>
      </c>
      <c r="P387" s="48" t="str">
        <f>IFERROR(IF(AND($G387&lt;&gt;"",$H387&lt;&gt;""),$L387*$M387,""),0)</f>
        <v/>
      </c>
      <c r="Q387" s="44"/>
      <c r="R387" s="128"/>
      <c r="S387" s="85"/>
    </row>
    <row r="388" spans="2:19" ht="13.2">
      <c r="B388" s="51"/>
      <c r="C388" s="52" t="s">
        <v>584</v>
      </c>
      <c r="D388" s="40"/>
      <c r="E388" s="53"/>
      <c r="F388" s="197" t="s">
        <v>585</v>
      </c>
      <c r="G388" s="194" t="s">
        <v>351</v>
      </c>
      <c r="H388" s="44">
        <v>40</v>
      </c>
      <c r="I388" s="421">
        <f>'Road signs'!G23</f>
        <v>40</v>
      </c>
      <c r="J388" s="7">
        <v>0</v>
      </c>
      <c r="K388" s="47">
        <f t="shared" ref="K388:K389" si="126">L388-J388</f>
        <v>0</v>
      </c>
      <c r="L388" s="7">
        <v>0</v>
      </c>
      <c r="M388" s="46">
        <v>125</v>
      </c>
      <c r="N388" s="47">
        <f t="shared" si="121"/>
        <v>5000</v>
      </c>
      <c r="O388" s="505">
        <f t="shared" si="124"/>
        <v>5000</v>
      </c>
      <c r="P388" s="48">
        <f>+N388-O388</f>
        <v>0</v>
      </c>
      <c r="Q388" s="44"/>
      <c r="R388" s="128"/>
      <c r="S388" s="83"/>
    </row>
    <row r="389" spans="2:19" ht="13.2">
      <c r="B389" s="187"/>
      <c r="C389" s="52" t="s">
        <v>586</v>
      </c>
      <c r="D389" s="40"/>
      <c r="E389" s="53"/>
      <c r="F389" s="197" t="s">
        <v>587</v>
      </c>
      <c r="G389" s="194" t="s">
        <v>351</v>
      </c>
      <c r="H389" s="44">
        <v>4</v>
      </c>
      <c r="I389" s="421">
        <f>'Road signs'!G24</f>
        <v>4</v>
      </c>
      <c r="J389" s="7">
        <v>0</v>
      </c>
      <c r="K389" s="47">
        <f t="shared" si="126"/>
        <v>0</v>
      </c>
      <c r="L389" s="7">
        <v>0</v>
      </c>
      <c r="M389" s="46">
        <v>900</v>
      </c>
      <c r="N389" s="47">
        <f t="shared" si="121"/>
        <v>3600</v>
      </c>
      <c r="O389" s="505">
        <f t="shared" si="124"/>
        <v>3600</v>
      </c>
      <c r="P389" s="48">
        <f>+N389-O389</f>
        <v>0</v>
      </c>
      <c r="Q389" s="44"/>
      <c r="R389" s="128"/>
      <c r="S389" s="85"/>
    </row>
    <row r="390" spans="2:19" ht="13.2">
      <c r="B390" s="38" t="s">
        <v>588</v>
      </c>
      <c r="C390" s="40"/>
      <c r="D390" s="40"/>
      <c r="E390" s="53"/>
      <c r="F390" s="196" t="s">
        <v>589</v>
      </c>
      <c r="G390" s="55"/>
      <c r="H390" s="44"/>
      <c r="I390" s="421">
        <f>'Road signs'!G25</f>
        <v>0</v>
      </c>
      <c r="J390" s="304"/>
      <c r="K390" s="47"/>
      <c r="L390" s="304"/>
      <c r="M390" s="46"/>
      <c r="N390" s="47" t="str">
        <f t="shared" si="121"/>
        <v/>
      </c>
      <c r="O390" s="505" t="str">
        <f t="shared" si="124"/>
        <v/>
      </c>
      <c r="P390" s="48" t="str">
        <f>IFERROR(IF(AND($G390&lt;&gt;"",$H390&lt;&gt;""),$L390*$M390,""),0)</f>
        <v/>
      </c>
      <c r="Q390" s="44"/>
      <c r="R390" s="128"/>
      <c r="S390" s="83"/>
    </row>
    <row r="391" spans="2:19" ht="13.2">
      <c r="B391" s="51"/>
      <c r="C391" s="52" t="s">
        <v>590</v>
      </c>
      <c r="D391" s="40"/>
      <c r="E391" s="53"/>
      <c r="F391" s="197" t="s">
        <v>556</v>
      </c>
      <c r="G391" s="194" t="s">
        <v>126</v>
      </c>
      <c r="H391" s="44">
        <v>15</v>
      </c>
      <c r="I391" s="421">
        <f>'Road signs'!G26</f>
        <v>1.26</v>
      </c>
      <c r="J391" s="7">
        <v>0</v>
      </c>
      <c r="K391" s="47">
        <f t="shared" ref="K391:K394" si="127">L391-J391</f>
        <v>0</v>
      </c>
      <c r="L391" s="7">
        <v>0</v>
      </c>
      <c r="M391" s="46">
        <v>60</v>
      </c>
      <c r="N391" s="47">
        <f t="shared" si="121"/>
        <v>900</v>
      </c>
      <c r="O391" s="505">
        <f t="shared" si="124"/>
        <v>75.599999999999994</v>
      </c>
      <c r="P391" s="48">
        <f>+N391-O391</f>
        <v>824.4</v>
      </c>
      <c r="Q391" s="44"/>
      <c r="R391" s="128"/>
      <c r="S391" s="85"/>
    </row>
    <row r="392" spans="2:19" ht="13.2">
      <c r="B392" s="187"/>
      <c r="C392" s="52" t="s">
        <v>591</v>
      </c>
      <c r="D392" s="40"/>
      <c r="E392" s="53"/>
      <c r="F392" s="197" t="s">
        <v>557</v>
      </c>
      <c r="G392" s="194" t="s">
        <v>126</v>
      </c>
      <c r="H392" s="44">
        <v>10</v>
      </c>
      <c r="I392" s="421">
        <f>'Road signs'!G27</f>
        <v>70.240000000000009</v>
      </c>
      <c r="J392" s="7">
        <v>0</v>
      </c>
      <c r="K392" s="47">
        <f t="shared" si="127"/>
        <v>0</v>
      </c>
      <c r="L392" s="7">
        <v>0</v>
      </c>
      <c r="M392" s="46">
        <v>60</v>
      </c>
      <c r="N392" s="47">
        <f t="shared" si="121"/>
        <v>600</v>
      </c>
      <c r="O392" s="505">
        <f t="shared" si="124"/>
        <v>4214.4000000000005</v>
      </c>
      <c r="P392" s="48">
        <f>+N392-O392</f>
        <v>-3614.4000000000005</v>
      </c>
      <c r="Q392" s="44"/>
      <c r="R392" s="128"/>
      <c r="S392" s="85"/>
    </row>
    <row r="393" spans="2:19" ht="13.2">
      <c r="B393" s="51"/>
      <c r="C393" s="52" t="s">
        <v>592</v>
      </c>
      <c r="D393" s="40"/>
      <c r="E393" s="53"/>
      <c r="F393" s="197" t="s">
        <v>593</v>
      </c>
      <c r="G393" s="194" t="s">
        <v>126</v>
      </c>
      <c r="H393" s="44">
        <v>100</v>
      </c>
      <c r="I393" s="421">
        <f>'Road signs'!G28</f>
        <v>31.87</v>
      </c>
      <c r="J393" s="7">
        <v>0</v>
      </c>
      <c r="K393" s="47">
        <f t="shared" si="127"/>
        <v>0</v>
      </c>
      <c r="L393" s="7">
        <v>0</v>
      </c>
      <c r="M393" s="46">
        <v>60</v>
      </c>
      <c r="N393" s="47">
        <f t="shared" si="121"/>
        <v>6000</v>
      </c>
      <c r="O393" s="505">
        <f t="shared" si="124"/>
        <v>1912.2</v>
      </c>
      <c r="P393" s="48">
        <f>+N393-O393</f>
        <v>4087.8</v>
      </c>
      <c r="Q393" s="44"/>
      <c r="R393" s="128"/>
      <c r="S393" s="85"/>
    </row>
    <row r="394" spans="2:19" ht="13.2">
      <c r="B394" s="38"/>
      <c r="C394" s="40" t="s">
        <v>594</v>
      </c>
      <c r="D394" s="40"/>
      <c r="E394" s="53"/>
      <c r="F394" s="197" t="s">
        <v>559</v>
      </c>
      <c r="G394" s="55" t="s">
        <v>126</v>
      </c>
      <c r="H394" s="44">
        <v>90</v>
      </c>
      <c r="I394" s="421">
        <f>'Road signs'!G29</f>
        <v>10.16</v>
      </c>
      <c r="J394" s="304">
        <v>0</v>
      </c>
      <c r="K394" s="47">
        <f t="shared" si="127"/>
        <v>0</v>
      </c>
      <c r="L394" s="304">
        <v>0</v>
      </c>
      <c r="M394" s="46">
        <v>60</v>
      </c>
      <c r="N394" s="47">
        <f t="shared" si="121"/>
        <v>5400</v>
      </c>
      <c r="O394" s="505">
        <f t="shared" si="124"/>
        <v>609.6</v>
      </c>
      <c r="P394" s="48">
        <f>+N394-O394</f>
        <v>4790.3999999999996</v>
      </c>
      <c r="Q394" s="44"/>
      <c r="R394" s="128"/>
      <c r="S394" s="83"/>
    </row>
    <row r="395" spans="2:19" ht="13.2">
      <c r="B395" s="51"/>
      <c r="C395" s="52"/>
      <c r="D395" s="40"/>
      <c r="E395" s="53"/>
      <c r="F395" s="197"/>
      <c r="G395" s="55"/>
      <c r="H395" s="44"/>
      <c r="I395" s="44"/>
      <c r="J395" s="45"/>
      <c r="K395" s="47"/>
      <c r="L395" s="46"/>
      <c r="M395" s="46"/>
      <c r="N395" s="47" t="str">
        <f t="shared" si="121"/>
        <v/>
      </c>
      <c r="O395" s="505"/>
      <c r="P395" s="48"/>
      <c r="Q395" s="44"/>
      <c r="R395" s="128"/>
      <c r="S395" s="83"/>
    </row>
    <row r="396" spans="2:19" ht="13.2">
      <c r="B396" s="51"/>
      <c r="C396" s="40"/>
      <c r="D396" s="126"/>
      <c r="E396" s="53"/>
      <c r="F396" s="197"/>
      <c r="G396" s="74"/>
      <c r="H396" s="274"/>
      <c r="I396" s="82"/>
      <c r="J396" s="86"/>
      <c r="K396" s="47"/>
      <c r="L396" s="47"/>
      <c r="M396" s="46"/>
      <c r="N396" s="47"/>
      <c r="O396" s="505"/>
      <c r="P396" s="48"/>
      <c r="Q396" s="82"/>
      <c r="R396" s="128"/>
      <c r="S396" s="83"/>
    </row>
    <row r="397" spans="2:19" ht="13.2">
      <c r="B397" s="100" t="s">
        <v>103</v>
      </c>
      <c r="C397" s="101"/>
      <c r="D397" s="101"/>
      <c r="E397" s="102"/>
      <c r="F397" s="207"/>
      <c r="G397" s="104"/>
      <c r="H397" s="105"/>
      <c r="I397" s="105"/>
      <c r="J397" s="106"/>
      <c r="K397" s="107"/>
      <c r="L397" s="108"/>
      <c r="M397" s="108"/>
      <c r="N397" s="107">
        <f>SUM(N369:N396)</f>
        <v>328800</v>
      </c>
      <c r="O397" s="500">
        <f>SUM(O369:O396)</f>
        <v>148179.40000000002</v>
      </c>
      <c r="P397" s="107">
        <f>SUM(P369:P396)</f>
        <v>180620.59999999998</v>
      </c>
      <c r="Q397" s="105"/>
      <c r="R397" s="109">
        <f>P397</f>
        <v>180620.59999999998</v>
      </c>
      <c r="S397" s="230"/>
    </row>
    <row r="398" spans="2:19" ht="13.2">
      <c r="B398" s="144"/>
      <c r="C398" s="145"/>
      <c r="D398" s="145"/>
      <c r="E398" s="146"/>
      <c r="F398" s="147"/>
      <c r="G398" s="276"/>
      <c r="H398" s="277"/>
      <c r="I398" s="484"/>
      <c r="J398" s="278"/>
      <c r="K398" s="151"/>
      <c r="L398" s="279"/>
      <c r="M398" s="280"/>
      <c r="N398" s="151"/>
      <c r="O398" s="516"/>
      <c r="P398" s="122" t="str">
        <f>IFERROR(IF(AND($G398&lt;&gt;"",$H398&lt;&gt;""),$L398*$M398,""),0)</f>
        <v/>
      </c>
      <c r="Q398" s="277"/>
      <c r="R398" s="128"/>
      <c r="S398" s="83"/>
    </row>
    <row r="399" spans="2:19" ht="13.2">
      <c r="B399" s="601" t="s">
        <v>595</v>
      </c>
      <c r="C399" s="602"/>
      <c r="D399" s="602"/>
      <c r="E399" s="603"/>
      <c r="F399" s="306" t="s">
        <v>596</v>
      </c>
      <c r="G399" s="162"/>
      <c r="H399" s="44"/>
      <c r="I399" s="44"/>
      <c r="J399" s="45"/>
      <c r="K399" s="47"/>
      <c r="L399" s="46"/>
      <c r="M399" s="46"/>
      <c r="N399" s="47"/>
      <c r="O399" s="69"/>
      <c r="P399" s="48" t="str">
        <f>IFERROR(IF(AND($F399&lt;&gt;"",$H399&lt;&gt;""),$L399*$M399,""),0)</f>
        <v/>
      </c>
      <c r="Q399" s="44"/>
      <c r="R399" s="128"/>
      <c r="S399" s="83"/>
    </row>
    <row r="400" spans="2:19" ht="13.2">
      <c r="B400" s="38" t="s">
        <v>597</v>
      </c>
      <c r="C400" s="40"/>
      <c r="D400" s="40"/>
      <c r="E400" s="53"/>
      <c r="F400" s="307" t="s">
        <v>598</v>
      </c>
      <c r="G400" s="55"/>
      <c r="H400" s="44"/>
      <c r="I400" s="44"/>
      <c r="J400" s="45"/>
      <c r="K400" s="47"/>
      <c r="L400" s="46"/>
      <c r="M400" s="46"/>
      <c r="N400" s="47"/>
      <c r="O400" s="69"/>
      <c r="P400" s="48" t="str">
        <f>IFERROR(IF(AND($G400&lt;&gt;"",$H400&lt;&gt;""),$L400*$M400,""),0)</f>
        <v/>
      </c>
      <c r="Q400" s="44"/>
      <c r="R400" s="128"/>
      <c r="S400" s="83"/>
    </row>
    <row r="401" spans="2:26" ht="22.8">
      <c r="B401" s="51"/>
      <c r="C401" s="52" t="s">
        <v>599</v>
      </c>
      <c r="D401" s="40"/>
      <c r="E401" s="53"/>
      <c r="F401" s="159" t="s">
        <v>600</v>
      </c>
      <c r="G401" s="193" t="s">
        <v>91</v>
      </c>
      <c r="H401" s="44">
        <v>58</v>
      </c>
      <c r="I401" s="428">
        <v>55.75</v>
      </c>
      <c r="J401" s="57">
        <v>0</v>
      </c>
      <c r="K401" s="47">
        <f t="shared" ref="K401:K404" si="128">L401-J401</f>
        <v>0</v>
      </c>
      <c r="L401" s="46">
        <v>0</v>
      </c>
      <c r="M401" s="46">
        <v>6500</v>
      </c>
      <c r="N401" s="47">
        <f t="shared" ref="N401:N419" si="129">IFERROR(IF(AND($G401&lt;&gt;"",$H401&lt;&gt;""),$H401*$M401,""),0)</f>
        <v>377000</v>
      </c>
      <c r="O401" s="505">
        <f t="shared" ref="O401:O409" si="130">IFERROR(IF(AND($G401&lt;&gt;"",$H401&lt;&gt;""),$I401*$M401,""),0)</f>
        <v>362375</v>
      </c>
      <c r="P401" s="48">
        <f>+N401-O401</f>
        <v>14625</v>
      </c>
      <c r="Q401" s="44"/>
      <c r="R401" s="128"/>
      <c r="S401" s="83"/>
      <c r="Y401" s="2">
        <v>3311</v>
      </c>
      <c r="Z401" s="586">
        <f>Y401*I401</f>
        <v>184588.25</v>
      </c>
    </row>
    <row r="402" spans="2:26" ht="22.8">
      <c r="B402" s="51"/>
      <c r="C402" s="52" t="s">
        <v>601</v>
      </c>
      <c r="D402" s="40"/>
      <c r="E402" s="53"/>
      <c r="F402" s="159" t="s">
        <v>602</v>
      </c>
      <c r="G402" s="193" t="s">
        <v>91</v>
      </c>
      <c r="H402" s="44">
        <v>50</v>
      </c>
      <c r="I402" s="428">
        <v>66.900000000000006</v>
      </c>
      <c r="J402" s="57">
        <v>0</v>
      </c>
      <c r="K402" s="47">
        <f t="shared" si="128"/>
        <v>0</v>
      </c>
      <c r="L402" s="46">
        <v>0</v>
      </c>
      <c r="M402" s="46">
        <v>6500</v>
      </c>
      <c r="N402" s="47">
        <f t="shared" si="129"/>
        <v>325000</v>
      </c>
      <c r="O402" s="505">
        <f t="shared" si="130"/>
        <v>434850.00000000006</v>
      </c>
      <c r="P402" s="48">
        <f>+N402-O402</f>
        <v>-109850.00000000006</v>
      </c>
      <c r="Q402" s="44"/>
      <c r="R402" s="58"/>
      <c r="S402" s="85"/>
      <c r="Y402" s="2">
        <v>3311</v>
      </c>
      <c r="Z402" s="586">
        <f t="shared" ref="Z402:Z404" si="131">Y402*I402</f>
        <v>221505.90000000002</v>
      </c>
    </row>
    <row r="403" spans="2:26" ht="13.2">
      <c r="B403" s="51"/>
      <c r="C403" s="52" t="s">
        <v>603</v>
      </c>
      <c r="D403" s="40"/>
      <c r="E403" s="53"/>
      <c r="F403" s="159" t="s">
        <v>604</v>
      </c>
      <c r="G403" s="55" t="s">
        <v>126</v>
      </c>
      <c r="H403" s="44">
        <v>200</v>
      </c>
      <c r="I403" s="428">
        <f>'Road Marking'!G6</f>
        <v>200</v>
      </c>
      <c r="J403" s="57">
        <v>0</v>
      </c>
      <c r="K403" s="47">
        <f t="shared" si="128"/>
        <v>0</v>
      </c>
      <c r="L403" s="46">
        <v>0</v>
      </c>
      <c r="M403" s="46">
        <v>80</v>
      </c>
      <c r="N403" s="47">
        <f t="shared" si="129"/>
        <v>16000</v>
      </c>
      <c r="O403" s="505">
        <f t="shared" si="130"/>
        <v>16000</v>
      </c>
      <c r="P403" s="48">
        <f>+N403-O403</f>
        <v>0</v>
      </c>
      <c r="Q403" s="44"/>
      <c r="R403" s="128"/>
      <c r="S403" s="83"/>
      <c r="Y403" s="2">
        <v>260.14999999999998</v>
      </c>
      <c r="Z403" s="586">
        <f t="shared" si="131"/>
        <v>52029.999999999993</v>
      </c>
    </row>
    <row r="404" spans="2:26" ht="22.8">
      <c r="B404" s="187"/>
      <c r="C404" s="126" t="s">
        <v>605</v>
      </c>
      <c r="D404" s="59"/>
      <c r="E404" s="60"/>
      <c r="F404" s="159" t="s">
        <v>606</v>
      </c>
      <c r="G404" s="55" t="s">
        <v>126</v>
      </c>
      <c r="H404" s="44">
        <v>1000</v>
      </c>
      <c r="I404" s="428">
        <f>'Road Marking'!G7</f>
        <v>1632.7568000000001</v>
      </c>
      <c r="J404" s="57">
        <v>0</v>
      </c>
      <c r="K404" s="47">
        <f t="shared" si="128"/>
        <v>0</v>
      </c>
      <c r="L404" s="46">
        <v>0</v>
      </c>
      <c r="M404" s="46">
        <v>80</v>
      </c>
      <c r="N404" s="47">
        <f t="shared" si="129"/>
        <v>80000</v>
      </c>
      <c r="O404" s="505">
        <f t="shared" si="130"/>
        <v>130620.54400000001</v>
      </c>
      <c r="P404" s="48">
        <f>+N404-O404</f>
        <v>-50620.544000000009</v>
      </c>
      <c r="Q404" s="44"/>
      <c r="R404" s="58"/>
      <c r="S404" s="85"/>
      <c r="Y404" s="2">
        <v>277.89</v>
      </c>
      <c r="Z404" s="586">
        <f t="shared" si="131"/>
        <v>453726.787152</v>
      </c>
    </row>
    <row r="405" spans="2:26" ht="13.2">
      <c r="B405" s="38" t="s">
        <v>607</v>
      </c>
      <c r="C405" s="40"/>
      <c r="D405" s="40"/>
      <c r="E405" s="53"/>
      <c r="F405" s="307" t="s">
        <v>608</v>
      </c>
      <c r="G405" s="55"/>
      <c r="H405" s="44"/>
      <c r="I405" s="428"/>
      <c r="J405" s="45"/>
      <c r="K405" s="47"/>
      <c r="L405" s="46"/>
      <c r="M405" s="46"/>
      <c r="N405" s="47" t="str">
        <f t="shared" si="129"/>
        <v/>
      </c>
      <c r="O405" s="505" t="str">
        <f t="shared" si="130"/>
        <v/>
      </c>
      <c r="P405" s="48" t="str">
        <f>IFERROR(IF(AND($G405&lt;&gt;"",$H405&lt;&gt;""),$L405*$M405,""),0)</f>
        <v/>
      </c>
      <c r="Q405" s="44"/>
      <c r="R405" s="128"/>
      <c r="S405" s="83"/>
    </row>
    <row r="406" spans="2:26" ht="13.2">
      <c r="B406" s="187"/>
      <c r="C406" s="126" t="s">
        <v>609</v>
      </c>
      <c r="D406" s="40"/>
      <c r="E406" s="53"/>
      <c r="F406" s="159" t="s">
        <v>610</v>
      </c>
      <c r="G406" s="62"/>
      <c r="H406" s="63"/>
      <c r="I406" s="428"/>
      <c r="J406" s="64"/>
      <c r="K406" s="34"/>
      <c r="L406" s="34"/>
      <c r="M406" s="65"/>
      <c r="N406" s="47" t="str">
        <f t="shared" si="129"/>
        <v/>
      </c>
      <c r="O406" s="505" t="str">
        <f t="shared" si="130"/>
        <v/>
      </c>
      <c r="P406" s="48" t="str">
        <f>IFERROR(IF(AND($G406&lt;&gt;"",$H406&lt;&gt;""),$L406*$M406,""),0)</f>
        <v/>
      </c>
      <c r="Q406" s="63"/>
      <c r="R406" s="128"/>
      <c r="S406" s="83"/>
    </row>
    <row r="407" spans="2:26" ht="13.2">
      <c r="B407" s="51"/>
      <c r="C407" s="40"/>
      <c r="D407" s="52" t="s">
        <v>67</v>
      </c>
      <c r="E407" s="53"/>
      <c r="F407" s="159" t="s">
        <v>611</v>
      </c>
      <c r="G407" s="193" t="s">
        <v>91</v>
      </c>
      <c r="H407" s="308">
        <v>53</v>
      </c>
      <c r="I407" s="428">
        <v>55.75</v>
      </c>
      <c r="J407" s="86">
        <v>0</v>
      </c>
      <c r="K407" s="47">
        <f t="shared" ref="K407:K408" si="132">L407-J407</f>
        <v>0</v>
      </c>
      <c r="L407" s="47">
        <v>0</v>
      </c>
      <c r="M407" s="47">
        <v>5500</v>
      </c>
      <c r="N407" s="47">
        <f t="shared" si="129"/>
        <v>291500</v>
      </c>
      <c r="O407" s="505">
        <f t="shared" si="130"/>
        <v>306625</v>
      </c>
      <c r="P407" s="48">
        <f>+N407-O407</f>
        <v>-15125</v>
      </c>
      <c r="Q407" s="74"/>
      <c r="R407" s="128"/>
      <c r="S407" s="83"/>
      <c r="Y407" s="2">
        <v>3784</v>
      </c>
      <c r="Z407" s="586">
        <f t="shared" ref="Z407:Z408" si="133">Y407*I407</f>
        <v>210958</v>
      </c>
    </row>
    <row r="408" spans="2:26" ht="13.2">
      <c r="B408" s="51"/>
      <c r="C408" s="40"/>
      <c r="D408" s="52" t="s">
        <v>70</v>
      </c>
      <c r="E408" s="53"/>
      <c r="F408" s="159" t="s">
        <v>612</v>
      </c>
      <c r="G408" s="193" t="s">
        <v>91</v>
      </c>
      <c r="H408" s="308">
        <v>45</v>
      </c>
      <c r="I408" s="428">
        <v>66.900000000000006</v>
      </c>
      <c r="J408" s="86">
        <v>0</v>
      </c>
      <c r="K408" s="47">
        <f t="shared" si="132"/>
        <v>0</v>
      </c>
      <c r="L408" s="47">
        <v>0</v>
      </c>
      <c r="M408" s="47">
        <v>5500</v>
      </c>
      <c r="N408" s="47">
        <f t="shared" si="129"/>
        <v>247500</v>
      </c>
      <c r="O408" s="505">
        <f t="shared" si="130"/>
        <v>367950.00000000006</v>
      </c>
      <c r="P408" s="48">
        <f>+N408-O408</f>
        <v>-120450.00000000006</v>
      </c>
      <c r="Q408" s="74"/>
      <c r="R408" s="128"/>
      <c r="S408" s="83"/>
      <c r="Y408" s="2">
        <v>3784</v>
      </c>
      <c r="Z408" s="586">
        <f t="shared" si="133"/>
        <v>253149.60000000003</v>
      </c>
    </row>
    <row r="409" spans="2:26" ht="13.2">
      <c r="B409" s="38" t="s">
        <v>613</v>
      </c>
      <c r="C409" s="40"/>
      <c r="D409" s="40"/>
      <c r="E409" s="53"/>
      <c r="F409" s="307" t="s">
        <v>614</v>
      </c>
      <c r="G409" s="55"/>
      <c r="H409" s="55"/>
      <c r="I409" s="428"/>
      <c r="J409" s="45"/>
      <c r="K409" s="47"/>
      <c r="L409" s="46"/>
      <c r="M409" s="46"/>
      <c r="N409" s="47" t="str">
        <f t="shared" si="129"/>
        <v/>
      </c>
      <c r="O409" s="505" t="str">
        <f t="shared" si="130"/>
        <v/>
      </c>
      <c r="P409" s="48" t="str">
        <f t="shared" ref="P409:P414" si="134">IFERROR(IF(AND($G409&lt;&gt;"",$H409&lt;&gt;""),$L409*$M409,""),0)</f>
        <v/>
      </c>
      <c r="Q409" s="55"/>
      <c r="R409" s="128"/>
      <c r="S409" s="83"/>
    </row>
    <row r="410" spans="2:26" ht="13.2">
      <c r="B410" s="51"/>
      <c r="C410" s="40" t="s">
        <v>615</v>
      </c>
      <c r="D410" s="40"/>
      <c r="E410" s="53"/>
      <c r="F410" s="159" t="s">
        <v>616</v>
      </c>
      <c r="G410" s="193" t="s">
        <v>436</v>
      </c>
      <c r="H410" s="308"/>
      <c r="I410" s="428">
        <f>'Road Marking'!G13</f>
        <v>0</v>
      </c>
      <c r="J410" s="86"/>
      <c r="K410" s="47"/>
      <c r="L410" s="47"/>
      <c r="M410" s="47">
        <v>21</v>
      </c>
      <c r="N410" s="47" t="str">
        <f t="shared" si="129"/>
        <v/>
      </c>
      <c r="O410" s="505" t="s">
        <v>617</v>
      </c>
      <c r="P410" s="48" t="str">
        <f t="shared" si="134"/>
        <v/>
      </c>
      <c r="Q410" s="74"/>
      <c r="R410" s="128"/>
      <c r="S410" s="83"/>
    </row>
    <row r="411" spans="2:26" ht="13.2">
      <c r="B411" s="51"/>
      <c r="C411" s="40" t="s">
        <v>618</v>
      </c>
      <c r="D411" s="40"/>
      <c r="E411" s="53"/>
      <c r="F411" s="159" t="s">
        <v>619</v>
      </c>
      <c r="G411" s="193" t="s">
        <v>439</v>
      </c>
      <c r="H411" s="308"/>
      <c r="I411" s="428">
        <f>'Road Marking'!G14</f>
        <v>0</v>
      </c>
      <c r="J411" s="86"/>
      <c r="K411" s="47"/>
      <c r="L411" s="47"/>
      <c r="M411" s="47">
        <v>21</v>
      </c>
      <c r="N411" s="47" t="str">
        <f t="shared" si="129"/>
        <v/>
      </c>
      <c r="O411" s="505" t="s">
        <v>617</v>
      </c>
      <c r="P411" s="48" t="str">
        <f t="shared" si="134"/>
        <v/>
      </c>
      <c r="Q411" s="74"/>
      <c r="R411" s="128"/>
      <c r="S411" s="83"/>
    </row>
    <row r="412" spans="2:26" ht="13.2">
      <c r="B412" s="51"/>
      <c r="C412" s="40" t="s">
        <v>620</v>
      </c>
      <c r="D412" s="40"/>
      <c r="E412" s="53"/>
      <c r="F412" s="159" t="s">
        <v>621</v>
      </c>
      <c r="G412" s="193" t="s">
        <v>418</v>
      </c>
      <c r="H412" s="308"/>
      <c r="I412" s="428">
        <f>'Road Marking'!G15</f>
        <v>0</v>
      </c>
      <c r="J412" s="86"/>
      <c r="K412" s="47"/>
      <c r="L412" s="47"/>
      <c r="M412" s="47">
        <v>21</v>
      </c>
      <c r="N412" s="47" t="str">
        <f t="shared" si="129"/>
        <v/>
      </c>
      <c r="O412" s="505" t="s">
        <v>617</v>
      </c>
      <c r="P412" s="48" t="str">
        <f t="shared" si="134"/>
        <v/>
      </c>
      <c r="Q412" s="74"/>
      <c r="R412" s="128"/>
      <c r="S412" s="83"/>
    </row>
    <row r="413" spans="2:26" ht="13.2">
      <c r="B413" s="51"/>
      <c r="C413" s="40" t="s">
        <v>622</v>
      </c>
      <c r="D413" s="40"/>
      <c r="E413" s="53"/>
      <c r="F413" s="159" t="s">
        <v>623</v>
      </c>
      <c r="G413" s="193" t="s">
        <v>418</v>
      </c>
      <c r="H413" s="308"/>
      <c r="I413" s="428">
        <f>'Road Marking'!G16</f>
        <v>0</v>
      </c>
      <c r="J413" s="86"/>
      <c r="K413" s="47"/>
      <c r="L413" s="47"/>
      <c r="M413" s="47">
        <v>21</v>
      </c>
      <c r="N413" s="47" t="str">
        <f t="shared" si="129"/>
        <v/>
      </c>
      <c r="O413" s="505" t="s">
        <v>617</v>
      </c>
      <c r="P413" s="48" t="str">
        <f t="shared" si="134"/>
        <v/>
      </c>
      <c r="Q413" s="74"/>
      <c r="R413" s="128"/>
      <c r="S413" s="83"/>
    </row>
    <row r="414" spans="2:26" ht="13.2">
      <c r="B414" s="38" t="s">
        <v>624</v>
      </c>
      <c r="C414" s="40"/>
      <c r="D414" s="40"/>
      <c r="E414" s="53"/>
      <c r="F414" s="307" t="s">
        <v>625</v>
      </c>
      <c r="G414" s="55"/>
      <c r="H414" s="55"/>
      <c r="I414" s="428"/>
      <c r="J414" s="45"/>
      <c r="K414" s="47"/>
      <c r="L414" s="46"/>
      <c r="M414" s="46"/>
      <c r="N414" s="47" t="str">
        <f t="shared" si="129"/>
        <v/>
      </c>
      <c r="O414" s="505" t="str">
        <f t="shared" ref="O414:O419" si="135">IFERROR(IF(AND($G414&lt;&gt;"",$H414&lt;&gt;""),$I414*$M414,""),0)</f>
        <v/>
      </c>
      <c r="P414" s="48" t="str">
        <f t="shared" si="134"/>
        <v/>
      </c>
      <c r="Q414" s="55"/>
      <c r="R414" s="128"/>
      <c r="S414" s="83"/>
    </row>
    <row r="415" spans="2:26" ht="34.200000000000003">
      <c r="B415" s="187"/>
      <c r="C415" s="126" t="s">
        <v>626</v>
      </c>
      <c r="D415" s="40"/>
      <c r="E415" s="53"/>
      <c r="F415" s="159" t="s">
        <v>627</v>
      </c>
      <c r="G415" s="193" t="s">
        <v>143</v>
      </c>
      <c r="H415" s="74">
        <v>9200</v>
      </c>
      <c r="I415" s="428">
        <v>9291.67</v>
      </c>
      <c r="J415" s="76">
        <v>0</v>
      </c>
      <c r="K415" s="47">
        <f t="shared" ref="K415:K419" si="136">L415-J415</f>
        <v>0</v>
      </c>
      <c r="L415" s="47">
        <v>0</v>
      </c>
      <c r="M415" s="47">
        <v>460</v>
      </c>
      <c r="N415" s="47">
        <f t="shared" si="129"/>
        <v>4232000</v>
      </c>
      <c r="O415" s="505">
        <f t="shared" si="135"/>
        <v>4274168.2</v>
      </c>
      <c r="P415" s="48">
        <f>+N415-O415</f>
        <v>-42168.200000000186</v>
      </c>
      <c r="Q415" s="74"/>
      <c r="R415" s="128"/>
      <c r="S415" s="83"/>
      <c r="Y415" s="2">
        <v>84.62</v>
      </c>
      <c r="Z415" s="586">
        <f t="shared" ref="Z415:Z419" si="137">Y415*I415</f>
        <v>786261.11540000001</v>
      </c>
    </row>
    <row r="416" spans="2:26" ht="34.200000000000003">
      <c r="B416" s="187"/>
      <c r="C416" s="126" t="s">
        <v>628</v>
      </c>
      <c r="D416" s="40"/>
      <c r="E416" s="53"/>
      <c r="F416" s="159" t="s">
        <v>629</v>
      </c>
      <c r="G416" s="193" t="s">
        <v>143</v>
      </c>
      <c r="H416" s="74">
        <v>12270</v>
      </c>
      <c r="I416" s="428">
        <v>9291.67</v>
      </c>
      <c r="J416" s="76">
        <v>0</v>
      </c>
      <c r="K416" s="47">
        <f t="shared" si="136"/>
        <v>0</v>
      </c>
      <c r="L416" s="47">
        <v>0</v>
      </c>
      <c r="M416" s="47">
        <v>200</v>
      </c>
      <c r="N416" s="47">
        <f t="shared" si="129"/>
        <v>2454000</v>
      </c>
      <c r="O416" s="505">
        <f t="shared" si="135"/>
        <v>1858334</v>
      </c>
      <c r="P416" s="48">
        <f>+N416-O416</f>
        <v>595666</v>
      </c>
      <c r="Q416" s="74"/>
      <c r="R416" s="128"/>
      <c r="S416" s="85"/>
      <c r="Y416" s="2">
        <v>36.659999999999997</v>
      </c>
      <c r="Z416" s="586">
        <f t="shared" si="137"/>
        <v>340632.62219999998</v>
      </c>
    </row>
    <row r="417" spans="2:26" ht="24">
      <c r="B417" s="309" t="s">
        <v>630</v>
      </c>
      <c r="C417" s="40"/>
      <c r="D417" s="40"/>
      <c r="E417" s="53"/>
      <c r="F417" s="307" t="s">
        <v>631</v>
      </c>
      <c r="G417" s="193" t="s">
        <v>91</v>
      </c>
      <c r="H417" s="308">
        <v>130</v>
      </c>
      <c r="I417" s="428">
        <f>'Road Marking'!G20</f>
        <v>132</v>
      </c>
      <c r="J417" s="76">
        <v>0</v>
      </c>
      <c r="K417" s="47">
        <f t="shared" si="136"/>
        <v>0</v>
      </c>
      <c r="L417" s="47">
        <v>0</v>
      </c>
      <c r="M417" s="46">
        <v>65</v>
      </c>
      <c r="N417" s="47">
        <f t="shared" si="129"/>
        <v>8450</v>
      </c>
      <c r="O417" s="505">
        <f t="shared" si="135"/>
        <v>8580</v>
      </c>
      <c r="P417" s="48">
        <f>+N417-O417</f>
        <v>-130</v>
      </c>
      <c r="Q417" s="74"/>
      <c r="R417" s="128"/>
      <c r="S417" s="90"/>
      <c r="T417" s="91"/>
      <c r="U417" s="91"/>
      <c r="Y417" s="2">
        <v>591.25</v>
      </c>
      <c r="Z417" s="586">
        <f t="shared" si="137"/>
        <v>78045</v>
      </c>
    </row>
    <row r="418" spans="2:26" ht="36">
      <c r="B418" s="27" t="s">
        <v>632</v>
      </c>
      <c r="C418" s="40"/>
      <c r="D418" s="40"/>
      <c r="E418" s="53"/>
      <c r="F418" s="307" t="s">
        <v>633</v>
      </c>
      <c r="G418" s="74" t="s">
        <v>143</v>
      </c>
      <c r="H418" s="74">
        <v>3</v>
      </c>
      <c r="I418" s="428">
        <f>'Road Marking'!G21</f>
        <v>3</v>
      </c>
      <c r="J418" s="310">
        <v>0</v>
      </c>
      <c r="K418" s="47">
        <f t="shared" si="136"/>
        <v>0</v>
      </c>
      <c r="L418" s="305">
        <v>0</v>
      </c>
      <c r="M418" s="47">
        <v>18000</v>
      </c>
      <c r="N418" s="47">
        <f t="shared" si="129"/>
        <v>54000</v>
      </c>
      <c r="O418" s="505">
        <f t="shared" si="135"/>
        <v>54000</v>
      </c>
      <c r="P418" s="48">
        <f>+N418-O418</f>
        <v>0</v>
      </c>
      <c r="Q418" s="74"/>
      <c r="R418" s="128"/>
      <c r="S418" s="311" t="s">
        <v>12</v>
      </c>
      <c r="T418" s="312" t="s">
        <v>634</v>
      </c>
      <c r="U418" s="313">
        <v>19376165.879999999</v>
      </c>
      <c r="Y418" s="2">
        <v>5912.5</v>
      </c>
      <c r="Z418" s="586">
        <f t="shared" si="137"/>
        <v>17737.5</v>
      </c>
    </row>
    <row r="419" spans="2:26" ht="15.6">
      <c r="B419" s="187" t="s">
        <v>635</v>
      </c>
      <c r="C419" s="40"/>
      <c r="D419" s="40"/>
      <c r="E419" s="53"/>
      <c r="F419" s="307" t="s">
        <v>636</v>
      </c>
      <c r="G419" s="193" t="s">
        <v>143</v>
      </c>
      <c r="H419" s="74">
        <v>9200</v>
      </c>
      <c r="I419" s="428">
        <f>'Road Marking'!G22</f>
        <v>9200</v>
      </c>
      <c r="J419" s="86">
        <v>0</v>
      </c>
      <c r="K419" s="47">
        <f t="shared" si="136"/>
        <v>0</v>
      </c>
      <c r="L419" s="47">
        <v>0</v>
      </c>
      <c r="M419" s="47">
        <v>30</v>
      </c>
      <c r="N419" s="47">
        <f t="shared" si="129"/>
        <v>276000</v>
      </c>
      <c r="O419" s="505">
        <f t="shared" si="135"/>
        <v>276000</v>
      </c>
      <c r="P419" s="48">
        <f>IFERROR(IF(AND($G419&lt;&gt;"",$H419&lt;&gt;""),$L419*$M419,""),0)</f>
        <v>0</v>
      </c>
      <c r="Q419" s="74"/>
      <c r="R419" s="128"/>
      <c r="S419" s="311" t="s">
        <v>104</v>
      </c>
      <c r="T419" s="312" t="s">
        <v>634</v>
      </c>
      <c r="U419" s="313">
        <v>24229674.5</v>
      </c>
      <c r="Y419" s="2">
        <v>17.739999999999998</v>
      </c>
      <c r="Z419" s="586">
        <f t="shared" si="137"/>
        <v>163208</v>
      </c>
    </row>
    <row r="420" spans="2:26" ht="15.6">
      <c r="B420" s="314"/>
      <c r="C420" s="98"/>
      <c r="D420" s="98"/>
      <c r="E420" s="99"/>
      <c r="F420" s="307"/>
      <c r="G420" s="193"/>
      <c r="H420" s="75"/>
      <c r="I420" s="75"/>
      <c r="J420" s="86"/>
      <c r="K420" s="47"/>
      <c r="L420" s="47"/>
      <c r="M420" s="47"/>
      <c r="N420" s="47"/>
      <c r="O420" s="505"/>
      <c r="P420" s="48">
        <f>+N420-O420</f>
        <v>0</v>
      </c>
      <c r="Q420" s="75"/>
      <c r="R420" s="128"/>
      <c r="S420" s="315" t="s">
        <v>127</v>
      </c>
      <c r="T420" s="312" t="s">
        <v>637</v>
      </c>
      <c r="U420" s="316">
        <v>2871850</v>
      </c>
    </row>
    <row r="421" spans="2:26" ht="15.6">
      <c r="B421" s="100" t="s">
        <v>103</v>
      </c>
      <c r="C421" s="101"/>
      <c r="D421" s="101"/>
      <c r="E421" s="102"/>
      <c r="F421" s="207"/>
      <c r="G421" s="104"/>
      <c r="H421" s="105"/>
      <c r="I421" s="105"/>
      <c r="J421" s="106"/>
      <c r="K421" s="107"/>
      <c r="L421" s="108"/>
      <c r="M421" s="108"/>
      <c r="N421" s="107">
        <f>SUM(N401:N419)</f>
        <v>8361450</v>
      </c>
      <c r="O421" s="500">
        <f>SUM(O401:O419)</f>
        <v>8089502.7439999999</v>
      </c>
      <c r="P421" s="107">
        <f>SUM(P401:P419)</f>
        <v>271947.2559999997</v>
      </c>
      <c r="Q421" s="105"/>
      <c r="R421" s="109">
        <f>P421</f>
        <v>271947.2559999997</v>
      </c>
      <c r="S421" s="315" t="s">
        <v>249</v>
      </c>
      <c r="T421" s="312" t="s">
        <v>638</v>
      </c>
      <c r="U421" s="316">
        <v>7669396</v>
      </c>
      <c r="Z421" s="107">
        <f>SUM(Z401:Z419)</f>
        <v>2761842.7747520003</v>
      </c>
    </row>
    <row r="422" spans="2:26" ht="15.6">
      <c r="B422" s="144"/>
      <c r="C422" s="145"/>
      <c r="D422" s="145"/>
      <c r="E422" s="146"/>
      <c r="F422" s="147"/>
      <c r="G422" s="276"/>
      <c r="H422" s="277"/>
      <c r="I422" s="484"/>
      <c r="J422" s="278"/>
      <c r="K422" s="151"/>
      <c r="L422" s="279"/>
      <c r="M422" s="280"/>
      <c r="N422" s="151"/>
      <c r="O422" s="516"/>
      <c r="P422" s="153" t="str">
        <f>IFERROR(IF(AND($G422&lt;&gt;"",$H422&lt;&gt;""),$L422*$M422,""),0)</f>
        <v/>
      </c>
      <c r="Q422" s="277"/>
      <c r="R422" s="128"/>
      <c r="S422" s="315" t="s">
        <v>325</v>
      </c>
      <c r="T422" s="317" t="s">
        <v>638</v>
      </c>
      <c r="U422" s="316">
        <v>3305250</v>
      </c>
    </row>
    <row r="423" spans="2:26" ht="24">
      <c r="B423" s="606" t="s">
        <v>639</v>
      </c>
      <c r="C423" s="607"/>
      <c r="D423" s="607"/>
      <c r="E423" s="608"/>
      <c r="F423" s="318" t="s">
        <v>640</v>
      </c>
      <c r="H423" s="211"/>
      <c r="I423" s="486"/>
      <c r="J423" s="45"/>
      <c r="K423" s="47"/>
      <c r="L423" s="46"/>
      <c r="M423" s="46"/>
      <c r="N423" s="47"/>
      <c r="O423" s="69"/>
      <c r="P423" s="48" t="str">
        <f>IFERROR(IF(AND($F423&lt;&gt;"",$H423&lt;&gt;""),$L423*$M423,""),0)</f>
        <v/>
      </c>
      <c r="Q423" s="211"/>
      <c r="R423" s="128"/>
      <c r="S423" s="315" t="s">
        <v>342</v>
      </c>
      <c r="T423" s="317" t="s">
        <v>638</v>
      </c>
      <c r="U423" s="316">
        <v>3460162.5</v>
      </c>
    </row>
    <row r="424" spans="2:26" ht="15.6">
      <c r="B424" s="309" t="s">
        <v>641</v>
      </c>
      <c r="C424" s="40"/>
      <c r="D424" s="40"/>
      <c r="E424" s="53"/>
      <c r="F424" s="319" t="s">
        <v>642</v>
      </c>
      <c r="G424" s="74"/>
      <c r="H424" s="82"/>
      <c r="I424" s="82"/>
      <c r="J424" s="82"/>
      <c r="K424" s="47"/>
      <c r="L424" s="47"/>
      <c r="M424" s="47"/>
      <c r="N424" s="47"/>
      <c r="O424" s="505"/>
      <c r="P424" s="48" t="str">
        <f>IFERROR(IF(AND($G424&lt;&gt;"",$H424&lt;&gt;""),$L424*$M424,""),0)</f>
        <v/>
      </c>
      <c r="Q424" s="82"/>
      <c r="R424" s="128"/>
      <c r="S424" s="320" t="s">
        <v>398</v>
      </c>
      <c r="T424" s="317" t="s">
        <v>643</v>
      </c>
      <c r="U424" s="316">
        <v>3657850</v>
      </c>
    </row>
    <row r="425" spans="2:26" ht="15.6">
      <c r="B425" s="96"/>
      <c r="C425" s="321" t="s">
        <v>644</v>
      </c>
      <c r="D425" s="98"/>
      <c r="E425" s="99"/>
      <c r="F425" s="322" t="s">
        <v>645</v>
      </c>
      <c r="G425" s="193" t="s">
        <v>91</v>
      </c>
      <c r="H425" s="308">
        <v>22.3</v>
      </c>
      <c r="I425" s="465">
        <v>22.3</v>
      </c>
      <c r="J425" s="82">
        <v>0</v>
      </c>
      <c r="K425" s="47">
        <f>L425-J425</f>
        <v>0</v>
      </c>
      <c r="L425" s="47">
        <v>0</v>
      </c>
      <c r="M425" s="47">
        <v>19000</v>
      </c>
      <c r="N425" s="47">
        <f>IFERROR(IF(AND($G425&lt;&gt;"",$H425&lt;&gt;""),$H425*$M425,""),0)</f>
        <v>423700</v>
      </c>
      <c r="O425" s="505">
        <f>IFERROR(IF(AND($G425&lt;&gt;"",$H425&lt;&gt;""),$I425*$M425,""),0)</f>
        <v>423700</v>
      </c>
      <c r="P425" s="48">
        <f>+N425-O425</f>
        <v>0</v>
      </c>
      <c r="Q425" s="74"/>
      <c r="R425" s="128"/>
      <c r="S425" s="315" t="s">
        <v>419</v>
      </c>
      <c r="T425" s="317" t="s">
        <v>643</v>
      </c>
      <c r="U425" s="316">
        <v>1100000</v>
      </c>
      <c r="Y425" s="2">
        <v>13277.9</v>
      </c>
      <c r="Z425" s="586">
        <f t="shared" ref="Z425" si="138">Y425*I425</f>
        <v>296097.17</v>
      </c>
    </row>
    <row r="426" spans="2:26" ht="15.6">
      <c r="B426" s="100" t="s">
        <v>646</v>
      </c>
      <c r="C426" s="101"/>
      <c r="D426" s="101"/>
      <c r="E426" s="102"/>
      <c r="F426" s="207"/>
      <c r="G426" s="104"/>
      <c r="H426" s="105"/>
      <c r="I426" s="105"/>
      <c r="J426" s="106"/>
      <c r="K426" s="107"/>
      <c r="L426" s="108"/>
      <c r="M426" s="108"/>
      <c r="N426" s="107">
        <f>SUM(N424:N425)</f>
        <v>423700</v>
      </c>
      <c r="O426" s="500">
        <f>SUM(O424:O425)</f>
        <v>423700</v>
      </c>
      <c r="P426" s="107">
        <f>SUM(P424:P425)</f>
        <v>0</v>
      </c>
      <c r="Q426" s="105"/>
      <c r="R426" s="109">
        <f>P426</f>
        <v>0</v>
      </c>
      <c r="S426" s="315" t="s">
        <v>427</v>
      </c>
      <c r="T426" s="317" t="s">
        <v>643</v>
      </c>
      <c r="U426" s="316">
        <v>84940</v>
      </c>
      <c r="Z426" s="107">
        <f>SUM(Z424:Z425)</f>
        <v>296097.17</v>
      </c>
    </row>
    <row r="427" spans="2:26" ht="15.6">
      <c r="B427" s="144"/>
      <c r="C427" s="145"/>
      <c r="D427" s="145"/>
      <c r="E427" s="146"/>
      <c r="F427" s="147"/>
      <c r="G427" s="216"/>
      <c r="H427" s="217"/>
      <c r="I427" s="480"/>
      <c r="J427" s="218"/>
      <c r="K427" s="118"/>
      <c r="L427" s="118"/>
      <c r="M427" s="121"/>
      <c r="N427" s="118"/>
      <c r="O427" s="516"/>
      <c r="P427" s="153" t="str">
        <f>IFERROR(IF(AND($G427&lt;&gt;"",$H427&lt;&gt;""),$L427*$M427,""),0)</f>
        <v/>
      </c>
      <c r="Q427" s="217"/>
      <c r="R427" s="128"/>
      <c r="S427" s="315" t="s">
        <v>443</v>
      </c>
      <c r="T427" s="317" t="s">
        <v>643</v>
      </c>
      <c r="U427" s="316">
        <v>8268600</v>
      </c>
    </row>
    <row r="428" spans="2:26" ht="15.6">
      <c r="B428" s="592" t="s">
        <v>647</v>
      </c>
      <c r="C428" s="593"/>
      <c r="D428" s="593"/>
      <c r="E428" s="594"/>
      <c r="F428" s="323" t="s">
        <v>648</v>
      </c>
      <c r="G428" s="1"/>
      <c r="H428" s="155"/>
      <c r="I428" s="155"/>
      <c r="J428" s="64"/>
      <c r="K428" s="34"/>
      <c r="L428" s="34"/>
      <c r="M428" s="34"/>
      <c r="N428" s="34"/>
      <c r="O428" s="517"/>
      <c r="P428" s="48" t="str">
        <f>IFERROR(IF(AND($F428&lt;&gt;"",$H428&lt;&gt;""),$L428*$M428,""),0)</f>
        <v/>
      </c>
      <c r="Q428" s="155"/>
      <c r="R428" s="128"/>
      <c r="S428" s="315" t="s">
        <v>469</v>
      </c>
      <c r="T428" s="317" t="s">
        <v>643</v>
      </c>
      <c r="U428" s="316">
        <v>1292500</v>
      </c>
    </row>
    <row r="429" spans="2:26" ht="24">
      <c r="B429" s="27" t="s">
        <v>649</v>
      </c>
      <c r="C429" s="59"/>
      <c r="D429" s="59"/>
      <c r="E429" s="60"/>
      <c r="F429" s="307" t="s">
        <v>650</v>
      </c>
      <c r="G429" s="62"/>
      <c r="H429" s="63"/>
      <c r="I429" s="63"/>
      <c r="J429" s="182"/>
      <c r="K429" s="34"/>
      <c r="L429" s="34"/>
      <c r="M429" s="65"/>
      <c r="N429" s="34"/>
      <c r="O429" s="513"/>
      <c r="P429" s="48" t="str">
        <f>IFERROR(IF(AND($G429&lt;&gt;"",$H429&lt;&gt;""),$L429*$M429,""),0)</f>
        <v/>
      </c>
      <c r="Q429" s="324"/>
      <c r="R429" s="128"/>
      <c r="S429" s="315" t="s">
        <v>478</v>
      </c>
      <c r="T429" s="317" t="s">
        <v>643</v>
      </c>
      <c r="U429" s="316">
        <v>62069100</v>
      </c>
    </row>
    <row r="430" spans="2:26" ht="15.6">
      <c r="B430" s="187"/>
      <c r="C430" s="126" t="s">
        <v>651</v>
      </c>
      <c r="D430" s="59"/>
      <c r="E430" s="60"/>
      <c r="F430" s="159" t="s">
        <v>652</v>
      </c>
      <c r="G430" s="62"/>
      <c r="H430" s="63"/>
      <c r="I430" s="63"/>
      <c r="J430" s="64"/>
      <c r="K430" s="34"/>
      <c r="L430" s="34"/>
      <c r="M430" s="34"/>
      <c r="N430" s="34"/>
      <c r="O430" s="517"/>
      <c r="P430" s="48" t="str">
        <f>IFERROR(IF(AND($G430&lt;&gt;"",$H430&lt;&gt;""),$L430*$M430,""),0)</f>
        <v/>
      </c>
      <c r="Q430" s="155"/>
      <c r="R430" s="128"/>
      <c r="S430" s="315" t="s">
        <v>526</v>
      </c>
      <c r="T430" s="317" t="s">
        <v>653</v>
      </c>
      <c r="U430" s="316">
        <v>9066350</v>
      </c>
    </row>
    <row r="431" spans="2:26" ht="15.6">
      <c r="B431" s="51"/>
      <c r="C431" s="40"/>
      <c r="D431" s="325" t="s">
        <v>70</v>
      </c>
      <c r="E431" s="53"/>
      <c r="F431" s="159" t="s">
        <v>654</v>
      </c>
      <c r="G431" s="193" t="s">
        <v>40</v>
      </c>
      <c r="H431" s="308">
        <v>170</v>
      </c>
      <c r="I431" s="465">
        <f>12.3*2*4</f>
        <v>98.4</v>
      </c>
      <c r="J431" s="86">
        <v>0</v>
      </c>
      <c r="K431" s="47">
        <f t="shared" ref="K431:K433" si="139">L431-J431</f>
        <v>0</v>
      </c>
      <c r="L431" s="47">
        <v>0</v>
      </c>
      <c r="M431" s="47">
        <v>1700</v>
      </c>
      <c r="N431" s="47">
        <f>IFERROR(IF(AND($G431&lt;&gt;"",$H431&lt;&gt;""),$H431*$M431,""),0)</f>
        <v>289000</v>
      </c>
      <c r="O431" s="505">
        <f>IFERROR(IF(AND($G431&lt;&gt;"",$H431&lt;&gt;""),$I431*$M431,""),0)</f>
        <v>167280</v>
      </c>
      <c r="P431" s="48">
        <f>+N431-O431</f>
        <v>121720</v>
      </c>
      <c r="Q431" s="127"/>
      <c r="R431" s="128"/>
      <c r="S431" s="315" t="s">
        <v>550</v>
      </c>
      <c r="T431" s="317" t="s">
        <v>653</v>
      </c>
      <c r="U431" s="316">
        <v>328800</v>
      </c>
      <c r="Y431" s="2">
        <v>2293.5</v>
      </c>
      <c r="Z431" s="586">
        <f t="shared" ref="Z431:Z432" si="140">Y431*I431</f>
        <v>225680.40000000002</v>
      </c>
    </row>
    <row r="432" spans="2:26" ht="15.6">
      <c r="B432" s="51"/>
      <c r="C432" s="40"/>
      <c r="D432" s="126" t="s">
        <v>86</v>
      </c>
      <c r="E432" s="53"/>
      <c r="F432" s="326" t="s">
        <v>655</v>
      </c>
      <c r="G432" s="74" t="s">
        <v>436</v>
      </c>
      <c r="H432" s="74">
        <v>85</v>
      </c>
      <c r="I432" s="465">
        <v>85</v>
      </c>
      <c r="J432" s="76">
        <v>0</v>
      </c>
      <c r="K432" s="47">
        <f t="shared" si="139"/>
        <v>0</v>
      </c>
      <c r="L432" s="47">
        <v>0</v>
      </c>
      <c r="M432" s="47">
        <v>21</v>
      </c>
      <c r="N432" s="47">
        <f>IFERROR(IF(AND($G432&lt;&gt;"",$H432&lt;&gt;""),$H432*$M432,""),0)</f>
        <v>1785</v>
      </c>
      <c r="O432" s="505">
        <f>IFERROR(IF(AND($G432&lt;&gt;"",$H432&lt;&gt;""),$I432*$M432,""),0)</f>
        <v>1785</v>
      </c>
      <c r="P432" s="48">
        <f t="shared" ref="P432:P433" si="141">+N432-O432</f>
        <v>0</v>
      </c>
      <c r="Q432" s="327"/>
      <c r="R432" s="128"/>
      <c r="S432" s="315" t="s">
        <v>595</v>
      </c>
      <c r="T432" s="317" t="s">
        <v>653</v>
      </c>
      <c r="U432" s="316">
        <v>8361450</v>
      </c>
      <c r="Y432" s="2">
        <v>88</v>
      </c>
      <c r="Z432" s="586">
        <f t="shared" si="140"/>
        <v>7480</v>
      </c>
    </row>
    <row r="433" spans="2:26" ht="34.200000000000003">
      <c r="B433" s="187"/>
      <c r="C433" s="126" t="s">
        <v>656</v>
      </c>
      <c r="D433" s="59"/>
      <c r="E433" s="60"/>
      <c r="F433" s="159" t="s">
        <v>657</v>
      </c>
      <c r="G433" s="74" t="s">
        <v>26</v>
      </c>
      <c r="H433" s="74">
        <v>1</v>
      </c>
      <c r="I433" s="465">
        <v>1</v>
      </c>
      <c r="J433" s="76">
        <v>0</v>
      </c>
      <c r="K433" s="47">
        <f t="shared" si="139"/>
        <v>0</v>
      </c>
      <c r="L433" s="47">
        <v>0</v>
      </c>
      <c r="M433" s="47">
        <v>100000</v>
      </c>
      <c r="N433" s="47">
        <f>IFERROR(IF(AND($G433&lt;&gt;"",$H433&lt;&gt;""),$H433*$M433,""),0)</f>
        <v>100000</v>
      </c>
      <c r="O433" s="505">
        <f>IFERROR(IF(AND($G433&lt;&gt;"",$H433&lt;&gt;""),$I433*$M433,""),0)</f>
        <v>100000</v>
      </c>
      <c r="P433" s="48">
        <f t="shared" si="141"/>
        <v>0</v>
      </c>
      <c r="Q433" s="327"/>
      <c r="R433" s="128"/>
      <c r="S433" s="315" t="s">
        <v>639</v>
      </c>
      <c r="T433" s="317" t="s">
        <v>653</v>
      </c>
      <c r="U433" s="316">
        <v>423700</v>
      </c>
    </row>
    <row r="434" spans="2:26" ht="15.6">
      <c r="B434" s="96"/>
      <c r="C434" s="98"/>
      <c r="D434" s="204"/>
      <c r="E434" s="99"/>
      <c r="F434" s="159"/>
      <c r="G434" s="74"/>
      <c r="H434" s="82"/>
      <c r="I434" s="82"/>
      <c r="J434" s="76"/>
      <c r="K434" s="47"/>
      <c r="L434" s="47"/>
      <c r="M434" s="47"/>
      <c r="N434" s="47"/>
      <c r="O434" s="505"/>
      <c r="P434" s="48" t="str">
        <f>IFERROR(IF(AND($G434&lt;&gt;"",$H434&lt;&gt;""),$L434*$M434,""),0)</f>
        <v/>
      </c>
      <c r="Q434" s="328"/>
      <c r="R434" s="128"/>
      <c r="S434" s="315" t="s">
        <v>647</v>
      </c>
      <c r="T434" s="317" t="s">
        <v>653</v>
      </c>
      <c r="U434" s="316">
        <v>123035</v>
      </c>
    </row>
    <row r="435" spans="2:26" ht="15.6">
      <c r="B435" s="100" t="s">
        <v>103</v>
      </c>
      <c r="C435" s="101"/>
      <c r="D435" s="101"/>
      <c r="E435" s="102"/>
      <c r="F435" s="207"/>
      <c r="G435" s="104"/>
      <c r="H435" s="105"/>
      <c r="I435" s="105"/>
      <c r="J435" s="106"/>
      <c r="K435" s="107"/>
      <c r="L435" s="108"/>
      <c r="M435" s="108"/>
      <c r="N435" s="107">
        <f>SUM(N431:N434)</f>
        <v>390785</v>
      </c>
      <c r="O435" s="500">
        <f>SUM(O431:O434)</f>
        <v>269065</v>
      </c>
      <c r="P435" s="107">
        <f>SUM(P431:P434)</f>
        <v>121720</v>
      </c>
      <c r="Q435" s="105"/>
      <c r="R435" s="109">
        <f>P435</f>
        <v>121720</v>
      </c>
      <c r="S435" s="315" t="s">
        <v>658</v>
      </c>
      <c r="T435" s="317" t="s">
        <v>659</v>
      </c>
      <c r="U435" s="316">
        <v>585000</v>
      </c>
      <c r="Z435" s="107">
        <f>SUM(Z431:Z434)</f>
        <v>233160.40000000002</v>
      </c>
    </row>
    <row r="436" spans="2:26" ht="15.6">
      <c r="B436" s="144"/>
      <c r="C436" s="145"/>
      <c r="D436" s="145"/>
      <c r="E436" s="146"/>
      <c r="F436" s="147"/>
      <c r="G436" s="148"/>
      <c r="H436" s="149"/>
      <c r="I436" s="479"/>
      <c r="J436" s="150"/>
      <c r="K436" s="151"/>
      <c r="L436" s="151"/>
      <c r="M436" s="152"/>
      <c r="N436" s="151"/>
      <c r="O436" s="516"/>
      <c r="P436" s="153" t="str">
        <f>IFERROR(IF(AND($G436&lt;&gt;"",$H436&lt;&gt;""),$L436*$M436,""),0)</f>
        <v/>
      </c>
      <c r="Q436" s="149"/>
      <c r="R436" s="128"/>
      <c r="S436" s="315" t="s">
        <v>660</v>
      </c>
      <c r="T436" s="317" t="s">
        <v>659</v>
      </c>
      <c r="U436" s="316">
        <v>18154356</v>
      </c>
    </row>
    <row r="437" spans="2:26" ht="24">
      <c r="B437" s="592" t="s">
        <v>658</v>
      </c>
      <c r="C437" s="593"/>
      <c r="D437" s="593"/>
      <c r="E437" s="594"/>
      <c r="F437" s="318" t="s">
        <v>661</v>
      </c>
      <c r="G437" s="1"/>
      <c r="H437" s="155"/>
      <c r="I437" s="155"/>
      <c r="J437" s="64"/>
      <c r="K437" s="34"/>
      <c r="L437" s="34"/>
      <c r="M437" s="65"/>
      <c r="N437" s="34"/>
      <c r="O437" s="513"/>
      <c r="P437" s="48" t="str">
        <f>IFERROR(IF(AND($F437&lt;&gt;"",$H437&lt;&gt;""),$L437*$M437,""),0)</f>
        <v/>
      </c>
      <c r="Q437" s="155"/>
      <c r="R437" s="128"/>
      <c r="S437" s="83"/>
      <c r="T437" s="1"/>
      <c r="U437" s="1"/>
    </row>
    <row r="438" spans="2:26" ht="13.2">
      <c r="B438" s="309" t="s">
        <v>662</v>
      </c>
      <c r="C438" s="40"/>
      <c r="D438" s="40"/>
      <c r="E438" s="53"/>
      <c r="F438" s="307" t="s">
        <v>663</v>
      </c>
      <c r="G438" s="74"/>
      <c r="H438" s="82"/>
      <c r="I438" s="82"/>
      <c r="J438" s="47"/>
      <c r="K438" s="47"/>
      <c r="L438" s="47"/>
      <c r="M438" s="46"/>
      <c r="N438" s="47"/>
      <c r="O438" s="505"/>
      <c r="P438" s="48" t="str">
        <f>IFERROR(IF(AND($G438&lt;&gt;"",$H438&lt;&gt;""),$L438*$M438,""),0)</f>
        <v/>
      </c>
      <c r="Q438" s="253"/>
      <c r="R438" s="128"/>
      <c r="S438" s="83"/>
    </row>
    <row r="439" spans="2:26" ht="13.2">
      <c r="B439" s="51"/>
      <c r="C439" s="329" t="s">
        <v>664</v>
      </c>
      <c r="D439" s="40"/>
      <c r="E439" s="53"/>
      <c r="F439" s="159" t="s">
        <v>665</v>
      </c>
      <c r="G439" s="74"/>
      <c r="H439" s="75"/>
      <c r="I439" s="75"/>
      <c r="J439" s="305"/>
      <c r="K439" s="305"/>
      <c r="L439" s="305"/>
      <c r="M439" s="46"/>
      <c r="N439" s="47"/>
      <c r="O439" s="505"/>
      <c r="P439" s="48"/>
      <c r="Q439" s="330"/>
      <c r="R439" s="128"/>
      <c r="S439" s="83"/>
    </row>
    <row r="440" spans="2:26" ht="34.799999999999997">
      <c r="B440" s="51"/>
      <c r="C440" s="329"/>
      <c r="D440" s="40" t="s">
        <v>67</v>
      </c>
      <c r="E440" s="53"/>
      <c r="F440" s="159" t="s">
        <v>666</v>
      </c>
      <c r="G440" s="74" t="s">
        <v>102</v>
      </c>
      <c r="H440" s="82">
        <v>1</v>
      </c>
      <c r="I440" s="404">
        <v>0</v>
      </c>
      <c r="J440" s="47">
        <f t="shared" ref="J440:L442" ca="1" si="142">K440-I440</f>
        <v>0</v>
      </c>
      <c r="K440" s="47">
        <f t="shared" ca="1" si="142"/>
        <v>0</v>
      </c>
      <c r="L440" s="47">
        <v>0</v>
      </c>
      <c r="M440" s="46">
        <v>1500000</v>
      </c>
      <c r="N440" s="47">
        <f>IFERROR(IF(AND($G440&lt;&gt;"",$H440&lt;&gt;""),$H440*$M440,""),0)</f>
        <v>1500000</v>
      </c>
      <c r="O440" s="505">
        <f>IFERROR(IF(AND($G440&lt;&gt;"",$H440&lt;&gt;""),$I440*$M440,""),0)</f>
        <v>0</v>
      </c>
      <c r="P440" s="48">
        <f>+N440-O440</f>
        <v>1500000</v>
      </c>
      <c r="Q440" s="463" t="s">
        <v>972</v>
      </c>
      <c r="R440" s="128"/>
      <c r="S440" s="83"/>
    </row>
    <row r="441" spans="2:26" ht="13.2">
      <c r="B441" s="51"/>
      <c r="C441" s="329"/>
      <c r="D441" s="40"/>
      <c r="E441" s="53" t="s">
        <v>264</v>
      </c>
      <c r="F441" s="159" t="s">
        <v>667</v>
      </c>
      <c r="G441" s="74" t="s">
        <v>58</v>
      </c>
      <c r="H441" s="82">
        <v>1500000</v>
      </c>
      <c r="I441" s="404">
        <v>0</v>
      </c>
      <c r="J441" s="47">
        <f t="shared" ca="1" si="142"/>
        <v>0</v>
      </c>
      <c r="K441" s="47">
        <f t="shared" ca="1" si="142"/>
        <v>0</v>
      </c>
      <c r="L441" s="47">
        <f t="shared" ca="1" si="142"/>
        <v>0</v>
      </c>
      <c r="M441" s="89">
        <v>0.1</v>
      </c>
      <c r="N441" s="47">
        <f>IFERROR(IF(AND($G441&lt;&gt;"",$H441&lt;&gt;""),$H441*$M441,""),0)</f>
        <v>150000</v>
      </c>
      <c r="O441" s="505">
        <f>IFERROR(IF(AND($G441&lt;&gt;"",$H441&lt;&gt;""),$I441*$M441,""),0)</f>
        <v>0</v>
      </c>
      <c r="P441" s="48">
        <f t="shared" ref="P441:P445" si="143">+N441-O441</f>
        <v>150000</v>
      </c>
      <c r="Q441" s="253"/>
      <c r="R441" s="128"/>
      <c r="S441" s="83"/>
    </row>
    <row r="442" spans="2:26" ht="24">
      <c r="B442" s="27" t="s">
        <v>668</v>
      </c>
      <c r="C442" s="501"/>
      <c r="D442" s="501"/>
      <c r="E442" s="502"/>
      <c r="F442" s="503" t="s">
        <v>669</v>
      </c>
      <c r="G442" s="504" t="s">
        <v>18</v>
      </c>
      <c r="H442" s="464">
        <v>9</v>
      </c>
      <c r="I442" s="464">
        <v>9</v>
      </c>
      <c r="J442" s="69">
        <f t="shared" ca="1" si="142"/>
        <v>0</v>
      </c>
      <c r="K442" s="69">
        <f t="shared" ca="1" si="142"/>
        <v>0</v>
      </c>
      <c r="L442" s="69">
        <f t="shared" ca="1" si="142"/>
        <v>0</v>
      </c>
      <c r="M442" s="505">
        <v>-485000</v>
      </c>
      <c r="N442" s="69">
        <f>IFERROR(IF(AND($G442&lt;&gt;"",$H442&lt;&gt;""),$H442*$M442,""),0)</f>
        <v>-4365000</v>
      </c>
      <c r="O442" s="505">
        <f>IFERROR(IF(AND($G442&lt;&gt;"",$H442&lt;&gt;""),$I442*$M442,""),0)</f>
        <v>-4365000</v>
      </c>
      <c r="P442" s="506">
        <f t="shared" si="143"/>
        <v>0</v>
      </c>
      <c r="Q442" s="507"/>
      <c r="R442" s="58"/>
      <c r="S442" s="85"/>
      <c r="T442" s="184"/>
      <c r="U442" s="184"/>
    </row>
    <row r="443" spans="2:26" ht="13.2">
      <c r="B443" s="27" t="s">
        <v>670</v>
      </c>
      <c r="C443" s="59"/>
      <c r="D443" s="59"/>
      <c r="E443" s="60"/>
      <c r="F443" s="307" t="s">
        <v>671</v>
      </c>
      <c r="G443" s="74"/>
      <c r="H443" s="82"/>
      <c r="I443" s="82"/>
      <c r="J443" s="47"/>
      <c r="K443" s="47"/>
      <c r="L443" s="47"/>
      <c r="M443" s="46"/>
      <c r="N443" s="47"/>
      <c r="O443" s="505"/>
      <c r="P443" s="48"/>
      <c r="Q443" s="328"/>
      <c r="R443" s="128"/>
      <c r="S443" s="85"/>
      <c r="T443" s="94"/>
      <c r="U443" s="94"/>
    </row>
    <row r="444" spans="2:26" ht="13.2">
      <c r="B444" s="51"/>
      <c r="C444" s="329" t="s">
        <v>672</v>
      </c>
      <c r="D444" s="40"/>
      <c r="E444" s="53"/>
      <c r="F444" s="331" t="s">
        <v>673</v>
      </c>
      <c r="G444" s="74" t="s">
        <v>102</v>
      </c>
      <c r="H444" s="82">
        <v>1</v>
      </c>
      <c r="I444" s="404">
        <v>0</v>
      </c>
      <c r="J444" s="47">
        <f t="shared" ref="J444:L445" ca="1" si="144">K444-I444</f>
        <v>0</v>
      </c>
      <c r="K444" s="47">
        <f t="shared" ca="1" si="144"/>
        <v>0</v>
      </c>
      <c r="L444" s="47">
        <f t="shared" ca="1" si="144"/>
        <v>0</v>
      </c>
      <c r="M444" s="46">
        <v>3000000</v>
      </c>
      <c r="N444" s="47">
        <f>IFERROR(IF(AND($G444&lt;&gt;"",$H444&lt;&gt;""),$H444*$M444,""),0)</f>
        <v>3000000</v>
      </c>
      <c r="O444" s="505">
        <f>IFERROR(IF(AND($G444&lt;&gt;"",$H444&lt;&gt;""),$I444*$M444,""),0)</f>
        <v>0</v>
      </c>
      <c r="P444" s="48">
        <f t="shared" si="143"/>
        <v>3000000</v>
      </c>
      <c r="Q444" s="328" t="s">
        <v>951</v>
      </c>
      <c r="R444" s="128"/>
      <c r="S444" s="85"/>
      <c r="T444" s="94"/>
      <c r="U444" s="94"/>
    </row>
    <row r="445" spans="2:26" ht="13.2">
      <c r="B445" s="51"/>
      <c r="C445" s="329"/>
      <c r="D445" s="332" t="s">
        <v>67</v>
      </c>
      <c r="E445" s="53"/>
      <c r="F445" s="159" t="s">
        <v>674</v>
      </c>
      <c r="G445" s="74" t="s">
        <v>58</v>
      </c>
      <c r="H445" s="82">
        <v>3000000</v>
      </c>
      <c r="I445" s="404">
        <v>0</v>
      </c>
      <c r="J445" s="47">
        <f t="shared" ca="1" si="144"/>
        <v>0</v>
      </c>
      <c r="K445" s="47">
        <f ca="1">L445-J445</f>
        <v>0</v>
      </c>
      <c r="L445" s="47">
        <v>0</v>
      </c>
      <c r="M445" s="89">
        <v>0.1</v>
      </c>
      <c r="N445" s="47">
        <f>IFERROR(IF(AND($G445&lt;&gt;"",$H445&lt;&gt;""),$H445*$M445,""),0)</f>
        <v>300000</v>
      </c>
      <c r="O445" s="505">
        <f>IFERROR(IF(AND($G445&lt;&gt;"",$H445&lt;&gt;""),$I445*$M445,""),0)</f>
        <v>0</v>
      </c>
      <c r="P445" s="48">
        <f t="shared" si="143"/>
        <v>300000</v>
      </c>
      <c r="Q445" s="328" t="s">
        <v>951</v>
      </c>
      <c r="R445" s="128"/>
      <c r="S445" s="85"/>
      <c r="T445" s="94"/>
      <c r="U445" s="94"/>
    </row>
    <row r="446" spans="2:26" ht="13.2">
      <c r="B446" s="51"/>
      <c r="C446" s="40"/>
      <c r="D446" s="332"/>
      <c r="E446" s="53"/>
      <c r="F446" s="159"/>
      <c r="G446" s="74"/>
      <c r="H446" s="82"/>
      <c r="I446" s="82"/>
      <c r="J446" s="47"/>
      <c r="K446" s="47"/>
      <c r="L446" s="47"/>
      <c r="M446" s="46"/>
      <c r="N446" s="47"/>
      <c r="O446" s="505"/>
      <c r="P446" s="48"/>
      <c r="Q446" s="328"/>
      <c r="R446" s="128"/>
      <c r="S446" s="85"/>
      <c r="T446" s="94"/>
      <c r="U446" s="94"/>
    </row>
    <row r="447" spans="2:26" ht="13.2">
      <c r="B447" s="333"/>
      <c r="C447" s="134"/>
      <c r="D447" s="134"/>
      <c r="E447" s="135"/>
      <c r="F447" s="307"/>
      <c r="G447" s="74"/>
      <c r="H447" s="82"/>
      <c r="I447" s="82"/>
      <c r="J447" s="47"/>
      <c r="K447" s="47"/>
      <c r="L447" s="47"/>
      <c r="M447" s="46"/>
      <c r="N447" s="47"/>
      <c r="O447" s="505"/>
      <c r="P447" s="48"/>
      <c r="Q447" s="328"/>
      <c r="R447" s="128"/>
      <c r="S447" s="85"/>
      <c r="T447" s="94"/>
      <c r="U447" s="94"/>
    </row>
    <row r="448" spans="2:26" ht="13.2">
      <c r="B448" s="100" t="s">
        <v>103</v>
      </c>
      <c r="C448" s="101"/>
      <c r="D448" s="101"/>
      <c r="E448" s="102"/>
      <c r="F448" s="207"/>
      <c r="G448" s="104"/>
      <c r="H448" s="105"/>
      <c r="I448" s="105"/>
      <c r="J448" s="106"/>
      <c r="K448" s="107"/>
      <c r="L448" s="108"/>
      <c r="M448" s="108"/>
      <c r="N448" s="107">
        <f>SUM(N438:N447)</f>
        <v>585000</v>
      </c>
      <c r="O448" s="500">
        <f>SUM(O438:O447)</f>
        <v>-4365000</v>
      </c>
      <c r="P448" s="107">
        <f>SUM(P438:P447)</f>
        <v>4950000</v>
      </c>
      <c r="Q448" s="105"/>
      <c r="R448" s="109">
        <f>P448</f>
        <v>4950000</v>
      </c>
      <c r="S448" s="230"/>
      <c r="T448" s="231"/>
      <c r="U448" s="231"/>
    </row>
    <row r="449" spans="2:20" ht="13.2">
      <c r="B449" s="144"/>
      <c r="C449" s="145"/>
      <c r="D449" s="145"/>
      <c r="E449" s="146"/>
      <c r="F449" s="147"/>
      <c r="G449" s="276"/>
      <c r="H449" s="277"/>
      <c r="I449" s="484"/>
      <c r="J449" s="278"/>
      <c r="K449" s="279"/>
      <c r="L449" s="279"/>
      <c r="M449" s="334"/>
      <c r="N449" s="151"/>
      <c r="O449" s="523"/>
      <c r="P449" s="122" t="str">
        <f>IFERROR(IF(AND($G449&lt;&gt;"",$H449&lt;&gt;""),$L449*$M449,""),0)</f>
        <v/>
      </c>
      <c r="Q449" s="277"/>
      <c r="R449" s="128"/>
      <c r="S449" s="83"/>
    </row>
    <row r="450" spans="2:20" ht="24">
      <c r="B450" s="592" t="s">
        <v>660</v>
      </c>
      <c r="C450" s="593"/>
      <c r="D450" s="593"/>
      <c r="E450" s="594"/>
      <c r="F450" s="318" t="s">
        <v>675</v>
      </c>
      <c r="H450" s="211"/>
      <c r="I450" s="486"/>
      <c r="J450" s="45"/>
      <c r="K450" s="46"/>
      <c r="L450" s="46"/>
      <c r="M450" s="46"/>
      <c r="N450" s="47"/>
      <c r="O450" s="505"/>
      <c r="P450" s="48" t="str">
        <f>IFERROR(IF(AND($F450&lt;&gt;"",$H450&lt;&gt;""),$L450*$M450,""),0)</f>
        <v/>
      </c>
      <c r="Q450" s="211"/>
      <c r="R450" s="128"/>
      <c r="S450" s="83"/>
    </row>
    <row r="451" spans="2:20" ht="13.2">
      <c r="B451" s="27" t="s">
        <v>676</v>
      </c>
      <c r="C451" s="40"/>
      <c r="D451" s="40"/>
      <c r="E451" s="53"/>
      <c r="F451" s="156" t="s">
        <v>677</v>
      </c>
      <c r="G451" s="74"/>
      <c r="H451" s="127"/>
      <c r="I451" s="253"/>
      <c r="J451" s="86"/>
      <c r="K451" s="47"/>
      <c r="L451" s="47"/>
      <c r="M451" s="46"/>
      <c r="N451" s="47"/>
      <c r="O451" s="505"/>
      <c r="P451" s="48" t="str">
        <f>IFERROR(IF(AND($G451&lt;&gt;"",$H451&lt;&gt;""),$L451*$M451,""),0)</f>
        <v/>
      </c>
      <c r="Q451" s="253"/>
      <c r="R451" s="128"/>
      <c r="S451" s="83"/>
    </row>
    <row r="452" spans="2:20" ht="13.2">
      <c r="B452" s="51"/>
      <c r="C452" s="40"/>
      <c r="D452" s="126" t="s">
        <v>67</v>
      </c>
      <c r="E452" s="53"/>
      <c r="F452" s="157" t="s">
        <v>678</v>
      </c>
      <c r="G452" s="74" t="s">
        <v>679</v>
      </c>
      <c r="H452" s="74">
        <v>1</v>
      </c>
      <c r="I452" s="465">
        <v>1</v>
      </c>
      <c r="J452" s="7">
        <v>0</v>
      </c>
      <c r="K452" s="47">
        <f>L452-J452</f>
        <v>0</v>
      </c>
      <c r="L452" s="7">
        <v>0</v>
      </c>
      <c r="M452" s="46">
        <v>1900000</v>
      </c>
      <c r="N452" s="47">
        <f t="shared" ref="N452:N482" si="145">IFERROR(IF(AND($G452&lt;&gt;"",$H452&lt;&gt;""),$H452*$M452,""),0)</f>
        <v>1900000</v>
      </c>
      <c r="O452" s="505">
        <f t="shared" ref="O452:O481" si="146">IFERROR(IF(AND($G452&lt;&gt;"",$H452&lt;&gt;""),$I452*$M452,""),0)</f>
        <v>1900000</v>
      </c>
      <c r="P452" s="48">
        <f>+N452-O452</f>
        <v>0</v>
      </c>
      <c r="Q452" s="74"/>
      <c r="R452" s="128"/>
      <c r="S452" s="83"/>
    </row>
    <row r="453" spans="2:20" ht="24">
      <c r="B453" s="27" t="s">
        <v>680</v>
      </c>
      <c r="C453" s="59"/>
      <c r="D453" s="59"/>
      <c r="E453" s="60"/>
      <c r="F453" s="156" t="s">
        <v>681</v>
      </c>
      <c r="G453" s="62"/>
      <c r="H453" s="62"/>
      <c r="I453" s="62"/>
      <c r="J453" s="7"/>
      <c r="K453" s="34"/>
      <c r="L453" s="7"/>
      <c r="M453" s="65"/>
      <c r="N453" s="47" t="str">
        <f t="shared" si="145"/>
        <v/>
      </c>
      <c r="O453" s="505" t="str">
        <f t="shared" si="146"/>
        <v/>
      </c>
      <c r="P453" s="48" t="str">
        <f>IFERROR(IF(AND($G453&lt;&gt;"",$H453&lt;&gt;""),$L453*$M453,""),0)</f>
        <v/>
      </c>
      <c r="Q453" s="62"/>
      <c r="R453" s="128"/>
      <c r="S453" s="83"/>
      <c r="T453" s="1"/>
    </row>
    <row r="454" spans="2:20" ht="13.2">
      <c r="B454" s="51"/>
      <c r="C454" s="40"/>
      <c r="D454" s="126" t="s">
        <v>67</v>
      </c>
      <c r="E454" s="53"/>
      <c r="F454" s="157" t="s">
        <v>682</v>
      </c>
      <c r="G454" s="74" t="s">
        <v>679</v>
      </c>
      <c r="H454" s="74">
        <v>1</v>
      </c>
      <c r="I454" s="465">
        <f>248200/500000</f>
        <v>0.49640000000000001</v>
      </c>
      <c r="J454" s="7">
        <v>0</v>
      </c>
      <c r="K454" s="47">
        <f t="shared" ref="K454:K455" si="147">L454-J454</f>
        <v>0</v>
      </c>
      <c r="L454" s="7">
        <v>0</v>
      </c>
      <c r="M454" s="46">
        <v>500000</v>
      </c>
      <c r="N454" s="47">
        <f t="shared" si="145"/>
        <v>500000</v>
      </c>
      <c r="O454" s="505">
        <f t="shared" si="146"/>
        <v>248200</v>
      </c>
      <c r="P454" s="48">
        <f>+N454-O454</f>
        <v>251800</v>
      </c>
      <c r="Q454" s="74"/>
      <c r="R454" s="58"/>
      <c r="S454" s="85"/>
      <c r="T454" s="94"/>
    </row>
    <row r="455" spans="2:20" ht="13.2">
      <c r="B455" s="51"/>
      <c r="C455" s="40"/>
      <c r="D455" s="126" t="s">
        <v>70</v>
      </c>
      <c r="E455" s="53"/>
      <c r="F455" s="157" t="s">
        <v>683</v>
      </c>
      <c r="G455" s="74" t="s">
        <v>58</v>
      </c>
      <c r="H455" s="44">
        <v>500000</v>
      </c>
      <c r="I455" s="428">
        <f>+O454</f>
        <v>248200</v>
      </c>
      <c r="J455" s="7">
        <v>0</v>
      </c>
      <c r="K455" s="47">
        <f t="shared" si="147"/>
        <v>0</v>
      </c>
      <c r="L455" s="7">
        <v>0</v>
      </c>
      <c r="M455" s="89">
        <v>0.1</v>
      </c>
      <c r="N455" s="47">
        <f t="shared" si="145"/>
        <v>50000</v>
      </c>
      <c r="O455" s="505">
        <f t="shared" si="146"/>
        <v>24820</v>
      </c>
      <c r="P455" s="48">
        <f>+N455-O455</f>
        <v>25180</v>
      </c>
      <c r="Q455" s="44"/>
      <c r="R455" s="128"/>
      <c r="S455" s="85"/>
      <c r="T455" s="94"/>
    </row>
    <row r="456" spans="2:20" ht="13.2">
      <c r="B456" s="27" t="s">
        <v>684</v>
      </c>
      <c r="C456" s="40"/>
      <c r="D456" s="40"/>
      <c r="E456" s="53"/>
      <c r="F456" s="156" t="s">
        <v>685</v>
      </c>
      <c r="G456" s="74"/>
      <c r="H456" s="74"/>
      <c r="I456" s="82"/>
      <c r="J456" s="7"/>
      <c r="K456" s="47"/>
      <c r="L456" s="7"/>
      <c r="M456" s="46"/>
      <c r="N456" s="47" t="str">
        <f t="shared" si="145"/>
        <v/>
      </c>
      <c r="O456" s="505" t="str">
        <f t="shared" si="146"/>
        <v/>
      </c>
      <c r="P456" s="48" t="str">
        <f>IFERROR(IF(AND($G456&lt;&gt;"",$H456&lt;&gt;""),$L456*$M456,""),0)</f>
        <v/>
      </c>
      <c r="Q456" s="82"/>
      <c r="R456" s="128"/>
      <c r="S456" s="83"/>
    </row>
    <row r="457" spans="2:20" ht="22.8">
      <c r="B457" s="51"/>
      <c r="C457" s="40"/>
      <c r="D457" s="126" t="s">
        <v>67</v>
      </c>
      <c r="E457" s="53"/>
      <c r="F457" s="159" t="s">
        <v>686</v>
      </c>
      <c r="G457" s="74"/>
      <c r="H457" s="82"/>
      <c r="I457" s="82"/>
      <c r="J457" s="7"/>
      <c r="K457" s="47"/>
      <c r="L457" s="7"/>
      <c r="M457" s="46"/>
      <c r="N457" s="47" t="str">
        <f t="shared" si="145"/>
        <v/>
      </c>
      <c r="O457" s="505" t="str">
        <f t="shared" si="146"/>
        <v/>
      </c>
      <c r="P457" s="48" t="str">
        <f>IFERROR(IF(AND($G457&lt;&gt;"",$H457&lt;&gt;""),$L457*$M457,""),0)</f>
        <v/>
      </c>
      <c r="Q457" s="82"/>
      <c r="R457" s="128"/>
      <c r="S457" s="85"/>
      <c r="T457" s="335"/>
    </row>
    <row r="458" spans="2:20" ht="34.200000000000003">
      <c r="B458" s="51"/>
      <c r="C458" s="40"/>
      <c r="D458" s="40"/>
      <c r="E458" s="189" t="s">
        <v>264</v>
      </c>
      <c r="F458" s="159" t="s">
        <v>687</v>
      </c>
      <c r="G458" s="74" t="s">
        <v>143</v>
      </c>
      <c r="H458" s="74">
        <v>6</v>
      </c>
      <c r="I458" s="465">
        <v>14</v>
      </c>
      <c r="J458" s="7">
        <v>0</v>
      </c>
      <c r="K458" s="47">
        <f t="shared" ref="K458:K462" si="148">L458-J458</f>
        <v>0</v>
      </c>
      <c r="L458" s="7">
        <v>0</v>
      </c>
      <c r="M458" s="46">
        <v>10000</v>
      </c>
      <c r="N458" s="47">
        <f t="shared" si="145"/>
        <v>60000</v>
      </c>
      <c r="O458" s="505">
        <f t="shared" si="146"/>
        <v>140000</v>
      </c>
      <c r="P458" s="48">
        <f>+N458-O458</f>
        <v>-80000</v>
      </c>
      <c r="Q458" s="74" t="s">
        <v>973</v>
      </c>
      <c r="R458" s="128"/>
      <c r="S458" s="85"/>
      <c r="T458" s="94"/>
    </row>
    <row r="459" spans="2:20" ht="34.200000000000003">
      <c r="B459" s="51"/>
      <c r="C459" s="40"/>
      <c r="D459" s="40"/>
      <c r="E459" s="189" t="s">
        <v>278</v>
      </c>
      <c r="F459" s="159" t="s">
        <v>688</v>
      </c>
      <c r="G459" s="74" t="s">
        <v>143</v>
      </c>
      <c r="H459" s="74">
        <v>3</v>
      </c>
      <c r="I459" s="465">
        <v>5</v>
      </c>
      <c r="J459" s="7">
        <v>0</v>
      </c>
      <c r="K459" s="47">
        <f t="shared" si="148"/>
        <v>0</v>
      </c>
      <c r="L459" s="7">
        <v>0</v>
      </c>
      <c r="M459" s="46">
        <v>10000</v>
      </c>
      <c r="N459" s="47">
        <f t="shared" si="145"/>
        <v>30000</v>
      </c>
      <c r="O459" s="505">
        <f t="shared" si="146"/>
        <v>50000</v>
      </c>
      <c r="P459" s="48">
        <f>+N459-O459</f>
        <v>-20000</v>
      </c>
      <c r="Q459" s="74" t="s">
        <v>973</v>
      </c>
      <c r="R459" s="128"/>
      <c r="S459" s="85"/>
      <c r="T459" s="94"/>
    </row>
    <row r="460" spans="2:20" ht="34.200000000000003">
      <c r="B460" s="51"/>
      <c r="C460" s="40"/>
      <c r="D460" s="40"/>
      <c r="E460" s="189" t="s">
        <v>689</v>
      </c>
      <c r="F460" s="159" t="s">
        <v>690</v>
      </c>
      <c r="G460" s="74" t="s">
        <v>143</v>
      </c>
      <c r="H460" s="74">
        <v>4</v>
      </c>
      <c r="I460" s="465">
        <v>1</v>
      </c>
      <c r="J460" s="7">
        <v>0</v>
      </c>
      <c r="K460" s="47">
        <f t="shared" si="148"/>
        <v>0</v>
      </c>
      <c r="L460" s="7">
        <v>0</v>
      </c>
      <c r="M460" s="46">
        <v>10000</v>
      </c>
      <c r="N460" s="47">
        <f t="shared" si="145"/>
        <v>40000</v>
      </c>
      <c r="O460" s="505">
        <f t="shared" si="146"/>
        <v>10000</v>
      </c>
      <c r="P460" s="48">
        <f>+N460-O460</f>
        <v>30000</v>
      </c>
      <c r="Q460" s="74" t="s">
        <v>973</v>
      </c>
      <c r="R460" s="128"/>
      <c r="S460" s="85"/>
      <c r="T460" s="94"/>
    </row>
    <row r="461" spans="2:20" ht="34.200000000000003">
      <c r="B461" s="51"/>
      <c r="C461" s="40"/>
      <c r="D461" s="40"/>
      <c r="E461" s="189" t="s">
        <v>691</v>
      </c>
      <c r="F461" s="159" t="s">
        <v>692</v>
      </c>
      <c r="G461" s="74" t="s">
        <v>143</v>
      </c>
      <c r="H461" s="82">
        <v>13</v>
      </c>
      <c r="I461" s="404">
        <v>3</v>
      </c>
      <c r="J461" s="7">
        <v>0</v>
      </c>
      <c r="K461" s="47">
        <f t="shared" si="148"/>
        <v>0</v>
      </c>
      <c r="L461" s="7">
        <v>0</v>
      </c>
      <c r="M461" s="46">
        <v>10000</v>
      </c>
      <c r="N461" s="47">
        <f t="shared" si="145"/>
        <v>130000</v>
      </c>
      <c r="O461" s="505">
        <f t="shared" si="146"/>
        <v>30000</v>
      </c>
      <c r="P461" s="48">
        <f>+N461-O461</f>
        <v>100000</v>
      </c>
      <c r="Q461" s="74" t="s">
        <v>973</v>
      </c>
      <c r="R461" s="128"/>
      <c r="S461" s="85"/>
      <c r="T461" s="335"/>
    </row>
    <row r="462" spans="2:20" ht="13.2">
      <c r="B462" s="51"/>
      <c r="C462" s="40"/>
      <c r="D462" s="126" t="s">
        <v>70</v>
      </c>
      <c r="E462" s="53"/>
      <c r="F462" s="159" t="s">
        <v>693</v>
      </c>
      <c r="G462" s="74" t="s">
        <v>18</v>
      </c>
      <c r="H462" s="82">
        <v>9</v>
      </c>
      <c r="I462" s="404">
        <v>9</v>
      </c>
      <c r="J462" s="7">
        <v>0</v>
      </c>
      <c r="K462" s="47">
        <f t="shared" si="148"/>
        <v>0</v>
      </c>
      <c r="L462" s="7">
        <v>0</v>
      </c>
      <c r="M462" s="46">
        <v>25000</v>
      </c>
      <c r="N462" s="47">
        <f t="shared" si="145"/>
        <v>225000</v>
      </c>
      <c r="O462" s="505">
        <f t="shared" si="146"/>
        <v>225000</v>
      </c>
      <c r="P462" s="48">
        <f>+N462-O462</f>
        <v>0</v>
      </c>
      <c r="Q462" s="82"/>
      <c r="R462" s="128"/>
      <c r="S462" s="90"/>
      <c r="T462" s="91"/>
    </row>
    <row r="463" spans="2:20" ht="24">
      <c r="B463" s="27" t="s">
        <v>694</v>
      </c>
      <c r="C463" s="59"/>
      <c r="D463" s="59"/>
      <c r="E463" s="60"/>
      <c r="F463" s="307" t="s">
        <v>695</v>
      </c>
      <c r="G463" s="62"/>
      <c r="H463" s="62"/>
      <c r="I463" s="466"/>
      <c r="J463" s="7"/>
      <c r="K463" s="34"/>
      <c r="L463" s="7"/>
      <c r="M463" s="65"/>
      <c r="N463" s="47" t="str">
        <f t="shared" si="145"/>
        <v/>
      </c>
      <c r="O463" s="505" t="str">
        <f t="shared" si="146"/>
        <v/>
      </c>
      <c r="P463" s="48" t="str">
        <f>IFERROR(IF(AND($G463&lt;&gt;"",$H463&lt;&gt;""),$L463*$M463,""),0)</f>
        <v/>
      </c>
      <c r="Q463" s="62"/>
      <c r="R463" s="128"/>
      <c r="S463" s="85"/>
      <c r="T463" s="184"/>
    </row>
    <row r="464" spans="2:20" ht="34.200000000000003">
      <c r="B464" s="51"/>
      <c r="C464" s="40"/>
      <c r="D464" s="126" t="s">
        <v>67</v>
      </c>
      <c r="E464" s="53"/>
      <c r="F464" s="159" t="s">
        <v>696</v>
      </c>
      <c r="G464" s="74" t="s">
        <v>18</v>
      </c>
      <c r="H464" s="82">
        <v>9</v>
      </c>
      <c r="I464" s="404">
        <v>9</v>
      </c>
      <c r="J464" s="7">
        <v>0</v>
      </c>
      <c r="K464" s="47">
        <f t="shared" ref="K464:K466" si="149">L464-J464</f>
        <v>0</v>
      </c>
      <c r="L464" s="7">
        <v>0</v>
      </c>
      <c r="M464" s="46">
        <v>35000</v>
      </c>
      <c r="N464" s="47">
        <f t="shared" si="145"/>
        <v>315000</v>
      </c>
      <c r="O464" s="505">
        <f t="shared" si="146"/>
        <v>315000</v>
      </c>
      <c r="P464" s="48">
        <f>+N464-O464</f>
        <v>0</v>
      </c>
      <c r="Q464" s="82"/>
      <c r="R464" s="128"/>
      <c r="S464" s="85"/>
      <c r="T464" s="335"/>
    </row>
    <row r="465" spans="2:20" ht="13.2">
      <c r="B465" s="51"/>
      <c r="C465" s="40"/>
      <c r="D465" s="126" t="s">
        <v>70</v>
      </c>
      <c r="E465" s="53"/>
      <c r="F465" s="159" t="s">
        <v>697</v>
      </c>
      <c r="G465" s="74" t="s">
        <v>698</v>
      </c>
      <c r="H465" s="82">
        <v>9</v>
      </c>
      <c r="I465" s="404">
        <v>9</v>
      </c>
      <c r="J465" s="7">
        <v>0</v>
      </c>
      <c r="K465" s="47">
        <f t="shared" si="149"/>
        <v>0</v>
      </c>
      <c r="L465" s="7">
        <v>0</v>
      </c>
      <c r="M465" s="46">
        <v>95000</v>
      </c>
      <c r="N465" s="47">
        <f t="shared" si="145"/>
        <v>855000</v>
      </c>
      <c r="O465" s="505">
        <f t="shared" si="146"/>
        <v>855000</v>
      </c>
      <c r="P465" s="48">
        <f>+N465-O465</f>
        <v>0</v>
      </c>
      <c r="Q465" s="82"/>
      <c r="R465" s="128"/>
      <c r="S465" s="83"/>
    </row>
    <row r="466" spans="2:20" ht="22.8">
      <c r="B466" s="51"/>
      <c r="C466" s="40"/>
      <c r="D466" s="126" t="s">
        <v>72</v>
      </c>
      <c r="E466" s="53"/>
      <c r="F466" s="159" t="s">
        <v>699</v>
      </c>
      <c r="G466" s="74" t="s">
        <v>698</v>
      </c>
      <c r="H466" s="82">
        <v>36</v>
      </c>
      <c r="I466" s="404">
        <f>6*3</f>
        <v>18</v>
      </c>
      <c r="J466" s="7">
        <v>0</v>
      </c>
      <c r="K466" s="47">
        <f t="shared" si="149"/>
        <v>0</v>
      </c>
      <c r="L466" s="7">
        <v>0</v>
      </c>
      <c r="M466" s="46">
        <v>20000</v>
      </c>
      <c r="N466" s="47">
        <f t="shared" si="145"/>
        <v>720000</v>
      </c>
      <c r="O466" s="505">
        <f t="shared" si="146"/>
        <v>360000</v>
      </c>
      <c r="P466" s="48">
        <f>+N466-O466</f>
        <v>360000</v>
      </c>
      <c r="Q466" s="161" t="s">
        <v>952</v>
      </c>
      <c r="R466" s="128"/>
      <c r="S466" s="90"/>
      <c r="T466" s="91"/>
    </row>
    <row r="467" spans="2:20" ht="13.2">
      <c r="B467" s="27" t="s">
        <v>700</v>
      </c>
      <c r="C467" s="59"/>
      <c r="D467" s="59"/>
      <c r="E467" s="60"/>
      <c r="F467" s="307" t="s">
        <v>701</v>
      </c>
      <c r="G467" s="62"/>
      <c r="H467" s="62"/>
      <c r="I467" s="62"/>
      <c r="J467" s="7"/>
      <c r="K467" s="34"/>
      <c r="L467" s="7"/>
      <c r="M467" s="65"/>
      <c r="N467" s="47" t="str">
        <f t="shared" si="145"/>
        <v/>
      </c>
      <c r="O467" s="505" t="str">
        <f t="shared" si="146"/>
        <v/>
      </c>
      <c r="P467" s="48" t="str">
        <f>IFERROR(IF(AND($G467&lt;&gt;"",$H467&lt;&gt;""),$L467*$M467,""),0)</f>
        <v/>
      </c>
      <c r="Q467" s="62"/>
      <c r="R467" s="49"/>
      <c r="S467" s="90"/>
      <c r="T467" s="110"/>
    </row>
    <row r="468" spans="2:20" ht="45.6">
      <c r="B468" s="51"/>
      <c r="C468" s="40"/>
      <c r="D468" s="126" t="s">
        <v>67</v>
      </c>
      <c r="E468" s="53"/>
      <c r="F468" s="159" t="s">
        <v>702</v>
      </c>
      <c r="G468" s="74" t="s">
        <v>55</v>
      </c>
      <c r="H468" s="74">
        <v>1</v>
      </c>
      <c r="I468" s="465">
        <v>0</v>
      </c>
      <c r="J468" s="7">
        <v>0</v>
      </c>
      <c r="K468" s="47">
        <f>L468-J468</f>
        <v>0</v>
      </c>
      <c r="L468" s="7">
        <v>0</v>
      </c>
      <c r="M468" s="46">
        <v>2000000</v>
      </c>
      <c r="N468" s="47">
        <f t="shared" si="145"/>
        <v>2000000</v>
      </c>
      <c r="O468" s="505">
        <f t="shared" si="146"/>
        <v>0</v>
      </c>
      <c r="P468" s="48">
        <f>+N468-O468</f>
        <v>2000000</v>
      </c>
      <c r="Q468" s="414" t="s">
        <v>974</v>
      </c>
      <c r="R468" s="128"/>
      <c r="S468" s="85"/>
      <c r="T468" s="94"/>
    </row>
    <row r="469" spans="2:20" ht="25.95" customHeight="1">
      <c r="B469" s="51"/>
      <c r="C469" s="40"/>
      <c r="D469" s="126" t="s">
        <v>70</v>
      </c>
      <c r="E469" s="53"/>
      <c r="F469" s="159" t="s">
        <v>703</v>
      </c>
      <c r="G469" s="74" t="s">
        <v>58</v>
      </c>
      <c r="H469" s="44">
        <v>2000000</v>
      </c>
      <c r="I469" s="428">
        <v>0</v>
      </c>
      <c r="J469" s="7">
        <v>0</v>
      </c>
      <c r="K469" s="47">
        <f>L469-J469</f>
        <v>0</v>
      </c>
      <c r="L469" s="7">
        <v>0</v>
      </c>
      <c r="M469" s="89">
        <v>0.1</v>
      </c>
      <c r="N469" s="47">
        <f t="shared" si="145"/>
        <v>200000</v>
      </c>
      <c r="O469" s="505">
        <f t="shared" si="146"/>
        <v>0</v>
      </c>
      <c r="P469" s="48">
        <f>+N469-O469</f>
        <v>200000</v>
      </c>
      <c r="Q469" s="414" t="s">
        <v>974</v>
      </c>
      <c r="R469" s="128"/>
      <c r="S469" s="85"/>
      <c r="T469" s="94"/>
    </row>
    <row r="470" spans="2:20" ht="25.95" customHeight="1">
      <c r="B470" s="51"/>
      <c r="C470" s="40"/>
      <c r="D470" s="126" t="s">
        <v>72</v>
      </c>
      <c r="E470" s="53"/>
      <c r="F470" s="159" t="s">
        <v>704</v>
      </c>
      <c r="G470" s="74" t="s">
        <v>26</v>
      </c>
      <c r="H470" s="82">
        <v>1</v>
      </c>
      <c r="I470" s="404">
        <v>1</v>
      </c>
      <c r="J470" s="7">
        <v>0</v>
      </c>
      <c r="K470" s="47">
        <f>L470-J470</f>
        <v>0</v>
      </c>
      <c r="L470" s="7">
        <v>0</v>
      </c>
      <c r="M470" s="46">
        <v>200000</v>
      </c>
      <c r="N470" s="47">
        <f t="shared" si="145"/>
        <v>200000</v>
      </c>
      <c r="O470" s="505">
        <f t="shared" si="146"/>
        <v>200000</v>
      </c>
      <c r="P470" s="48">
        <f>+N470-O470</f>
        <v>0</v>
      </c>
      <c r="Q470" s="161" t="s">
        <v>953</v>
      </c>
      <c r="R470" s="128"/>
      <c r="S470" s="85"/>
      <c r="T470" s="336"/>
    </row>
    <row r="471" spans="2:20" ht="45.6">
      <c r="B471" s="51"/>
      <c r="C471" s="40"/>
      <c r="D471" s="126" t="s">
        <v>74</v>
      </c>
      <c r="E471" s="53"/>
      <c r="F471" s="159" t="s">
        <v>705</v>
      </c>
      <c r="G471" s="74" t="s">
        <v>26</v>
      </c>
      <c r="H471" s="82">
        <v>1</v>
      </c>
      <c r="I471" s="404">
        <v>0.6</v>
      </c>
      <c r="J471" s="7">
        <v>0</v>
      </c>
      <c r="K471" s="47">
        <f>L471-J471</f>
        <v>0</v>
      </c>
      <c r="L471" s="7">
        <v>0</v>
      </c>
      <c r="M471" s="46">
        <v>9456356</v>
      </c>
      <c r="N471" s="47">
        <f t="shared" si="145"/>
        <v>9456356</v>
      </c>
      <c r="O471" s="505">
        <f t="shared" si="146"/>
        <v>5673813.5999999996</v>
      </c>
      <c r="P471" s="48">
        <f>+N471-O471</f>
        <v>3782542.4000000004</v>
      </c>
      <c r="Q471" s="161" t="s">
        <v>954</v>
      </c>
      <c r="R471" s="128"/>
      <c r="S471" s="85"/>
      <c r="T471" s="335"/>
    </row>
    <row r="472" spans="2:20" ht="24">
      <c r="B472" s="27" t="s">
        <v>706</v>
      </c>
      <c r="C472" s="59"/>
      <c r="D472" s="59"/>
      <c r="E472" s="60"/>
      <c r="F472" s="307" t="s">
        <v>707</v>
      </c>
      <c r="G472" s="62"/>
      <c r="H472" s="63"/>
      <c r="I472" s="63"/>
      <c r="J472" s="7"/>
      <c r="K472" s="34"/>
      <c r="L472" s="7"/>
      <c r="M472" s="65"/>
      <c r="N472" s="47" t="str">
        <f t="shared" si="145"/>
        <v/>
      </c>
      <c r="O472" s="505" t="str">
        <f t="shared" si="146"/>
        <v/>
      </c>
      <c r="P472" s="48" t="str">
        <f>IFERROR(IF(AND($G472&lt;&gt;"",$H472&lt;&gt;""),$L472*$M472,""),0)</f>
        <v/>
      </c>
      <c r="Q472" s="63"/>
      <c r="R472" s="128"/>
      <c r="S472" s="85"/>
      <c r="T472" s="184"/>
    </row>
    <row r="473" spans="2:20" ht="13.2">
      <c r="B473" s="187"/>
      <c r="C473" s="59"/>
      <c r="D473" s="126" t="s">
        <v>67</v>
      </c>
      <c r="E473" s="60"/>
      <c r="F473" s="159" t="s">
        <v>708</v>
      </c>
      <c r="G473" s="62"/>
      <c r="H473" s="63"/>
      <c r="I473" s="63"/>
      <c r="J473" s="7"/>
      <c r="K473" s="34"/>
      <c r="L473" s="7"/>
      <c r="M473" s="65"/>
      <c r="N473" s="47" t="str">
        <f t="shared" si="145"/>
        <v/>
      </c>
      <c r="O473" s="505" t="str">
        <f t="shared" si="146"/>
        <v/>
      </c>
      <c r="P473" s="48" t="str">
        <f>IFERROR(IF(AND($G473&lt;&gt;"",$H473&lt;&gt;""),$L473*$M473,""),0)</f>
        <v/>
      </c>
      <c r="Q473" s="63"/>
      <c r="R473" s="128"/>
      <c r="S473" s="83"/>
      <c r="T473" s="1"/>
    </row>
    <row r="474" spans="2:20" ht="13.2">
      <c r="B474" s="51"/>
      <c r="C474" s="40"/>
      <c r="D474" s="40"/>
      <c r="E474" s="189" t="s">
        <v>264</v>
      </c>
      <c r="F474" s="159" t="s">
        <v>709</v>
      </c>
      <c r="G474" s="74" t="s">
        <v>55</v>
      </c>
      <c r="H474" s="82">
        <v>1</v>
      </c>
      <c r="I474" s="404">
        <v>1</v>
      </c>
      <c r="J474" s="7">
        <v>0</v>
      </c>
      <c r="K474" s="47">
        <f t="shared" ref="K474:K481" si="150">L474-J474</f>
        <v>0</v>
      </c>
      <c r="L474" s="7">
        <v>0</v>
      </c>
      <c r="M474" s="46">
        <v>300000</v>
      </c>
      <c r="N474" s="47">
        <f t="shared" si="145"/>
        <v>300000</v>
      </c>
      <c r="O474" s="505">
        <f t="shared" si="146"/>
        <v>300000</v>
      </c>
      <c r="P474" s="48">
        <f t="shared" ref="P474:P479" si="151">+N474-O474</f>
        <v>0</v>
      </c>
      <c r="Q474" s="82" t="s">
        <v>955</v>
      </c>
      <c r="R474" s="128"/>
      <c r="S474" s="83"/>
    </row>
    <row r="475" spans="2:20" ht="13.2">
      <c r="B475" s="51"/>
      <c r="C475" s="40"/>
      <c r="D475" s="40"/>
      <c r="E475" s="189" t="s">
        <v>278</v>
      </c>
      <c r="F475" s="159" t="s">
        <v>710</v>
      </c>
      <c r="G475" s="74" t="s">
        <v>55</v>
      </c>
      <c r="H475" s="82">
        <v>1</v>
      </c>
      <c r="I475" s="404">
        <v>1</v>
      </c>
      <c r="J475" s="7">
        <v>0</v>
      </c>
      <c r="K475" s="47">
        <f t="shared" si="150"/>
        <v>0</v>
      </c>
      <c r="L475" s="7">
        <v>0</v>
      </c>
      <c r="M475" s="46">
        <v>300000</v>
      </c>
      <c r="N475" s="47">
        <f t="shared" si="145"/>
        <v>300000</v>
      </c>
      <c r="O475" s="505">
        <f t="shared" si="146"/>
        <v>300000</v>
      </c>
      <c r="P475" s="48">
        <f t="shared" si="151"/>
        <v>0</v>
      </c>
      <c r="Q475" s="82" t="s">
        <v>955</v>
      </c>
      <c r="R475" s="128"/>
      <c r="S475" s="83"/>
    </row>
    <row r="476" spans="2:20" ht="15" customHeight="1">
      <c r="B476" s="51"/>
      <c r="C476" s="40"/>
      <c r="D476" s="40"/>
      <c r="E476" s="189" t="s">
        <v>689</v>
      </c>
      <c r="F476" s="159" t="s">
        <v>711</v>
      </c>
      <c r="G476" s="74" t="s">
        <v>55</v>
      </c>
      <c r="H476" s="82">
        <v>1</v>
      </c>
      <c r="I476" s="404">
        <v>1</v>
      </c>
      <c r="J476" s="7">
        <v>0</v>
      </c>
      <c r="K476" s="47">
        <f t="shared" si="150"/>
        <v>0</v>
      </c>
      <c r="L476" s="7">
        <v>0</v>
      </c>
      <c r="M476" s="46">
        <v>100000</v>
      </c>
      <c r="N476" s="47">
        <f t="shared" si="145"/>
        <v>100000</v>
      </c>
      <c r="O476" s="505">
        <f t="shared" si="146"/>
        <v>100000</v>
      </c>
      <c r="P476" s="48">
        <f t="shared" si="151"/>
        <v>0</v>
      </c>
      <c r="Q476" s="82" t="s">
        <v>955</v>
      </c>
      <c r="R476" s="128"/>
      <c r="S476" s="83"/>
    </row>
    <row r="477" spans="2:20" ht="25.95" customHeight="1">
      <c r="B477" s="51"/>
      <c r="C477" s="40"/>
      <c r="D477" s="40"/>
      <c r="E477" s="189" t="s">
        <v>691</v>
      </c>
      <c r="F477" s="159" t="s">
        <v>712</v>
      </c>
      <c r="G477" s="74" t="s">
        <v>58</v>
      </c>
      <c r="H477" s="82">
        <v>400000</v>
      </c>
      <c r="I477" s="404">
        <v>400000</v>
      </c>
      <c r="J477" s="7">
        <v>0</v>
      </c>
      <c r="K477" s="47">
        <f t="shared" si="150"/>
        <v>0</v>
      </c>
      <c r="L477" s="7">
        <v>0</v>
      </c>
      <c r="M477" s="89">
        <v>0.1</v>
      </c>
      <c r="N477" s="47">
        <f t="shared" si="145"/>
        <v>40000</v>
      </c>
      <c r="O477" s="505">
        <f t="shared" si="146"/>
        <v>40000</v>
      </c>
      <c r="P477" s="48">
        <f t="shared" si="151"/>
        <v>0</v>
      </c>
      <c r="Q477" s="82" t="s">
        <v>955</v>
      </c>
      <c r="R477" s="128"/>
      <c r="S477" s="85"/>
      <c r="T477" s="94"/>
    </row>
    <row r="478" spans="2:20" ht="13.2">
      <c r="B478" s="187"/>
      <c r="C478" s="59"/>
      <c r="D478" s="126" t="s">
        <v>70</v>
      </c>
      <c r="E478" s="60"/>
      <c r="F478" s="159" t="s">
        <v>713</v>
      </c>
      <c r="G478" s="74" t="s">
        <v>102</v>
      </c>
      <c r="H478" s="82">
        <v>1</v>
      </c>
      <c r="I478" s="404">
        <f>288000/160000</f>
        <v>1.8</v>
      </c>
      <c r="J478" s="7">
        <v>0</v>
      </c>
      <c r="K478" s="47">
        <f t="shared" si="150"/>
        <v>0</v>
      </c>
      <c r="L478" s="7">
        <v>0</v>
      </c>
      <c r="M478" s="46">
        <v>160000</v>
      </c>
      <c r="N478" s="47">
        <f t="shared" si="145"/>
        <v>160000</v>
      </c>
      <c r="O478" s="505">
        <f t="shared" si="146"/>
        <v>288000</v>
      </c>
      <c r="P478" s="48">
        <f t="shared" si="151"/>
        <v>-128000</v>
      </c>
      <c r="Q478" s="82" t="s">
        <v>956</v>
      </c>
      <c r="R478" s="128"/>
      <c r="S478" s="83"/>
      <c r="T478" s="1"/>
    </row>
    <row r="479" spans="2:20" ht="13.2">
      <c r="B479" s="51"/>
      <c r="C479" s="40"/>
      <c r="D479" s="40"/>
      <c r="E479" s="189" t="s">
        <v>264</v>
      </c>
      <c r="F479" s="159" t="s">
        <v>714</v>
      </c>
      <c r="G479" s="74" t="s">
        <v>698</v>
      </c>
      <c r="H479" s="82">
        <v>18</v>
      </c>
      <c r="I479" s="404">
        <f>3*12</f>
        <v>36</v>
      </c>
      <c r="J479" s="7">
        <v>0</v>
      </c>
      <c r="K479" s="47">
        <f t="shared" si="150"/>
        <v>0</v>
      </c>
      <c r="L479" s="7">
        <v>0</v>
      </c>
      <c r="M479" s="46">
        <v>3500</v>
      </c>
      <c r="N479" s="47">
        <f t="shared" si="145"/>
        <v>63000</v>
      </c>
      <c r="O479" s="505">
        <f t="shared" si="146"/>
        <v>126000</v>
      </c>
      <c r="P479" s="48">
        <f t="shared" si="151"/>
        <v>-63000</v>
      </c>
      <c r="Q479" s="82" t="s">
        <v>957</v>
      </c>
      <c r="R479" s="128"/>
      <c r="S479" s="83"/>
    </row>
    <row r="480" spans="2:20" ht="13.2">
      <c r="B480" s="51"/>
      <c r="C480" s="40"/>
      <c r="D480" s="126" t="s">
        <v>72</v>
      </c>
      <c r="E480" s="53"/>
      <c r="F480" s="159" t="s">
        <v>715</v>
      </c>
      <c r="G480" s="74" t="s">
        <v>55</v>
      </c>
      <c r="H480" s="82">
        <v>1</v>
      </c>
      <c r="I480" s="404">
        <v>1</v>
      </c>
      <c r="J480" s="7">
        <v>0</v>
      </c>
      <c r="K480" s="47">
        <f t="shared" si="150"/>
        <v>0</v>
      </c>
      <c r="L480" s="7">
        <v>0</v>
      </c>
      <c r="M480" s="46">
        <v>500000</v>
      </c>
      <c r="N480" s="47">
        <f t="shared" si="145"/>
        <v>500000</v>
      </c>
      <c r="O480" s="505">
        <f t="shared" si="146"/>
        <v>500000</v>
      </c>
      <c r="P480" s="48">
        <f>IFERROR(IF(AND($G480&lt;&gt;"",$H480&lt;&gt;""),$L480*$M480,""),0)</f>
        <v>0</v>
      </c>
      <c r="Q480" s="161" t="s">
        <v>958</v>
      </c>
      <c r="R480" s="128"/>
      <c r="S480" s="83"/>
    </row>
    <row r="481" spans="2:20" ht="13.2">
      <c r="B481" s="51"/>
      <c r="C481" s="40"/>
      <c r="D481" s="126" t="s">
        <v>74</v>
      </c>
      <c r="E481" s="53"/>
      <c r="F481" s="159" t="s">
        <v>716</v>
      </c>
      <c r="G481" s="74" t="s">
        <v>26</v>
      </c>
      <c r="H481" s="82">
        <v>1</v>
      </c>
      <c r="I481" s="404">
        <v>1</v>
      </c>
      <c r="J481" s="7">
        <v>0</v>
      </c>
      <c r="K481" s="47">
        <f t="shared" si="150"/>
        <v>0</v>
      </c>
      <c r="L481" s="7">
        <v>0</v>
      </c>
      <c r="M481" s="46">
        <v>10000</v>
      </c>
      <c r="N481" s="47">
        <f t="shared" si="145"/>
        <v>10000</v>
      </c>
      <c r="O481" s="505">
        <f t="shared" si="146"/>
        <v>10000</v>
      </c>
      <c r="P481" s="48">
        <f>IFERROR(IF(AND($G481&lt;&gt;"",$H481&lt;&gt;""),$L481*$M481,""),0)</f>
        <v>0</v>
      </c>
      <c r="Q481" s="82" t="s">
        <v>736</v>
      </c>
      <c r="R481" s="128"/>
      <c r="S481" s="83"/>
    </row>
    <row r="482" spans="2:20" ht="13.2">
      <c r="B482" s="96"/>
      <c r="C482" s="98"/>
      <c r="D482" s="204"/>
      <c r="E482" s="99"/>
      <c r="F482" s="159"/>
      <c r="G482" s="74"/>
      <c r="H482" s="82"/>
      <c r="I482" s="82"/>
      <c r="J482" s="86"/>
      <c r="K482" s="47"/>
      <c r="L482" s="47"/>
      <c r="M482" s="46"/>
      <c r="N482" s="47" t="str">
        <f t="shared" si="145"/>
        <v/>
      </c>
      <c r="O482" s="505"/>
      <c r="P482" s="48"/>
      <c r="Q482" s="82"/>
      <c r="R482" s="128"/>
      <c r="S482" s="83"/>
    </row>
    <row r="483" spans="2:20" ht="13.2">
      <c r="B483" s="100" t="s">
        <v>103</v>
      </c>
      <c r="C483" s="101"/>
      <c r="D483" s="101"/>
      <c r="E483" s="102"/>
      <c r="F483" s="207"/>
      <c r="G483" s="104"/>
      <c r="H483" s="105"/>
      <c r="I483" s="105"/>
      <c r="J483" s="106"/>
      <c r="K483" s="107"/>
      <c r="L483" s="108"/>
      <c r="M483" s="108"/>
      <c r="N483" s="107">
        <f>SUM(N452:N482)</f>
        <v>18154356</v>
      </c>
      <c r="O483" s="500">
        <f>SUM(O452:O482)</f>
        <v>11695833.6</v>
      </c>
      <c r="P483" s="107">
        <f>SUM(P452:P482)</f>
        <v>6458522.4000000004</v>
      </c>
      <c r="Q483" s="105"/>
      <c r="R483" s="109">
        <f>P483</f>
        <v>6458522.4000000004</v>
      </c>
      <c r="S483" s="230"/>
      <c r="T483" s="231"/>
    </row>
    <row r="486" spans="2:20">
      <c r="I486" s="3" t="s">
        <v>976</v>
      </c>
      <c r="N486" s="6">
        <f>+N60+N76+N145+N200+N210+N246+N262+N273+N284+N308+N319+N347+N365+N397+N421+N426+N435+N448+N483</f>
        <v>174685910</v>
      </c>
      <c r="O486" s="524">
        <f t="shared" ref="O486" si="152">+O60+O76+O145+O200+O210+O246+O262+O273+O284+O308+O319+O347+O365+O397+O421+O426+O435+O448+O483</f>
        <v>174688149.03733858</v>
      </c>
      <c r="P486" s="17">
        <f>+N486-O486</f>
        <v>-2239.0373385846615</v>
      </c>
      <c r="T486" s="164"/>
    </row>
    <row r="489" spans="2:20">
      <c r="M489" s="5"/>
      <c r="N489" s="6"/>
      <c r="O489" s="524"/>
    </row>
    <row r="491" spans="2:20">
      <c r="P491" s="5"/>
    </row>
    <row r="493" spans="2:20">
      <c r="P493" s="5"/>
    </row>
    <row r="495" spans="2:20">
      <c r="P495" s="5"/>
    </row>
    <row r="41854" spans="5:19" s="1" customFormat="1" ht="12">
      <c r="E41854" s="3"/>
      <c r="F41854" s="4"/>
      <c r="G41854" s="2"/>
      <c r="H41854" s="3"/>
      <c r="I41854" s="3"/>
      <c r="J41854" s="2"/>
      <c r="K41854" s="5"/>
      <c r="L41854" s="5"/>
      <c r="M41854" s="6"/>
      <c r="N41854" s="5"/>
      <c r="O41854" s="509"/>
      <c r="P41854" s="17"/>
      <c r="Q41854" s="3"/>
      <c r="R41854" s="7"/>
      <c r="S41854" s="8"/>
    </row>
    <row r="41856" spans="5:19" s="1" customFormat="1" ht="12">
      <c r="E41856" s="3"/>
      <c r="F41856" s="4"/>
      <c r="G41856" s="2"/>
      <c r="H41856" s="3"/>
      <c r="I41856" s="3"/>
      <c r="J41856" s="2"/>
      <c r="K41856" s="5"/>
      <c r="L41856" s="5"/>
      <c r="M41856" s="6"/>
      <c r="N41856" s="5"/>
      <c r="O41856" s="509"/>
      <c r="P41856" s="17"/>
      <c r="Q41856" s="3"/>
      <c r="R41856" s="7"/>
      <c r="S41856" s="8"/>
    </row>
    <row r="41858" spans="5:19" s="94" customFormat="1">
      <c r="E41858" s="3"/>
      <c r="F41858" s="4"/>
      <c r="G41858" s="2"/>
      <c r="H41858" s="3"/>
      <c r="I41858" s="3"/>
      <c r="J41858" s="2"/>
      <c r="K41858" s="5"/>
      <c r="L41858" s="5"/>
      <c r="M41858" s="6"/>
      <c r="N41858" s="5"/>
      <c r="O41858" s="509"/>
      <c r="P41858" s="17"/>
      <c r="Q41858" s="3"/>
      <c r="R41858" s="7"/>
      <c r="S41858" s="8"/>
    </row>
    <row r="41859" spans="5:19" s="94" customFormat="1">
      <c r="E41859" s="3"/>
      <c r="F41859" s="4"/>
      <c r="G41859" s="2"/>
      <c r="H41859" s="3"/>
      <c r="I41859" s="3"/>
      <c r="J41859" s="2"/>
      <c r="K41859" s="5"/>
      <c r="L41859" s="5"/>
      <c r="M41859" s="6"/>
      <c r="N41859" s="5"/>
      <c r="O41859" s="509"/>
      <c r="P41859" s="17"/>
      <c r="Q41859" s="3"/>
      <c r="R41859" s="7"/>
      <c r="S41859" s="8"/>
    </row>
    <row r="41860" spans="5:19" s="94" customFormat="1">
      <c r="E41860" s="3"/>
      <c r="F41860" s="4"/>
      <c r="G41860" s="2"/>
      <c r="H41860" s="3"/>
      <c r="I41860" s="3"/>
      <c r="J41860" s="2"/>
      <c r="K41860" s="5"/>
      <c r="L41860" s="5"/>
      <c r="M41860" s="6"/>
      <c r="N41860" s="5"/>
      <c r="O41860" s="509"/>
      <c r="P41860" s="17"/>
      <c r="Q41860" s="3"/>
      <c r="R41860" s="7"/>
      <c r="S41860" s="8"/>
    </row>
    <row r="41861" spans="5:19" s="1" customFormat="1" ht="12">
      <c r="E41861" s="3"/>
      <c r="F41861" s="4"/>
      <c r="G41861" s="2"/>
      <c r="H41861" s="3"/>
      <c r="I41861" s="3"/>
      <c r="J41861" s="2"/>
      <c r="K41861" s="5"/>
      <c r="L41861" s="5"/>
      <c r="M41861" s="6"/>
      <c r="N41861" s="5"/>
      <c r="O41861" s="509"/>
      <c r="P41861" s="17"/>
      <c r="Q41861" s="3"/>
      <c r="R41861" s="7"/>
      <c r="S41861" s="8"/>
    </row>
    <row r="41862" spans="5:19" s="91" customFormat="1">
      <c r="E41862" s="3"/>
      <c r="F41862" s="4"/>
      <c r="G41862" s="2"/>
      <c r="H41862" s="3"/>
      <c r="I41862" s="3"/>
      <c r="J41862" s="2"/>
      <c r="K41862" s="5"/>
      <c r="L41862" s="5"/>
      <c r="M41862" s="6"/>
      <c r="N41862" s="5"/>
      <c r="O41862" s="509"/>
      <c r="P41862" s="17"/>
      <c r="Q41862" s="3"/>
      <c r="R41862" s="7"/>
      <c r="S41862" s="8"/>
    </row>
    <row r="41863" spans="5:19" s="94" customFormat="1">
      <c r="E41863" s="3"/>
      <c r="F41863" s="4"/>
      <c r="G41863" s="2"/>
      <c r="H41863" s="3"/>
      <c r="I41863" s="3"/>
      <c r="J41863" s="2"/>
      <c r="K41863" s="5"/>
      <c r="L41863" s="5"/>
      <c r="M41863" s="6"/>
      <c r="N41863" s="5"/>
      <c r="O41863" s="509"/>
      <c r="P41863" s="17"/>
      <c r="Q41863" s="3"/>
      <c r="R41863" s="7"/>
      <c r="S41863" s="8"/>
    </row>
    <row r="41864" spans="5:19" s="94" customFormat="1">
      <c r="E41864" s="3"/>
      <c r="F41864" s="4"/>
      <c r="G41864" s="2"/>
      <c r="H41864" s="3"/>
      <c r="I41864" s="3"/>
      <c r="J41864" s="2"/>
      <c r="K41864" s="5"/>
      <c r="L41864" s="5"/>
      <c r="M41864" s="6"/>
      <c r="N41864" s="5"/>
      <c r="O41864" s="509"/>
      <c r="P41864" s="17"/>
      <c r="Q41864" s="3"/>
      <c r="R41864" s="7"/>
      <c r="S41864" s="8"/>
    </row>
    <row r="41865" spans="5:19" s="91" customFormat="1">
      <c r="E41865" s="3"/>
      <c r="F41865" s="4"/>
      <c r="G41865" s="2"/>
      <c r="H41865" s="3"/>
      <c r="I41865" s="3"/>
      <c r="J41865" s="2"/>
      <c r="K41865" s="5"/>
      <c r="L41865" s="5"/>
      <c r="M41865" s="6"/>
      <c r="N41865" s="5"/>
      <c r="O41865" s="509"/>
      <c r="P41865" s="17"/>
      <c r="Q41865" s="3"/>
      <c r="R41865" s="7"/>
      <c r="S41865" s="8"/>
    </row>
    <row r="41866" spans="5:19" s="94" customFormat="1">
      <c r="E41866" s="3"/>
      <c r="F41866" s="4"/>
      <c r="G41866" s="2"/>
      <c r="H41866" s="3"/>
      <c r="I41866" s="3"/>
      <c r="J41866" s="2"/>
      <c r="K41866" s="5"/>
      <c r="L41866" s="5"/>
      <c r="M41866" s="6"/>
      <c r="N41866" s="5"/>
      <c r="O41866" s="509"/>
      <c r="P41866" s="17"/>
      <c r="Q41866" s="3"/>
      <c r="R41866" s="7"/>
      <c r="S41866" s="8"/>
    </row>
    <row r="41868" spans="5:19" s="94" customFormat="1">
      <c r="E41868" s="3"/>
      <c r="F41868" s="4"/>
      <c r="G41868" s="2"/>
      <c r="H41868" s="3"/>
      <c r="I41868" s="3"/>
      <c r="J41868" s="2"/>
      <c r="K41868" s="5"/>
      <c r="L41868" s="5"/>
      <c r="M41868" s="6"/>
      <c r="N41868" s="5"/>
      <c r="O41868" s="509"/>
      <c r="P41868" s="17"/>
      <c r="Q41868" s="3"/>
      <c r="R41868" s="7"/>
      <c r="S41868" s="8"/>
    </row>
    <row r="41869" spans="5:19" s="94" customFormat="1">
      <c r="E41869" s="3"/>
      <c r="F41869" s="4"/>
      <c r="G41869" s="2"/>
      <c r="H41869" s="3"/>
      <c r="I41869" s="3"/>
      <c r="J41869" s="2"/>
      <c r="K41869" s="5"/>
      <c r="L41869" s="5"/>
      <c r="M41869" s="6"/>
      <c r="N41869" s="5"/>
      <c r="O41869" s="509"/>
      <c r="P41869" s="17"/>
      <c r="Q41869" s="3"/>
      <c r="R41869" s="7"/>
      <c r="S41869" s="8"/>
    </row>
    <row r="41870" spans="5:19" s="94" customFormat="1">
      <c r="E41870" s="3"/>
      <c r="F41870" s="4"/>
      <c r="G41870" s="2"/>
      <c r="H41870" s="3"/>
      <c r="I41870" s="3"/>
      <c r="J41870" s="2"/>
      <c r="K41870" s="5"/>
      <c r="L41870" s="5"/>
      <c r="M41870" s="6"/>
      <c r="N41870" s="5"/>
      <c r="O41870" s="509"/>
      <c r="P41870" s="17"/>
      <c r="Q41870" s="3"/>
      <c r="R41870" s="7"/>
      <c r="S41870" s="8"/>
    </row>
    <row r="41871" spans="5:19" s="94" customFormat="1">
      <c r="E41871" s="3"/>
      <c r="F41871" s="4"/>
      <c r="G41871" s="2"/>
      <c r="H41871" s="3"/>
      <c r="I41871" s="3"/>
      <c r="J41871" s="2"/>
      <c r="K41871" s="5"/>
      <c r="L41871" s="5"/>
      <c r="M41871" s="6"/>
      <c r="N41871" s="5"/>
      <c r="O41871" s="509"/>
      <c r="P41871" s="17"/>
      <c r="Q41871" s="3"/>
      <c r="R41871" s="7"/>
      <c r="S41871" s="8"/>
    </row>
    <row r="41874" spans="5:19" s="1" customFormat="1" ht="12">
      <c r="E41874" s="3"/>
      <c r="F41874" s="4"/>
      <c r="G41874" s="2"/>
      <c r="H41874" s="3"/>
      <c r="I41874" s="3"/>
      <c r="J41874" s="2"/>
      <c r="K41874" s="5"/>
      <c r="L41874" s="5"/>
      <c r="M41874" s="6"/>
      <c r="N41874" s="5"/>
      <c r="O41874" s="509"/>
      <c r="P41874" s="17"/>
      <c r="Q41874" s="3"/>
      <c r="R41874" s="7"/>
      <c r="S41874" s="8"/>
    </row>
    <row r="41878" spans="5:19" s="1" customFormat="1" ht="12">
      <c r="E41878" s="3"/>
      <c r="F41878" s="4"/>
      <c r="G41878" s="2"/>
      <c r="H41878" s="3"/>
      <c r="I41878" s="3"/>
      <c r="J41878" s="2"/>
      <c r="K41878" s="5"/>
      <c r="L41878" s="5"/>
      <c r="M41878" s="6"/>
      <c r="N41878" s="5"/>
      <c r="O41878" s="509"/>
      <c r="P41878" s="17"/>
      <c r="Q41878" s="3"/>
      <c r="R41878" s="7"/>
      <c r="S41878" s="8"/>
    </row>
    <row r="41884" spans="5:19" s="1" customFormat="1" ht="12">
      <c r="E41884" s="3"/>
      <c r="F41884" s="4"/>
      <c r="G41884" s="2"/>
      <c r="H41884" s="3"/>
      <c r="I41884" s="3"/>
      <c r="J41884" s="2"/>
      <c r="K41884" s="5"/>
      <c r="L41884" s="5"/>
      <c r="M41884" s="6"/>
      <c r="N41884" s="5"/>
      <c r="O41884" s="509"/>
      <c r="P41884" s="17"/>
      <c r="Q41884" s="3"/>
      <c r="R41884" s="7"/>
      <c r="S41884" s="8"/>
    </row>
    <row r="41894" spans="5:19" s="91" customFormat="1">
      <c r="E41894" s="3"/>
      <c r="F41894" s="4"/>
      <c r="G41894" s="2"/>
      <c r="H41894" s="3"/>
      <c r="I41894" s="3"/>
      <c r="J41894" s="2"/>
      <c r="K41894" s="5"/>
      <c r="L41894" s="5"/>
      <c r="M41894" s="6"/>
      <c r="N41894" s="5"/>
      <c r="O41894" s="509"/>
      <c r="P41894" s="17"/>
      <c r="Q41894" s="3"/>
      <c r="R41894" s="7"/>
      <c r="S41894" s="8"/>
    </row>
    <row r="41897" spans="5:19" s="94" customFormat="1">
      <c r="E41897" s="3"/>
      <c r="F41897" s="4"/>
      <c r="G41897" s="2"/>
      <c r="H41897" s="3"/>
      <c r="I41897" s="3"/>
      <c r="J41897" s="2"/>
      <c r="K41897" s="5"/>
      <c r="L41897" s="5"/>
      <c r="M41897" s="6"/>
      <c r="N41897" s="5"/>
      <c r="O41897" s="509"/>
      <c r="P41897" s="17"/>
      <c r="Q41897" s="3"/>
      <c r="R41897" s="7"/>
      <c r="S41897" s="8"/>
    </row>
    <row r="41898" spans="5:19" s="94" customFormat="1">
      <c r="E41898" s="3"/>
      <c r="F41898" s="4"/>
      <c r="G41898" s="2"/>
      <c r="H41898" s="3"/>
      <c r="I41898" s="3"/>
      <c r="J41898" s="2"/>
      <c r="K41898" s="5"/>
      <c r="L41898" s="5"/>
      <c r="M41898" s="6"/>
      <c r="N41898" s="5"/>
      <c r="O41898" s="509"/>
      <c r="P41898" s="17"/>
      <c r="Q41898" s="3"/>
      <c r="R41898" s="7"/>
      <c r="S41898" s="8"/>
    </row>
    <row r="41900" spans="5:19" s="91" customFormat="1">
      <c r="E41900" s="3"/>
      <c r="F41900" s="4"/>
      <c r="G41900" s="2"/>
      <c r="H41900" s="3"/>
      <c r="I41900" s="3"/>
      <c r="J41900" s="2"/>
      <c r="K41900" s="5"/>
      <c r="L41900" s="5"/>
      <c r="M41900" s="6"/>
      <c r="N41900" s="5"/>
      <c r="O41900" s="509"/>
      <c r="P41900" s="17"/>
      <c r="Q41900" s="3"/>
      <c r="R41900" s="7"/>
      <c r="S41900" s="8"/>
    </row>
    <row r="41901" spans="5:19" s="91" customFormat="1">
      <c r="E41901" s="3"/>
      <c r="F41901" s="4"/>
      <c r="G41901" s="2"/>
      <c r="H41901" s="3"/>
      <c r="I41901" s="3"/>
      <c r="J41901" s="2"/>
      <c r="K41901" s="5"/>
      <c r="L41901" s="5"/>
      <c r="M41901" s="6"/>
      <c r="N41901" s="5"/>
      <c r="O41901" s="509"/>
      <c r="P41901" s="17"/>
      <c r="Q41901" s="3"/>
      <c r="R41901" s="7"/>
      <c r="S41901" s="8"/>
    </row>
    <row r="41904" spans="5:19" s="1" customFormat="1" ht="12">
      <c r="E41904" s="3"/>
      <c r="F41904" s="4"/>
      <c r="G41904" s="2"/>
      <c r="H41904" s="3"/>
      <c r="I41904" s="3"/>
      <c r="J41904" s="2"/>
      <c r="K41904" s="5"/>
      <c r="L41904" s="5"/>
      <c r="M41904" s="6"/>
      <c r="N41904" s="5"/>
      <c r="O41904" s="509"/>
      <c r="P41904" s="17"/>
      <c r="Q41904" s="3"/>
      <c r="R41904" s="7"/>
      <c r="S41904" s="8"/>
    </row>
    <row r="41906" spans="5:19" s="94" customFormat="1">
      <c r="E41906" s="3"/>
      <c r="F41906" s="4"/>
      <c r="G41906" s="2"/>
      <c r="H41906" s="3"/>
      <c r="I41906" s="3"/>
      <c r="J41906" s="2"/>
      <c r="K41906" s="5"/>
      <c r="L41906" s="5"/>
      <c r="M41906" s="6"/>
      <c r="N41906" s="5"/>
      <c r="O41906" s="509"/>
      <c r="P41906" s="17"/>
      <c r="Q41906" s="3"/>
      <c r="R41906" s="7"/>
      <c r="S41906" s="8"/>
    </row>
    <row r="41907" spans="5:19" s="94" customFormat="1">
      <c r="E41907" s="3"/>
      <c r="F41907" s="4"/>
      <c r="G41907" s="2"/>
      <c r="H41907" s="3"/>
      <c r="I41907" s="3"/>
      <c r="J41907" s="2"/>
      <c r="K41907" s="5"/>
      <c r="L41907" s="5"/>
      <c r="M41907" s="6"/>
      <c r="N41907" s="5"/>
      <c r="O41907" s="509"/>
      <c r="P41907" s="17"/>
      <c r="Q41907" s="3"/>
      <c r="R41907" s="7"/>
      <c r="S41907" s="8"/>
    </row>
    <row r="41908" spans="5:19" s="94" customFormat="1">
      <c r="E41908" s="3"/>
      <c r="F41908" s="4"/>
      <c r="G41908" s="2"/>
      <c r="H41908" s="3"/>
      <c r="I41908" s="3"/>
      <c r="J41908" s="2"/>
      <c r="K41908" s="5"/>
      <c r="L41908" s="5"/>
      <c r="M41908" s="6"/>
      <c r="N41908" s="5"/>
      <c r="O41908" s="509"/>
      <c r="P41908" s="17"/>
      <c r="Q41908" s="3"/>
      <c r="R41908" s="7"/>
      <c r="S41908" s="8"/>
    </row>
    <row r="41910" spans="5:19" s="91" customFormat="1">
      <c r="E41910" s="3"/>
      <c r="F41910" s="4"/>
      <c r="G41910" s="2"/>
      <c r="H41910" s="3"/>
      <c r="I41910" s="3"/>
      <c r="J41910" s="2"/>
      <c r="K41910" s="5"/>
      <c r="L41910" s="5"/>
      <c r="M41910" s="6"/>
      <c r="N41910" s="5"/>
      <c r="O41910" s="509"/>
      <c r="P41910" s="17"/>
      <c r="Q41910" s="3"/>
      <c r="R41910" s="7"/>
      <c r="S41910" s="8"/>
    </row>
    <row r="41911" spans="5:19" s="110" customFormat="1" ht="12">
      <c r="E41911" s="3"/>
      <c r="F41911" s="4"/>
      <c r="G41911" s="2"/>
      <c r="H41911" s="3"/>
      <c r="I41911" s="3"/>
      <c r="J41911" s="2"/>
      <c r="K41911" s="5"/>
      <c r="L41911" s="5"/>
      <c r="M41911" s="6"/>
      <c r="N41911" s="5"/>
      <c r="O41911" s="509"/>
      <c r="P41911" s="17"/>
      <c r="Q41911" s="3"/>
      <c r="R41911" s="7"/>
      <c r="S41911" s="8"/>
    </row>
    <row r="41912" spans="5:19" s="1" customFormat="1" ht="12">
      <c r="E41912" s="3"/>
      <c r="F41912" s="4"/>
      <c r="G41912" s="2"/>
      <c r="H41912" s="3"/>
      <c r="I41912" s="3"/>
      <c r="J41912" s="2"/>
      <c r="K41912" s="5"/>
      <c r="L41912" s="5"/>
      <c r="M41912" s="6"/>
      <c r="N41912" s="5"/>
      <c r="O41912" s="509"/>
      <c r="P41912" s="17"/>
      <c r="Q41912" s="3"/>
      <c r="R41912" s="7"/>
      <c r="S41912" s="8"/>
    </row>
    <row r="41920" spans="5:19" s="1" customFormat="1" ht="12">
      <c r="E41920" s="3"/>
      <c r="F41920" s="4"/>
      <c r="G41920" s="2"/>
      <c r="H41920" s="3"/>
      <c r="I41920" s="3"/>
      <c r="J41920" s="2"/>
      <c r="K41920" s="5"/>
      <c r="L41920" s="5"/>
      <c r="M41920" s="6"/>
      <c r="N41920" s="5"/>
      <c r="O41920" s="509"/>
      <c r="P41920" s="17"/>
      <c r="Q41920" s="3"/>
      <c r="R41920" s="7"/>
      <c r="S41920" s="8"/>
    </row>
    <row r="41927" spans="5:19" s="110" customFormat="1" ht="12">
      <c r="E41927" s="3"/>
      <c r="F41927" s="4"/>
      <c r="G41927" s="2"/>
      <c r="H41927" s="3"/>
      <c r="I41927" s="3"/>
      <c r="J41927" s="2"/>
      <c r="K41927" s="5"/>
      <c r="L41927" s="5"/>
      <c r="M41927" s="6"/>
      <c r="N41927" s="5"/>
      <c r="O41927" s="509"/>
      <c r="P41927" s="17"/>
      <c r="Q41927" s="3"/>
      <c r="R41927" s="7"/>
      <c r="S41927" s="8"/>
    </row>
    <row r="41929" spans="5:19" s="1" customFormat="1" ht="12">
      <c r="E41929" s="3"/>
      <c r="F41929" s="4"/>
      <c r="G41929" s="2"/>
      <c r="H41929" s="3"/>
      <c r="I41929" s="3"/>
      <c r="J41929" s="2"/>
      <c r="K41929" s="5"/>
      <c r="L41929" s="5"/>
      <c r="M41929" s="6"/>
      <c r="N41929" s="5"/>
      <c r="O41929" s="509"/>
      <c r="P41929" s="17"/>
      <c r="Q41929" s="3"/>
      <c r="R41929" s="7"/>
      <c r="S41929" s="8"/>
    </row>
    <row r="41930" spans="5:19" s="1" customFormat="1" ht="12">
      <c r="E41930" s="3"/>
      <c r="F41930" s="4"/>
      <c r="G41930" s="2"/>
      <c r="H41930" s="3"/>
      <c r="I41930" s="3"/>
      <c r="J41930" s="2"/>
      <c r="K41930" s="5"/>
      <c r="L41930" s="5"/>
      <c r="M41930" s="6"/>
      <c r="N41930" s="5"/>
      <c r="O41930" s="509"/>
      <c r="P41930" s="17"/>
      <c r="Q41930" s="3"/>
      <c r="R41930" s="7"/>
      <c r="S41930" s="8"/>
    </row>
    <row r="41934" spans="5:19" s="94" customFormat="1">
      <c r="E41934" s="3"/>
      <c r="F41934" s="4"/>
      <c r="G41934" s="2"/>
      <c r="H41934" s="3"/>
      <c r="I41934" s="3"/>
      <c r="J41934" s="2"/>
      <c r="K41934" s="5"/>
      <c r="L41934" s="5"/>
      <c r="M41934" s="6"/>
      <c r="N41934" s="5"/>
      <c r="O41934" s="509"/>
      <c r="P41934" s="17"/>
      <c r="Q41934" s="3"/>
      <c r="R41934" s="7"/>
      <c r="S41934" s="8"/>
    </row>
    <row r="41941" spans="5:19" s="94" customFormat="1">
      <c r="E41941" s="3"/>
      <c r="F41941" s="4"/>
      <c r="G41941" s="2"/>
      <c r="H41941" s="3"/>
      <c r="I41941" s="3"/>
      <c r="J41941" s="2"/>
      <c r="K41941" s="5"/>
      <c r="L41941" s="5"/>
      <c r="M41941" s="6"/>
      <c r="N41941" s="5"/>
      <c r="O41941" s="509"/>
      <c r="P41941" s="17"/>
      <c r="Q41941" s="3"/>
      <c r="R41941" s="7"/>
      <c r="S41941" s="8"/>
    </row>
    <row r="41946" spans="5:19" s="94" customFormat="1">
      <c r="E41946" s="3"/>
      <c r="F41946" s="4"/>
      <c r="G41946" s="2"/>
      <c r="H41946" s="3"/>
      <c r="I41946" s="3"/>
      <c r="J41946" s="2"/>
      <c r="K41946" s="5"/>
      <c r="L41946" s="5"/>
      <c r="M41946" s="6"/>
      <c r="N41946" s="5"/>
      <c r="O41946" s="509"/>
      <c r="P41946" s="17"/>
      <c r="Q41946" s="3"/>
      <c r="R41946" s="7"/>
      <c r="S41946" s="8"/>
    </row>
    <row r="41951" spans="5:19" s="1" customFormat="1" ht="12">
      <c r="E41951" s="3"/>
      <c r="F41951" s="4"/>
      <c r="G41951" s="2"/>
      <c r="H41951" s="3"/>
      <c r="I41951" s="3"/>
      <c r="J41951" s="2"/>
      <c r="K41951" s="5"/>
      <c r="L41951" s="5"/>
      <c r="M41951" s="6"/>
      <c r="N41951" s="5"/>
      <c r="O41951" s="509"/>
      <c r="P41951" s="17"/>
      <c r="Q41951" s="3"/>
      <c r="R41951" s="7"/>
      <c r="S41951" s="8"/>
    </row>
    <row r="41954" spans="5:19" s="91" customFormat="1">
      <c r="E41954" s="3"/>
      <c r="F41954" s="4"/>
      <c r="G41954" s="2"/>
      <c r="H41954" s="3"/>
      <c r="I41954" s="3"/>
      <c r="J41954" s="2"/>
      <c r="K41954" s="5"/>
      <c r="L41954" s="5"/>
      <c r="M41954" s="6"/>
      <c r="N41954" s="5"/>
      <c r="O41954" s="509"/>
      <c r="P41954" s="17"/>
      <c r="Q41954" s="3"/>
      <c r="R41954" s="7"/>
      <c r="S41954" s="8"/>
    </row>
    <row r="41961" spans="5:19" s="91" customFormat="1">
      <c r="E41961" s="3"/>
      <c r="F41961" s="4"/>
      <c r="G41961" s="2"/>
      <c r="H41961" s="3"/>
      <c r="I41961" s="3"/>
      <c r="J41961" s="2"/>
      <c r="K41961" s="5"/>
      <c r="L41961" s="5"/>
      <c r="M41961" s="6"/>
      <c r="N41961" s="5"/>
      <c r="O41961" s="509"/>
      <c r="P41961" s="17"/>
      <c r="Q41961" s="3"/>
      <c r="R41961" s="7"/>
      <c r="S41961" s="8"/>
    </row>
    <row r="41963" spans="5:19" s="175" customFormat="1">
      <c r="E41963" s="3"/>
      <c r="F41963" s="4"/>
      <c r="G41963" s="2"/>
      <c r="H41963" s="3"/>
      <c r="I41963" s="3"/>
      <c r="J41963" s="2"/>
      <c r="K41963" s="5"/>
      <c r="L41963" s="5"/>
      <c r="M41963" s="6"/>
      <c r="N41963" s="5"/>
      <c r="O41963" s="509"/>
      <c r="P41963" s="17"/>
      <c r="Q41963" s="3"/>
      <c r="R41963" s="7"/>
      <c r="S41963" s="8"/>
    </row>
    <row r="41966" spans="5:19" s="175" customFormat="1">
      <c r="E41966" s="3"/>
      <c r="F41966" s="4"/>
      <c r="G41966" s="2"/>
      <c r="H41966" s="3"/>
      <c r="I41966" s="3"/>
      <c r="J41966" s="2"/>
      <c r="K41966" s="5"/>
      <c r="L41966" s="5"/>
      <c r="M41966" s="6"/>
      <c r="N41966" s="5"/>
      <c r="O41966" s="509"/>
      <c r="P41966" s="17"/>
      <c r="Q41966" s="3"/>
      <c r="R41966" s="7"/>
      <c r="S41966" s="8"/>
    </row>
    <row r="41975" spans="5:19" s="94" customFormat="1">
      <c r="E41975" s="3"/>
      <c r="F41975" s="4"/>
      <c r="G41975" s="2"/>
      <c r="H41975" s="3"/>
      <c r="I41975" s="3"/>
      <c r="J41975" s="2"/>
      <c r="K41975" s="5"/>
      <c r="L41975" s="5"/>
      <c r="M41975" s="6"/>
      <c r="N41975" s="5"/>
      <c r="O41975" s="509"/>
      <c r="P41975" s="17"/>
      <c r="Q41975" s="3"/>
      <c r="R41975" s="7"/>
      <c r="S41975" s="8"/>
    </row>
    <row r="41976" spans="5:19" s="94" customFormat="1">
      <c r="E41976" s="3"/>
      <c r="F41976" s="4"/>
      <c r="G41976" s="2"/>
      <c r="H41976" s="3"/>
      <c r="I41976" s="3"/>
      <c r="J41976" s="2"/>
      <c r="K41976" s="5"/>
      <c r="L41976" s="5"/>
      <c r="M41976" s="6"/>
      <c r="N41976" s="5"/>
      <c r="O41976" s="509"/>
      <c r="P41976" s="17"/>
      <c r="Q41976" s="3"/>
      <c r="R41976" s="7"/>
      <c r="S41976" s="8"/>
    </row>
    <row r="41977" spans="5:19" s="1" customFormat="1" ht="12">
      <c r="E41977" s="3"/>
      <c r="F41977" s="4"/>
      <c r="G41977" s="2"/>
      <c r="H41977" s="3"/>
      <c r="I41977" s="3"/>
      <c r="J41977" s="2"/>
      <c r="K41977" s="5"/>
      <c r="L41977" s="5"/>
      <c r="M41977" s="6"/>
      <c r="N41977" s="5"/>
      <c r="O41977" s="509"/>
      <c r="P41977" s="17"/>
      <c r="Q41977" s="3"/>
      <c r="R41977" s="7"/>
      <c r="S41977" s="8"/>
    </row>
    <row r="41978" spans="5:19" s="94" customFormat="1">
      <c r="E41978" s="3"/>
      <c r="F41978" s="4"/>
      <c r="G41978" s="2"/>
      <c r="H41978" s="3"/>
      <c r="I41978" s="3"/>
      <c r="J41978" s="2"/>
      <c r="K41978" s="5"/>
      <c r="L41978" s="5"/>
      <c r="M41978" s="6"/>
      <c r="N41978" s="5"/>
      <c r="O41978" s="509"/>
      <c r="P41978" s="17"/>
      <c r="Q41978" s="3"/>
      <c r="R41978" s="7"/>
      <c r="S41978" s="8"/>
    </row>
    <row r="41979" spans="5:19" s="94" customFormat="1">
      <c r="E41979" s="3"/>
      <c r="F41979" s="4"/>
      <c r="G41979" s="2"/>
      <c r="H41979" s="3"/>
      <c r="I41979" s="3"/>
      <c r="J41979" s="2"/>
      <c r="K41979" s="5"/>
      <c r="L41979" s="5"/>
      <c r="M41979" s="6"/>
      <c r="N41979" s="5"/>
      <c r="O41979" s="509"/>
      <c r="P41979" s="17"/>
      <c r="Q41979" s="3"/>
      <c r="R41979" s="7"/>
      <c r="S41979" s="8"/>
    </row>
    <row r="41980" spans="5:19" s="94" customFormat="1">
      <c r="E41980" s="3"/>
      <c r="F41980" s="4"/>
      <c r="G41980" s="2"/>
      <c r="H41980" s="3"/>
      <c r="I41980" s="3"/>
      <c r="J41980" s="2"/>
      <c r="K41980" s="5"/>
      <c r="L41980" s="5"/>
      <c r="M41980" s="6"/>
      <c r="N41980" s="5"/>
      <c r="O41980" s="509"/>
      <c r="P41980" s="17"/>
      <c r="Q41980" s="3"/>
      <c r="R41980" s="7"/>
      <c r="S41980" s="8"/>
    </row>
    <row r="41981" spans="5:19" s="94" customFormat="1">
      <c r="E41981" s="3"/>
      <c r="F41981" s="4"/>
      <c r="G41981" s="2"/>
      <c r="H41981" s="3"/>
      <c r="I41981" s="3"/>
      <c r="J41981" s="2"/>
      <c r="K41981" s="5"/>
      <c r="L41981" s="5"/>
      <c r="M41981" s="6"/>
      <c r="N41981" s="5"/>
      <c r="O41981" s="509"/>
      <c r="P41981" s="17"/>
      <c r="Q41981" s="3"/>
      <c r="R41981" s="7"/>
      <c r="S41981" s="8"/>
    </row>
    <row r="41982" spans="5:19" s="94" customFormat="1">
      <c r="E41982" s="3"/>
      <c r="F41982" s="4"/>
      <c r="G41982" s="2"/>
      <c r="H41982" s="3"/>
      <c r="I41982" s="3"/>
      <c r="J41982" s="2"/>
      <c r="K41982" s="5"/>
      <c r="L41982" s="5"/>
      <c r="M41982" s="6"/>
      <c r="N41982" s="5"/>
      <c r="O41982" s="509"/>
      <c r="P41982" s="17"/>
      <c r="Q41982" s="3"/>
      <c r="R41982" s="7"/>
      <c r="S41982" s="8"/>
    </row>
    <row r="41983" spans="5:19" s="94" customFormat="1">
      <c r="E41983" s="3"/>
      <c r="F41983" s="4"/>
      <c r="G41983" s="2"/>
      <c r="H41983" s="3"/>
      <c r="I41983" s="3"/>
      <c r="J41983" s="2"/>
      <c r="K41983" s="5"/>
      <c r="L41983" s="5"/>
      <c r="M41983" s="6"/>
      <c r="N41983" s="5"/>
      <c r="O41983" s="509"/>
      <c r="P41983" s="17"/>
      <c r="Q41983" s="3"/>
      <c r="R41983" s="7"/>
      <c r="S41983" s="8"/>
    </row>
    <row r="41984" spans="5:19" s="94" customFormat="1">
      <c r="E41984" s="3"/>
      <c r="F41984" s="4"/>
      <c r="G41984" s="2"/>
      <c r="H41984" s="3"/>
      <c r="I41984" s="3"/>
      <c r="J41984" s="2"/>
      <c r="K41984" s="5"/>
      <c r="L41984" s="5"/>
      <c r="M41984" s="6"/>
      <c r="N41984" s="5"/>
      <c r="O41984" s="509"/>
      <c r="P41984" s="17"/>
      <c r="Q41984" s="3"/>
      <c r="R41984" s="7"/>
      <c r="S41984" s="8"/>
    </row>
    <row r="41990" spans="5:19" s="94" customFormat="1">
      <c r="E41990" s="3"/>
      <c r="F41990" s="4"/>
      <c r="G41990" s="2"/>
      <c r="H41990" s="3"/>
      <c r="I41990" s="3"/>
      <c r="J41990" s="2"/>
      <c r="K41990" s="5"/>
      <c r="L41990" s="5"/>
      <c r="M41990" s="6"/>
      <c r="N41990" s="5"/>
      <c r="O41990" s="509"/>
      <c r="P41990" s="17"/>
      <c r="Q41990" s="3"/>
      <c r="R41990" s="7"/>
      <c r="S41990" s="8"/>
    </row>
    <row r="41993" spans="5:19" s="184" customFormat="1" ht="12">
      <c r="E41993" s="3"/>
      <c r="F41993" s="4"/>
      <c r="G41993" s="2"/>
      <c r="H41993" s="3"/>
      <c r="I41993" s="3"/>
      <c r="J41993" s="2"/>
      <c r="K41993" s="5"/>
      <c r="L41993" s="5"/>
      <c r="M41993" s="6"/>
      <c r="N41993" s="5"/>
      <c r="O41993" s="509"/>
      <c r="P41993" s="17"/>
      <c r="Q41993" s="3"/>
      <c r="R41993" s="7"/>
      <c r="S41993" s="8"/>
    </row>
    <row r="41994" spans="5:19" s="91" customFormat="1">
      <c r="E41994" s="3"/>
      <c r="F41994" s="4"/>
      <c r="G41994" s="2"/>
      <c r="H41994" s="3"/>
      <c r="I41994" s="3"/>
      <c r="J41994" s="2"/>
      <c r="K41994" s="5"/>
      <c r="L41994" s="5"/>
      <c r="M41994" s="6"/>
      <c r="N41994" s="5"/>
      <c r="O41994" s="509"/>
      <c r="P41994" s="17"/>
      <c r="Q41994" s="3"/>
      <c r="R41994" s="7"/>
      <c r="S41994" s="8"/>
    </row>
    <row r="41995" spans="5:19" s="91" customFormat="1">
      <c r="E41995" s="3"/>
      <c r="F41995" s="4"/>
      <c r="G41995" s="2"/>
      <c r="H41995" s="3"/>
      <c r="I41995" s="3"/>
      <c r="J41995" s="2"/>
      <c r="K41995" s="5"/>
      <c r="L41995" s="5"/>
      <c r="M41995" s="6"/>
      <c r="N41995" s="5"/>
      <c r="O41995" s="509"/>
      <c r="P41995" s="17"/>
      <c r="Q41995" s="3"/>
      <c r="R41995" s="7"/>
      <c r="S41995" s="8"/>
    </row>
    <row r="41996" spans="5:19" s="110" customFormat="1" ht="12">
      <c r="E41996" s="3"/>
      <c r="F41996" s="4"/>
      <c r="G41996" s="2"/>
      <c r="H41996" s="3"/>
      <c r="I41996" s="3"/>
      <c r="J41996" s="2"/>
      <c r="K41996" s="5"/>
      <c r="L41996" s="5"/>
      <c r="M41996" s="6"/>
      <c r="N41996" s="5"/>
      <c r="O41996" s="509"/>
      <c r="P41996" s="17"/>
      <c r="Q41996" s="3"/>
      <c r="R41996" s="7"/>
      <c r="S41996" s="8"/>
    </row>
    <row r="41997" spans="5:19" s="1" customFormat="1" ht="12">
      <c r="E41997" s="3"/>
      <c r="F41997" s="4"/>
      <c r="G41997" s="2"/>
      <c r="H41997" s="3"/>
      <c r="I41997" s="3"/>
      <c r="J41997" s="2"/>
      <c r="K41997" s="5"/>
      <c r="L41997" s="5"/>
      <c r="M41997" s="6"/>
      <c r="N41997" s="5"/>
      <c r="O41997" s="509"/>
      <c r="P41997" s="17"/>
      <c r="Q41997" s="3"/>
      <c r="R41997" s="7"/>
      <c r="S41997" s="8"/>
    </row>
    <row r="42000" spans="5:19" s="94" customFormat="1">
      <c r="E42000" s="3"/>
      <c r="F42000" s="4"/>
      <c r="G42000" s="2"/>
      <c r="H42000" s="3"/>
      <c r="I42000" s="3"/>
      <c r="J42000" s="2"/>
      <c r="K42000" s="5"/>
      <c r="L42000" s="5"/>
      <c r="M42000" s="6"/>
      <c r="N42000" s="5"/>
      <c r="O42000" s="509"/>
      <c r="P42000" s="17"/>
      <c r="Q42000" s="3"/>
      <c r="R42000" s="7"/>
      <c r="S42000" s="8"/>
    </row>
    <row r="42006" spans="5:19" s="184" customFormat="1" ht="12">
      <c r="E42006" s="3"/>
      <c r="F42006" s="4"/>
      <c r="G42006" s="2"/>
      <c r="H42006" s="3"/>
      <c r="I42006" s="3"/>
      <c r="J42006" s="2"/>
      <c r="K42006" s="5"/>
      <c r="L42006" s="5"/>
      <c r="M42006" s="6"/>
      <c r="N42006" s="5"/>
      <c r="O42006" s="509"/>
      <c r="P42006" s="17"/>
      <c r="Q42006" s="3"/>
      <c r="R42006" s="7"/>
      <c r="S42006" s="8"/>
    </row>
    <row r="42019" spans="5:19" s="94" customFormat="1">
      <c r="E42019" s="3"/>
      <c r="F42019" s="4"/>
      <c r="G42019" s="2"/>
      <c r="H42019" s="3"/>
      <c r="I42019" s="3"/>
      <c r="J42019" s="2"/>
      <c r="K42019" s="5"/>
      <c r="L42019" s="5"/>
      <c r="M42019" s="6"/>
      <c r="N42019" s="5"/>
      <c r="O42019" s="509"/>
      <c r="P42019" s="17"/>
      <c r="Q42019" s="3"/>
      <c r="R42019" s="7"/>
      <c r="S42019" s="8"/>
    </row>
    <row r="42022" spans="5:19" s="1" customFormat="1" ht="12">
      <c r="E42022" s="3"/>
      <c r="F42022" s="4"/>
      <c r="G42022" s="2"/>
      <c r="H42022" s="3"/>
      <c r="I42022" s="3"/>
      <c r="J42022" s="2"/>
      <c r="K42022" s="5"/>
      <c r="L42022" s="5"/>
      <c r="M42022" s="6"/>
      <c r="N42022" s="5"/>
      <c r="O42022" s="509"/>
      <c r="P42022" s="17"/>
      <c r="Q42022" s="3"/>
      <c r="R42022" s="7"/>
      <c r="S42022" s="8"/>
    </row>
    <row r="42026" spans="5:19" s="94" customFormat="1">
      <c r="E42026" s="3"/>
      <c r="F42026" s="4"/>
      <c r="G42026" s="2"/>
      <c r="H42026" s="3"/>
      <c r="I42026" s="3"/>
      <c r="J42026" s="2"/>
      <c r="K42026" s="5"/>
      <c r="L42026" s="5"/>
      <c r="M42026" s="6"/>
      <c r="N42026" s="5"/>
      <c r="O42026" s="509"/>
      <c r="P42026" s="17"/>
      <c r="Q42026" s="3"/>
      <c r="R42026" s="7"/>
      <c r="S42026" s="8"/>
    </row>
    <row r="42037" spans="5:19" s="91" customFormat="1">
      <c r="E42037" s="3"/>
      <c r="F42037" s="4"/>
      <c r="G42037" s="2"/>
      <c r="H42037" s="3"/>
      <c r="I42037" s="3"/>
      <c r="J42037" s="2"/>
      <c r="K42037" s="5"/>
      <c r="L42037" s="5"/>
      <c r="M42037" s="6"/>
      <c r="N42037" s="5"/>
      <c r="O42037" s="509"/>
      <c r="P42037" s="17"/>
      <c r="Q42037" s="3"/>
      <c r="R42037" s="7"/>
      <c r="S42037" s="8"/>
    </row>
    <row r="42048" spans="5:19" s="94" customFormat="1">
      <c r="E42048" s="3"/>
      <c r="F42048" s="4"/>
      <c r="G42048" s="2"/>
      <c r="H42048" s="3"/>
      <c r="I42048" s="3"/>
      <c r="J42048" s="2"/>
      <c r="K42048" s="5"/>
      <c r="L42048" s="5"/>
      <c r="M42048" s="6"/>
      <c r="N42048" s="5"/>
      <c r="O42048" s="509"/>
      <c r="P42048" s="17"/>
      <c r="Q42048" s="3"/>
      <c r="R42048" s="7"/>
      <c r="S42048" s="8"/>
    </row>
    <row r="42049" spans="5:19" s="94" customFormat="1">
      <c r="E42049" s="3"/>
      <c r="F42049" s="4"/>
      <c r="G42049" s="2"/>
      <c r="H42049" s="3"/>
      <c r="I42049" s="3"/>
      <c r="J42049" s="2"/>
      <c r="K42049" s="5"/>
      <c r="L42049" s="5"/>
      <c r="M42049" s="6"/>
      <c r="N42049" s="5"/>
      <c r="O42049" s="509"/>
      <c r="P42049" s="17"/>
      <c r="Q42049" s="3"/>
      <c r="R42049" s="7"/>
      <c r="S42049" s="8"/>
    </row>
    <row r="42050" spans="5:19" s="94" customFormat="1">
      <c r="E42050" s="3"/>
      <c r="F42050" s="4"/>
      <c r="G42050" s="2"/>
      <c r="H42050" s="3"/>
      <c r="I42050" s="3"/>
      <c r="J42050" s="2"/>
      <c r="K42050" s="5"/>
      <c r="L42050" s="5"/>
      <c r="M42050" s="6"/>
      <c r="N42050" s="5"/>
      <c r="O42050" s="509"/>
      <c r="P42050" s="17"/>
      <c r="Q42050" s="3"/>
      <c r="R42050" s="7"/>
      <c r="S42050" s="8"/>
    </row>
    <row r="42051" spans="5:19" s="1" customFormat="1" ht="12">
      <c r="E42051" s="3"/>
      <c r="F42051" s="4"/>
      <c r="G42051" s="2"/>
      <c r="H42051" s="3"/>
      <c r="I42051" s="3"/>
      <c r="J42051" s="2"/>
      <c r="K42051" s="5"/>
      <c r="L42051" s="5"/>
      <c r="M42051" s="6"/>
      <c r="N42051" s="5"/>
      <c r="O42051" s="509"/>
      <c r="P42051" s="17"/>
      <c r="Q42051" s="3"/>
      <c r="R42051" s="7"/>
      <c r="S42051" s="8"/>
    </row>
    <row r="42053" spans="5:19" s="1" customFormat="1" ht="12">
      <c r="E42053" s="3"/>
      <c r="F42053" s="4"/>
      <c r="G42053" s="2"/>
      <c r="H42053" s="3"/>
      <c r="I42053" s="3"/>
      <c r="J42053" s="2"/>
      <c r="K42053" s="5"/>
      <c r="L42053" s="5"/>
      <c r="M42053" s="6"/>
      <c r="N42053" s="5"/>
      <c r="O42053" s="509"/>
      <c r="P42053" s="17"/>
      <c r="Q42053" s="3"/>
      <c r="R42053" s="7"/>
      <c r="S42053" s="8"/>
    </row>
    <row r="42055" spans="5:19" s="91" customFormat="1">
      <c r="E42055" s="3"/>
      <c r="F42055" s="4"/>
      <c r="G42055" s="2"/>
      <c r="H42055" s="3"/>
      <c r="I42055" s="3"/>
      <c r="J42055" s="2"/>
      <c r="K42055" s="5"/>
      <c r="L42055" s="5"/>
      <c r="M42055" s="6"/>
      <c r="N42055" s="5"/>
      <c r="O42055" s="509"/>
      <c r="P42055" s="17"/>
      <c r="Q42055" s="3"/>
      <c r="R42055" s="7"/>
      <c r="S42055" s="8"/>
    </row>
    <row r="42057" spans="5:19" s="91" customFormat="1">
      <c r="E42057" s="3"/>
      <c r="F42057" s="4"/>
      <c r="G42057" s="2"/>
      <c r="H42057" s="3"/>
      <c r="I42057" s="3"/>
      <c r="J42057" s="2"/>
      <c r="K42057" s="5"/>
      <c r="L42057" s="5"/>
      <c r="M42057" s="6"/>
      <c r="N42057" s="5"/>
      <c r="O42057" s="509"/>
      <c r="P42057" s="17"/>
      <c r="Q42057" s="3"/>
      <c r="R42057" s="7"/>
      <c r="S42057" s="8"/>
    </row>
    <row r="42059" spans="5:19" s="1" customFormat="1" ht="12">
      <c r="E42059" s="3"/>
      <c r="F42059" s="4"/>
      <c r="G42059" s="2"/>
      <c r="H42059" s="3"/>
      <c r="I42059" s="3"/>
      <c r="J42059" s="2"/>
      <c r="K42059" s="5"/>
      <c r="L42059" s="5"/>
      <c r="M42059" s="6"/>
      <c r="N42059" s="5"/>
      <c r="O42059" s="509"/>
      <c r="P42059" s="17"/>
      <c r="Q42059" s="3"/>
      <c r="R42059" s="7"/>
      <c r="S42059" s="8"/>
    </row>
    <row r="42060" spans="5:19" s="337" customFormat="1" ht="12">
      <c r="E42060" s="3"/>
      <c r="F42060" s="4"/>
      <c r="G42060" s="2"/>
      <c r="H42060" s="3"/>
      <c r="I42060" s="3"/>
      <c r="J42060" s="2"/>
      <c r="K42060" s="5"/>
      <c r="L42060" s="5"/>
      <c r="M42060" s="6"/>
      <c r="N42060" s="5"/>
      <c r="O42060" s="509"/>
      <c r="P42060" s="17"/>
      <c r="Q42060" s="3"/>
      <c r="R42060" s="7"/>
      <c r="S42060" s="8"/>
    </row>
    <row r="42061" spans="5:19" s="1" customFormat="1" ht="12">
      <c r="E42061" s="3"/>
      <c r="F42061" s="4"/>
      <c r="G42061" s="2"/>
      <c r="H42061" s="3"/>
      <c r="I42061" s="3"/>
      <c r="J42061" s="2"/>
      <c r="K42061" s="5"/>
      <c r="L42061" s="5"/>
      <c r="M42061" s="6"/>
      <c r="N42061" s="5"/>
      <c r="O42061" s="509"/>
      <c r="P42061" s="17"/>
      <c r="Q42061" s="3"/>
      <c r="R42061" s="7"/>
      <c r="S42061" s="8"/>
    </row>
    <row r="42062" spans="5:19" s="1" customFormat="1" ht="12">
      <c r="E42062" s="3"/>
      <c r="F42062" s="4"/>
      <c r="G42062" s="2"/>
      <c r="H42062" s="3"/>
      <c r="I42062" s="3"/>
      <c r="J42062" s="2"/>
      <c r="K42062" s="5"/>
      <c r="L42062" s="5"/>
      <c r="M42062" s="6"/>
      <c r="N42062" s="5"/>
      <c r="O42062" s="509"/>
      <c r="P42062" s="17"/>
      <c r="Q42062" s="3"/>
      <c r="R42062" s="7"/>
      <c r="S42062" s="8"/>
    </row>
    <row r="42063" spans="5:19" s="1" customFormat="1" ht="12">
      <c r="E42063" s="3"/>
      <c r="F42063" s="4"/>
      <c r="G42063" s="2"/>
      <c r="H42063" s="3"/>
      <c r="I42063" s="3"/>
      <c r="J42063" s="2"/>
      <c r="K42063" s="5"/>
      <c r="L42063" s="5"/>
      <c r="M42063" s="6"/>
      <c r="N42063" s="5"/>
      <c r="O42063" s="509"/>
      <c r="P42063" s="17"/>
      <c r="Q42063" s="3"/>
      <c r="R42063" s="7"/>
      <c r="S42063" s="8"/>
    </row>
    <row r="42065" spans="5:19" s="91" customFormat="1">
      <c r="E42065" s="3"/>
      <c r="F42065" s="4"/>
      <c r="G42065" s="2"/>
      <c r="H42065" s="3"/>
      <c r="I42065" s="3"/>
      <c r="J42065" s="2"/>
      <c r="K42065" s="5"/>
      <c r="L42065" s="5"/>
      <c r="M42065" s="6"/>
      <c r="N42065" s="5"/>
      <c r="O42065" s="509"/>
      <c r="P42065" s="17"/>
      <c r="Q42065" s="3"/>
      <c r="R42065" s="7"/>
      <c r="S42065" s="8"/>
    </row>
    <row r="42066" spans="5:19" s="91" customFormat="1">
      <c r="E42066" s="3"/>
      <c r="F42066" s="4"/>
      <c r="G42066" s="2"/>
      <c r="H42066" s="3"/>
      <c r="I42066" s="3"/>
      <c r="J42066" s="2"/>
      <c r="K42066" s="5"/>
      <c r="L42066" s="5"/>
      <c r="M42066" s="6"/>
      <c r="N42066" s="5"/>
      <c r="O42066" s="509"/>
      <c r="P42066" s="17"/>
      <c r="Q42066" s="3"/>
      <c r="R42066" s="7"/>
      <c r="S42066" s="8"/>
    </row>
    <row r="42067" spans="5:19" s="91" customFormat="1">
      <c r="E42067" s="3"/>
      <c r="F42067" s="4"/>
      <c r="G42067" s="2"/>
      <c r="H42067" s="3"/>
      <c r="I42067" s="3"/>
      <c r="J42067" s="2"/>
      <c r="K42067" s="5"/>
      <c r="L42067" s="5"/>
      <c r="M42067" s="6"/>
      <c r="N42067" s="5"/>
      <c r="O42067" s="509"/>
      <c r="P42067" s="17"/>
      <c r="Q42067" s="3"/>
      <c r="R42067" s="7"/>
      <c r="S42067" s="8"/>
    </row>
    <row r="42068" spans="5:19" s="91" customFormat="1">
      <c r="E42068" s="3"/>
      <c r="F42068" s="4"/>
      <c r="G42068" s="2"/>
      <c r="H42068" s="3"/>
      <c r="I42068" s="3"/>
      <c r="J42068" s="2"/>
      <c r="K42068" s="5"/>
      <c r="L42068" s="5"/>
      <c r="M42068" s="6"/>
      <c r="N42068" s="5"/>
      <c r="O42068" s="509"/>
      <c r="P42068" s="17"/>
      <c r="Q42068" s="3"/>
      <c r="R42068" s="7"/>
      <c r="S42068" s="8"/>
    </row>
    <row r="42069" spans="5:19" s="91" customFormat="1">
      <c r="E42069" s="3"/>
      <c r="F42069" s="4"/>
      <c r="G42069" s="2"/>
      <c r="H42069" s="3"/>
      <c r="I42069" s="3"/>
      <c r="J42069" s="2"/>
      <c r="K42069" s="5"/>
      <c r="L42069" s="5"/>
      <c r="M42069" s="6"/>
      <c r="N42069" s="5"/>
      <c r="O42069" s="509"/>
      <c r="P42069" s="17"/>
      <c r="Q42069" s="3"/>
      <c r="R42069" s="7"/>
      <c r="S42069" s="8"/>
    </row>
    <row r="42070" spans="5:19" s="91" customFormat="1">
      <c r="E42070" s="3"/>
      <c r="F42070" s="4"/>
      <c r="G42070" s="2"/>
      <c r="H42070" s="3"/>
      <c r="I42070" s="3"/>
      <c r="J42070" s="2"/>
      <c r="K42070" s="5"/>
      <c r="L42070" s="5"/>
      <c r="M42070" s="6"/>
      <c r="N42070" s="5"/>
      <c r="O42070" s="509"/>
      <c r="P42070" s="17"/>
      <c r="Q42070" s="3"/>
      <c r="R42070" s="7"/>
      <c r="S42070" s="8"/>
    </row>
    <row r="42071" spans="5:19" s="91" customFormat="1">
      <c r="E42071" s="3"/>
      <c r="F42071" s="4"/>
      <c r="G42071" s="2"/>
      <c r="H42071" s="3"/>
      <c r="I42071" s="3"/>
      <c r="J42071" s="2"/>
      <c r="K42071" s="5"/>
      <c r="L42071" s="5"/>
      <c r="M42071" s="6"/>
      <c r="N42071" s="5"/>
      <c r="O42071" s="509"/>
      <c r="P42071" s="17"/>
      <c r="Q42071" s="3"/>
      <c r="R42071" s="7"/>
      <c r="S42071" s="8"/>
    </row>
    <row r="42072" spans="5:19" s="91" customFormat="1">
      <c r="E42072" s="3"/>
      <c r="F42072" s="4"/>
      <c r="G42072" s="2"/>
      <c r="H42072" s="3"/>
      <c r="I42072" s="3"/>
      <c r="J42072" s="2"/>
      <c r="K42072" s="5"/>
      <c r="L42072" s="5"/>
      <c r="M42072" s="6"/>
      <c r="N42072" s="5"/>
      <c r="O42072" s="509"/>
      <c r="P42072" s="17"/>
      <c r="Q42072" s="3"/>
      <c r="R42072" s="7"/>
      <c r="S42072" s="8"/>
    </row>
    <row r="42073" spans="5:19" s="91" customFormat="1">
      <c r="E42073" s="3"/>
      <c r="F42073" s="4"/>
      <c r="G42073" s="2"/>
      <c r="H42073" s="3"/>
      <c r="I42073" s="3"/>
      <c r="J42073" s="2"/>
      <c r="K42073" s="5"/>
      <c r="L42073" s="5"/>
      <c r="M42073" s="6"/>
      <c r="N42073" s="5"/>
      <c r="O42073" s="509"/>
      <c r="P42073" s="17"/>
      <c r="Q42073" s="3"/>
      <c r="R42073" s="7"/>
      <c r="S42073" s="8"/>
    </row>
    <row r="42074" spans="5:19" s="91" customFormat="1">
      <c r="E42074" s="3"/>
      <c r="F42074" s="4"/>
      <c r="G42074" s="2"/>
      <c r="H42074" s="3"/>
      <c r="I42074" s="3"/>
      <c r="J42074" s="2"/>
      <c r="K42074" s="5"/>
      <c r="L42074" s="5"/>
      <c r="M42074" s="6"/>
      <c r="N42074" s="5"/>
      <c r="O42074" s="509"/>
      <c r="P42074" s="17"/>
      <c r="Q42074" s="3"/>
      <c r="R42074" s="7"/>
      <c r="S42074" s="8"/>
    </row>
    <row r="42075" spans="5:19" s="91" customFormat="1">
      <c r="E42075" s="3"/>
      <c r="F42075" s="4"/>
      <c r="G42075" s="2"/>
      <c r="H42075" s="3"/>
      <c r="I42075" s="3"/>
      <c r="J42075" s="2"/>
      <c r="K42075" s="5"/>
      <c r="L42075" s="5"/>
      <c r="M42075" s="6"/>
      <c r="N42075" s="5"/>
      <c r="O42075" s="509"/>
      <c r="P42075" s="17"/>
      <c r="Q42075" s="3"/>
      <c r="R42075" s="7"/>
      <c r="S42075" s="8"/>
    </row>
    <row r="42076" spans="5:19" s="231" customFormat="1" ht="13.2">
      <c r="E42076" s="3"/>
      <c r="F42076" s="4"/>
      <c r="G42076" s="2"/>
      <c r="H42076" s="3"/>
      <c r="I42076" s="3"/>
      <c r="J42076" s="2"/>
      <c r="K42076" s="5"/>
      <c r="L42076" s="5"/>
      <c r="M42076" s="6"/>
      <c r="N42076" s="5"/>
      <c r="O42076" s="509"/>
      <c r="P42076" s="17"/>
      <c r="Q42076" s="3"/>
      <c r="R42076" s="7"/>
      <c r="S42076" s="8"/>
    </row>
    <row r="42077" spans="5:19" s="231" customFormat="1" ht="13.2">
      <c r="E42077" s="3"/>
      <c r="F42077" s="4"/>
      <c r="G42077" s="2"/>
      <c r="H42077" s="3"/>
      <c r="I42077" s="3"/>
      <c r="J42077" s="2"/>
      <c r="K42077" s="5"/>
      <c r="L42077" s="5"/>
      <c r="M42077" s="6"/>
      <c r="N42077" s="5"/>
      <c r="O42077" s="509"/>
      <c r="P42077" s="17"/>
      <c r="Q42077" s="3"/>
      <c r="R42077" s="7"/>
      <c r="S42077" s="8"/>
    </row>
    <row r="42078" spans="5:19" s="231" customFormat="1" ht="13.2">
      <c r="E42078" s="3"/>
      <c r="F42078" s="4"/>
      <c r="G42078" s="2"/>
      <c r="H42078" s="3"/>
      <c r="I42078" s="3"/>
      <c r="J42078" s="2"/>
      <c r="K42078" s="5"/>
      <c r="L42078" s="5"/>
      <c r="M42078" s="6"/>
      <c r="N42078" s="5"/>
      <c r="O42078" s="509"/>
      <c r="P42078" s="17"/>
      <c r="Q42078" s="3"/>
      <c r="R42078" s="7"/>
      <c r="S42078" s="8"/>
    </row>
    <row r="42079" spans="5:19" s="231" customFormat="1" ht="13.2">
      <c r="E42079" s="3"/>
      <c r="F42079" s="4"/>
      <c r="G42079" s="2"/>
      <c r="H42079" s="3"/>
      <c r="I42079" s="3"/>
      <c r="J42079" s="2"/>
      <c r="K42079" s="5"/>
      <c r="L42079" s="5"/>
      <c r="M42079" s="6"/>
      <c r="N42079" s="5"/>
      <c r="O42079" s="509"/>
      <c r="P42079" s="17"/>
      <c r="Q42079" s="3"/>
      <c r="R42079" s="7"/>
      <c r="S42079" s="8"/>
    </row>
    <row r="42080" spans="5:19" s="231" customFormat="1" ht="13.2">
      <c r="E42080" s="3"/>
      <c r="F42080" s="4"/>
      <c r="G42080" s="2"/>
      <c r="H42080" s="3"/>
      <c r="I42080" s="3"/>
      <c r="J42080" s="2"/>
      <c r="K42080" s="5"/>
      <c r="L42080" s="5"/>
      <c r="M42080" s="6"/>
      <c r="N42080" s="5"/>
      <c r="O42080" s="509"/>
      <c r="P42080" s="17"/>
      <c r="Q42080" s="3"/>
      <c r="R42080" s="7"/>
      <c r="S42080" s="8"/>
    </row>
    <row r="42081" spans="5:19" s="231" customFormat="1" ht="13.2">
      <c r="E42081" s="3"/>
      <c r="F42081" s="4"/>
      <c r="G42081" s="2"/>
      <c r="H42081" s="3"/>
      <c r="I42081" s="3"/>
      <c r="J42081" s="2"/>
      <c r="K42081" s="5"/>
      <c r="L42081" s="5"/>
      <c r="M42081" s="6"/>
      <c r="N42081" s="5"/>
      <c r="O42081" s="509"/>
      <c r="P42081" s="17"/>
      <c r="Q42081" s="3"/>
      <c r="R42081" s="7"/>
      <c r="S42081" s="8"/>
    </row>
    <row r="42083" spans="5:19" s="1" customFormat="1" ht="12">
      <c r="E42083" s="3"/>
      <c r="F42083" s="4"/>
      <c r="G42083" s="2"/>
      <c r="H42083" s="3"/>
      <c r="I42083" s="3"/>
      <c r="J42083" s="2"/>
      <c r="K42083" s="5"/>
      <c r="L42083" s="5"/>
      <c r="M42083" s="6"/>
      <c r="N42083" s="5"/>
      <c r="O42083" s="509"/>
      <c r="P42083" s="17"/>
      <c r="Q42083" s="3"/>
      <c r="R42083" s="7"/>
      <c r="S42083" s="8"/>
    </row>
    <row r="42084" spans="5:19" s="1" customFormat="1" ht="12">
      <c r="E42084" s="3"/>
      <c r="F42084" s="4"/>
      <c r="G42084" s="2"/>
      <c r="H42084" s="3"/>
      <c r="I42084" s="3"/>
      <c r="J42084" s="2"/>
      <c r="K42084" s="5"/>
      <c r="L42084" s="5"/>
      <c r="M42084" s="6"/>
      <c r="N42084" s="5"/>
      <c r="O42084" s="509"/>
      <c r="P42084" s="17"/>
      <c r="Q42084" s="3"/>
      <c r="R42084" s="7"/>
      <c r="S42084" s="8"/>
    </row>
    <row r="42085" spans="5:19" s="1" customFormat="1" ht="12">
      <c r="E42085" s="3"/>
      <c r="F42085" s="4"/>
      <c r="G42085" s="2"/>
      <c r="H42085" s="3"/>
      <c r="I42085" s="3"/>
      <c r="J42085" s="2"/>
      <c r="K42085" s="5"/>
      <c r="L42085" s="5"/>
      <c r="M42085" s="6"/>
      <c r="N42085" s="5"/>
      <c r="O42085" s="509"/>
      <c r="P42085" s="17"/>
      <c r="Q42085" s="3"/>
      <c r="R42085" s="7"/>
      <c r="S42085" s="8"/>
    </row>
    <row r="42087" spans="5:19" s="94" customFormat="1">
      <c r="E42087" s="3"/>
      <c r="F42087" s="4"/>
      <c r="G42087" s="2"/>
      <c r="H42087" s="3"/>
      <c r="I42087" s="3"/>
      <c r="J42087" s="2"/>
      <c r="K42087" s="5"/>
      <c r="L42087" s="5"/>
      <c r="M42087" s="6"/>
      <c r="N42087" s="5"/>
      <c r="O42087" s="509"/>
      <c r="P42087" s="17"/>
      <c r="Q42087" s="3"/>
      <c r="R42087" s="7"/>
      <c r="S42087" s="8"/>
    </row>
    <row r="42088" spans="5:19" s="94" customFormat="1">
      <c r="E42088" s="3"/>
      <c r="F42088" s="4"/>
      <c r="G42088" s="2"/>
      <c r="H42088" s="3"/>
      <c r="I42088" s="3"/>
      <c r="J42088" s="2"/>
      <c r="K42088" s="5"/>
      <c r="L42088" s="5"/>
      <c r="M42088" s="6"/>
      <c r="N42088" s="5"/>
      <c r="O42088" s="509"/>
      <c r="P42088" s="17"/>
      <c r="Q42088" s="3"/>
      <c r="R42088" s="7"/>
      <c r="S42088" s="8"/>
    </row>
    <row r="42089" spans="5:19" s="1" customFormat="1" ht="12">
      <c r="E42089" s="3"/>
      <c r="F42089" s="4"/>
      <c r="G42089" s="2"/>
      <c r="H42089" s="3"/>
      <c r="I42089" s="3"/>
      <c r="J42089" s="2"/>
      <c r="K42089" s="5"/>
      <c r="L42089" s="5"/>
      <c r="M42089" s="6"/>
      <c r="N42089" s="5"/>
      <c r="O42089" s="509"/>
      <c r="P42089" s="17"/>
      <c r="Q42089" s="3"/>
      <c r="R42089" s="7"/>
      <c r="S42089" s="8"/>
    </row>
    <row r="42092" spans="5:19" s="231" customFormat="1" ht="13.2">
      <c r="E42092" s="3"/>
      <c r="F42092" s="4"/>
      <c r="G42092" s="2"/>
      <c r="H42092" s="3"/>
      <c r="I42092" s="3"/>
      <c r="J42092" s="2"/>
      <c r="K42092" s="5"/>
      <c r="L42092" s="5"/>
      <c r="M42092" s="6"/>
      <c r="N42092" s="5"/>
      <c r="O42092" s="509"/>
      <c r="P42092" s="17"/>
      <c r="Q42092" s="3"/>
      <c r="R42092" s="7"/>
      <c r="S42092" s="8"/>
    </row>
    <row r="42093" spans="5:19" s="1" customFormat="1" ht="12">
      <c r="E42093" s="3"/>
      <c r="F42093" s="4"/>
      <c r="G42093" s="2"/>
      <c r="H42093" s="3"/>
      <c r="I42093" s="3"/>
      <c r="J42093" s="2"/>
      <c r="K42093" s="5"/>
      <c r="L42093" s="5"/>
      <c r="M42093" s="6"/>
      <c r="N42093" s="5"/>
      <c r="O42093" s="509"/>
      <c r="P42093" s="17"/>
      <c r="Q42093" s="3"/>
      <c r="R42093" s="7"/>
      <c r="S42093" s="8"/>
    </row>
    <row r="42096" spans="5:19" s="1" customFormat="1" ht="12">
      <c r="E42096" s="3"/>
      <c r="F42096" s="4"/>
      <c r="G42096" s="2"/>
      <c r="H42096" s="3"/>
      <c r="I42096" s="3"/>
      <c r="J42096" s="2"/>
      <c r="K42096" s="5"/>
      <c r="L42096" s="5"/>
      <c r="M42096" s="6"/>
      <c r="N42096" s="5"/>
      <c r="O42096" s="509"/>
      <c r="P42096" s="17"/>
      <c r="Q42096" s="3"/>
      <c r="R42096" s="7"/>
      <c r="S42096" s="8"/>
    </row>
    <row r="42099" spans="5:19" s="1" customFormat="1" ht="12">
      <c r="E42099" s="3"/>
      <c r="F42099" s="4"/>
      <c r="G42099" s="2"/>
      <c r="H42099" s="3"/>
      <c r="I42099" s="3"/>
      <c r="J42099" s="2"/>
      <c r="K42099" s="5"/>
      <c r="L42099" s="5"/>
      <c r="M42099" s="6"/>
      <c r="N42099" s="5"/>
      <c r="O42099" s="509"/>
      <c r="P42099" s="17"/>
      <c r="Q42099" s="3"/>
      <c r="R42099" s="7"/>
      <c r="S42099" s="8"/>
    </row>
    <row r="42103" spans="5:19" s="231" customFormat="1" ht="13.2">
      <c r="E42103" s="3"/>
      <c r="F42103" s="4"/>
      <c r="G42103" s="2"/>
      <c r="H42103" s="3"/>
      <c r="I42103" s="3"/>
      <c r="J42103" s="2"/>
      <c r="K42103" s="5"/>
      <c r="L42103" s="5"/>
      <c r="M42103" s="6"/>
      <c r="N42103" s="5"/>
      <c r="O42103" s="509"/>
      <c r="P42103" s="17"/>
      <c r="Q42103" s="3"/>
      <c r="R42103" s="7"/>
      <c r="S42103" s="8"/>
    </row>
    <row r="42106" spans="5:19" s="1" customFormat="1" ht="12">
      <c r="E42106" s="3"/>
      <c r="F42106" s="4"/>
      <c r="G42106" s="2"/>
      <c r="H42106" s="3"/>
      <c r="I42106" s="3"/>
      <c r="J42106" s="2"/>
      <c r="K42106" s="5"/>
      <c r="L42106" s="5"/>
      <c r="M42106" s="6"/>
      <c r="N42106" s="5"/>
      <c r="O42106" s="509"/>
      <c r="P42106" s="17"/>
      <c r="Q42106" s="3"/>
      <c r="R42106" s="7"/>
      <c r="S42106" s="8"/>
    </row>
    <row r="42107" spans="5:19" s="184" customFormat="1" ht="12">
      <c r="E42107" s="3"/>
      <c r="F42107" s="4"/>
      <c r="G42107" s="2"/>
      <c r="H42107" s="3"/>
      <c r="I42107" s="3"/>
      <c r="J42107" s="2"/>
      <c r="K42107" s="5"/>
      <c r="L42107" s="5"/>
      <c r="M42107" s="6"/>
      <c r="N42107" s="5"/>
      <c r="O42107" s="509"/>
      <c r="P42107" s="17"/>
      <c r="Q42107" s="3"/>
      <c r="R42107" s="7"/>
      <c r="S42107" s="8"/>
    </row>
    <row r="42111" spans="5:19" s="184" customFormat="1" ht="12">
      <c r="E42111" s="3"/>
      <c r="F42111" s="4"/>
      <c r="G42111" s="2"/>
      <c r="H42111" s="3"/>
      <c r="I42111" s="3"/>
      <c r="J42111" s="2"/>
      <c r="K42111" s="5"/>
      <c r="L42111" s="5"/>
      <c r="M42111" s="6"/>
      <c r="N42111" s="5"/>
      <c r="O42111" s="509"/>
      <c r="P42111" s="17"/>
      <c r="Q42111" s="3"/>
      <c r="R42111" s="7"/>
      <c r="S42111" s="8"/>
    </row>
    <row r="42112" spans="5:19" s="184" customFormat="1" ht="12">
      <c r="E42112" s="3"/>
      <c r="F42112" s="4"/>
      <c r="G42112" s="2"/>
      <c r="H42112" s="3"/>
      <c r="I42112" s="3"/>
      <c r="J42112" s="2"/>
      <c r="K42112" s="5"/>
      <c r="L42112" s="5"/>
      <c r="M42112" s="6"/>
      <c r="N42112" s="5"/>
      <c r="O42112" s="509"/>
      <c r="P42112" s="17"/>
      <c r="Q42112" s="3"/>
      <c r="R42112" s="7"/>
      <c r="S42112" s="8"/>
    </row>
    <row r="42113" spans="5:19" s="184" customFormat="1" ht="12">
      <c r="E42113" s="3"/>
      <c r="F42113" s="4"/>
      <c r="G42113" s="2"/>
      <c r="H42113" s="3"/>
      <c r="I42113" s="3"/>
      <c r="J42113" s="2"/>
      <c r="K42113" s="5"/>
      <c r="L42113" s="5"/>
      <c r="M42113" s="6"/>
      <c r="N42113" s="5"/>
      <c r="O42113" s="509"/>
      <c r="P42113" s="17"/>
      <c r="Q42113" s="3"/>
      <c r="R42113" s="7"/>
      <c r="S42113" s="8"/>
    </row>
    <row r="42114" spans="5:19" s="184" customFormat="1" ht="12">
      <c r="E42114" s="3"/>
      <c r="F42114" s="4"/>
      <c r="G42114" s="2"/>
      <c r="H42114" s="3"/>
      <c r="I42114" s="3"/>
      <c r="J42114" s="2"/>
      <c r="K42114" s="5"/>
      <c r="L42114" s="5"/>
      <c r="M42114" s="6"/>
      <c r="N42114" s="5"/>
      <c r="O42114" s="509"/>
      <c r="P42114" s="17"/>
      <c r="Q42114" s="3"/>
      <c r="R42114" s="7"/>
      <c r="S42114" s="8"/>
    </row>
    <row r="42115" spans="5:19" s="184" customFormat="1" ht="12">
      <c r="E42115" s="3"/>
      <c r="F42115" s="4"/>
      <c r="G42115" s="2"/>
      <c r="H42115" s="3"/>
      <c r="I42115" s="3"/>
      <c r="J42115" s="2"/>
      <c r="K42115" s="5"/>
      <c r="L42115" s="5"/>
      <c r="M42115" s="6"/>
      <c r="N42115" s="5"/>
      <c r="O42115" s="509"/>
      <c r="P42115" s="17"/>
      <c r="Q42115" s="3"/>
      <c r="R42115" s="7"/>
      <c r="S42115" s="8"/>
    </row>
    <row r="42116" spans="5:19" s="110" customFormat="1" ht="12">
      <c r="E42116" s="3"/>
      <c r="F42116" s="4"/>
      <c r="G42116" s="2"/>
      <c r="H42116" s="3"/>
      <c r="I42116" s="3"/>
      <c r="J42116" s="2"/>
      <c r="K42116" s="5"/>
      <c r="L42116" s="5"/>
      <c r="M42116" s="6"/>
      <c r="N42116" s="5"/>
      <c r="O42116" s="509"/>
      <c r="P42116" s="17"/>
      <c r="Q42116" s="3"/>
      <c r="R42116" s="7"/>
      <c r="S42116" s="8"/>
    </row>
    <row r="42117" spans="5:19" s="110" customFormat="1" ht="12">
      <c r="E42117" s="3"/>
      <c r="F42117" s="4"/>
      <c r="G42117" s="2"/>
      <c r="H42117" s="3"/>
      <c r="I42117" s="3"/>
      <c r="J42117" s="2"/>
      <c r="K42117" s="5"/>
      <c r="L42117" s="5"/>
      <c r="M42117" s="6"/>
      <c r="N42117" s="5"/>
      <c r="O42117" s="509"/>
      <c r="P42117" s="17"/>
      <c r="Q42117" s="3"/>
      <c r="R42117" s="7"/>
      <c r="S42117" s="8"/>
    </row>
    <row r="42118" spans="5:19" s="110" customFormat="1" ht="12">
      <c r="E42118" s="3"/>
      <c r="F42118" s="4"/>
      <c r="G42118" s="2"/>
      <c r="H42118" s="3"/>
      <c r="I42118" s="3"/>
      <c r="J42118" s="2"/>
      <c r="K42118" s="5"/>
      <c r="L42118" s="5"/>
      <c r="M42118" s="6"/>
      <c r="N42118" s="5"/>
      <c r="O42118" s="509"/>
      <c r="P42118" s="17"/>
      <c r="Q42118" s="3"/>
      <c r="R42118" s="7"/>
      <c r="S42118" s="8"/>
    </row>
    <row r="42119" spans="5:19" s="94" customFormat="1">
      <c r="E42119" s="3"/>
      <c r="F42119" s="4"/>
      <c r="G42119" s="2"/>
      <c r="H42119" s="3"/>
      <c r="I42119" s="3"/>
      <c r="J42119" s="2"/>
      <c r="K42119" s="5"/>
      <c r="L42119" s="5"/>
      <c r="M42119" s="6"/>
      <c r="N42119" s="5"/>
      <c r="O42119" s="509"/>
      <c r="P42119" s="17"/>
      <c r="Q42119" s="3"/>
      <c r="R42119" s="7"/>
      <c r="S42119" s="8"/>
    </row>
    <row r="42120" spans="5:19" s="184" customFormat="1" ht="12">
      <c r="E42120" s="3"/>
      <c r="F42120" s="4"/>
      <c r="G42120" s="2"/>
      <c r="H42120" s="3"/>
      <c r="I42120" s="3"/>
      <c r="J42120" s="2"/>
      <c r="K42120" s="5"/>
      <c r="L42120" s="5"/>
      <c r="M42120" s="6"/>
      <c r="N42120" s="5"/>
      <c r="O42120" s="509"/>
      <c r="P42120" s="17"/>
      <c r="Q42120" s="3"/>
      <c r="R42120" s="7"/>
      <c r="S42120" s="8"/>
    </row>
    <row r="42121" spans="5:19" s="110" customFormat="1" ht="12">
      <c r="E42121" s="3"/>
      <c r="F42121" s="4"/>
      <c r="G42121" s="2"/>
      <c r="H42121" s="3"/>
      <c r="I42121" s="3"/>
      <c r="J42121" s="2"/>
      <c r="K42121" s="5"/>
      <c r="L42121" s="5"/>
      <c r="M42121" s="6"/>
      <c r="N42121" s="5"/>
      <c r="O42121" s="509"/>
      <c r="P42121" s="17"/>
      <c r="Q42121" s="3"/>
      <c r="R42121" s="7"/>
      <c r="S42121" s="8"/>
    </row>
    <row r="42122" spans="5:19" s="91" customFormat="1">
      <c r="E42122" s="3"/>
      <c r="F42122" s="4"/>
      <c r="G42122" s="2"/>
      <c r="H42122" s="3"/>
      <c r="I42122" s="3"/>
      <c r="J42122" s="2"/>
      <c r="K42122" s="5"/>
      <c r="L42122" s="5"/>
      <c r="M42122" s="6"/>
      <c r="N42122" s="5"/>
      <c r="O42122" s="509"/>
      <c r="P42122" s="17"/>
      <c r="Q42122" s="3"/>
      <c r="R42122" s="7"/>
      <c r="S42122" s="8"/>
    </row>
    <row r="42123" spans="5:19" s="94" customFormat="1">
      <c r="E42123" s="3"/>
      <c r="F42123" s="4"/>
      <c r="G42123" s="2"/>
      <c r="H42123" s="3"/>
      <c r="I42123" s="3"/>
      <c r="J42123" s="2"/>
      <c r="K42123" s="5"/>
      <c r="L42123" s="5"/>
      <c r="M42123" s="6"/>
      <c r="N42123" s="5"/>
      <c r="O42123" s="509"/>
      <c r="P42123" s="17"/>
      <c r="Q42123" s="3"/>
      <c r="R42123" s="7"/>
      <c r="S42123" s="8"/>
    </row>
    <row r="42124" spans="5:19" s="1" customFormat="1" ht="12">
      <c r="E42124" s="3"/>
      <c r="F42124" s="4"/>
      <c r="G42124" s="2"/>
      <c r="H42124" s="3"/>
      <c r="I42124" s="3"/>
      <c r="J42124" s="2"/>
      <c r="K42124" s="5"/>
      <c r="L42124" s="5"/>
      <c r="M42124" s="6"/>
      <c r="N42124" s="5"/>
      <c r="O42124" s="509"/>
      <c r="P42124" s="17"/>
      <c r="Q42124" s="3"/>
      <c r="R42124" s="7"/>
      <c r="S42124" s="8"/>
    </row>
    <row r="42125" spans="5:19" s="1" customFormat="1" ht="12">
      <c r="E42125" s="3"/>
      <c r="F42125" s="4"/>
      <c r="G42125" s="2"/>
      <c r="H42125" s="3"/>
      <c r="I42125" s="3"/>
      <c r="J42125" s="2"/>
      <c r="K42125" s="5"/>
      <c r="L42125" s="5"/>
      <c r="M42125" s="6"/>
      <c r="N42125" s="5"/>
      <c r="O42125" s="509"/>
      <c r="P42125" s="17"/>
      <c r="Q42125" s="3"/>
      <c r="R42125" s="7"/>
      <c r="S42125" s="8"/>
    </row>
    <row r="42126" spans="5:19" s="1" customFormat="1" ht="12">
      <c r="E42126" s="3"/>
      <c r="F42126" s="4"/>
      <c r="G42126" s="2"/>
      <c r="H42126" s="3"/>
      <c r="I42126" s="3"/>
      <c r="J42126" s="2"/>
      <c r="K42126" s="5"/>
      <c r="L42126" s="5"/>
      <c r="M42126" s="6"/>
      <c r="N42126" s="5"/>
      <c r="O42126" s="509"/>
      <c r="P42126" s="17"/>
      <c r="Q42126" s="3"/>
      <c r="R42126" s="7"/>
      <c r="S42126" s="8"/>
    </row>
    <row r="42127" spans="5:19" s="110" customFormat="1" ht="12">
      <c r="E42127" s="3"/>
      <c r="F42127" s="4"/>
      <c r="G42127" s="2"/>
      <c r="H42127" s="3"/>
      <c r="I42127" s="3"/>
      <c r="J42127" s="2"/>
      <c r="K42127" s="5"/>
      <c r="L42127" s="5"/>
      <c r="M42127" s="6"/>
      <c r="N42127" s="5"/>
      <c r="O42127" s="509"/>
      <c r="P42127" s="17"/>
      <c r="Q42127" s="3"/>
      <c r="R42127" s="7"/>
      <c r="S42127" s="8"/>
    </row>
    <row r="42128" spans="5:19" s="1" customFormat="1" ht="12">
      <c r="E42128" s="3"/>
      <c r="F42128" s="4"/>
      <c r="G42128" s="2"/>
      <c r="H42128" s="3"/>
      <c r="I42128" s="3"/>
      <c r="J42128" s="2"/>
      <c r="K42128" s="5"/>
      <c r="L42128" s="5"/>
      <c r="M42128" s="6"/>
      <c r="N42128" s="5"/>
      <c r="O42128" s="509"/>
      <c r="P42128" s="17"/>
      <c r="Q42128" s="3"/>
      <c r="R42128" s="7"/>
      <c r="S42128" s="8"/>
    </row>
    <row r="42129" spans="5:19" s="1" customFormat="1" ht="12">
      <c r="E42129" s="3"/>
      <c r="F42129" s="4"/>
      <c r="G42129" s="2"/>
      <c r="H42129" s="3"/>
      <c r="I42129" s="3"/>
      <c r="J42129" s="2"/>
      <c r="K42129" s="5"/>
      <c r="L42129" s="5"/>
      <c r="M42129" s="6"/>
      <c r="N42129" s="5"/>
      <c r="O42129" s="509"/>
      <c r="P42129" s="17"/>
      <c r="Q42129" s="3"/>
      <c r="R42129" s="7"/>
      <c r="S42129" s="8"/>
    </row>
    <row r="42131" spans="5:19" s="94" customFormat="1">
      <c r="E42131" s="3"/>
      <c r="F42131" s="4"/>
      <c r="G42131" s="2"/>
      <c r="H42131" s="3"/>
      <c r="I42131" s="3"/>
      <c r="J42131" s="2"/>
      <c r="K42131" s="5"/>
      <c r="L42131" s="5"/>
      <c r="M42131" s="6"/>
      <c r="N42131" s="5"/>
      <c r="O42131" s="509"/>
      <c r="P42131" s="17"/>
      <c r="Q42131" s="3"/>
      <c r="R42131" s="7"/>
      <c r="S42131" s="8"/>
    </row>
    <row r="42132" spans="5:19" s="94" customFormat="1">
      <c r="E42132" s="3"/>
      <c r="F42132" s="4"/>
      <c r="G42132" s="2"/>
      <c r="H42132" s="3"/>
      <c r="I42132" s="3"/>
      <c r="J42132" s="2"/>
      <c r="K42132" s="5"/>
      <c r="L42132" s="5"/>
      <c r="M42132" s="6"/>
      <c r="N42132" s="5"/>
      <c r="O42132" s="509"/>
      <c r="P42132" s="17"/>
      <c r="Q42132" s="3"/>
      <c r="R42132" s="7"/>
      <c r="S42132" s="8"/>
    </row>
    <row r="42133" spans="5:19" s="1" customFormat="1" ht="12">
      <c r="E42133" s="3"/>
      <c r="F42133" s="4"/>
      <c r="G42133" s="2"/>
      <c r="H42133" s="3"/>
      <c r="I42133" s="3"/>
      <c r="J42133" s="2"/>
      <c r="K42133" s="5"/>
      <c r="L42133" s="5"/>
      <c r="M42133" s="6"/>
      <c r="N42133" s="5"/>
      <c r="O42133" s="509"/>
      <c r="P42133" s="17"/>
      <c r="Q42133" s="3"/>
      <c r="R42133" s="7"/>
      <c r="S42133" s="8"/>
    </row>
    <row r="42134" spans="5:19" s="1" customFormat="1" ht="12">
      <c r="E42134" s="3"/>
      <c r="F42134" s="4"/>
      <c r="G42134" s="2"/>
      <c r="H42134" s="3"/>
      <c r="I42134" s="3"/>
      <c r="J42134" s="2"/>
      <c r="K42134" s="5"/>
      <c r="L42134" s="5"/>
      <c r="M42134" s="6"/>
      <c r="N42134" s="5"/>
      <c r="O42134" s="509"/>
      <c r="P42134" s="17"/>
      <c r="Q42134" s="3"/>
      <c r="R42134" s="7"/>
      <c r="S42134" s="8"/>
    </row>
    <row r="42135" spans="5:19" s="184" customFormat="1" ht="12">
      <c r="E42135" s="3"/>
      <c r="F42135" s="4"/>
      <c r="G42135" s="2"/>
      <c r="H42135" s="3"/>
      <c r="I42135" s="3"/>
      <c r="J42135" s="2"/>
      <c r="K42135" s="5"/>
      <c r="L42135" s="5"/>
      <c r="M42135" s="6"/>
      <c r="N42135" s="5"/>
      <c r="O42135" s="509"/>
      <c r="P42135" s="17"/>
      <c r="Q42135" s="3"/>
      <c r="R42135" s="7"/>
      <c r="S42135" s="8"/>
    </row>
    <row r="42136" spans="5:19" s="1" customFormat="1" ht="12">
      <c r="E42136" s="3"/>
      <c r="F42136" s="4"/>
      <c r="G42136" s="2"/>
      <c r="H42136" s="3"/>
      <c r="I42136" s="3"/>
      <c r="J42136" s="2"/>
      <c r="K42136" s="5"/>
      <c r="L42136" s="5"/>
      <c r="M42136" s="6"/>
      <c r="N42136" s="5"/>
      <c r="O42136" s="509"/>
      <c r="P42136" s="17"/>
      <c r="Q42136" s="3"/>
      <c r="R42136" s="7"/>
      <c r="S42136" s="8"/>
    </row>
    <row r="42137" spans="5:19" s="1" customFormat="1" ht="12">
      <c r="E42137" s="3"/>
      <c r="F42137" s="4"/>
      <c r="G42137" s="2"/>
      <c r="H42137" s="3"/>
      <c r="I42137" s="3"/>
      <c r="J42137" s="2"/>
      <c r="K42137" s="5"/>
      <c r="L42137" s="5"/>
      <c r="M42137" s="6"/>
      <c r="N42137" s="5"/>
      <c r="O42137" s="509"/>
      <c r="P42137" s="17"/>
      <c r="Q42137" s="3"/>
      <c r="R42137" s="7"/>
      <c r="S42137" s="8"/>
    </row>
    <row r="42138" spans="5:19" s="1" customFormat="1" ht="12">
      <c r="E42138" s="3"/>
      <c r="F42138" s="4"/>
      <c r="G42138" s="2"/>
      <c r="H42138" s="3"/>
      <c r="I42138" s="3"/>
      <c r="J42138" s="2"/>
      <c r="K42138" s="5"/>
      <c r="L42138" s="5"/>
      <c r="M42138" s="6"/>
      <c r="N42138" s="5"/>
      <c r="O42138" s="509"/>
      <c r="P42138" s="17"/>
      <c r="Q42138" s="3"/>
      <c r="R42138" s="7"/>
      <c r="S42138" s="8"/>
    </row>
    <row r="42139" spans="5:19" s="1" customFormat="1" ht="12">
      <c r="E42139" s="3"/>
      <c r="F42139" s="4"/>
      <c r="G42139" s="2"/>
      <c r="H42139" s="3"/>
      <c r="I42139" s="3"/>
      <c r="J42139" s="2"/>
      <c r="K42139" s="5"/>
      <c r="L42139" s="5"/>
      <c r="M42139" s="6"/>
      <c r="N42139" s="5"/>
      <c r="O42139" s="509"/>
      <c r="P42139" s="17"/>
      <c r="Q42139" s="3"/>
      <c r="R42139" s="7"/>
      <c r="S42139" s="8"/>
    </row>
    <row r="42142" spans="5:19" s="1" customFormat="1" ht="12">
      <c r="E42142" s="3"/>
      <c r="F42142" s="4"/>
      <c r="G42142" s="2"/>
      <c r="H42142" s="3"/>
      <c r="I42142" s="3"/>
      <c r="J42142" s="2"/>
      <c r="K42142" s="5"/>
      <c r="L42142" s="5"/>
      <c r="M42142" s="6"/>
      <c r="N42142" s="5"/>
      <c r="O42142" s="509"/>
      <c r="P42142" s="17"/>
      <c r="Q42142" s="3"/>
      <c r="R42142" s="7"/>
      <c r="S42142" s="8"/>
    </row>
    <row r="42143" spans="5:19" s="91" customFormat="1">
      <c r="E42143" s="3"/>
      <c r="F42143" s="4"/>
      <c r="G42143" s="2"/>
      <c r="H42143" s="3"/>
      <c r="I42143" s="3"/>
      <c r="J42143" s="2"/>
      <c r="K42143" s="5"/>
      <c r="L42143" s="5"/>
      <c r="M42143" s="6"/>
      <c r="N42143" s="5"/>
      <c r="O42143" s="509"/>
      <c r="P42143" s="17"/>
      <c r="Q42143" s="3"/>
      <c r="R42143" s="7"/>
      <c r="S42143" s="8"/>
    </row>
    <row r="42144" spans="5:19" s="184" customFormat="1" ht="12">
      <c r="E42144" s="3"/>
      <c r="F42144" s="4"/>
      <c r="G42144" s="2"/>
      <c r="H42144" s="3"/>
      <c r="I42144" s="3"/>
      <c r="J42144" s="2"/>
      <c r="K42144" s="5"/>
      <c r="L42144" s="5"/>
      <c r="M42144" s="6"/>
      <c r="N42144" s="5"/>
      <c r="O42144" s="509"/>
      <c r="P42144" s="17"/>
      <c r="Q42144" s="3"/>
      <c r="R42144" s="7"/>
      <c r="S42144" s="8"/>
    </row>
    <row r="42145" spans="5:19" s="94" customFormat="1">
      <c r="E42145" s="3"/>
      <c r="F42145" s="4"/>
      <c r="G42145" s="2"/>
      <c r="H42145" s="3"/>
      <c r="I42145" s="3"/>
      <c r="J42145" s="2"/>
      <c r="K42145" s="5"/>
      <c r="L42145" s="5"/>
      <c r="M42145" s="6"/>
      <c r="N42145" s="5"/>
      <c r="O42145" s="509"/>
      <c r="P42145" s="17"/>
      <c r="Q42145" s="3"/>
      <c r="R42145" s="7"/>
      <c r="S42145" s="8"/>
    </row>
    <row r="42146" spans="5:19" s="94" customFormat="1">
      <c r="E42146" s="3"/>
      <c r="F42146" s="4"/>
      <c r="G42146" s="2"/>
      <c r="H42146" s="3"/>
      <c r="I42146" s="3"/>
      <c r="J42146" s="2"/>
      <c r="K42146" s="5"/>
      <c r="L42146" s="5"/>
      <c r="M42146" s="6"/>
      <c r="N42146" s="5"/>
      <c r="O42146" s="509"/>
      <c r="P42146" s="17"/>
      <c r="Q42146" s="3"/>
      <c r="R42146" s="7"/>
      <c r="S42146" s="8"/>
    </row>
    <row r="42147" spans="5:19" s="91" customFormat="1">
      <c r="E42147" s="3"/>
      <c r="F42147" s="4"/>
      <c r="G42147" s="2"/>
      <c r="H42147" s="3"/>
      <c r="I42147" s="3"/>
      <c r="J42147" s="2"/>
      <c r="K42147" s="5"/>
      <c r="L42147" s="5"/>
      <c r="M42147" s="6"/>
      <c r="N42147" s="5"/>
      <c r="O42147" s="509"/>
      <c r="P42147" s="17"/>
      <c r="Q42147" s="3"/>
      <c r="R42147" s="7"/>
      <c r="S42147" s="8"/>
    </row>
    <row r="42148" spans="5:19" s="94" customFormat="1">
      <c r="E42148" s="3"/>
      <c r="F42148" s="4"/>
      <c r="G42148" s="2"/>
      <c r="H42148" s="3"/>
      <c r="I42148" s="3"/>
      <c r="J42148" s="2"/>
      <c r="K42148" s="5"/>
      <c r="L42148" s="5"/>
      <c r="M42148" s="6"/>
      <c r="N42148" s="5"/>
      <c r="O42148" s="509"/>
      <c r="P42148" s="17"/>
      <c r="Q42148" s="3"/>
      <c r="R42148" s="7"/>
      <c r="S42148" s="8"/>
    </row>
    <row r="42150" spans="5:19" s="231" customFormat="1" ht="13.2">
      <c r="E42150" s="3"/>
      <c r="F42150" s="4"/>
      <c r="G42150" s="2"/>
      <c r="H42150" s="3"/>
      <c r="I42150" s="3"/>
      <c r="J42150" s="2"/>
      <c r="K42150" s="5"/>
      <c r="L42150" s="5"/>
      <c r="M42150" s="6"/>
      <c r="N42150" s="5"/>
      <c r="O42150" s="509"/>
      <c r="P42150" s="17"/>
      <c r="Q42150" s="3"/>
      <c r="R42150" s="7"/>
      <c r="S42150" s="8"/>
    </row>
    <row r="42151" spans="5:19" s="1" customFormat="1" ht="12">
      <c r="E42151" s="3"/>
      <c r="F42151" s="4"/>
      <c r="G42151" s="2"/>
      <c r="H42151" s="3"/>
      <c r="I42151" s="3"/>
      <c r="J42151" s="2"/>
      <c r="K42151" s="5"/>
      <c r="L42151" s="5"/>
      <c r="M42151" s="6"/>
      <c r="N42151" s="5"/>
      <c r="O42151" s="509"/>
      <c r="P42151" s="17"/>
      <c r="Q42151" s="3"/>
      <c r="R42151" s="7"/>
      <c r="S42151" s="8"/>
    </row>
    <row r="42152" spans="5:19" s="1" customFormat="1" ht="12">
      <c r="E42152" s="3"/>
      <c r="F42152" s="4"/>
      <c r="G42152" s="2"/>
      <c r="H42152" s="3"/>
      <c r="I42152" s="3"/>
      <c r="J42152" s="2"/>
      <c r="K42152" s="5"/>
      <c r="L42152" s="5"/>
      <c r="M42152" s="6"/>
      <c r="N42152" s="5"/>
      <c r="O42152" s="509"/>
      <c r="P42152" s="17"/>
      <c r="Q42152" s="3"/>
      <c r="R42152" s="7"/>
      <c r="S42152" s="8"/>
    </row>
    <row r="42153" spans="5:19" s="1" customFormat="1" ht="12">
      <c r="E42153" s="3"/>
      <c r="F42153" s="4"/>
      <c r="G42153" s="2"/>
      <c r="H42153" s="3"/>
      <c r="I42153" s="3"/>
      <c r="J42153" s="2"/>
      <c r="K42153" s="5"/>
      <c r="L42153" s="5"/>
      <c r="M42153" s="6"/>
      <c r="N42153" s="5"/>
      <c r="O42153" s="509"/>
      <c r="P42153" s="17"/>
      <c r="Q42153" s="3"/>
      <c r="R42153" s="7"/>
      <c r="S42153" s="8"/>
    </row>
    <row r="42154" spans="5:19" s="1" customFormat="1" ht="12">
      <c r="E42154" s="3"/>
      <c r="F42154" s="4"/>
      <c r="G42154" s="2"/>
      <c r="H42154" s="3"/>
      <c r="I42154" s="3"/>
      <c r="J42154" s="2"/>
      <c r="K42154" s="5"/>
      <c r="L42154" s="5"/>
      <c r="M42154" s="6"/>
      <c r="N42154" s="5"/>
      <c r="O42154" s="509"/>
      <c r="P42154" s="17"/>
      <c r="Q42154" s="3"/>
      <c r="R42154" s="7"/>
      <c r="S42154" s="8"/>
    </row>
    <row r="42155" spans="5:19" s="1" customFormat="1" ht="12">
      <c r="E42155" s="3"/>
      <c r="F42155" s="4"/>
      <c r="G42155" s="2"/>
      <c r="H42155" s="3"/>
      <c r="I42155" s="3"/>
      <c r="J42155" s="2"/>
      <c r="K42155" s="5"/>
      <c r="L42155" s="5"/>
      <c r="M42155" s="6"/>
      <c r="N42155" s="5"/>
      <c r="O42155" s="509"/>
      <c r="P42155" s="17"/>
      <c r="Q42155" s="3"/>
      <c r="R42155" s="7"/>
      <c r="S42155" s="8"/>
    </row>
    <row r="42156" spans="5:19" s="1" customFormat="1" ht="12">
      <c r="E42156" s="3"/>
      <c r="F42156" s="4"/>
      <c r="G42156" s="2"/>
      <c r="H42156" s="3"/>
      <c r="I42156" s="3"/>
      <c r="J42156" s="2"/>
      <c r="K42156" s="5"/>
      <c r="L42156" s="5"/>
      <c r="M42156" s="6"/>
      <c r="N42156" s="5"/>
      <c r="O42156" s="509"/>
      <c r="P42156" s="17"/>
      <c r="Q42156" s="3"/>
      <c r="R42156" s="7"/>
      <c r="S42156" s="8"/>
    </row>
    <row r="42157" spans="5:19" s="94" customFormat="1">
      <c r="E42157" s="3"/>
      <c r="F42157" s="4"/>
      <c r="G42157" s="2"/>
      <c r="H42157" s="3"/>
      <c r="I42157" s="3"/>
      <c r="J42157" s="2"/>
      <c r="K42157" s="5"/>
      <c r="L42157" s="5"/>
      <c r="M42157" s="6"/>
      <c r="N42157" s="5"/>
      <c r="O42157" s="509"/>
      <c r="P42157" s="17"/>
      <c r="Q42157" s="3"/>
      <c r="R42157" s="7"/>
      <c r="S42157" s="8"/>
    </row>
    <row r="42158" spans="5:19" s="1" customFormat="1" ht="12">
      <c r="E42158" s="3"/>
      <c r="F42158" s="4"/>
      <c r="G42158" s="2"/>
      <c r="H42158" s="3"/>
      <c r="I42158" s="3"/>
      <c r="J42158" s="2"/>
      <c r="K42158" s="5"/>
      <c r="L42158" s="5"/>
      <c r="M42158" s="6"/>
      <c r="N42158" s="5"/>
      <c r="O42158" s="509"/>
      <c r="P42158" s="17"/>
      <c r="Q42158" s="3"/>
      <c r="R42158" s="7"/>
      <c r="S42158" s="8"/>
    </row>
    <row r="42159" spans="5:19" s="94" customFormat="1">
      <c r="E42159" s="3"/>
      <c r="F42159" s="4"/>
      <c r="G42159" s="2"/>
      <c r="H42159" s="3"/>
      <c r="I42159" s="3"/>
      <c r="J42159" s="2"/>
      <c r="K42159" s="5"/>
      <c r="L42159" s="5"/>
      <c r="M42159" s="6"/>
      <c r="N42159" s="5"/>
      <c r="O42159" s="509"/>
      <c r="P42159" s="17"/>
      <c r="Q42159" s="3"/>
      <c r="R42159" s="7"/>
      <c r="S42159" s="8"/>
    </row>
    <row r="42160" spans="5:19" s="1" customFormat="1" ht="12">
      <c r="E42160" s="3"/>
      <c r="F42160" s="4"/>
      <c r="G42160" s="2"/>
      <c r="H42160" s="3"/>
      <c r="I42160" s="3"/>
      <c r="J42160" s="2"/>
      <c r="K42160" s="5"/>
      <c r="L42160" s="5"/>
      <c r="M42160" s="6"/>
      <c r="N42160" s="5"/>
      <c r="O42160" s="509"/>
      <c r="P42160" s="17"/>
      <c r="Q42160" s="3"/>
      <c r="R42160" s="7"/>
      <c r="S42160" s="8"/>
    </row>
    <row r="42161" spans="5:19" s="1" customFormat="1" ht="12">
      <c r="E42161" s="3"/>
      <c r="F42161" s="4"/>
      <c r="G42161" s="2"/>
      <c r="H42161" s="3"/>
      <c r="I42161" s="3"/>
      <c r="J42161" s="2"/>
      <c r="K42161" s="5"/>
      <c r="L42161" s="5"/>
      <c r="M42161" s="6"/>
      <c r="N42161" s="5"/>
      <c r="O42161" s="509"/>
      <c r="P42161" s="17"/>
      <c r="Q42161" s="3"/>
      <c r="R42161" s="7"/>
      <c r="S42161" s="8"/>
    </row>
    <row r="42162" spans="5:19" s="1" customFormat="1" ht="12">
      <c r="E42162" s="3"/>
      <c r="F42162" s="4"/>
      <c r="G42162" s="2"/>
      <c r="H42162" s="3"/>
      <c r="I42162" s="3"/>
      <c r="J42162" s="2"/>
      <c r="K42162" s="5"/>
      <c r="L42162" s="5"/>
      <c r="M42162" s="6"/>
      <c r="N42162" s="5"/>
      <c r="O42162" s="509"/>
      <c r="P42162" s="17"/>
      <c r="Q42162" s="3"/>
      <c r="R42162" s="7"/>
      <c r="S42162" s="8"/>
    </row>
    <row r="42163" spans="5:19" s="110" customFormat="1" ht="12">
      <c r="E42163" s="3"/>
      <c r="F42163" s="4"/>
      <c r="G42163" s="2"/>
      <c r="H42163" s="3"/>
      <c r="I42163" s="3"/>
      <c r="J42163" s="2"/>
      <c r="K42163" s="5"/>
      <c r="L42163" s="5"/>
      <c r="M42163" s="6"/>
      <c r="N42163" s="5"/>
      <c r="O42163" s="509"/>
      <c r="P42163" s="17"/>
      <c r="Q42163" s="3"/>
      <c r="R42163" s="7"/>
      <c r="S42163" s="8"/>
    </row>
    <row r="42165" spans="5:19" s="1" customFormat="1" ht="12">
      <c r="E42165" s="3"/>
      <c r="F42165" s="4"/>
      <c r="G42165" s="2"/>
      <c r="H42165" s="3"/>
      <c r="I42165" s="3"/>
      <c r="J42165" s="2"/>
      <c r="K42165" s="5"/>
      <c r="L42165" s="5"/>
      <c r="M42165" s="6"/>
      <c r="N42165" s="5"/>
      <c r="O42165" s="509"/>
      <c r="P42165" s="17"/>
      <c r="Q42165" s="3"/>
      <c r="R42165" s="7"/>
      <c r="S42165" s="8"/>
    </row>
    <row r="42166" spans="5:19" s="110" customFormat="1" ht="12">
      <c r="E42166" s="3"/>
      <c r="F42166" s="4"/>
      <c r="G42166" s="2"/>
      <c r="H42166" s="3"/>
      <c r="I42166" s="3"/>
      <c r="J42166" s="2"/>
      <c r="K42166" s="5"/>
      <c r="L42166" s="5"/>
      <c r="M42166" s="6"/>
      <c r="N42166" s="5"/>
      <c r="O42166" s="509"/>
      <c r="P42166" s="17"/>
      <c r="Q42166" s="3"/>
      <c r="R42166" s="7"/>
      <c r="S42166" s="8"/>
    </row>
    <row r="42167" spans="5:19" s="91" customFormat="1">
      <c r="E42167" s="3"/>
      <c r="F42167" s="4"/>
      <c r="G42167" s="2"/>
      <c r="H42167" s="3"/>
      <c r="I42167" s="3"/>
      <c r="J42167" s="2"/>
      <c r="K42167" s="5"/>
      <c r="L42167" s="5"/>
      <c r="M42167" s="6"/>
      <c r="N42167" s="5"/>
      <c r="O42167" s="509"/>
      <c r="P42167" s="17"/>
      <c r="Q42167" s="3"/>
      <c r="R42167" s="7"/>
      <c r="S42167" s="8"/>
    </row>
    <row r="42168" spans="5:19" s="231" customFormat="1" ht="13.2">
      <c r="E42168" s="3"/>
      <c r="F42168" s="4"/>
      <c r="G42168" s="2"/>
      <c r="H42168" s="3"/>
      <c r="I42168" s="3"/>
      <c r="J42168" s="2"/>
      <c r="K42168" s="5"/>
      <c r="L42168" s="5"/>
      <c r="M42168" s="6"/>
      <c r="N42168" s="5"/>
      <c r="O42168" s="509"/>
      <c r="P42168" s="17"/>
      <c r="Q42168" s="3"/>
      <c r="R42168" s="7"/>
      <c r="S42168" s="8"/>
    </row>
    <row r="42177" spans="5:19" s="1" customFormat="1" ht="12">
      <c r="E42177" s="3"/>
      <c r="F42177" s="4"/>
      <c r="G42177" s="2"/>
      <c r="H42177" s="3"/>
      <c r="I42177" s="3"/>
      <c r="J42177" s="2"/>
      <c r="K42177" s="5"/>
      <c r="L42177" s="5"/>
      <c r="M42177" s="6"/>
      <c r="N42177" s="5"/>
      <c r="O42177" s="509"/>
      <c r="P42177" s="17"/>
      <c r="Q42177" s="3"/>
      <c r="R42177" s="7"/>
      <c r="S42177" s="8"/>
    </row>
    <row r="42178" spans="5:19" s="1" customFormat="1" ht="12">
      <c r="E42178" s="3"/>
      <c r="F42178" s="4"/>
      <c r="G42178" s="2"/>
      <c r="H42178" s="3"/>
      <c r="I42178" s="3"/>
      <c r="J42178" s="2"/>
      <c r="K42178" s="5"/>
      <c r="L42178" s="5"/>
      <c r="M42178" s="6"/>
      <c r="N42178" s="5"/>
      <c r="O42178" s="509"/>
      <c r="P42178" s="17"/>
      <c r="Q42178" s="3"/>
      <c r="R42178" s="7"/>
      <c r="S42178" s="8"/>
    </row>
    <row r="42179" spans="5:19" s="1" customFormat="1" ht="12">
      <c r="E42179" s="3"/>
      <c r="F42179" s="4"/>
      <c r="G42179" s="2"/>
      <c r="H42179" s="3"/>
      <c r="I42179" s="3"/>
      <c r="J42179" s="2"/>
      <c r="K42179" s="5"/>
      <c r="L42179" s="5"/>
      <c r="M42179" s="6"/>
      <c r="N42179" s="5"/>
      <c r="O42179" s="509"/>
      <c r="P42179" s="17"/>
      <c r="Q42179" s="3"/>
      <c r="R42179" s="7"/>
      <c r="S42179" s="8"/>
    </row>
    <row r="42180" spans="5:19" s="1" customFormat="1" ht="12">
      <c r="E42180" s="3"/>
      <c r="F42180" s="4"/>
      <c r="G42180" s="2"/>
      <c r="H42180" s="3"/>
      <c r="I42180" s="3"/>
      <c r="J42180" s="2"/>
      <c r="K42180" s="5"/>
      <c r="L42180" s="5"/>
      <c r="M42180" s="6"/>
      <c r="N42180" s="5"/>
      <c r="O42180" s="509"/>
      <c r="P42180" s="17"/>
      <c r="Q42180" s="3"/>
      <c r="R42180" s="7"/>
      <c r="S42180" s="8"/>
    </row>
    <row r="42181" spans="5:19" s="94" customFormat="1">
      <c r="E42181" s="3"/>
      <c r="F42181" s="4"/>
      <c r="G42181" s="2"/>
      <c r="H42181" s="3"/>
      <c r="I42181" s="3"/>
      <c r="J42181" s="2"/>
      <c r="K42181" s="5"/>
      <c r="L42181" s="5"/>
      <c r="M42181" s="6"/>
      <c r="N42181" s="5"/>
      <c r="O42181" s="509"/>
      <c r="P42181" s="17"/>
      <c r="Q42181" s="3"/>
      <c r="R42181" s="7"/>
      <c r="S42181" s="8"/>
    </row>
    <row r="42182" spans="5:19" s="1" customFormat="1" ht="12">
      <c r="E42182" s="3"/>
      <c r="F42182" s="4"/>
      <c r="G42182" s="2"/>
      <c r="H42182" s="3"/>
      <c r="I42182" s="3"/>
      <c r="J42182" s="2"/>
      <c r="K42182" s="5"/>
      <c r="L42182" s="5"/>
      <c r="M42182" s="6"/>
      <c r="N42182" s="5"/>
      <c r="O42182" s="509"/>
      <c r="P42182" s="17"/>
      <c r="Q42182" s="3"/>
      <c r="R42182" s="7"/>
      <c r="S42182" s="8"/>
    </row>
    <row r="42183" spans="5:19" s="94" customFormat="1">
      <c r="E42183" s="3"/>
      <c r="F42183" s="4"/>
      <c r="G42183" s="2"/>
      <c r="H42183" s="3"/>
      <c r="I42183" s="3"/>
      <c r="J42183" s="2"/>
      <c r="K42183" s="5"/>
      <c r="L42183" s="5"/>
      <c r="M42183" s="6"/>
      <c r="N42183" s="5"/>
      <c r="O42183" s="509"/>
      <c r="P42183" s="17"/>
      <c r="Q42183" s="3"/>
      <c r="R42183" s="7"/>
      <c r="S42183" s="8"/>
    </row>
    <row r="42184" spans="5:19" s="1" customFormat="1" ht="12">
      <c r="E42184" s="3"/>
      <c r="F42184" s="4"/>
      <c r="G42184" s="2"/>
      <c r="H42184" s="3"/>
      <c r="I42184" s="3"/>
      <c r="J42184" s="2"/>
      <c r="K42184" s="5"/>
      <c r="L42184" s="5"/>
      <c r="M42184" s="6"/>
      <c r="N42184" s="5"/>
      <c r="O42184" s="509"/>
      <c r="P42184" s="17"/>
      <c r="Q42184" s="3"/>
      <c r="R42184" s="7"/>
      <c r="S42184" s="8"/>
    </row>
    <row r="42185" spans="5:19" s="1" customFormat="1" ht="12">
      <c r="E42185" s="3"/>
      <c r="F42185" s="4"/>
      <c r="G42185" s="2"/>
      <c r="H42185" s="3"/>
      <c r="I42185" s="3"/>
      <c r="J42185" s="2"/>
      <c r="K42185" s="5"/>
      <c r="L42185" s="5"/>
      <c r="M42185" s="6"/>
      <c r="N42185" s="5"/>
      <c r="O42185" s="509"/>
      <c r="P42185" s="17"/>
      <c r="Q42185" s="3"/>
      <c r="R42185" s="7"/>
      <c r="S42185" s="8"/>
    </row>
    <row r="42186" spans="5:19" s="94" customFormat="1">
      <c r="E42186" s="3"/>
      <c r="F42186" s="4"/>
      <c r="G42186" s="2"/>
      <c r="H42186" s="3"/>
      <c r="I42186" s="3"/>
      <c r="J42186" s="2"/>
      <c r="K42186" s="5"/>
      <c r="L42186" s="5"/>
      <c r="M42186" s="6"/>
      <c r="N42186" s="5"/>
      <c r="O42186" s="509"/>
      <c r="P42186" s="17"/>
      <c r="Q42186" s="3"/>
      <c r="R42186" s="7"/>
      <c r="S42186" s="8"/>
    </row>
    <row r="42187" spans="5:19" s="1" customFormat="1" ht="12">
      <c r="E42187" s="3"/>
      <c r="F42187" s="4"/>
      <c r="G42187" s="2"/>
      <c r="H42187" s="3"/>
      <c r="I42187" s="3"/>
      <c r="J42187" s="2"/>
      <c r="K42187" s="5"/>
      <c r="L42187" s="5"/>
      <c r="M42187" s="6"/>
      <c r="N42187" s="5"/>
      <c r="O42187" s="509"/>
      <c r="P42187" s="17"/>
      <c r="Q42187" s="3"/>
      <c r="R42187" s="7"/>
      <c r="S42187" s="8"/>
    </row>
    <row r="42188" spans="5:19" s="94" customFormat="1">
      <c r="E42188" s="3"/>
      <c r="F42188" s="4"/>
      <c r="G42188" s="2"/>
      <c r="H42188" s="3"/>
      <c r="I42188" s="3"/>
      <c r="J42188" s="2"/>
      <c r="K42188" s="5"/>
      <c r="L42188" s="5"/>
      <c r="M42188" s="6"/>
      <c r="N42188" s="5"/>
      <c r="O42188" s="509"/>
      <c r="P42188" s="17"/>
      <c r="Q42188" s="3"/>
      <c r="R42188" s="7"/>
      <c r="S42188" s="8"/>
    </row>
    <row r="42189" spans="5:19" s="1" customFormat="1" ht="12">
      <c r="E42189" s="3"/>
      <c r="F42189" s="4"/>
      <c r="G42189" s="2"/>
      <c r="H42189" s="3"/>
      <c r="I42189" s="3"/>
      <c r="J42189" s="2"/>
      <c r="K42189" s="5"/>
      <c r="L42189" s="5"/>
      <c r="M42189" s="6"/>
      <c r="N42189" s="5"/>
      <c r="O42189" s="509"/>
      <c r="P42189" s="17"/>
      <c r="Q42189" s="3"/>
      <c r="R42189" s="7"/>
      <c r="S42189" s="8"/>
    </row>
    <row r="42190" spans="5:19" s="94" customFormat="1">
      <c r="E42190" s="3"/>
      <c r="F42190" s="4"/>
      <c r="G42190" s="2"/>
      <c r="H42190" s="3"/>
      <c r="I42190" s="3"/>
      <c r="J42190" s="2"/>
      <c r="K42190" s="5"/>
      <c r="L42190" s="5"/>
      <c r="M42190" s="6"/>
      <c r="N42190" s="5"/>
      <c r="O42190" s="509"/>
      <c r="P42190" s="17"/>
      <c r="Q42190" s="3"/>
      <c r="R42190" s="7"/>
      <c r="S42190" s="8"/>
    </row>
    <row r="42191" spans="5:19" s="1" customFormat="1" ht="12">
      <c r="E42191" s="3"/>
      <c r="F42191" s="4"/>
      <c r="G42191" s="2"/>
      <c r="H42191" s="3"/>
      <c r="I42191" s="3"/>
      <c r="J42191" s="2"/>
      <c r="K42191" s="5"/>
      <c r="L42191" s="5"/>
      <c r="M42191" s="6"/>
      <c r="N42191" s="5"/>
      <c r="O42191" s="509"/>
      <c r="P42191" s="17"/>
      <c r="Q42191" s="3"/>
      <c r="R42191" s="7"/>
      <c r="S42191" s="8"/>
    </row>
    <row r="42192" spans="5:19" s="94" customFormat="1">
      <c r="E42192" s="3"/>
      <c r="F42192" s="4"/>
      <c r="G42192" s="2"/>
      <c r="H42192" s="3"/>
      <c r="I42192" s="3"/>
      <c r="J42192" s="2"/>
      <c r="K42192" s="5"/>
      <c r="L42192" s="5"/>
      <c r="M42192" s="6"/>
      <c r="N42192" s="5"/>
      <c r="O42192" s="509"/>
      <c r="P42192" s="17"/>
      <c r="Q42192" s="3"/>
      <c r="R42192" s="7"/>
      <c r="S42192" s="8"/>
    </row>
    <row r="42193" spans="5:19" s="1" customFormat="1" ht="12">
      <c r="E42193" s="3"/>
      <c r="F42193" s="4"/>
      <c r="G42193" s="2"/>
      <c r="H42193" s="3"/>
      <c r="I42193" s="3"/>
      <c r="J42193" s="2"/>
      <c r="K42193" s="5"/>
      <c r="L42193" s="5"/>
      <c r="M42193" s="6"/>
      <c r="N42193" s="5"/>
      <c r="O42193" s="509"/>
      <c r="P42193" s="17"/>
      <c r="Q42193" s="3"/>
      <c r="R42193" s="7"/>
      <c r="S42193" s="8"/>
    </row>
    <row r="42194" spans="5:19" s="94" customFormat="1">
      <c r="E42194" s="3"/>
      <c r="F42194" s="4"/>
      <c r="G42194" s="2"/>
      <c r="H42194" s="3"/>
      <c r="I42194" s="3"/>
      <c r="J42194" s="2"/>
      <c r="K42194" s="5"/>
      <c r="L42194" s="5"/>
      <c r="M42194" s="6"/>
      <c r="N42194" s="5"/>
      <c r="O42194" s="509"/>
      <c r="P42194" s="17"/>
      <c r="Q42194" s="3"/>
      <c r="R42194" s="7"/>
      <c r="S42194" s="8"/>
    </row>
    <row r="42195" spans="5:19" s="94" customFormat="1">
      <c r="E42195" s="3"/>
      <c r="F42195" s="4"/>
      <c r="G42195" s="2"/>
      <c r="H42195" s="3"/>
      <c r="I42195" s="3"/>
      <c r="J42195" s="2"/>
      <c r="K42195" s="5"/>
      <c r="L42195" s="5"/>
      <c r="M42195" s="6"/>
      <c r="N42195" s="5"/>
      <c r="O42195" s="509"/>
      <c r="P42195" s="17"/>
      <c r="Q42195" s="3"/>
      <c r="R42195" s="7"/>
      <c r="S42195" s="8"/>
    </row>
    <row r="42196" spans="5:19" s="94" customFormat="1">
      <c r="E42196" s="3"/>
      <c r="F42196" s="4"/>
      <c r="G42196" s="2"/>
      <c r="H42196" s="3"/>
      <c r="I42196" s="3"/>
      <c r="J42196" s="2"/>
      <c r="K42196" s="5"/>
      <c r="L42196" s="5"/>
      <c r="M42196" s="6"/>
      <c r="N42196" s="5"/>
      <c r="O42196" s="509"/>
      <c r="P42196" s="17"/>
      <c r="Q42196" s="3"/>
      <c r="R42196" s="7"/>
      <c r="S42196" s="8"/>
    </row>
    <row r="42200" spans="5:19" s="231" customFormat="1" ht="13.2">
      <c r="E42200" s="3"/>
      <c r="F42200" s="4"/>
      <c r="G42200" s="2"/>
      <c r="H42200" s="3"/>
      <c r="I42200" s="3"/>
      <c r="J42200" s="2"/>
      <c r="K42200" s="5"/>
      <c r="L42200" s="5"/>
      <c r="M42200" s="6"/>
      <c r="N42200" s="5"/>
      <c r="O42200" s="509"/>
      <c r="P42200" s="17"/>
      <c r="Q42200" s="3"/>
      <c r="R42200" s="7"/>
      <c r="S42200" s="8"/>
    </row>
    <row r="42205" spans="5:19" s="94" customFormat="1">
      <c r="E42205" s="3"/>
      <c r="F42205" s="4"/>
      <c r="G42205" s="2"/>
      <c r="H42205" s="3"/>
      <c r="I42205" s="3"/>
      <c r="J42205" s="2"/>
      <c r="K42205" s="5"/>
      <c r="L42205" s="5"/>
      <c r="M42205" s="6"/>
      <c r="N42205" s="5"/>
      <c r="O42205" s="509"/>
      <c r="P42205" s="17"/>
      <c r="Q42205" s="3"/>
      <c r="R42205" s="7"/>
      <c r="S42205" s="8"/>
    </row>
    <row r="42207" spans="5:19" s="184" customFormat="1" ht="12">
      <c r="E42207" s="3"/>
      <c r="F42207" s="4"/>
      <c r="G42207" s="2"/>
      <c r="H42207" s="3"/>
      <c r="I42207" s="3"/>
      <c r="J42207" s="2"/>
      <c r="K42207" s="5"/>
      <c r="L42207" s="5"/>
      <c r="M42207" s="6"/>
      <c r="N42207" s="5"/>
      <c r="O42207" s="509"/>
      <c r="P42207" s="17"/>
      <c r="Q42207" s="3"/>
      <c r="R42207" s="7"/>
      <c r="S42207" s="8"/>
    </row>
    <row r="42209" spans="5:19" s="1" customFormat="1" ht="12">
      <c r="E42209" s="3"/>
      <c r="F42209" s="4"/>
      <c r="G42209" s="2"/>
      <c r="H42209" s="3"/>
      <c r="I42209" s="3"/>
      <c r="J42209" s="2"/>
      <c r="K42209" s="5"/>
      <c r="L42209" s="5"/>
      <c r="M42209" s="6"/>
      <c r="N42209" s="5"/>
      <c r="O42209" s="509"/>
      <c r="P42209" s="17"/>
      <c r="Q42209" s="3"/>
      <c r="R42209" s="7"/>
      <c r="S42209" s="8"/>
    </row>
    <row r="42218" spans="5:19" s="1" customFormat="1" ht="12">
      <c r="E42218" s="3"/>
      <c r="F42218" s="4"/>
      <c r="G42218" s="2"/>
      <c r="H42218" s="3"/>
      <c r="I42218" s="3"/>
      <c r="J42218" s="2"/>
      <c r="K42218" s="5"/>
      <c r="L42218" s="5"/>
      <c r="M42218" s="6"/>
      <c r="N42218" s="5"/>
      <c r="O42218" s="509"/>
      <c r="P42218" s="17"/>
      <c r="Q42218" s="3"/>
      <c r="R42218" s="7"/>
      <c r="S42218" s="8"/>
    </row>
    <row r="42219" spans="5:19" s="184" customFormat="1" ht="12">
      <c r="E42219" s="3"/>
      <c r="F42219" s="4"/>
      <c r="G42219" s="2"/>
      <c r="H42219" s="3"/>
      <c r="I42219" s="3"/>
      <c r="J42219" s="2"/>
      <c r="K42219" s="5"/>
      <c r="L42219" s="5"/>
      <c r="M42219" s="6"/>
      <c r="N42219" s="5"/>
      <c r="O42219" s="509"/>
      <c r="P42219" s="17"/>
      <c r="Q42219" s="3"/>
      <c r="R42219" s="7"/>
      <c r="S42219" s="8"/>
    </row>
    <row r="42220" spans="5:19" s="94" customFormat="1">
      <c r="E42220" s="3"/>
      <c r="F42220" s="4"/>
      <c r="G42220" s="2"/>
      <c r="H42220" s="3"/>
      <c r="I42220" s="3"/>
      <c r="J42220" s="2"/>
      <c r="K42220" s="5"/>
      <c r="L42220" s="5"/>
      <c r="M42220" s="6"/>
      <c r="N42220" s="5"/>
      <c r="O42220" s="509"/>
      <c r="P42220" s="17"/>
      <c r="Q42220" s="3"/>
      <c r="R42220" s="7"/>
      <c r="S42220" s="8"/>
    </row>
    <row r="42221" spans="5:19" s="94" customFormat="1">
      <c r="E42221" s="3"/>
      <c r="F42221" s="4"/>
      <c r="G42221" s="2"/>
      <c r="H42221" s="3"/>
      <c r="I42221" s="3"/>
      <c r="J42221" s="2"/>
      <c r="K42221" s="5"/>
      <c r="L42221" s="5"/>
      <c r="M42221" s="6"/>
      <c r="N42221" s="5"/>
      <c r="O42221" s="509"/>
      <c r="P42221" s="17"/>
      <c r="Q42221" s="3"/>
      <c r="R42221" s="7"/>
      <c r="S42221" s="8"/>
    </row>
    <row r="42224" spans="5:19" s="231" customFormat="1" ht="13.2">
      <c r="E42224" s="3"/>
      <c r="F42224" s="4"/>
      <c r="G42224" s="2"/>
      <c r="H42224" s="3"/>
      <c r="I42224" s="3"/>
      <c r="J42224" s="2"/>
      <c r="K42224" s="5"/>
      <c r="L42224" s="5"/>
      <c r="M42224" s="6"/>
      <c r="N42224" s="5"/>
      <c r="O42224" s="509"/>
      <c r="P42224" s="17"/>
      <c r="Q42224" s="3"/>
      <c r="R42224" s="7"/>
      <c r="S42224" s="8"/>
    </row>
    <row r="42229" spans="5:19" s="231" customFormat="1" ht="13.2">
      <c r="E42229" s="3"/>
      <c r="F42229" s="4"/>
      <c r="G42229" s="2"/>
      <c r="H42229" s="3"/>
      <c r="I42229" s="3"/>
      <c r="J42229" s="2"/>
      <c r="K42229" s="5"/>
      <c r="L42229" s="5"/>
      <c r="M42229" s="6"/>
      <c r="N42229" s="5"/>
      <c r="O42229" s="509"/>
      <c r="P42229" s="17"/>
      <c r="Q42229" s="3"/>
      <c r="R42229" s="7"/>
      <c r="S42229" s="8"/>
    </row>
    <row r="42230" spans="5:19" s="1" customFormat="1" ht="12">
      <c r="E42230" s="3"/>
      <c r="F42230" s="4"/>
      <c r="G42230" s="2"/>
      <c r="H42230" s="3"/>
      <c r="I42230" s="3"/>
      <c r="J42230" s="2"/>
      <c r="K42230" s="5"/>
      <c r="L42230" s="5"/>
      <c r="M42230" s="6"/>
      <c r="N42230" s="5"/>
      <c r="O42230" s="509"/>
      <c r="P42230" s="17"/>
      <c r="Q42230" s="3"/>
      <c r="R42230" s="7"/>
      <c r="S42230" s="8"/>
    </row>
    <row r="42231" spans="5:19" s="1" customFormat="1" ht="12">
      <c r="E42231" s="3"/>
      <c r="F42231" s="4"/>
      <c r="G42231" s="2"/>
      <c r="H42231" s="3"/>
      <c r="I42231" s="3"/>
      <c r="J42231" s="2"/>
      <c r="K42231" s="5"/>
      <c r="L42231" s="5"/>
      <c r="M42231" s="6"/>
      <c r="N42231" s="5"/>
      <c r="O42231" s="509"/>
      <c r="P42231" s="17"/>
      <c r="Q42231" s="3"/>
      <c r="R42231" s="7"/>
      <c r="S42231" s="8"/>
    </row>
    <row r="42232" spans="5:19" s="184" customFormat="1" ht="12">
      <c r="E42232" s="3"/>
      <c r="F42232" s="4"/>
      <c r="G42232" s="2"/>
      <c r="H42232" s="3"/>
      <c r="I42232" s="3"/>
      <c r="J42232" s="2"/>
      <c r="K42232" s="5"/>
      <c r="L42232" s="5"/>
      <c r="M42232" s="6"/>
      <c r="N42232" s="5"/>
      <c r="O42232" s="509"/>
      <c r="P42232" s="17"/>
      <c r="Q42232" s="3"/>
      <c r="R42232" s="7"/>
      <c r="S42232" s="8"/>
    </row>
    <row r="42233" spans="5:19" s="1" customFormat="1" ht="12">
      <c r="E42233" s="3"/>
      <c r="F42233" s="4"/>
      <c r="G42233" s="2"/>
      <c r="H42233" s="3"/>
      <c r="I42233" s="3"/>
      <c r="J42233" s="2"/>
      <c r="K42233" s="5"/>
      <c r="L42233" s="5"/>
      <c r="M42233" s="6"/>
      <c r="N42233" s="5"/>
      <c r="O42233" s="509"/>
      <c r="P42233" s="17"/>
      <c r="Q42233" s="3"/>
      <c r="R42233" s="7"/>
      <c r="S42233" s="8"/>
    </row>
    <row r="42237" spans="5:19" s="94" customFormat="1">
      <c r="E42237" s="3"/>
      <c r="F42237" s="4"/>
      <c r="G42237" s="2"/>
      <c r="H42237" s="3"/>
      <c r="I42237" s="3"/>
      <c r="J42237" s="2"/>
      <c r="K42237" s="5"/>
      <c r="L42237" s="5"/>
      <c r="M42237" s="6"/>
      <c r="N42237" s="5"/>
      <c r="O42237" s="509"/>
      <c r="P42237" s="17"/>
      <c r="Q42237" s="3"/>
      <c r="R42237" s="7"/>
      <c r="S42237" s="8"/>
    </row>
    <row r="42238" spans="5:19" s="231" customFormat="1" ht="13.2">
      <c r="E42238" s="3"/>
      <c r="F42238" s="4"/>
      <c r="G42238" s="2"/>
      <c r="H42238" s="3"/>
      <c r="I42238" s="3"/>
      <c r="J42238" s="2"/>
      <c r="K42238" s="5"/>
      <c r="L42238" s="5"/>
      <c r="M42238" s="6"/>
      <c r="N42238" s="5"/>
      <c r="O42238" s="509"/>
      <c r="P42238" s="17"/>
      <c r="Q42238" s="3"/>
      <c r="R42238" s="7"/>
      <c r="S42238" s="8"/>
    </row>
    <row r="42240" spans="5:19" s="1" customFormat="1" ht="12">
      <c r="E42240" s="3"/>
      <c r="F42240" s="4"/>
      <c r="G42240" s="2"/>
      <c r="H42240" s="3"/>
      <c r="I42240" s="3"/>
      <c r="J42240" s="2"/>
      <c r="K42240" s="5"/>
      <c r="L42240" s="5"/>
      <c r="M42240" s="6"/>
      <c r="N42240" s="5"/>
      <c r="O42240" s="509"/>
      <c r="P42240" s="17"/>
      <c r="Q42240" s="3"/>
      <c r="R42240" s="7"/>
      <c r="S42240" s="8"/>
    </row>
    <row r="42245" spans="5:19" s="184" customFormat="1" ht="12">
      <c r="E42245" s="3"/>
      <c r="F42245" s="4"/>
      <c r="G42245" s="2"/>
      <c r="H42245" s="3"/>
      <c r="I42245" s="3"/>
      <c r="J42245" s="2"/>
      <c r="K42245" s="5"/>
      <c r="L42245" s="5"/>
      <c r="M42245" s="6"/>
      <c r="N42245" s="5"/>
      <c r="O42245" s="509"/>
      <c r="P42245" s="17"/>
      <c r="Q42245" s="3"/>
      <c r="R42245" s="7"/>
      <c r="S42245" s="8"/>
    </row>
    <row r="42246" spans="5:19" s="94" customFormat="1">
      <c r="E42246" s="3"/>
      <c r="F42246" s="4"/>
      <c r="G42246" s="2"/>
      <c r="H42246" s="3"/>
      <c r="I42246" s="3"/>
      <c r="J42246" s="2"/>
      <c r="K42246" s="5"/>
      <c r="L42246" s="5"/>
      <c r="M42246" s="6"/>
      <c r="N42246" s="5"/>
      <c r="O42246" s="509"/>
      <c r="P42246" s="17"/>
      <c r="Q42246" s="3"/>
      <c r="R42246" s="7"/>
      <c r="S42246" s="8"/>
    </row>
    <row r="42247" spans="5:19" s="94" customFormat="1">
      <c r="E42247" s="3"/>
      <c r="F42247" s="4"/>
      <c r="G42247" s="2"/>
      <c r="H42247" s="3"/>
      <c r="I42247" s="3"/>
      <c r="J42247" s="2"/>
      <c r="K42247" s="5"/>
      <c r="L42247" s="5"/>
      <c r="M42247" s="6"/>
      <c r="N42247" s="5"/>
      <c r="O42247" s="509"/>
      <c r="P42247" s="17"/>
      <c r="Q42247" s="3"/>
      <c r="R42247" s="7"/>
      <c r="S42247" s="8"/>
    </row>
    <row r="42248" spans="5:19" s="94" customFormat="1">
      <c r="E42248" s="3"/>
      <c r="F42248" s="4"/>
      <c r="G42248" s="2"/>
      <c r="H42248" s="3"/>
      <c r="I42248" s="3"/>
      <c r="J42248" s="2"/>
      <c r="K42248" s="5"/>
      <c r="L42248" s="5"/>
      <c r="M42248" s="6"/>
      <c r="N42248" s="5"/>
      <c r="O42248" s="509"/>
      <c r="P42248" s="17"/>
      <c r="Q42248" s="3"/>
      <c r="R42248" s="7"/>
      <c r="S42248" s="8"/>
    </row>
    <row r="42249" spans="5:19" s="94" customFormat="1">
      <c r="E42249" s="3"/>
      <c r="F42249" s="4"/>
      <c r="G42249" s="2"/>
      <c r="H42249" s="3"/>
      <c r="I42249" s="3"/>
      <c r="J42249" s="2"/>
      <c r="K42249" s="5"/>
      <c r="L42249" s="5"/>
      <c r="M42249" s="6"/>
      <c r="N42249" s="5"/>
      <c r="O42249" s="509"/>
      <c r="P42249" s="17"/>
      <c r="Q42249" s="3"/>
      <c r="R42249" s="7"/>
      <c r="S42249" s="8"/>
    </row>
    <row r="42250" spans="5:19" s="94" customFormat="1">
      <c r="E42250" s="3"/>
      <c r="F42250" s="4"/>
      <c r="G42250" s="2"/>
      <c r="H42250" s="3"/>
      <c r="I42250" s="3"/>
      <c r="J42250" s="2"/>
      <c r="K42250" s="5"/>
      <c r="L42250" s="5"/>
      <c r="M42250" s="6"/>
      <c r="N42250" s="5"/>
      <c r="O42250" s="509"/>
      <c r="P42250" s="17"/>
      <c r="Q42250" s="3"/>
      <c r="R42250" s="7"/>
      <c r="S42250" s="8"/>
    </row>
    <row r="42251" spans="5:19" s="231" customFormat="1" ht="13.2">
      <c r="E42251" s="3"/>
      <c r="F42251" s="4"/>
      <c r="G42251" s="2"/>
      <c r="H42251" s="3"/>
      <c r="I42251" s="3"/>
      <c r="J42251" s="2"/>
      <c r="K42251" s="5"/>
      <c r="L42251" s="5"/>
      <c r="M42251" s="6"/>
      <c r="N42251" s="5"/>
      <c r="O42251" s="509"/>
      <c r="P42251" s="17"/>
      <c r="Q42251" s="3"/>
      <c r="R42251" s="7"/>
      <c r="S42251" s="8"/>
    </row>
    <row r="42256" spans="5:19" s="1" customFormat="1" ht="12">
      <c r="E42256" s="3"/>
      <c r="F42256" s="4"/>
      <c r="G42256" s="2"/>
      <c r="H42256" s="3"/>
      <c r="I42256" s="3"/>
      <c r="J42256" s="2"/>
      <c r="K42256" s="5"/>
      <c r="L42256" s="5"/>
      <c r="M42256" s="6"/>
      <c r="N42256" s="5"/>
      <c r="O42256" s="509"/>
      <c r="P42256" s="17"/>
      <c r="Q42256" s="3"/>
      <c r="R42256" s="7"/>
      <c r="S42256" s="8"/>
    </row>
    <row r="42257" spans="5:19" s="94" customFormat="1">
      <c r="E42257" s="3"/>
      <c r="F42257" s="4"/>
      <c r="G42257" s="2"/>
      <c r="H42257" s="3"/>
      <c r="I42257" s="3"/>
      <c r="J42257" s="2"/>
      <c r="K42257" s="5"/>
      <c r="L42257" s="5"/>
      <c r="M42257" s="6"/>
      <c r="N42257" s="5"/>
      <c r="O42257" s="509"/>
      <c r="P42257" s="17"/>
      <c r="Q42257" s="3"/>
      <c r="R42257" s="7"/>
      <c r="S42257" s="8"/>
    </row>
    <row r="42258" spans="5:19" s="94" customFormat="1">
      <c r="E42258" s="3"/>
      <c r="F42258" s="4"/>
      <c r="G42258" s="2"/>
      <c r="H42258" s="3"/>
      <c r="I42258" s="3"/>
      <c r="J42258" s="2"/>
      <c r="K42258" s="5"/>
      <c r="L42258" s="5"/>
      <c r="M42258" s="6"/>
      <c r="N42258" s="5"/>
      <c r="O42258" s="509"/>
      <c r="P42258" s="17"/>
      <c r="Q42258" s="3"/>
      <c r="R42258" s="7"/>
      <c r="S42258" s="8"/>
    </row>
    <row r="42260" spans="5:19" s="94" customFormat="1">
      <c r="E42260" s="3"/>
      <c r="F42260" s="4"/>
      <c r="G42260" s="2"/>
      <c r="H42260" s="3"/>
      <c r="I42260" s="3"/>
      <c r="J42260" s="2"/>
      <c r="K42260" s="5"/>
      <c r="L42260" s="5"/>
      <c r="M42260" s="6"/>
      <c r="N42260" s="5"/>
      <c r="O42260" s="509"/>
      <c r="P42260" s="17"/>
      <c r="Q42260" s="3"/>
      <c r="R42260" s="7"/>
      <c r="S42260" s="8"/>
    </row>
    <row r="42261" spans="5:19" s="94" customFormat="1">
      <c r="E42261" s="3"/>
      <c r="F42261" s="4"/>
      <c r="G42261" s="2"/>
      <c r="H42261" s="3"/>
      <c r="I42261" s="3"/>
      <c r="J42261" s="2"/>
      <c r="K42261" s="5"/>
      <c r="L42261" s="5"/>
      <c r="M42261" s="6"/>
      <c r="N42261" s="5"/>
      <c r="O42261" s="509"/>
      <c r="P42261" s="17"/>
      <c r="Q42261" s="3"/>
      <c r="R42261" s="7"/>
      <c r="S42261" s="8"/>
    </row>
    <row r="42262" spans="5:19" s="94" customFormat="1">
      <c r="E42262" s="3"/>
      <c r="F42262" s="4"/>
      <c r="G42262" s="2"/>
      <c r="H42262" s="3"/>
      <c r="I42262" s="3"/>
      <c r="J42262" s="2"/>
      <c r="K42262" s="5"/>
      <c r="L42262" s="5"/>
      <c r="M42262" s="6"/>
      <c r="N42262" s="5"/>
      <c r="O42262" s="509"/>
      <c r="P42262" s="17"/>
      <c r="Q42262" s="3"/>
      <c r="R42262" s="7"/>
      <c r="S42262" s="8"/>
    </row>
    <row r="42263" spans="5:19" s="94" customFormat="1">
      <c r="E42263" s="3"/>
      <c r="F42263" s="4"/>
      <c r="G42263" s="2"/>
      <c r="H42263" s="3"/>
      <c r="I42263" s="3"/>
      <c r="J42263" s="2"/>
      <c r="K42263" s="5"/>
      <c r="L42263" s="5"/>
      <c r="M42263" s="6"/>
      <c r="N42263" s="5"/>
      <c r="O42263" s="509"/>
      <c r="P42263" s="17"/>
      <c r="Q42263" s="3"/>
      <c r="R42263" s="7"/>
      <c r="S42263" s="8"/>
    </row>
    <row r="42264" spans="5:19" s="94" customFormat="1">
      <c r="E42264" s="3"/>
      <c r="F42264" s="4"/>
      <c r="G42264" s="2"/>
      <c r="H42264" s="3"/>
      <c r="I42264" s="3"/>
      <c r="J42264" s="2"/>
      <c r="K42264" s="5"/>
      <c r="L42264" s="5"/>
      <c r="M42264" s="6"/>
      <c r="N42264" s="5"/>
      <c r="O42264" s="509"/>
      <c r="P42264" s="17"/>
      <c r="Q42264" s="3"/>
      <c r="R42264" s="7"/>
      <c r="S42264" s="8"/>
    </row>
    <row r="42265" spans="5:19" s="91" customFormat="1">
      <c r="E42265" s="3"/>
      <c r="F42265" s="4"/>
      <c r="G42265" s="2"/>
      <c r="H42265" s="3"/>
      <c r="I42265" s="3"/>
      <c r="J42265" s="2"/>
      <c r="K42265" s="5"/>
      <c r="L42265" s="5"/>
      <c r="M42265" s="6"/>
      <c r="N42265" s="5"/>
      <c r="O42265" s="509"/>
      <c r="P42265" s="17"/>
      <c r="Q42265" s="3"/>
      <c r="R42265" s="7"/>
      <c r="S42265" s="8"/>
    </row>
    <row r="42266" spans="5:19" s="184" customFormat="1" ht="12">
      <c r="E42266" s="3"/>
      <c r="F42266" s="4"/>
      <c r="G42266" s="2"/>
      <c r="H42266" s="3"/>
      <c r="I42266" s="3"/>
      <c r="J42266" s="2"/>
      <c r="K42266" s="5"/>
      <c r="L42266" s="5"/>
      <c r="M42266" s="6"/>
      <c r="N42266" s="5"/>
      <c r="O42266" s="509"/>
      <c r="P42266" s="17"/>
      <c r="Q42266" s="3"/>
      <c r="R42266" s="7"/>
      <c r="S42266" s="8"/>
    </row>
    <row r="42267" spans="5:19" s="94" customFormat="1">
      <c r="E42267" s="3"/>
      <c r="F42267" s="4"/>
      <c r="G42267" s="2"/>
      <c r="H42267" s="3"/>
      <c r="I42267" s="3"/>
      <c r="J42267" s="2"/>
      <c r="K42267" s="5"/>
      <c r="L42267" s="5"/>
      <c r="M42267" s="6"/>
      <c r="N42267" s="5"/>
      <c r="O42267" s="509"/>
      <c r="P42267" s="17"/>
      <c r="Q42267" s="3"/>
      <c r="R42267" s="7"/>
      <c r="S42267" s="8"/>
    </row>
    <row r="42269" spans="5:19" s="91" customFormat="1">
      <c r="E42269" s="3"/>
      <c r="F42269" s="4"/>
      <c r="G42269" s="2"/>
      <c r="H42269" s="3"/>
      <c r="I42269" s="3"/>
      <c r="J42269" s="2"/>
      <c r="K42269" s="5"/>
      <c r="L42269" s="5"/>
      <c r="M42269" s="6"/>
      <c r="N42269" s="5"/>
      <c r="O42269" s="509"/>
      <c r="P42269" s="17"/>
      <c r="Q42269" s="3"/>
      <c r="R42269" s="7"/>
      <c r="S42269" s="8"/>
    </row>
    <row r="42270" spans="5:19" s="110" customFormat="1" ht="12">
      <c r="E42270" s="3"/>
      <c r="F42270" s="4"/>
      <c r="G42270" s="2"/>
      <c r="H42270" s="3"/>
      <c r="I42270" s="3"/>
      <c r="J42270" s="2"/>
      <c r="K42270" s="5"/>
      <c r="L42270" s="5"/>
      <c r="M42270" s="6"/>
      <c r="N42270" s="5"/>
      <c r="O42270" s="509"/>
      <c r="P42270" s="17"/>
      <c r="Q42270" s="3"/>
      <c r="R42270" s="7"/>
      <c r="S42270" s="8"/>
    </row>
    <row r="42271" spans="5:19" s="94" customFormat="1">
      <c r="E42271" s="3"/>
      <c r="F42271" s="4"/>
      <c r="G42271" s="2"/>
      <c r="H42271" s="3"/>
      <c r="I42271" s="3"/>
      <c r="J42271" s="2"/>
      <c r="K42271" s="5"/>
      <c r="L42271" s="5"/>
      <c r="M42271" s="6"/>
      <c r="N42271" s="5"/>
      <c r="O42271" s="509"/>
      <c r="P42271" s="17"/>
      <c r="Q42271" s="3"/>
      <c r="R42271" s="7"/>
      <c r="S42271" s="8"/>
    </row>
    <row r="42272" spans="5:19" s="94" customFormat="1">
      <c r="E42272" s="3"/>
      <c r="F42272" s="4"/>
      <c r="G42272" s="2"/>
      <c r="H42272" s="3"/>
      <c r="I42272" s="3"/>
      <c r="J42272" s="2"/>
      <c r="K42272" s="5"/>
      <c r="L42272" s="5"/>
      <c r="M42272" s="6"/>
      <c r="N42272" s="5"/>
      <c r="O42272" s="509"/>
      <c r="P42272" s="17"/>
      <c r="Q42272" s="3"/>
      <c r="R42272" s="7"/>
      <c r="S42272" s="8"/>
    </row>
    <row r="42273" spans="5:19" s="94" customFormat="1">
      <c r="E42273" s="3"/>
      <c r="F42273" s="4"/>
      <c r="G42273" s="2"/>
      <c r="H42273" s="3"/>
      <c r="I42273" s="3"/>
      <c r="J42273" s="2"/>
      <c r="K42273" s="5"/>
      <c r="L42273" s="5"/>
      <c r="M42273" s="6"/>
      <c r="N42273" s="5"/>
      <c r="O42273" s="509"/>
      <c r="P42273" s="17"/>
      <c r="Q42273" s="3"/>
      <c r="R42273" s="7"/>
      <c r="S42273" s="8"/>
    </row>
    <row r="42274" spans="5:19" s="94" customFormat="1">
      <c r="E42274" s="3"/>
      <c r="F42274" s="4"/>
      <c r="G42274" s="2"/>
      <c r="H42274" s="3"/>
      <c r="I42274" s="3"/>
      <c r="J42274" s="2"/>
      <c r="K42274" s="5"/>
      <c r="L42274" s="5"/>
      <c r="M42274" s="6"/>
      <c r="N42274" s="5"/>
      <c r="O42274" s="509"/>
      <c r="P42274" s="17"/>
      <c r="Q42274" s="3"/>
      <c r="R42274" s="7"/>
      <c r="S42274" s="8"/>
    </row>
    <row r="42275" spans="5:19" s="184" customFormat="1" ht="12">
      <c r="E42275" s="3"/>
      <c r="F42275" s="4"/>
      <c r="G42275" s="2"/>
      <c r="H42275" s="3"/>
      <c r="I42275" s="3"/>
      <c r="J42275" s="2"/>
      <c r="K42275" s="5"/>
      <c r="L42275" s="5"/>
      <c r="M42275" s="6"/>
      <c r="N42275" s="5"/>
      <c r="O42275" s="509"/>
      <c r="P42275" s="17"/>
      <c r="Q42275" s="3"/>
      <c r="R42275" s="7"/>
      <c r="S42275" s="8"/>
    </row>
    <row r="42276" spans="5:19" s="1" customFormat="1" ht="12">
      <c r="E42276" s="3"/>
      <c r="F42276" s="4"/>
      <c r="G42276" s="2"/>
      <c r="H42276" s="3"/>
      <c r="I42276" s="3"/>
      <c r="J42276" s="2"/>
      <c r="K42276" s="5"/>
      <c r="L42276" s="5"/>
      <c r="M42276" s="6"/>
      <c r="N42276" s="5"/>
      <c r="O42276" s="509"/>
      <c r="P42276" s="17"/>
      <c r="Q42276" s="3"/>
      <c r="R42276" s="7"/>
      <c r="S42276" s="8"/>
    </row>
    <row r="42280" spans="5:19" s="94" customFormat="1">
      <c r="E42280" s="3"/>
      <c r="F42280" s="4"/>
      <c r="G42280" s="2"/>
      <c r="H42280" s="3"/>
      <c r="I42280" s="3"/>
      <c r="J42280" s="2"/>
      <c r="K42280" s="5"/>
      <c r="L42280" s="5"/>
      <c r="M42280" s="6"/>
      <c r="N42280" s="5"/>
      <c r="O42280" s="509"/>
      <c r="P42280" s="17"/>
      <c r="Q42280" s="3"/>
      <c r="R42280" s="7"/>
      <c r="S42280" s="8"/>
    </row>
    <row r="42281" spans="5:19" s="1" customFormat="1" ht="12">
      <c r="E42281" s="3"/>
      <c r="F42281" s="4"/>
      <c r="G42281" s="2"/>
      <c r="H42281" s="3"/>
      <c r="I42281" s="3"/>
      <c r="J42281" s="2"/>
      <c r="K42281" s="5"/>
      <c r="L42281" s="5"/>
      <c r="M42281" s="6"/>
      <c r="N42281" s="5"/>
      <c r="O42281" s="509"/>
      <c r="P42281" s="17"/>
      <c r="Q42281" s="3"/>
      <c r="R42281" s="7"/>
      <c r="S42281" s="8"/>
    </row>
    <row r="42286" spans="5:19" s="231" customFormat="1" ht="13.2">
      <c r="E42286" s="3"/>
      <c r="F42286" s="4"/>
      <c r="G42286" s="2"/>
      <c r="H42286" s="3"/>
      <c r="I42286" s="3"/>
      <c r="J42286" s="2"/>
      <c r="K42286" s="5"/>
      <c r="L42286" s="5"/>
      <c r="M42286" s="6"/>
      <c r="N42286" s="5"/>
      <c r="O42286" s="509"/>
      <c r="P42286" s="17"/>
      <c r="Q42286" s="3"/>
      <c r="R42286" s="7"/>
      <c r="S42286" s="8"/>
    </row>
  </sheetData>
  <mergeCells count="23">
    <mergeCell ref="B399:E399"/>
    <mergeCell ref="B423:E423"/>
    <mergeCell ref="B428:E428"/>
    <mergeCell ref="B437:E437"/>
    <mergeCell ref="B450:E450"/>
    <mergeCell ref="B367:E367"/>
    <mergeCell ref="B147:E147"/>
    <mergeCell ref="B202:E202"/>
    <mergeCell ref="B212:E212"/>
    <mergeCell ref="B248:E248"/>
    <mergeCell ref="B264:E264"/>
    <mergeCell ref="B275:E275"/>
    <mergeCell ref="B286:E286"/>
    <mergeCell ref="B310:E310"/>
    <mergeCell ref="B321:E321"/>
    <mergeCell ref="B349:E349"/>
    <mergeCell ref="C351:E351"/>
    <mergeCell ref="B78:E78"/>
    <mergeCell ref="O2:P2"/>
    <mergeCell ref="B4:E4"/>
    <mergeCell ref="S4:T4"/>
    <mergeCell ref="B5:E5"/>
    <mergeCell ref="B62:E62"/>
  </mergeCells>
  <phoneticPr fontId="31" type="noConversion"/>
  <pageMargins left="0.25" right="0.25" top="0.75" bottom="0.75" header="0.3" footer="0.3"/>
  <pageSetup paperSize="9" scale="62" fitToHeight="0" orientation="landscape" r:id="rId1"/>
  <headerFooter>
    <oddHeader>Page &amp;P&amp;RN2 Mduna River - Estimate_16032025</oddHeader>
    <oddFooter>&amp;LEstimate @ 17/03/2025</oddFooter>
  </headerFooter>
  <rowBreaks count="5" manualBreakCount="5">
    <brk id="76" max="25" man="1"/>
    <brk id="145" max="25" man="1"/>
    <brk id="246" max="25" man="1"/>
    <brk id="347" max="25" man="1"/>
    <brk id="448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F7D6-A416-4655-AE50-AF37D04F1FBB}">
  <sheetPr>
    <pageSetUpPr fitToPage="1"/>
  </sheetPr>
  <dimension ref="A1:BA69"/>
  <sheetViews>
    <sheetView tabSelected="1" view="pageBreakPreview" topLeftCell="A2" zoomScale="90" zoomScaleNormal="145" zoomScaleSheetLayoutView="90" workbookViewId="0">
      <selection activeCell="H53" sqref="H53"/>
    </sheetView>
  </sheetViews>
  <sheetFormatPr defaultRowHeight="13.8"/>
  <cols>
    <col min="1" max="1" width="13.19921875" customWidth="1"/>
    <col min="2" max="2" width="79.3984375" style="358" customWidth="1"/>
    <col min="3" max="3" width="19.59765625" customWidth="1"/>
    <col min="4" max="4" width="18.69921875" style="552" bestFit="1" customWidth="1"/>
    <col min="5" max="5" width="10.8984375" hidden="1" customWidth="1"/>
    <col min="6" max="6" width="16.69921875" style="566" bestFit="1" customWidth="1"/>
    <col min="7" max="7" width="16.09765625" customWidth="1"/>
    <col min="8" max="8" width="15.19921875" bestFit="1" customWidth="1"/>
  </cols>
  <sheetData>
    <row r="1" spans="1:8" ht="19.8" customHeight="1">
      <c r="A1" s="609" t="s">
        <v>717</v>
      </c>
      <c r="B1" s="609"/>
      <c r="C1" s="609"/>
      <c r="D1" s="609"/>
    </row>
    <row r="2" spans="1:8" ht="20.100000000000001" customHeight="1" thickBot="1">
      <c r="A2" s="231"/>
      <c r="B2" s="338"/>
      <c r="C2" s="231"/>
      <c r="D2" s="527"/>
    </row>
    <row r="3" spans="1:8" ht="19.95" customHeight="1" thickBot="1">
      <c r="A3" s="339" t="s">
        <v>718</v>
      </c>
      <c r="B3" s="340"/>
      <c r="C3" s="341"/>
      <c r="D3" s="528"/>
    </row>
    <row r="4" spans="1:8" ht="15" customHeight="1" thickBot="1">
      <c r="A4" s="342" t="s">
        <v>719</v>
      </c>
      <c r="B4" s="343" t="s">
        <v>2</v>
      </c>
      <c r="C4" s="344" t="s">
        <v>729</v>
      </c>
      <c r="D4" s="529" t="s">
        <v>730</v>
      </c>
      <c r="F4" s="561" t="s">
        <v>984</v>
      </c>
      <c r="G4" s="561" t="s">
        <v>988</v>
      </c>
    </row>
    <row r="5" spans="1:8" ht="15" customHeight="1">
      <c r="A5" s="345" t="s">
        <v>12</v>
      </c>
      <c r="B5" s="346" t="s">
        <v>13</v>
      </c>
      <c r="C5" s="347">
        <f>+BOQ!N60</f>
        <v>19376146</v>
      </c>
      <c r="D5" s="530">
        <f>+BOQ!O60</f>
        <v>896592.6</v>
      </c>
      <c r="F5" s="568">
        <f>C5-D5</f>
        <v>18479553.399999999</v>
      </c>
    </row>
    <row r="6" spans="1:8" ht="15" customHeight="1">
      <c r="A6" s="345" t="s">
        <v>104</v>
      </c>
      <c r="B6" s="346" t="s">
        <v>105</v>
      </c>
      <c r="C6" s="348">
        <f>+BOQ!N76</f>
        <v>24229674.5</v>
      </c>
      <c r="D6" s="531">
        <f>+BOQ!O76</f>
        <v>18978234.5</v>
      </c>
      <c r="F6" s="568">
        <f t="shared" ref="F6:F22" si="0">C6-D6</f>
        <v>5251440</v>
      </c>
      <c r="G6" s="587">
        <f>BOQ!Z76</f>
        <v>4615878.5</v>
      </c>
      <c r="H6" s="591">
        <f>G6/(G26-G6)</f>
        <v>4.3281456047199761E-2</v>
      </c>
    </row>
    <row r="7" spans="1:8" ht="15" customHeight="1">
      <c r="A7" s="349" t="s">
        <v>127</v>
      </c>
      <c r="B7" s="350" t="s">
        <v>128</v>
      </c>
      <c r="C7" s="348">
        <f>+BOQ!N145</f>
        <v>2871850</v>
      </c>
      <c r="D7" s="531">
        <f>+BOQ!O145</f>
        <v>2033976.7429</v>
      </c>
      <c r="F7" s="568">
        <f t="shared" si="0"/>
        <v>837873.25710000005</v>
      </c>
    </row>
    <row r="8" spans="1:8" ht="15" customHeight="1">
      <c r="A8" s="349" t="s">
        <v>249</v>
      </c>
      <c r="B8" s="350" t="s">
        <v>250</v>
      </c>
      <c r="C8" s="348">
        <f>+BOQ!N200</f>
        <v>7659396</v>
      </c>
      <c r="D8" s="531">
        <f>+BOQ!O200</f>
        <v>7440918</v>
      </c>
      <c r="F8" s="568">
        <f t="shared" si="0"/>
        <v>218478</v>
      </c>
    </row>
    <row r="9" spans="1:8" ht="15" customHeight="1">
      <c r="A9" s="349" t="s">
        <v>325</v>
      </c>
      <c r="B9" s="350" t="s">
        <v>326</v>
      </c>
      <c r="C9" s="348">
        <f>+BOQ!N210</f>
        <v>3305250</v>
      </c>
      <c r="D9" s="531">
        <f>+BOQ!O210</f>
        <v>934370</v>
      </c>
      <c r="F9" s="568">
        <f t="shared" si="0"/>
        <v>2370880</v>
      </c>
    </row>
    <row r="10" spans="1:8" ht="15" customHeight="1">
      <c r="A10" s="349" t="s">
        <v>342</v>
      </c>
      <c r="B10" s="350" t="s">
        <v>343</v>
      </c>
      <c r="C10" s="348">
        <f>+BOQ!N246</f>
        <v>3460162.5</v>
      </c>
      <c r="D10" s="531">
        <f>+BOQ!O246</f>
        <v>1980663</v>
      </c>
      <c r="F10" s="568">
        <f t="shared" si="0"/>
        <v>1479499.5</v>
      </c>
    </row>
    <row r="11" spans="1:8" ht="15" customHeight="1">
      <c r="A11" s="349" t="s">
        <v>398</v>
      </c>
      <c r="B11" s="350" t="s">
        <v>399</v>
      </c>
      <c r="C11" s="348">
        <f>+BOQ!N262</f>
        <v>3657850</v>
      </c>
      <c r="D11" s="531">
        <f>+BOQ!O262</f>
        <v>1509792.0083333333</v>
      </c>
      <c r="F11" s="568">
        <f t="shared" si="0"/>
        <v>2148057.9916666667</v>
      </c>
    </row>
    <row r="12" spans="1:8" ht="15" customHeight="1">
      <c r="A12" s="349" t="s">
        <v>419</v>
      </c>
      <c r="B12" s="351" t="s">
        <v>420</v>
      </c>
      <c r="C12" s="348">
        <f>+BOQ!N273</f>
        <v>1100000</v>
      </c>
      <c r="D12" s="531">
        <f>+BOQ!O273</f>
        <v>0</v>
      </c>
      <c r="F12" s="568">
        <f t="shared" si="0"/>
        <v>1100000</v>
      </c>
    </row>
    <row r="13" spans="1:8" ht="15" customHeight="1">
      <c r="A13" s="349" t="s">
        <v>427</v>
      </c>
      <c r="B13" s="350" t="s">
        <v>428</v>
      </c>
      <c r="C13" s="348">
        <f>+BOQ!N284</f>
        <v>84940</v>
      </c>
      <c r="D13" s="531">
        <f>+BOQ!O284</f>
        <v>0</v>
      </c>
      <c r="F13" s="568">
        <f t="shared" si="0"/>
        <v>84940</v>
      </c>
    </row>
    <row r="14" spans="1:8" s="552" customFormat="1" ht="15" customHeight="1">
      <c r="A14" s="570" t="s">
        <v>443</v>
      </c>
      <c r="B14" s="571" t="s">
        <v>444</v>
      </c>
      <c r="C14" s="526">
        <f>BOQ!N308</f>
        <v>8268600</v>
      </c>
      <c r="D14" s="531">
        <f>+BOQ!O308</f>
        <v>3608965.3499999996</v>
      </c>
      <c r="F14" s="572">
        <f t="shared" si="0"/>
        <v>4659634.6500000004</v>
      </c>
      <c r="G14" s="588">
        <f>BOQ!Z308</f>
        <v>6251557.9942000005</v>
      </c>
    </row>
    <row r="15" spans="1:8" ht="15" customHeight="1">
      <c r="A15" s="349" t="s">
        <v>469</v>
      </c>
      <c r="B15" s="350" t="s">
        <v>470</v>
      </c>
      <c r="C15" s="348">
        <f>+BOQ!N319</f>
        <v>1292500</v>
      </c>
      <c r="D15" s="531">
        <f>+BOQ!O319</f>
        <v>1480600</v>
      </c>
      <c r="F15" s="568">
        <f t="shared" si="0"/>
        <v>-188100</v>
      </c>
      <c r="G15" s="587">
        <f>BOQ!Z319</f>
        <v>1036966.5000000001</v>
      </c>
    </row>
    <row r="16" spans="1:8" s="468" customFormat="1" ht="15" customHeight="1">
      <c r="A16" s="562" t="s">
        <v>478</v>
      </c>
      <c r="B16" s="563" t="s">
        <v>479</v>
      </c>
      <c r="C16" s="564">
        <f>BOQ!N347</f>
        <v>62069100</v>
      </c>
      <c r="D16" s="565">
        <f>+BOQ!O347</f>
        <v>106746019.24999999</v>
      </c>
      <c r="F16" s="568">
        <f t="shared" si="0"/>
        <v>-44676919.249999985</v>
      </c>
      <c r="G16" s="589">
        <f>BOQ!Z347</f>
        <v>96068323.764400005</v>
      </c>
      <c r="H16" s="590">
        <f>D16-G16</f>
        <v>10677695.48559998</v>
      </c>
    </row>
    <row r="17" spans="1:8" ht="15" customHeight="1">
      <c r="A17" s="349" t="s">
        <v>526</v>
      </c>
      <c r="B17" s="350" t="s">
        <v>527</v>
      </c>
      <c r="C17" s="348">
        <f>+BOQ!N365</f>
        <v>9066350</v>
      </c>
      <c r="D17" s="531">
        <f>+BOQ!O365</f>
        <v>12816736.842105262</v>
      </c>
      <c r="F17" s="568">
        <f t="shared" si="0"/>
        <v>-3750386.842105262</v>
      </c>
    </row>
    <row r="18" spans="1:8" ht="15" customHeight="1">
      <c r="A18" s="349" t="s">
        <v>550</v>
      </c>
      <c r="B18" s="350" t="s">
        <v>551</v>
      </c>
      <c r="C18" s="348">
        <f>+BOQ!N397</f>
        <v>328800</v>
      </c>
      <c r="D18" s="531">
        <f>+BOQ!O397</f>
        <v>148179.40000000002</v>
      </c>
      <c r="F18" s="568">
        <f t="shared" si="0"/>
        <v>180620.59999999998</v>
      </c>
    </row>
    <row r="19" spans="1:8" s="552" customFormat="1" ht="15" customHeight="1">
      <c r="A19" s="570" t="s">
        <v>595</v>
      </c>
      <c r="B19" s="571" t="s">
        <v>596</v>
      </c>
      <c r="C19" s="526">
        <f>+BOQ!N421</f>
        <v>8361450</v>
      </c>
      <c r="D19" s="531">
        <f>+BOQ!O421</f>
        <v>8089502.7439999999</v>
      </c>
      <c r="F19" s="572">
        <f t="shared" si="0"/>
        <v>271947.25600000005</v>
      </c>
      <c r="G19" s="588">
        <f>BOQ!Z421</f>
        <v>2761842.7747520003</v>
      </c>
    </row>
    <row r="20" spans="1:8" ht="15" customHeight="1">
      <c r="A20" s="349" t="s">
        <v>639</v>
      </c>
      <c r="B20" s="350" t="s">
        <v>640</v>
      </c>
      <c r="C20" s="348">
        <f>+BOQ!N426</f>
        <v>423700</v>
      </c>
      <c r="D20" s="531">
        <f>+BOQ!O426</f>
        <v>423700</v>
      </c>
      <c r="E20" s="499"/>
      <c r="F20" s="568">
        <f t="shared" si="0"/>
        <v>0</v>
      </c>
      <c r="G20" s="587">
        <f>BOQ!Z426</f>
        <v>296097.17</v>
      </c>
    </row>
    <row r="21" spans="1:8" ht="15" customHeight="1">
      <c r="A21" s="393" t="s">
        <v>647</v>
      </c>
      <c r="B21" s="352" t="s">
        <v>648</v>
      </c>
      <c r="C21" s="353">
        <f>+BOQ!N435</f>
        <v>390785</v>
      </c>
      <c r="D21" s="531">
        <f>+BOQ!O435</f>
        <v>269065</v>
      </c>
      <c r="F21" s="568">
        <f t="shared" si="0"/>
        <v>121720</v>
      </c>
      <c r="G21" s="587">
        <f>BOQ!Z435</f>
        <v>233160.40000000002</v>
      </c>
    </row>
    <row r="22" spans="1:8" ht="15" customHeight="1">
      <c r="A22" s="394" t="s">
        <v>658</v>
      </c>
      <c r="B22" s="354" t="s">
        <v>661</v>
      </c>
      <c r="C22" s="355">
        <f>+BOQ!N448</f>
        <v>585000</v>
      </c>
      <c r="D22" s="532">
        <f>+BOQ!O448</f>
        <v>-4365000</v>
      </c>
      <c r="F22" s="568">
        <f t="shared" si="0"/>
        <v>4950000</v>
      </c>
    </row>
    <row r="23" spans="1:8" ht="15" customHeight="1">
      <c r="A23" s="395"/>
      <c r="B23" s="357"/>
      <c r="C23" s="391"/>
      <c r="D23" s="533"/>
    </row>
    <row r="24" spans="1:8" ht="15" customHeight="1">
      <c r="A24" s="395"/>
      <c r="B24" s="357"/>
      <c r="C24" s="391"/>
      <c r="D24" s="533"/>
    </row>
    <row r="25" spans="1:8" s="358" customFormat="1" ht="14.4" thickBot="1">
      <c r="A25" s="396"/>
      <c r="B25" s="397"/>
      <c r="C25" s="398"/>
      <c r="D25" s="534"/>
      <c r="E25"/>
      <c r="F25" s="566"/>
    </row>
    <row r="26" spans="1:8" ht="14.4" thickBot="1">
      <c r="A26" s="610" t="s">
        <v>720</v>
      </c>
      <c r="B26" s="611"/>
      <c r="C26" s="392">
        <f>SUM(C5:C22)</f>
        <v>156531554</v>
      </c>
      <c r="D26" s="535">
        <f>SUM(D5:D22)</f>
        <v>162992315.43733859</v>
      </c>
      <c r="F26" s="568">
        <f>SUM(D5:D25)-D16+F16</f>
        <v>11569376.93733862</v>
      </c>
      <c r="G26" s="359">
        <f>SUM(G5:G22)</f>
        <v>111263827.10335203</v>
      </c>
      <c r="H26" s="590">
        <f>D26-G26</f>
        <v>51728488.333986565</v>
      </c>
    </row>
    <row r="27" spans="1:8" ht="15" customHeight="1" thickBot="1">
      <c r="A27" s="360"/>
      <c r="C27" s="361"/>
      <c r="D27" s="536"/>
      <c r="E27" s="37"/>
      <c r="F27" s="37"/>
    </row>
    <row r="28" spans="1:8" s="365" customFormat="1" ht="18" customHeight="1" thickBot="1">
      <c r="A28" s="362" t="s">
        <v>721</v>
      </c>
      <c r="B28" s="363"/>
      <c r="C28" s="364">
        <f>C26</f>
        <v>156531554</v>
      </c>
      <c r="D28" s="537">
        <f>D26</f>
        <v>162992315.43733859</v>
      </c>
      <c r="E28" s="537">
        <f t="shared" ref="E28:F28" si="1">E26</f>
        <v>0</v>
      </c>
      <c r="F28" s="537">
        <f t="shared" si="1"/>
        <v>11569376.93733862</v>
      </c>
      <c r="G28" s="364">
        <f>G26</f>
        <v>111263827.10335203</v>
      </c>
    </row>
    <row r="29" spans="1:8" s="365" customFormat="1" ht="18" customHeight="1" thickBot="1">
      <c r="A29" s="366"/>
      <c r="B29" s="363"/>
      <c r="C29" s="367"/>
      <c r="D29" s="538"/>
      <c r="E29" s="37"/>
      <c r="F29" s="37"/>
    </row>
    <row r="30" spans="1:8" ht="15" customHeight="1" thickBot="1">
      <c r="A30" s="342" t="s">
        <v>719</v>
      </c>
      <c r="B30" s="368"/>
      <c r="C30" s="369"/>
      <c r="D30" s="539"/>
      <c r="E30" s="37"/>
      <c r="F30" s="37"/>
    </row>
    <row r="31" spans="1:8">
      <c r="A31" s="370" t="s">
        <v>660</v>
      </c>
      <c r="B31" s="346" t="s">
        <v>675</v>
      </c>
      <c r="C31" s="371">
        <f>+BOQ!N483</f>
        <v>18154356</v>
      </c>
      <c r="D31" s="540">
        <f>BOQ!O483</f>
        <v>11695833.6</v>
      </c>
      <c r="E31" s="540">
        <f>BOQ!P483</f>
        <v>6458522.4000000004</v>
      </c>
      <c r="F31" s="540">
        <f>D31</f>
        <v>11695833.6</v>
      </c>
    </row>
    <row r="32" spans="1:8" ht="15" customHeight="1" thickBot="1">
      <c r="A32" s="372"/>
      <c r="B32" s="373"/>
      <c r="C32" s="374"/>
      <c r="D32" s="541"/>
      <c r="E32" s="37"/>
      <c r="F32" s="37"/>
    </row>
    <row r="33" spans="1:53" ht="15" customHeight="1" thickBot="1">
      <c r="A33" s="375" t="s">
        <v>722</v>
      </c>
      <c r="B33" s="363"/>
      <c r="C33" s="359">
        <f>SUM(C31:C32)</f>
        <v>18154356</v>
      </c>
      <c r="D33" s="542">
        <f>SUM(D31:D32)</f>
        <v>11695833.6</v>
      </c>
      <c r="E33" s="542">
        <f t="shared" ref="E33:F33" si="2">SUM(E31:E32)</f>
        <v>6458522.4000000004</v>
      </c>
      <c r="F33" s="542">
        <f t="shared" si="2"/>
        <v>11695833.6</v>
      </c>
    </row>
    <row r="34" spans="1:53" ht="15" customHeight="1" thickBot="1">
      <c r="D34" s="543"/>
      <c r="E34" s="37"/>
      <c r="F34" s="37"/>
    </row>
    <row r="35" spans="1:53" ht="15" customHeight="1" thickBot="1">
      <c r="A35" s="362" t="s">
        <v>723</v>
      </c>
      <c r="B35" s="376"/>
      <c r="C35" s="377">
        <f>SUM(C28+C33)</f>
        <v>174685910</v>
      </c>
      <c r="D35" s="544">
        <f>SUM(D28+D33)</f>
        <v>174688149.03733858</v>
      </c>
      <c r="E35" s="544">
        <f t="shared" ref="E35:F35" si="3">SUM(E28+E33)</f>
        <v>6458522.4000000004</v>
      </c>
      <c r="F35" s="544">
        <f t="shared" si="3"/>
        <v>23265210.537338622</v>
      </c>
    </row>
    <row r="36" spans="1:53" ht="15" customHeight="1">
      <c r="D36" s="543"/>
      <c r="E36" s="37"/>
      <c r="F36" s="567">
        <f>C35-F35</f>
        <v>151420699.46266139</v>
      </c>
      <c r="G36" s="569"/>
      <c r="H36" s="37"/>
      <c r="I36" s="37"/>
    </row>
    <row r="37" spans="1:53">
      <c r="A37" s="378" t="s">
        <v>724</v>
      </c>
      <c r="D37" s="545"/>
    </row>
    <row r="38" spans="1:53" ht="14.4" thickBot="1">
      <c r="D38" s="543"/>
    </row>
    <row r="39" spans="1:53">
      <c r="A39" s="612" t="s">
        <v>725</v>
      </c>
      <c r="B39" s="613"/>
      <c r="C39" s="379">
        <f>C28</f>
        <v>156531554</v>
      </c>
      <c r="D39" s="546">
        <f>D28</f>
        <v>162992315.43733859</v>
      </c>
      <c r="G39" s="379">
        <f>G28</f>
        <v>111263827.10335203</v>
      </c>
    </row>
    <row r="40" spans="1:53" ht="28.2" customHeight="1" thickBot="1">
      <c r="A40" s="614" t="s">
        <v>722</v>
      </c>
      <c r="B40" s="615"/>
      <c r="C40" s="380">
        <f>C33</f>
        <v>18154356</v>
      </c>
      <c r="D40" s="547">
        <f>D33</f>
        <v>11695833.6</v>
      </c>
      <c r="J40" s="37"/>
      <c r="K40" s="37"/>
      <c r="L40" s="37"/>
    </row>
    <row r="41" spans="1:53" ht="16.8" thickTop="1" thickBot="1">
      <c r="A41" s="381" t="s">
        <v>726</v>
      </c>
      <c r="B41" s="382"/>
      <c r="C41" s="383">
        <f>SUM(C39:C40)</f>
        <v>174685910</v>
      </c>
      <c r="D41" s="548">
        <f>SUM(D39:D40)</f>
        <v>174688149.03733858</v>
      </c>
      <c r="G41" s="383">
        <f>SUM(G39:G40)</f>
        <v>111263827.10335203</v>
      </c>
      <c r="J41" s="37"/>
      <c r="K41" s="37"/>
      <c r="L41" s="37"/>
    </row>
    <row r="42" spans="1:53" ht="16.2" thickTop="1" thickBot="1">
      <c r="A42" s="384" t="s">
        <v>727</v>
      </c>
      <c r="B42" s="385"/>
      <c r="C42" s="386">
        <f>C41*15%</f>
        <v>26202886.5</v>
      </c>
      <c r="D42" s="549">
        <f>D41*15%</f>
        <v>26203222.355600785</v>
      </c>
      <c r="G42" s="386">
        <f>G41*15%</f>
        <v>16689574.065502804</v>
      </c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</row>
    <row r="43" spans="1:53" ht="16.8" thickTop="1" thickBot="1">
      <c r="A43" s="387" t="s">
        <v>728</v>
      </c>
      <c r="B43" s="388"/>
      <c r="C43" s="389">
        <f>C41+C42</f>
        <v>200888796.5</v>
      </c>
      <c r="D43" s="550">
        <f>D41+D42</f>
        <v>200891371.39293936</v>
      </c>
      <c r="G43" s="389">
        <f>G41+G42</f>
        <v>127953401.16885483</v>
      </c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</row>
    <row r="44" spans="1:53">
      <c r="A44" s="37"/>
      <c r="B44" s="390"/>
      <c r="C44" s="37"/>
      <c r="D44" s="525">
        <f>C43-D43</f>
        <v>-2574.8929393589497</v>
      </c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</row>
    <row r="45" spans="1:53">
      <c r="A45" s="37"/>
      <c r="B45" s="390"/>
      <c r="C45" s="37"/>
      <c r="D45" s="551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</row>
    <row r="46" spans="1:53">
      <c r="A46" s="37"/>
      <c r="B46" s="390"/>
      <c r="C46" s="37"/>
      <c r="D46" s="551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</row>
    <row r="47" spans="1:53">
      <c r="A47" s="37"/>
      <c r="B47" s="390"/>
      <c r="C47" s="37"/>
      <c r="D47" s="551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</row>
    <row r="48" spans="1:53">
      <c r="A48" s="37"/>
      <c r="B48" s="390"/>
      <c r="C48" s="37"/>
      <c r="D48" s="551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</row>
    <row r="49" spans="1:53">
      <c r="A49" s="37"/>
      <c r="B49" s="390"/>
      <c r="C49" s="37"/>
      <c r="D49" s="551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</row>
    <row r="50" spans="1:53">
      <c r="A50" s="37"/>
      <c r="B50" s="390"/>
      <c r="C50" s="37"/>
      <c r="D50" s="551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</row>
    <row r="51" spans="1:53">
      <c r="A51" s="37"/>
      <c r="B51" s="390"/>
      <c r="C51" s="37"/>
      <c r="D51" s="551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</row>
    <row r="52" spans="1:53">
      <c r="A52" s="37"/>
      <c r="B52" s="390"/>
      <c r="C52" s="37"/>
      <c r="D52" s="551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</row>
    <row r="53" spans="1:53">
      <c r="A53" s="37"/>
      <c r="B53" s="390"/>
      <c r="C53" s="37"/>
      <c r="D53" s="551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</row>
    <row r="54" spans="1:53">
      <c r="A54" s="37"/>
      <c r="B54" s="390"/>
      <c r="C54" s="37"/>
      <c r="D54" s="551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</row>
    <row r="55" spans="1:53">
      <c r="A55" s="37"/>
      <c r="B55" s="390"/>
      <c r="C55" s="37"/>
      <c r="D55" s="551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</row>
    <row r="56" spans="1:53">
      <c r="A56" s="37"/>
      <c r="B56" s="390"/>
      <c r="C56" s="37"/>
      <c r="D56" s="551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</row>
    <row r="57" spans="1:53">
      <c r="A57" s="37"/>
      <c r="B57" s="390"/>
      <c r="C57" s="37"/>
      <c r="D57" s="551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</row>
    <row r="58" spans="1:53">
      <c r="A58" s="37"/>
      <c r="B58" s="390"/>
      <c r="C58" s="37"/>
      <c r="D58" s="551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</row>
    <row r="59" spans="1:53">
      <c r="A59" s="37"/>
      <c r="B59" s="390"/>
      <c r="C59" s="37"/>
      <c r="D59" s="551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</row>
    <row r="60" spans="1:53">
      <c r="A60" s="37"/>
      <c r="B60" s="390"/>
      <c r="C60" s="37"/>
      <c r="D60" s="551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</row>
    <row r="61" spans="1:53">
      <c r="A61" s="37"/>
      <c r="B61" s="390"/>
      <c r="C61" s="37"/>
      <c r="D61" s="551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</row>
    <row r="62" spans="1:53">
      <c r="A62" s="37"/>
      <c r="B62" s="390"/>
      <c r="C62" s="37"/>
      <c r="D62" s="551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</row>
    <row r="63" spans="1:53">
      <c r="F63" s="37"/>
      <c r="G63" s="37"/>
    </row>
    <row r="64" spans="1:53">
      <c r="F64" s="37"/>
      <c r="G64" s="37"/>
    </row>
    <row r="65" spans="6:7">
      <c r="F65" s="37"/>
      <c r="G65" s="37"/>
    </row>
    <row r="66" spans="6:7">
      <c r="F66" s="37"/>
      <c r="G66" s="37"/>
    </row>
    <row r="67" spans="6:7">
      <c r="F67" s="37"/>
      <c r="G67" s="37"/>
    </row>
    <row r="68" spans="6:7">
      <c r="F68" s="37"/>
      <c r="G68" s="37"/>
    </row>
    <row r="69" spans="6:7">
      <c r="F69" s="37"/>
      <c r="G69" s="37"/>
    </row>
  </sheetData>
  <mergeCells count="4">
    <mergeCell ref="A1:D1"/>
    <mergeCell ref="A26:B26"/>
    <mergeCell ref="A39:B39"/>
    <mergeCell ref="A40:B40"/>
  </mergeCells>
  <pageMargins left="0.25" right="0.25" top="0.75" bottom="0.75" header="0.3" footer="0.3"/>
  <pageSetup paperSize="9" scale="80" fitToHeight="0" orientation="landscape" r:id="rId1"/>
  <headerFooter>
    <oddHeader>Page &amp;P&amp;RN2 Mduna River - Estimate_16032025</oddHeader>
    <oddFooter>&amp;LEstimate @ 17/03/2025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F757-694C-46FD-A517-7AB8606DC696}">
  <dimension ref="A1:X58"/>
  <sheetViews>
    <sheetView zoomScaleNormal="100" workbookViewId="0">
      <selection activeCell="F20" sqref="F20"/>
    </sheetView>
  </sheetViews>
  <sheetFormatPr defaultRowHeight="13.8"/>
  <cols>
    <col min="3" max="3" width="3.296875" customWidth="1"/>
    <col min="4" max="4" width="3" customWidth="1"/>
    <col min="5" max="5" width="47.19921875" customWidth="1"/>
    <col min="6" max="6" width="11.8984375" customWidth="1"/>
    <col min="7" max="7" width="10.19921875" customWidth="1"/>
    <col min="9" max="9" width="15.19921875" customWidth="1"/>
  </cols>
  <sheetData>
    <row r="1" spans="1:24">
      <c r="A1" s="596" t="s">
        <v>1</v>
      </c>
      <c r="B1" s="596"/>
      <c r="C1" s="596"/>
      <c r="D1" s="596"/>
      <c r="E1" s="20" t="s">
        <v>2</v>
      </c>
      <c r="F1" s="19" t="s">
        <v>3</v>
      </c>
      <c r="G1" s="19" t="s">
        <v>741</v>
      </c>
      <c r="H1" s="19" t="s">
        <v>740</v>
      </c>
      <c r="I1" s="19" t="s">
        <v>742</v>
      </c>
      <c r="N1" s="618" t="s">
        <v>802</v>
      </c>
      <c r="O1" s="618"/>
      <c r="P1" s="618"/>
      <c r="Q1" s="618"/>
      <c r="R1" s="618"/>
      <c r="S1" s="618"/>
      <c r="T1" s="618"/>
      <c r="U1" s="618"/>
      <c r="V1" s="618"/>
      <c r="W1" s="618"/>
      <c r="X1" s="618"/>
    </row>
    <row r="2" spans="1:24" ht="14.4" thickBot="1">
      <c r="A2" s="592" t="s">
        <v>526</v>
      </c>
      <c r="B2" s="593"/>
      <c r="C2" s="593"/>
      <c r="D2" s="594"/>
      <c r="E2" s="265" t="s">
        <v>527</v>
      </c>
      <c r="F2" s="1"/>
      <c r="G2" s="155"/>
      <c r="H2" s="408"/>
      <c r="I2" s="408"/>
      <c r="N2" s="624"/>
      <c r="O2" s="624"/>
      <c r="P2" s="624"/>
      <c r="Q2" s="624"/>
      <c r="R2" s="624"/>
      <c r="S2" s="624"/>
      <c r="T2" s="624"/>
      <c r="U2" s="624"/>
      <c r="V2" s="624"/>
      <c r="W2" s="624"/>
      <c r="X2" s="624"/>
    </row>
    <row r="3" spans="1:24" ht="25.2" customHeight="1" thickBot="1">
      <c r="A3" s="27" t="s">
        <v>528</v>
      </c>
      <c r="B3" s="59"/>
      <c r="C3" s="59"/>
      <c r="D3" s="60"/>
      <c r="E3" s="196" t="s">
        <v>529</v>
      </c>
      <c r="F3" s="62"/>
      <c r="G3" s="63"/>
      <c r="H3" s="408"/>
      <c r="I3" s="408"/>
      <c r="M3" s="433" t="s">
        <v>803</v>
      </c>
      <c r="N3" s="434" t="s">
        <v>804</v>
      </c>
      <c r="O3" s="435" t="s">
        <v>805</v>
      </c>
      <c r="P3" s="435" t="s">
        <v>806</v>
      </c>
      <c r="Q3" s="435" t="s">
        <v>807</v>
      </c>
      <c r="R3" s="436" t="s">
        <v>808</v>
      </c>
      <c r="S3" s="436" t="s">
        <v>809</v>
      </c>
      <c r="T3" s="436" t="s">
        <v>810</v>
      </c>
      <c r="U3" s="436" t="s">
        <v>811</v>
      </c>
      <c r="V3" s="622" t="s">
        <v>812</v>
      </c>
      <c r="W3" s="622"/>
      <c r="X3" s="623"/>
    </row>
    <row r="4" spans="1:24" ht="22.8">
      <c r="A4" s="187"/>
      <c r="B4" s="604" t="s">
        <v>530</v>
      </c>
      <c r="C4" s="604"/>
      <c r="D4" s="605"/>
      <c r="E4" s="197" t="s">
        <v>531</v>
      </c>
      <c r="F4" s="74"/>
      <c r="G4" s="274"/>
      <c r="H4" s="408"/>
      <c r="I4" s="408"/>
      <c r="M4" s="437">
        <v>1</v>
      </c>
      <c r="N4" s="438">
        <v>55.4</v>
      </c>
      <c r="O4" s="439">
        <v>55.37</v>
      </c>
      <c r="P4" s="439">
        <f>N4-O4</f>
        <v>3.0000000000001137E-2</v>
      </c>
      <c r="Q4" s="440">
        <v>55.699999999999996</v>
      </c>
      <c r="R4" s="440">
        <v>0.33147000000000004</v>
      </c>
      <c r="S4" s="440">
        <f t="shared" ref="S4:S26" si="0">+R4-T4-U4</f>
        <v>0.29337000000000002</v>
      </c>
      <c r="T4" s="440">
        <f>1.905*10/1000</f>
        <v>1.9050000000000001E-2</v>
      </c>
      <c r="U4" s="440">
        <f>+T4</f>
        <v>1.9050000000000001E-2</v>
      </c>
      <c r="V4" s="625"/>
      <c r="W4" s="625"/>
      <c r="X4" s="626"/>
    </row>
    <row r="5" spans="1:24">
      <c r="A5" s="187"/>
      <c r="B5" s="300"/>
      <c r="C5" s="300" t="s">
        <v>67</v>
      </c>
      <c r="D5" s="301"/>
      <c r="E5" s="197" t="s">
        <v>532</v>
      </c>
      <c r="F5" s="74" t="s">
        <v>40</v>
      </c>
      <c r="G5" s="429">
        <f>G26</f>
        <v>8800</v>
      </c>
      <c r="H5" s="274">
        <v>1000</v>
      </c>
      <c r="I5" s="402">
        <f t="shared" ref="I5:I14" si="1">G5*H5</f>
        <v>8800000</v>
      </c>
      <c r="M5" s="442">
        <v>2</v>
      </c>
      <c r="N5" s="438">
        <v>56.2</v>
      </c>
      <c r="O5" s="443">
        <v>56.33</v>
      </c>
      <c r="P5" s="443">
        <f>O5-N5</f>
        <v>0.12999999999999545</v>
      </c>
      <c r="Q5" s="440">
        <v>56.342999999999996</v>
      </c>
      <c r="R5" s="440">
        <v>1.524E-2</v>
      </c>
      <c r="S5" s="440">
        <f t="shared" si="0"/>
        <v>1.524E-2</v>
      </c>
      <c r="T5" s="440">
        <v>0</v>
      </c>
      <c r="U5" s="440">
        <v>0</v>
      </c>
      <c r="V5" s="616" t="s">
        <v>813</v>
      </c>
      <c r="W5" s="616"/>
      <c r="X5" s="617"/>
    </row>
    <row r="6" spans="1:24">
      <c r="A6" s="187"/>
      <c r="B6" s="126" t="s">
        <v>533</v>
      </c>
      <c r="C6" s="59"/>
      <c r="D6" s="60"/>
      <c r="E6" s="197" t="s">
        <v>534</v>
      </c>
      <c r="F6" s="62"/>
      <c r="G6" s="63"/>
      <c r="H6" s="274"/>
      <c r="I6" s="402"/>
      <c r="M6" s="442">
        <v>3</v>
      </c>
      <c r="N6" s="444">
        <v>56.34</v>
      </c>
      <c r="O6" s="443">
        <v>56.42</v>
      </c>
      <c r="P6" s="443">
        <f>O6-N6</f>
        <v>7.9999999999998295E-2</v>
      </c>
      <c r="Q6" s="440">
        <v>56.596000000000004</v>
      </c>
      <c r="R6" s="440">
        <v>0.17526</v>
      </c>
      <c r="S6" s="440">
        <f t="shared" si="0"/>
        <v>0.13715999999999998</v>
      </c>
      <c r="T6" s="440">
        <f t="shared" ref="T6:T26" si="2">1.905*10/1000</f>
        <v>1.9050000000000001E-2</v>
      </c>
      <c r="U6" s="440">
        <f t="shared" ref="U6:U26" si="3">+T6</f>
        <v>1.9050000000000001E-2</v>
      </c>
      <c r="V6" s="616"/>
      <c r="W6" s="616"/>
      <c r="X6" s="617"/>
    </row>
    <row r="7" spans="1:24">
      <c r="A7" s="51"/>
      <c r="B7" s="40"/>
      <c r="C7" s="52" t="s">
        <v>67</v>
      </c>
      <c r="D7" s="53"/>
      <c r="E7" s="197" t="s">
        <v>535</v>
      </c>
      <c r="F7" s="55" t="s">
        <v>143</v>
      </c>
      <c r="G7" s="429">
        <v>0</v>
      </c>
      <c r="H7" s="274">
        <v>800</v>
      </c>
      <c r="I7" s="402">
        <f t="shared" si="1"/>
        <v>0</v>
      </c>
      <c r="M7" s="442">
        <v>4</v>
      </c>
      <c r="N7" s="444">
        <v>57.4</v>
      </c>
      <c r="O7" s="443">
        <v>57.5</v>
      </c>
      <c r="P7" s="443">
        <f>O7-N7</f>
        <v>0.10000000000000142</v>
      </c>
      <c r="Q7" s="440">
        <v>57.752000000000002</v>
      </c>
      <c r="R7" s="440">
        <v>0.25146000000000002</v>
      </c>
      <c r="S7" s="440">
        <f t="shared" si="0"/>
        <v>0.21335999999999999</v>
      </c>
      <c r="T7" s="440">
        <f t="shared" si="2"/>
        <v>1.9050000000000001E-2</v>
      </c>
      <c r="U7" s="440">
        <f t="shared" si="3"/>
        <v>1.9050000000000001E-2</v>
      </c>
      <c r="V7" s="616"/>
      <c r="W7" s="616"/>
      <c r="X7" s="617"/>
    </row>
    <row r="8" spans="1:24">
      <c r="A8" s="38" t="s">
        <v>536</v>
      </c>
      <c r="B8" s="59"/>
      <c r="C8" s="59"/>
      <c r="D8" s="60"/>
      <c r="E8" s="196" t="s">
        <v>537</v>
      </c>
      <c r="F8" s="290"/>
      <c r="G8" s="274"/>
      <c r="H8" s="274"/>
      <c r="I8" s="402"/>
      <c r="M8" s="442">
        <v>5</v>
      </c>
      <c r="N8" s="444">
        <v>58.2</v>
      </c>
      <c r="O8" s="443">
        <v>58.3</v>
      </c>
      <c r="P8" s="443">
        <f>O8-N8</f>
        <v>9.9999999999994316E-2</v>
      </c>
      <c r="Q8" s="440">
        <v>58.465999999999994</v>
      </c>
      <c r="R8" s="440">
        <v>0.16764000000000001</v>
      </c>
      <c r="S8" s="440">
        <f t="shared" si="0"/>
        <v>0.12953999999999999</v>
      </c>
      <c r="T8" s="440">
        <f t="shared" si="2"/>
        <v>1.9050000000000001E-2</v>
      </c>
      <c r="U8" s="440">
        <f t="shared" si="3"/>
        <v>1.9050000000000001E-2</v>
      </c>
      <c r="V8" s="616"/>
      <c r="W8" s="616"/>
      <c r="X8" s="617"/>
    </row>
    <row r="9" spans="1:24">
      <c r="A9" s="51"/>
      <c r="B9" s="52" t="s">
        <v>538</v>
      </c>
      <c r="C9" s="40"/>
      <c r="D9" s="53"/>
      <c r="E9" s="197" t="s">
        <v>539</v>
      </c>
      <c r="F9" s="55" t="s">
        <v>143</v>
      </c>
      <c r="G9" s="44">
        <f>(G5/3.8)/2</f>
        <v>1157.8947368421054</v>
      </c>
      <c r="H9" s="274">
        <v>15</v>
      </c>
      <c r="I9" s="402">
        <f>G9*H9</f>
        <v>17368.42105263158</v>
      </c>
      <c r="M9" s="442">
        <v>6</v>
      </c>
      <c r="N9" s="444">
        <v>59.4</v>
      </c>
      <c r="O9" s="443">
        <v>59.420999999999999</v>
      </c>
      <c r="P9" s="443">
        <f>O9-N9</f>
        <v>2.1000000000000796E-2</v>
      </c>
      <c r="Q9" s="440">
        <v>59.585000000000001</v>
      </c>
      <c r="R9" s="440">
        <v>0.16383</v>
      </c>
      <c r="S9" s="440">
        <f t="shared" si="0"/>
        <v>0.12572999999999998</v>
      </c>
      <c r="T9" s="440">
        <f t="shared" si="2"/>
        <v>1.9050000000000001E-2</v>
      </c>
      <c r="U9" s="440">
        <f t="shared" si="3"/>
        <v>1.9050000000000001E-2</v>
      </c>
      <c r="V9" s="616"/>
      <c r="W9" s="616"/>
      <c r="X9" s="617"/>
    </row>
    <row r="10" spans="1:24">
      <c r="A10" s="38" t="s">
        <v>540</v>
      </c>
      <c r="B10" s="59"/>
      <c r="C10" s="59"/>
      <c r="D10" s="60"/>
      <c r="E10" s="196" t="s">
        <v>541</v>
      </c>
      <c r="F10" s="55" t="s">
        <v>40</v>
      </c>
      <c r="G10" s="424">
        <f>G26</f>
        <v>8800</v>
      </c>
      <c r="H10" s="274">
        <v>380</v>
      </c>
      <c r="I10" s="402">
        <f>G10*H10</f>
        <v>3344000</v>
      </c>
      <c r="M10" s="442">
        <v>7</v>
      </c>
      <c r="N10" s="444">
        <v>60.6</v>
      </c>
      <c r="O10" s="443">
        <v>60.59</v>
      </c>
      <c r="P10" s="443">
        <f>N10-O10</f>
        <v>9.9999999999980105E-3</v>
      </c>
      <c r="Q10" s="440">
        <v>60.722000000000001</v>
      </c>
      <c r="R10" s="440">
        <v>0.13335</v>
      </c>
      <c r="S10" s="440">
        <f t="shared" si="0"/>
        <v>9.5250000000000001E-2</v>
      </c>
      <c r="T10" s="440">
        <f t="shared" si="2"/>
        <v>1.9050000000000001E-2</v>
      </c>
      <c r="U10" s="440">
        <f t="shared" si="3"/>
        <v>1.9050000000000001E-2</v>
      </c>
      <c r="V10" s="616"/>
      <c r="W10" s="616"/>
      <c r="X10" s="617"/>
    </row>
    <row r="11" spans="1:24">
      <c r="A11" s="38" t="s">
        <v>542</v>
      </c>
      <c r="B11" s="59"/>
      <c r="C11" s="59"/>
      <c r="D11" s="60"/>
      <c r="E11" s="196" t="s">
        <v>543</v>
      </c>
      <c r="F11" s="55" t="s">
        <v>143</v>
      </c>
      <c r="G11" s="44">
        <f>G26/3.8</f>
        <v>2315.7894736842109</v>
      </c>
      <c r="H11" s="274">
        <v>55</v>
      </c>
      <c r="I11" s="402">
        <f t="shared" si="1"/>
        <v>127368.4210526316</v>
      </c>
      <c r="M11" s="442">
        <v>8</v>
      </c>
      <c r="N11" s="444">
        <v>61.8</v>
      </c>
      <c r="O11" s="443">
        <v>61.9</v>
      </c>
      <c r="P11" s="443">
        <f>O11-N11</f>
        <v>0.10000000000000142</v>
      </c>
      <c r="Q11" s="440">
        <v>62.125</v>
      </c>
      <c r="R11" s="440">
        <v>0.22478999999999999</v>
      </c>
      <c r="S11" s="440">
        <f t="shared" si="0"/>
        <v>0.18668999999999997</v>
      </c>
      <c r="T11" s="440">
        <f t="shared" si="2"/>
        <v>1.9050000000000001E-2</v>
      </c>
      <c r="U11" s="440">
        <f t="shared" si="3"/>
        <v>1.9050000000000001E-2</v>
      </c>
      <c r="V11" s="616"/>
      <c r="W11" s="616"/>
      <c r="X11" s="617"/>
    </row>
    <row r="12" spans="1:24">
      <c r="A12" s="38" t="s">
        <v>544</v>
      </c>
      <c r="B12" s="59"/>
      <c r="C12" s="59"/>
      <c r="D12" s="60"/>
      <c r="E12" s="196" t="s">
        <v>545</v>
      </c>
      <c r="F12" s="290"/>
      <c r="G12" s="291"/>
      <c r="H12" s="274"/>
      <c r="I12" s="402">
        <f t="shared" si="1"/>
        <v>0</v>
      </c>
      <c r="M12" s="442">
        <v>9</v>
      </c>
      <c r="N12" s="444">
        <v>63.2</v>
      </c>
      <c r="O12" s="443">
        <v>63.23</v>
      </c>
      <c r="P12" s="443">
        <f>O12-N12</f>
        <v>2.9999999999994031E-2</v>
      </c>
      <c r="Q12" s="440">
        <v>63.288999999999994</v>
      </c>
      <c r="R12" s="440">
        <v>6.096E-2</v>
      </c>
      <c r="S12" s="440">
        <f t="shared" si="0"/>
        <v>2.2860000000000002E-2</v>
      </c>
      <c r="T12" s="440">
        <f t="shared" si="2"/>
        <v>1.9050000000000001E-2</v>
      </c>
      <c r="U12" s="440">
        <f t="shared" si="3"/>
        <v>1.9050000000000001E-2</v>
      </c>
      <c r="V12" s="616"/>
      <c r="W12" s="616"/>
      <c r="X12" s="617"/>
    </row>
    <row r="13" spans="1:24">
      <c r="A13" s="187"/>
      <c r="B13" s="52" t="s">
        <v>546</v>
      </c>
      <c r="C13" s="59"/>
      <c r="D13" s="60"/>
      <c r="E13" s="197" t="s">
        <v>547</v>
      </c>
      <c r="F13" s="55" t="s">
        <v>40</v>
      </c>
      <c r="G13" s="44">
        <f>G26</f>
        <v>8800</v>
      </c>
      <c r="H13" s="274">
        <v>60</v>
      </c>
      <c r="I13" s="402">
        <f t="shared" si="1"/>
        <v>528000</v>
      </c>
      <c r="M13" s="442">
        <v>10</v>
      </c>
      <c r="N13" s="444">
        <v>64.2</v>
      </c>
      <c r="O13" s="443">
        <v>64.135000000000005</v>
      </c>
      <c r="P13" s="443">
        <f>N13-O13</f>
        <v>6.4999999999997726E-2</v>
      </c>
      <c r="Q13" s="440">
        <v>64.25800000000001</v>
      </c>
      <c r="R13" s="440">
        <v>0.12192</v>
      </c>
      <c r="S13" s="440">
        <f t="shared" si="0"/>
        <v>8.3820000000000006E-2</v>
      </c>
      <c r="T13" s="440">
        <f t="shared" si="2"/>
        <v>1.9050000000000001E-2</v>
      </c>
      <c r="U13" s="440">
        <f t="shared" si="3"/>
        <v>1.9050000000000001E-2</v>
      </c>
      <c r="V13" s="616"/>
      <c r="W13" s="616"/>
      <c r="X13" s="617"/>
    </row>
    <row r="14" spans="1:24">
      <c r="A14" s="187"/>
      <c r="B14" s="52" t="s">
        <v>548</v>
      </c>
      <c r="C14" s="59"/>
      <c r="D14" s="60"/>
      <c r="E14" s="197" t="s">
        <v>549</v>
      </c>
      <c r="F14" s="55" t="s">
        <v>40</v>
      </c>
      <c r="G14" s="44">
        <v>0</v>
      </c>
      <c r="H14" s="274">
        <v>80</v>
      </c>
      <c r="I14" s="402">
        <f t="shared" si="1"/>
        <v>0</v>
      </c>
      <c r="M14" s="442">
        <v>11</v>
      </c>
      <c r="N14" s="444">
        <v>65.599999999999994</v>
      </c>
      <c r="O14" s="443">
        <v>65.67</v>
      </c>
      <c r="P14" s="443">
        <f>O14-N14</f>
        <v>7.000000000000739E-2</v>
      </c>
      <c r="Q14" s="440">
        <v>65.861999999999995</v>
      </c>
      <c r="R14" s="440">
        <v>0.1905</v>
      </c>
      <c r="S14" s="440">
        <f t="shared" si="0"/>
        <v>0.15239999999999998</v>
      </c>
      <c r="T14" s="440">
        <f t="shared" si="2"/>
        <v>1.9050000000000001E-2</v>
      </c>
      <c r="U14" s="440">
        <f t="shared" si="3"/>
        <v>1.9050000000000001E-2</v>
      </c>
      <c r="V14" s="616"/>
      <c r="W14" s="616"/>
      <c r="X14" s="617"/>
    </row>
    <row r="15" spans="1:24">
      <c r="A15" s="38"/>
      <c r="B15" s="59"/>
      <c r="C15" s="59"/>
      <c r="D15" s="60"/>
      <c r="E15" s="196"/>
      <c r="F15" s="290"/>
      <c r="G15" s="291"/>
      <c r="H15" s="408"/>
      <c r="I15" s="408"/>
      <c r="M15" s="442">
        <v>12</v>
      </c>
      <c r="N15" s="444">
        <v>66.400000000000006</v>
      </c>
      <c r="O15" s="443">
        <v>66.489999999999995</v>
      </c>
      <c r="P15" s="443">
        <f>O15-N15</f>
        <v>8.99999999999892E-2</v>
      </c>
      <c r="Q15" s="440">
        <v>66.652999999999992</v>
      </c>
      <c r="R15" s="440">
        <v>0.16383</v>
      </c>
      <c r="S15" s="440">
        <f t="shared" si="0"/>
        <v>0.12572999999999998</v>
      </c>
      <c r="T15" s="440">
        <f t="shared" si="2"/>
        <v>1.9050000000000001E-2</v>
      </c>
      <c r="U15" s="440">
        <f t="shared" si="3"/>
        <v>1.9050000000000001E-2</v>
      </c>
      <c r="V15" s="616"/>
      <c r="W15" s="616"/>
      <c r="X15" s="617"/>
    </row>
    <row r="16" spans="1:24">
      <c r="H16" s="399" t="s">
        <v>768</v>
      </c>
      <c r="I16" s="420">
        <f>SUM(I3:I14)</f>
        <v>12816736.842105262</v>
      </c>
      <c r="M16" s="442">
        <v>13</v>
      </c>
      <c r="N16" s="444">
        <v>67</v>
      </c>
      <c r="O16" s="443">
        <v>66.951999999999998</v>
      </c>
      <c r="P16" s="443">
        <f>N16-O16</f>
        <v>4.8000000000001819E-2</v>
      </c>
      <c r="Q16" s="440">
        <v>67.084000000000003</v>
      </c>
      <c r="R16" s="440">
        <v>0.13335</v>
      </c>
      <c r="S16" s="440">
        <f t="shared" si="0"/>
        <v>9.5250000000000001E-2</v>
      </c>
      <c r="T16" s="440">
        <f t="shared" si="2"/>
        <v>1.9050000000000001E-2</v>
      </c>
      <c r="U16" s="440">
        <f t="shared" si="3"/>
        <v>1.9050000000000001E-2</v>
      </c>
      <c r="V16" s="616"/>
      <c r="W16" s="616"/>
      <c r="X16" s="617"/>
    </row>
    <row r="17" spans="6:24">
      <c r="M17" s="442">
        <v>14</v>
      </c>
      <c r="N17" s="444">
        <v>67.400000000000006</v>
      </c>
      <c r="O17" s="443">
        <v>67.42</v>
      </c>
      <c r="P17" s="443">
        <f>O17-N17</f>
        <v>1.9999999999996021E-2</v>
      </c>
      <c r="Q17" s="440">
        <v>67.626000000000005</v>
      </c>
      <c r="R17" s="440">
        <v>0.20574000000000001</v>
      </c>
      <c r="S17" s="440">
        <f t="shared" si="0"/>
        <v>0.16763999999999998</v>
      </c>
      <c r="T17" s="440">
        <f t="shared" si="2"/>
        <v>1.9050000000000001E-2</v>
      </c>
      <c r="U17" s="440">
        <f t="shared" si="3"/>
        <v>1.9050000000000001E-2</v>
      </c>
      <c r="V17" s="616"/>
      <c r="W17" s="616"/>
      <c r="X17" s="617"/>
    </row>
    <row r="18" spans="6:24">
      <c r="M18" s="442">
        <v>15</v>
      </c>
      <c r="N18" s="444">
        <v>68</v>
      </c>
      <c r="O18" s="443">
        <v>68.08</v>
      </c>
      <c r="P18" s="443">
        <f>O18-N18</f>
        <v>7.9999999999998295E-2</v>
      </c>
      <c r="Q18" s="440">
        <v>68.31</v>
      </c>
      <c r="R18" s="440">
        <v>0.2286</v>
      </c>
      <c r="S18" s="440">
        <f t="shared" si="0"/>
        <v>0.19049999999999997</v>
      </c>
      <c r="T18" s="440">
        <f t="shared" si="2"/>
        <v>1.9050000000000001E-2</v>
      </c>
      <c r="U18" s="440">
        <f t="shared" si="3"/>
        <v>1.9050000000000001E-2</v>
      </c>
      <c r="V18" s="616"/>
      <c r="W18" s="616"/>
      <c r="X18" s="617"/>
    </row>
    <row r="19" spans="6:24">
      <c r="M19" s="442">
        <v>16</v>
      </c>
      <c r="N19" s="444">
        <v>68.599999999999994</v>
      </c>
      <c r="O19" s="443">
        <v>68.650000000000006</v>
      </c>
      <c r="P19" s="443">
        <f>O19-N19</f>
        <v>5.0000000000011369E-2</v>
      </c>
      <c r="Q19" s="440">
        <v>68.847999999999999</v>
      </c>
      <c r="R19" s="440">
        <v>0.19812000000000002</v>
      </c>
      <c r="S19" s="440">
        <f t="shared" si="0"/>
        <v>0.16002</v>
      </c>
      <c r="T19" s="440">
        <f t="shared" si="2"/>
        <v>1.9050000000000001E-2</v>
      </c>
      <c r="U19" s="440">
        <f t="shared" si="3"/>
        <v>1.9050000000000001E-2</v>
      </c>
      <c r="V19" s="616"/>
      <c r="W19" s="616"/>
      <c r="X19" s="617"/>
    </row>
    <row r="20" spans="6:24">
      <c r="M20" s="442">
        <v>17</v>
      </c>
      <c r="N20" s="444">
        <v>69.2</v>
      </c>
      <c r="O20" s="443">
        <v>69.19</v>
      </c>
      <c r="P20" s="443">
        <f>N20-O20</f>
        <v>1.0000000000005116E-2</v>
      </c>
      <c r="Q20" s="440">
        <v>69.369</v>
      </c>
      <c r="R20" s="440">
        <v>0.17907000000000001</v>
      </c>
      <c r="S20" s="440">
        <f t="shared" si="0"/>
        <v>0.14096999999999998</v>
      </c>
      <c r="T20" s="440">
        <f t="shared" si="2"/>
        <v>1.9050000000000001E-2</v>
      </c>
      <c r="U20" s="440">
        <f t="shared" si="3"/>
        <v>1.9050000000000001E-2</v>
      </c>
      <c r="V20" s="616"/>
      <c r="W20" s="616"/>
      <c r="X20" s="617"/>
    </row>
    <row r="21" spans="6:24">
      <c r="F21" s="419"/>
      <c r="M21" s="442">
        <v>18</v>
      </c>
      <c r="N21" s="444">
        <v>69.599999999999994</v>
      </c>
      <c r="O21" s="443">
        <v>69.650000000000006</v>
      </c>
      <c r="P21" s="443">
        <f t="shared" ref="P21:P26" si="4">O21-N21</f>
        <v>5.0000000000011369E-2</v>
      </c>
      <c r="Q21" s="440">
        <v>69.734999999999999</v>
      </c>
      <c r="R21" s="440">
        <v>8.3820000000000006E-2</v>
      </c>
      <c r="S21" s="440">
        <f t="shared" si="0"/>
        <v>4.5720000000000011E-2</v>
      </c>
      <c r="T21" s="440">
        <f t="shared" si="2"/>
        <v>1.9050000000000001E-2</v>
      </c>
      <c r="U21" s="440">
        <f t="shared" si="3"/>
        <v>1.9050000000000001E-2</v>
      </c>
      <c r="V21" s="616"/>
      <c r="W21" s="616"/>
      <c r="X21" s="617"/>
    </row>
    <row r="22" spans="6:24">
      <c r="F22" s="419"/>
      <c r="G22" s="431"/>
      <c r="M22" s="442">
        <v>19</v>
      </c>
      <c r="N22" s="444">
        <v>70</v>
      </c>
      <c r="O22" s="443">
        <v>70.11</v>
      </c>
      <c r="P22" s="443">
        <f t="shared" si="4"/>
        <v>0.10999999999999943</v>
      </c>
      <c r="Q22" s="440">
        <v>70.203000000000003</v>
      </c>
      <c r="R22" s="440">
        <v>9.5250000000000001E-2</v>
      </c>
      <c r="S22" s="440">
        <f t="shared" si="0"/>
        <v>5.7150000000000006E-2</v>
      </c>
      <c r="T22" s="440">
        <f t="shared" si="2"/>
        <v>1.9050000000000001E-2</v>
      </c>
      <c r="U22" s="440">
        <f t="shared" si="3"/>
        <v>1.9050000000000001E-2</v>
      </c>
      <c r="V22" s="616"/>
      <c r="W22" s="616"/>
      <c r="X22" s="617"/>
    </row>
    <row r="23" spans="6:24">
      <c r="F23" s="419"/>
      <c r="G23" s="431"/>
      <c r="M23" s="442">
        <v>20</v>
      </c>
      <c r="N23" s="444">
        <v>71.2</v>
      </c>
      <c r="O23" s="443">
        <v>71.28</v>
      </c>
      <c r="P23" s="443">
        <f t="shared" si="4"/>
        <v>7.9999999999998295E-2</v>
      </c>
      <c r="Q23" s="440">
        <v>71.534999999999997</v>
      </c>
      <c r="R23" s="440">
        <v>0.25527</v>
      </c>
      <c r="S23" s="440">
        <f t="shared" si="0"/>
        <v>0.21716999999999997</v>
      </c>
      <c r="T23" s="440">
        <f t="shared" si="2"/>
        <v>1.9050000000000001E-2</v>
      </c>
      <c r="U23" s="440">
        <f t="shared" si="3"/>
        <v>1.9050000000000001E-2</v>
      </c>
      <c r="V23" s="616"/>
      <c r="W23" s="616"/>
      <c r="X23" s="617"/>
    </row>
    <row r="24" spans="6:24">
      <c r="F24" s="419"/>
      <c r="G24" s="427"/>
      <c r="M24" s="442">
        <v>21</v>
      </c>
      <c r="N24" s="444">
        <v>72.2</v>
      </c>
      <c r="O24" s="443">
        <v>72.319999999999993</v>
      </c>
      <c r="P24" s="443">
        <f t="shared" si="4"/>
        <v>0.11999999999999034</v>
      </c>
      <c r="Q24" s="440">
        <v>72.587999999999994</v>
      </c>
      <c r="R24" s="440">
        <v>0.26669999999999999</v>
      </c>
      <c r="S24" s="440">
        <f t="shared" si="0"/>
        <v>0.22859999999999997</v>
      </c>
      <c r="T24" s="440">
        <f t="shared" si="2"/>
        <v>1.9050000000000001E-2</v>
      </c>
      <c r="U24" s="440">
        <f t="shared" si="3"/>
        <v>1.9050000000000001E-2</v>
      </c>
      <c r="V24" s="616"/>
      <c r="W24" s="616"/>
      <c r="X24" s="617"/>
    </row>
    <row r="25" spans="6:24">
      <c r="F25" s="419"/>
      <c r="G25" s="427"/>
      <c r="M25" s="442">
        <v>22</v>
      </c>
      <c r="N25" s="444">
        <v>73.400000000000006</v>
      </c>
      <c r="O25" s="443">
        <v>73.510000000000005</v>
      </c>
      <c r="P25" s="443">
        <f t="shared" si="4"/>
        <v>0.10999999999999943</v>
      </c>
      <c r="Q25" s="440">
        <v>73.658000000000001</v>
      </c>
      <c r="R25" s="440">
        <v>0.14859</v>
      </c>
      <c r="S25" s="440">
        <f t="shared" si="0"/>
        <v>0.11048999999999999</v>
      </c>
      <c r="T25" s="440">
        <f t="shared" si="2"/>
        <v>1.9050000000000001E-2</v>
      </c>
      <c r="U25" s="440">
        <f t="shared" si="3"/>
        <v>1.9050000000000001E-2</v>
      </c>
      <c r="V25" s="616"/>
      <c r="W25" s="616"/>
      <c r="X25" s="617"/>
    </row>
    <row r="26" spans="6:24" ht="14.4" thickBot="1">
      <c r="F26" s="456" t="s">
        <v>801</v>
      </c>
      <c r="G26" s="457">
        <v>8800</v>
      </c>
      <c r="M26" s="445">
        <v>23</v>
      </c>
      <c r="N26" s="446">
        <v>74</v>
      </c>
      <c r="O26" s="447">
        <v>74.040000000000006</v>
      </c>
      <c r="P26" s="447">
        <f t="shared" si="4"/>
        <v>4.0000000000006253E-2</v>
      </c>
      <c r="Q26" s="447">
        <f>+O26+(R26/1000)</f>
        <v>74.040407670000008</v>
      </c>
      <c r="R26" s="448">
        <v>0.40767000000000003</v>
      </c>
      <c r="S26" s="448">
        <f t="shared" si="0"/>
        <v>0.36957000000000001</v>
      </c>
      <c r="T26" s="448">
        <f t="shared" si="2"/>
        <v>1.9050000000000001E-2</v>
      </c>
      <c r="U26" s="448">
        <f t="shared" si="3"/>
        <v>1.9050000000000001E-2</v>
      </c>
      <c r="V26" s="620"/>
      <c r="W26" s="620"/>
      <c r="X26" s="621"/>
    </row>
    <row r="27" spans="6:24" ht="14.4" thickBot="1">
      <c r="F27" s="419"/>
      <c r="G27" s="427"/>
      <c r="O27" s="618" t="s">
        <v>814</v>
      </c>
      <c r="P27" s="618"/>
      <c r="Q27" s="619"/>
      <c r="R27" s="450">
        <f>SUM(R4:R26)</f>
        <v>4.2024300000000006</v>
      </c>
      <c r="S27" s="451">
        <f>SUM(S4:S26)</f>
        <v>3.3642300000000001</v>
      </c>
      <c r="T27" s="451">
        <f>SUM(T4:T26)</f>
        <v>0.41910000000000014</v>
      </c>
      <c r="U27" s="452">
        <f>SUM(U4:U26)</f>
        <v>0.41910000000000014</v>
      </c>
    </row>
    <row r="28" spans="6:24">
      <c r="F28" s="419"/>
      <c r="G28" s="427"/>
    </row>
    <row r="29" spans="6:24">
      <c r="S29" s="453"/>
      <c r="T29" s="453"/>
      <c r="U29" s="453"/>
    </row>
    <row r="30" spans="6:24">
      <c r="S30" s="453"/>
    </row>
    <row r="32" spans="6:24">
      <c r="N32" s="618" t="s">
        <v>802</v>
      </c>
      <c r="O32" s="618"/>
      <c r="P32" s="618"/>
      <c r="Q32" s="618"/>
      <c r="R32" s="618"/>
      <c r="S32" s="618"/>
      <c r="T32" s="618"/>
      <c r="U32" s="618"/>
      <c r="V32" s="618"/>
      <c r="W32" s="618"/>
      <c r="X32" s="618"/>
    </row>
    <row r="33" spans="13:24" ht="14.4" thickBot="1">
      <c r="N33" s="624"/>
      <c r="O33" s="624"/>
      <c r="P33" s="624"/>
      <c r="Q33" s="624"/>
      <c r="R33" s="624"/>
      <c r="S33" s="624"/>
      <c r="T33" s="624"/>
      <c r="U33" s="624"/>
      <c r="V33" s="624"/>
      <c r="W33" s="624"/>
      <c r="X33" s="624"/>
    </row>
    <row r="34" spans="13:24" ht="55.8" thickBot="1">
      <c r="M34" s="433" t="s">
        <v>803</v>
      </c>
      <c r="N34" s="454" t="s">
        <v>804</v>
      </c>
      <c r="O34" s="436" t="s">
        <v>805</v>
      </c>
      <c r="P34" s="435" t="s">
        <v>807</v>
      </c>
      <c r="Q34" s="436" t="s">
        <v>807</v>
      </c>
      <c r="R34" s="436" t="s">
        <v>808</v>
      </c>
      <c r="S34" s="436" t="s">
        <v>809</v>
      </c>
      <c r="T34" s="436" t="s">
        <v>810</v>
      </c>
      <c r="U34" s="436" t="s">
        <v>811</v>
      </c>
      <c r="V34" s="622" t="s">
        <v>812</v>
      </c>
      <c r="W34" s="622"/>
      <c r="X34" s="623"/>
    </row>
    <row r="35" spans="13:24">
      <c r="M35" s="437">
        <v>1</v>
      </c>
      <c r="N35" s="438">
        <v>56.33</v>
      </c>
      <c r="O35" s="455">
        <v>56.33</v>
      </c>
      <c r="P35" s="439">
        <v>56.342999999999996</v>
      </c>
      <c r="Q35" s="440">
        <v>55.699999999999996</v>
      </c>
      <c r="R35" s="440">
        <v>0.14477999999999999</v>
      </c>
      <c r="S35" s="440">
        <f t="shared" ref="S35:S57" si="5">+R35-T35-U35</f>
        <v>0.14477999999999999</v>
      </c>
      <c r="T35" s="440">
        <v>0</v>
      </c>
      <c r="U35" s="440">
        <f t="shared" ref="U35:U57" si="6">+T35</f>
        <v>0</v>
      </c>
      <c r="V35" s="616" t="s">
        <v>813</v>
      </c>
      <c r="W35" s="616"/>
      <c r="X35" s="617"/>
    </row>
    <row r="36" spans="13:24">
      <c r="M36" s="442">
        <v>2</v>
      </c>
      <c r="N36" s="438">
        <v>56.619</v>
      </c>
      <c r="O36" s="443">
        <v>56.619</v>
      </c>
      <c r="P36" s="443">
        <v>56.762999999999998</v>
      </c>
      <c r="Q36" s="440">
        <v>56.342999999999996</v>
      </c>
      <c r="R36" s="440">
        <v>0.28575</v>
      </c>
      <c r="S36" s="440">
        <f t="shared" si="5"/>
        <v>0.24764999999999998</v>
      </c>
      <c r="T36" s="440">
        <f t="shared" ref="T36:T57" si="7">1.905*10/1000</f>
        <v>1.9050000000000001E-2</v>
      </c>
      <c r="U36" s="440">
        <f t="shared" si="6"/>
        <v>1.9050000000000001E-2</v>
      </c>
      <c r="V36" s="616"/>
      <c r="W36" s="616"/>
      <c r="X36" s="617"/>
    </row>
    <row r="37" spans="13:24">
      <c r="M37" s="442">
        <v>3</v>
      </c>
      <c r="N37" s="444">
        <v>57.796999999999997</v>
      </c>
      <c r="O37" s="443">
        <v>57.796999999999997</v>
      </c>
      <c r="P37" s="443">
        <v>58.081999999999994</v>
      </c>
      <c r="Q37" s="440">
        <v>56.596000000000004</v>
      </c>
      <c r="R37" s="440">
        <v>0.20193</v>
      </c>
      <c r="S37" s="440">
        <f t="shared" si="5"/>
        <v>0.16382999999999998</v>
      </c>
      <c r="T37" s="440">
        <f t="shared" si="7"/>
        <v>1.9050000000000001E-2</v>
      </c>
      <c r="U37" s="440">
        <f t="shared" si="6"/>
        <v>1.9050000000000001E-2</v>
      </c>
      <c r="V37" s="616"/>
      <c r="W37" s="616"/>
      <c r="X37" s="617"/>
    </row>
    <row r="38" spans="13:24">
      <c r="M38" s="442">
        <v>4</v>
      </c>
      <c r="N38" s="444">
        <v>58.344000000000001</v>
      </c>
      <c r="O38" s="443">
        <v>58.344000000000001</v>
      </c>
      <c r="P38" s="443">
        <v>58.547000000000004</v>
      </c>
      <c r="Q38" s="440">
        <v>57.752000000000002</v>
      </c>
      <c r="R38" s="440">
        <v>0.10287</v>
      </c>
      <c r="S38" s="440">
        <f t="shared" si="5"/>
        <v>6.4770000000000008E-2</v>
      </c>
      <c r="T38" s="440">
        <f t="shared" si="7"/>
        <v>1.9050000000000001E-2</v>
      </c>
      <c r="U38" s="440">
        <f t="shared" si="6"/>
        <v>1.9050000000000001E-2</v>
      </c>
      <c r="V38" s="616"/>
      <c r="W38" s="616"/>
      <c r="X38" s="617"/>
    </row>
    <row r="39" spans="13:24">
      <c r="M39" s="442">
        <v>5</v>
      </c>
      <c r="N39" s="444">
        <v>58.661999999999999</v>
      </c>
      <c r="O39" s="443">
        <v>58.661999999999999</v>
      </c>
      <c r="P39" s="443">
        <v>58.765000000000001</v>
      </c>
      <c r="Q39" s="440">
        <v>58.465999999999994</v>
      </c>
      <c r="R39" s="440">
        <v>0.2286</v>
      </c>
      <c r="S39" s="440">
        <f t="shared" si="5"/>
        <v>0.19049999999999997</v>
      </c>
      <c r="T39" s="440">
        <f t="shared" si="7"/>
        <v>1.9050000000000001E-2</v>
      </c>
      <c r="U39" s="440">
        <f t="shared" si="6"/>
        <v>1.9050000000000001E-2</v>
      </c>
      <c r="V39" s="616"/>
      <c r="W39" s="616"/>
      <c r="X39" s="617"/>
    </row>
    <row r="40" spans="13:24">
      <c r="M40" s="442">
        <v>6</v>
      </c>
      <c r="N40" s="444">
        <v>59.593000000000004</v>
      </c>
      <c r="O40" s="443">
        <v>59.593000000000004</v>
      </c>
      <c r="P40" s="443">
        <v>59.822000000000003</v>
      </c>
      <c r="Q40" s="440">
        <v>59.585000000000001</v>
      </c>
      <c r="R40" s="440">
        <v>0.31241999999999998</v>
      </c>
      <c r="S40" s="440">
        <f t="shared" si="5"/>
        <v>0.27431999999999995</v>
      </c>
      <c r="T40" s="440">
        <f t="shared" si="7"/>
        <v>1.9050000000000001E-2</v>
      </c>
      <c r="U40" s="440">
        <f t="shared" si="6"/>
        <v>1.9050000000000001E-2</v>
      </c>
      <c r="V40" s="616"/>
      <c r="W40" s="616"/>
      <c r="X40" s="617"/>
    </row>
    <row r="41" spans="13:24">
      <c r="M41" s="442">
        <v>7</v>
      </c>
      <c r="N41" s="444">
        <v>60.59</v>
      </c>
      <c r="O41" s="443">
        <v>60.59</v>
      </c>
      <c r="P41" s="443">
        <v>60.902000000000001</v>
      </c>
      <c r="Q41" s="440">
        <v>60.722000000000001</v>
      </c>
      <c r="R41" s="440">
        <v>0.46100999999999998</v>
      </c>
      <c r="S41" s="440">
        <f t="shared" si="5"/>
        <v>0.42290999999999995</v>
      </c>
      <c r="T41" s="440">
        <f t="shared" si="7"/>
        <v>1.9050000000000001E-2</v>
      </c>
      <c r="U41" s="440">
        <f t="shared" si="6"/>
        <v>1.9050000000000001E-2</v>
      </c>
      <c r="V41" s="616"/>
      <c r="W41" s="616"/>
      <c r="X41" s="617"/>
    </row>
    <row r="42" spans="13:24">
      <c r="M42" s="442">
        <v>8</v>
      </c>
      <c r="N42" s="444">
        <v>61.860999999999997</v>
      </c>
      <c r="O42" s="443">
        <v>61.860999999999997</v>
      </c>
      <c r="P42" s="443">
        <v>62.320999999999998</v>
      </c>
      <c r="Q42" s="440">
        <v>62.125</v>
      </c>
      <c r="R42" s="440">
        <v>6.096E-2</v>
      </c>
      <c r="S42" s="440">
        <f t="shared" si="5"/>
        <v>2.2860000000000002E-2</v>
      </c>
      <c r="T42" s="440">
        <f t="shared" si="7"/>
        <v>1.9050000000000001E-2</v>
      </c>
      <c r="U42" s="440">
        <f t="shared" si="6"/>
        <v>1.9050000000000001E-2</v>
      </c>
      <c r="V42" s="616"/>
      <c r="W42" s="616"/>
      <c r="X42" s="617"/>
    </row>
    <row r="43" spans="13:24">
      <c r="M43" s="442">
        <v>9</v>
      </c>
      <c r="N43" s="444">
        <v>63.23</v>
      </c>
      <c r="O43" s="443">
        <v>63.23</v>
      </c>
      <c r="P43" s="443">
        <v>63.288999999999994</v>
      </c>
      <c r="Q43" s="440">
        <v>63.288999999999994</v>
      </c>
      <c r="R43" s="440">
        <v>0.19431000000000001</v>
      </c>
      <c r="S43" s="440">
        <f t="shared" si="5"/>
        <v>0.15620999999999999</v>
      </c>
      <c r="T43" s="440">
        <f t="shared" si="7"/>
        <v>1.9050000000000001E-2</v>
      </c>
      <c r="U43" s="440">
        <f t="shared" si="6"/>
        <v>1.9050000000000001E-2</v>
      </c>
      <c r="V43" s="616"/>
      <c r="W43" s="616"/>
      <c r="X43" s="617"/>
    </row>
    <row r="44" spans="13:24">
      <c r="M44" s="442">
        <v>10</v>
      </c>
      <c r="N44" s="444">
        <v>64.905000000000001</v>
      </c>
      <c r="O44" s="443">
        <v>64.905000000000001</v>
      </c>
      <c r="P44" s="443">
        <v>65.100999999999999</v>
      </c>
      <c r="Q44" s="440">
        <v>64.25800000000001</v>
      </c>
      <c r="R44" s="440">
        <v>0.2286</v>
      </c>
      <c r="S44" s="440">
        <f t="shared" si="5"/>
        <v>0.19049999999999997</v>
      </c>
      <c r="T44" s="440">
        <f t="shared" si="7"/>
        <v>1.9050000000000001E-2</v>
      </c>
      <c r="U44" s="440">
        <f t="shared" si="6"/>
        <v>1.9050000000000001E-2</v>
      </c>
      <c r="V44" s="616"/>
      <c r="W44" s="616"/>
      <c r="X44" s="617"/>
    </row>
    <row r="45" spans="13:24">
      <c r="M45" s="442">
        <v>11</v>
      </c>
      <c r="N45" s="444">
        <v>65.691999999999993</v>
      </c>
      <c r="O45" s="443">
        <v>65.691999999999993</v>
      </c>
      <c r="P45" s="443">
        <v>65.920999999999992</v>
      </c>
      <c r="Q45" s="440">
        <v>65.861999999999995</v>
      </c>
      <c r="R45" s="440">
        <v>0.22098000000000001</v>
      </c>
      <c r="S45" s="440">
        <f t="shared" si="5"/>
        <v>0.18287999999999999</v>
      </c>
      <c r="T45" s="440">
        <f t="shared" si="7"/>
        <v>1.9050000000000001E-2</v>
      </c>
      <c r="U45" s="440">
        <f t="shared" si="6"/>
        <v>1.9050000000000001E-2</v>
      </c>
      <c r="V45" s="616"/>
      <c r="W45" s="616"/>
      <c r="X45" s="617"/>
    </row>
    <row r="46" spans="13:24">
      <c r="M46" s="442">
        <v>12</v>
      </c>
      <c r="N46" s="444">
        <v>66.513000000000005</v>
      </c>
      <c r="O46" s="443">
        <v>66.513000000000005</v>
      </c>
      <c r="P46" s="443">
        <v>66.733000000000004</v>
      </c>
      <c r="Q46" s="440">
        <v>66.652999999999992</v>
      </c>
      <c r="R46" s="440">
        <v>0.15620999999999999</v>
      </c>
      <c r="S46" s="440">
        <f t="shared" si="5"/>
        <v>0.11810999999999998</v>
      </c>
      <c r="T46" s="440">
        <f t="shared" si="7"/>
        <v>1.9050000000000001E-2</v>
      </c>
      <c r="U46" s="440">
        <f t="shared" si="6"/>
        <v>1.9050000000000001E-2</v>
      </c>
      <c r="V46" s="616"/>
      <c r="W46" s="616"/>
      <c r="X46" s="617"/>
    </row>
    <row r="47" spans="13:24">
      <c r="M47" s="442">
        <v>13</v>
      </c>
      <c r="N47" s="444">
        <v>66.929000000000002</v>
      </c>
      <c r="O47" s="443">
        <v>66.929000000000002</v>
      </c>
      <c r="P47" s="443">
        <v>67.085999999999999</v>
      </c>
      <c r="Q47" s="440">
        <v>67.084000000000003</v>
      </c>
      <c r="R47" s="440">
        <v>0.1143</v>
      </c>
      <c r="S47" s="440">
        <f t="shared" si="5"/>
        <v>7.6200000000000004E-2</v>
      </c>
      <c r="T47" s="440">
        <f t="shared" si="7"/>
        <v>1.9050000000000001E-2</v>
      </c>
      <c r="U47" s="440">
        <f t="shared" si="6"/>
        <v>1.9050000000000001E-2</v>
      </c>
      <c r="V47" s="616"/>
      <c r="W47" s="616"/>
      <c r="X47" s="617"/>
    </row>
    <row r="48" spans="13:24">
      <c r="M48" s="442">
        <v>14</v>
      </c>
      <c r="N48" s="444">
        <v>67.308000000000007</v>
      </c>
      <c r="O48" s="443">
        <v>67.308000000000007</v>
      </c>
      <c r="P48" s="443">
        <v>67.423000000000002</v>
      </c>
      <c r="Q48" s="440">
        <v>67.626000000000005</v>
      </c>
      <c r="R48" s="440">
        <v>0.12953999999999999</v>
      </c>
      <c r="S48" s="440">
        <f t="shared" si="5"/>
        <v>9.1439999999999994E-2</v>
      </c>
      <c r="T48" s="440">
        <f t="shared" si="7"/>
        <v>1.9050000000000001E-2</v>
      </c>
      <c r="U48" s="440">
        <f t="shared" si="6"/>
        <v>1.9050000000000001E-2</v>
      </c>
      <c r="V48" s="616"/>
      <c r="W48" s="616"/>
      <c r="X48" s="617"/>
    </row>
    <row r="49" spans="13:24">
      <c r="M49" s="442">
        <v>15</v>
      </c>
      <c r="N49" s="444">
        <v>68.180999999999997</v>
      </c>
      <c r="O49" s="443">
        <v>68.180999999999997</v>
      </c>
      <c r="P49" s="443">
        <v>68.311999999999998</v>
      </c>
      <c r="Q49" s="440">
        <v>68.31</v>
      </c>
      <c r="R49" s="440">
        <v>0.20955000000000001</v>
      </c>
      <c r="S49" s="440">
        <f t="shared" si="5"/>
        <v>0.17144999999999999</v>
      </c>
      <c r="T49" s="440">
        <f t="shared" si="7"/>
        <v>1.9050000000000001E-2</v>
      </c>
      <c r="U49" s="440">
        <f t="shared" si="6"/>
        <v>1.9050000000000001E-2</v>
      </c>
      <c r="V49" s="616"/>
      <c r="W49" s="616"/>
      <c r="X49" s="617"/>
    </row>
    <row r="50" spans="13:24">
      <c r="M50" s="442">
        <v>16</v>
      </c>
      <c r="N50" s="444">
        <v>68.56</v>
      </c>
      <c r="O50" s="443">
        <v>68.56</v>
      </c>
      <c r="P50" s="443">
        <v>68.771000000000001</v>
      </c>
      <c r="Q50" s="440">
        <v>68.847999999999999</v>
      </c>
      <c r="R50" s="440">
        <v>0.23241000000000001</v>
      </c>
      <c r="S50" s="440">
        <f t="shared" si="5"/>
        <v>0.19430999999999998</v>
      </c>
      <c r="T50" s="440">
        <f t="shared" si="7"/>
        <v>1.9050000000000001E-2</v>
      </c>
      <c r="U50" s="440">
        <f t="shared" si="6"/>
        <v>1.9050000000000001E-2</v>
      </c>
      <c r="V50" s="616"/>
      <c r="W50" s="616"/>
      <c r="X50" s="617"/>
    </row>
    <row r="51" spans="13:24">
      <c r="M51" s="442">
        <v>17</v>
      </c>
      <c r="N51" s="444">
        <v>69.173000000000002</v>
      </c>
      <c r="O51" s="443">
        <v>69.173000000000002</v>
      </c>
      <c r="P51" s="443">
        <v>69.403999999999996</v>
      </c>
      <c r="Q51" s="440">
        <v>69.369</v>
      </c>
      <c r="R51" s="440">
        <v>9.5250000000000001E-2</v>
      </c>
      <c r="S51" s="440">
        <f t="shared" si="5"/>
        <v>5.7150000000000006E-2</v>
      </c>
      <c r="T51" s="440">
        <f t="shared" si="7"/>
        <v>1.9050000000000001E-2</v>
      </c>
      <c r="U51" s="440">
        <f t="shared" si="6"/>
        <v>1.9050000000000001E-2</v>
      </c>
      <c r="V51" s="616"/>
      <c r="W51" s="616"/>
      <c r="X51" s="617"/>
    </row>
    <row r="52" spans="13:24">
      <c r="M52" s="442">
        <v>18</v>
      </c>
      <c r="N52" s="444">
        <v>69.635000000000005</v>
      </c>
      <c r="O52" s="443">
        <v>69.635000000000005</v>
      </c>
      <c r="P52" s="443">
        <v>69.731000000000009</v>
      </c>
      <c r="Q52" s="440">
        <v>69.734999999999999</v>
      </c>
      <c r="R52" s="440">
        <v>8.3820000000000006E-2</v>
      </c>
      <c r="S52" s="440">
        <f t="shared" si="5"/>
        <v>4.5720000000000011E-2</v>
      </c>
      <c r="T52" s="440">
        <f t="shared" si="7"/>
        <v>1.9050000000000001E-2</v>
      </c>
      <c r="U52" s="440">
        <f t="shared" si="6"/>
        <v>1.9050000000000001E-2</v>
      </c>
      <c r="V52" s="616"/>
      <c r="W52" s="616"/>
      <c r="X52" s="617"/>
    </row>
    <row r="53" spans="13:24">
      <c r="M53" s="442">
        <v>19</v>
      </c>
      <c r="N53" s="444">
        <v>70.105000000000004</v>
      </c>
      <c r="O53" s="443">
        <v>70.105000000000004</v>
      </c>
      <c r="P53" s="443">
        <v>70.189000000000007</v>
      </c>
      <c r="Q53" s="440">
        <v>70.203000000000003</v>
      </c>
      <c r="R53" s="440">
        <v>8.763E-2</v>
      </c>
      <c r="S53" s="440">
        <f t="shared" si="5"/>
        <v>4.9530000000000005E-2</v>
      </c>
      <c r="T53" s="440">
        <f t="shared" si="7"/>
        <v>1.9050000000000001E-2</v>
      </c>
      <c r="U53" s="440">
        <f t="shared" si="6"/>
        <v>1.9050000000000001E-2</v>
      </c>
      <c r="V53" s="616"/>
      <c r="W53" s="616"/>
      <c r="X53" s="617"/>
    </row>
    <row r="54" spans="13:24">
      <c r="M54" s="442">
        <v>20</v>
      </c>
      <c r="N54" s="444">
        <v>71.352000000000004</v>
      </c>
      <c r="O54" s="443">
        <v>71.352000000000004</v>
      </c>
      <c r="P54" s="443">
        <v>71.44</v>
      </c>
      <c r="Q54" s="440">
        <v>71.534999999999997</v>
      </c>
      <c r="R54" s="440">
        <v>0.26669999999999999</v>
      </c>
      <c r="S54" s="440">
        <f t="shared" si="5"/>
        <v>0.22859999999999997</v>
      </c>
      <c r="T54" s="440">
        <f t="shared" si="7"/>
        <v>1.9050000000000001E-2</v>
      </c>
      <c r="U54" s="440">
        <f t="shared" si="6"/>
        <v>1.9050000000000001E-2</v>
      </c>
      <c r="V54" s="616"/>
      <c r="W54" s="616"/>
      <c r="X54" s="617"/>
    </row>
    <row r="55" spans="13:24">
      <c r="M55" s="442">
        <v>21</v>
      </c>
      <c r="N55" s="444">
        <v>72.569999999999993</v>
      </c>
      <c r="O55" s="443">
        <v>72.569999999999993</v>
      </c>
      <c r="P55" s="443">
        <v>72.834999999999994</v>
      </c>
      <c r="Q55" s="440">
        <v>72.587999999999994</v>
      </c>
      <c r="R55" s="440">
        <v>5.7149999999999999E-2</v>
      </c>
      <c r="S55" s="440">
        <f t="shared" si="5"/>
        <v>1.9049999999999994E-2</v>
      </c>
      <c r="T55" s="440">
        <f t="shared" si="7"/>
        <v>1.9050000000000001E-2</v>
      </c>
      <c r="U55" s="440">
        <f t="shared" si="6"/>
        <v>1.9050000000000001E-2</v>
      </c>
      <c r="V55" s="616"/>
      <c r="W55" s="616"/>
      <c r="X55" s="617"/>
    </row>
    <row r="56" spans="13:24">
      <c r="M56" s="442">
        <v>22</v>
      </c>
      <c r="N56" s="444">
        <v>73.58</v>
      </c>
      <c r="O56" s="443">
        <v>73.58</v>
      </c>
      <c r="P56" s="443">
        <v>73.638000000000005</v>
      </c>
      <c r="Q56" s="440">
        <v>73.658000000000001</v>
      </c>
      <c r="R56" s="440">
        <v>0.36575999999999997</v>
      </c>
      <c r="S56" s="440">
        <f t="shared" si="5"/>
        <v>0.32765999999999995</v>
      </c>
      <c r="T56" s="440">
        <f t="shared" si="7"/>
        <v>1.9050000000000001E-2</v>
      </c>
      <c r="U56" s="440">
        <f t="shared" si="6"/>
        <v>1.9050000000000001E-2</v>
      </c>
      <c r="V56" s="616"/>
      <c r="W56" s="616"/>
      <c r="X56" s="617"/>
    </row>
    <row r="57" spans="13:24" ht="14.4" thickBot="1">
      <c r="M57" s="445">
        <v>23</v>
      </c>
      <c r="N57" s="446">
        <v>74.069999999999993</v>
      </c>
      <c r="O57" s="447">
        <v>74.069999999999993</v>
      </c>
      <c r="P57" s="447">
        <v>74.436999999999998</v>
      </c>
      <c r="Q57" s="447">
        <f>+O57+(R57/1000)</f>
        <v>74.070365759999987</v>
      </c>
      <c r="R57" s="440">
        <v>0.36575999999999997</v>
      </c>
      <c r="S57" s="440">
        <f t="shared" si="5"/>
        <v>0.32765999999999995</v>
      </c>
      <c r="T57" s="448">
        <f t="shared" si="7"/>
        <v>1.9050000000000001E-2</v>
      </c>
      <c r="U57" s="448">
        <f t="shared" si="6"/>
        <v>1.9050000000000001E-2</v>
      </c>
      <c r="V57" s="620"/>
      <c r="W57" s="620"/>
      <c r="X57" s="621"/>
    </row>
    <row r="58" spans="13:24" ht="14.4" thickBot="1">
      <c r="O58" s="618" t="s">
        <v>814</v>
      </c>
      <c r="P58" s="618"/>
      <c r="Q58" s="619"/>
      <c r="R58" s="450">
        <f>SUM(R35:R57)</f>
        <v>4.6062900000000004</v>
      </c>
      <c r="S58" s="451">
        <f>SUM(S35:S57)</f>
        <v>3.7680899999999999</v>
      </c>
      <c r="T58" s="451">
        <f>SUM(T35:T57)</f>
        <v>0.41910000000000014</v>
      </c>
      <c r="U58" s="452">
        <f>SUM(U35:U57)</f>
        <v>0.41910000000000014</v>
      </c>
    </row>
  </sheetData>
  <mergeCells count="57">
    <mergeCell ref="A2:D2"/>
    <mergeCell ref="B4:D4"/>
    <mergeCell ref="A1:D1"/>
    <mergeCell ref="V11:X11"/>
    <mergeCell ref="V12:X12"/>
    <mergeCell ref="N1:X1"/>
    <mergeCell ref="N2:X2"/>
    <mergeCell ref="V3:X3"/>
    <mergeCell ref="V4:X4"/>
    <mergeCell ref="V5:X5"/>
    <mergeCell ref="V6:X6"/>
    <mergeCell ref="V7:X7"/>
    <mergeCell ref="V8:X8"/>
    <mergeCell ref="V34:X34"/>
    <mergeCell ref="N33:X33"/>
    <mergeCell ref="V25:X25"/>
    <mergeCell ref="V26:X26"/>
    <mergeCell ref="V21:X21"/>
    <mergeCell ref="V22:X22"/>
    <mergeCell ref="V23:X23"/>
    <mergeCell ref="V24:X24"/>
    <mergeCell ref="O27:Q27"/>
    <mergeCell ref="N32:X32"/>
    <mergeCell ref="V35:X35"/>
    <mergeCell ref="V36:X36"/>
    <mergeCell ref="V37:X37"/>
    <mergeCell ref="V38:X38"/>
    <mergeCell ref="V39:X39"/>
    <mergeCell ref="V50:X50"/>
    <mergeCell ref="V40:X40"/>
    <mergeCell ref="V41:X41"/>
    <mergeCell ref="V42:X42"/>
    <mergeCell ref="V43:X43"/>
    <mergeCell ref="V44:X44"/>
    <mergeCell ref="V45:X45"/>
    <mergeCell ref="V46:X46"/>
    <mergeCell ref="V47:X47"/>
    <mergeCell ref="V48:X48"/>
    <mergeCell ref="V49:X49"/>
    <mergeCell ref="O58:Q58"/>
    <mergeCell ref="V51:X51"/>
    <mergeCell ref="V54:X54"/>
    <mergeCell ref="V55:X55"/>
    <mergeCell ref="V56:X56"/>
    <mergeCell ref="V57:X57"/>
    <mergeCell ref="V52:X52"/>
    <mergeCell ref="V53:X53"/>
    <mergeCell ref="V17:X17"/>
    <mergeCell ref="V18:X18"/>
    <mergeCell ref="V19:X19"/>
    <mergeCell ref="V20:X20"/>
    <mergeCell ref="V9:X9"/>
    <mergeCell ref="V10:X10"/>
    <mergeCell ref="V13:X13"/>
    <mergeCell ref="V14:X14"/>
    <mergeCell ref="V15:X15"/>
    <mergeCell ref="V16:X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4AF49-42E4-4644-B839-43D7E8421C01}">
  <dimension ref="A1:BB64"/>
  <sheetViews>
    <sheetView zoomScale="70" zoomScaleNormal="70" workbookViewId="0">
      <selection activeCell="N22" sqref="N22"/>
    </sheetView>
  </sheetViews>
  <sheetFormatPr defaultRowHeight="13.8"/>
  <cols>
    <col min="3" max="4" width="3.3984375" customWidth="1"/>
    <col min="5" max="5" width="49.09765625" customWidth="1"/>
    <col min="6" max="6" width="17.3984375" customWidth="1"/>
    <col min="9" max="9" width="17.796875" customWidth="1"/>
    <col min="15" max="15" width="8.8984375" customWidth="1"/>
    <col min="16" max="18" width="11.296875" customWidth="1"/>
    <col min="22" max="22" width="10.796875" customWidth="1"/>
    <col min="28" max="28" width="16.19921875" customWidth="1"/>
  </cols>
  <sheetData>
    <row r="1" spans="1:54">
      <c r="A1" s="596" t="s">
        <v>1</v>
      </c>
      <c r="B1" s="596"/>
      <c r="C1" s="596"/>
      <c r="D1" s="596"/>
      <c r="E1" s="20" t="s">
        <v>2</v>
      </c>
      <c r="F1" s="19" t="s">
        <v>3</v>
      </c>
      <c r="G1" s="19" t="s">
        <v>741</v>
      </c>
      <c r="H1" s="19" t="s">
        <v>740</v>
      </c>
      <c r="I1" s="19" t="s">
        <v>742</v>
      </c>
    </row>
    <row r="2" spans="1:54" ht="14.4" thickBot="1">
      <c r="A2" s="601" t="s">
        <v>595</v>
      </c>
      <c r="B2" s="602"/>
      <c r="C2" s="602"/>
      <c r="D2" s="603"/>
      <c r="E2" s="306" t="s">
        <v>596</v>
      </c>
      <c r="F2" s="162"/>
      <c r="G2" s="44"/>
      <c r="H2" s="408"/>
      <c r="I2" s="408"/>
    </row>
    <row r="3" spans="1:54" ht="28.2" customHeight="1" thickBot="1">
      <c r="A3" s="38" t="s">
        <v>597</v>
      </c>
      <c r="B3" s="40"/>
      <c r="C3" s="40"/>
      <c r="D3" s="53"/>
      <c r="E3" s="307" t="s">
        <v>598</v>
      </c>
      <c r="F3" s="55"/>
      <c r="G3" s="44"/>
      <c r="H3" s="44"/>
      <c r="I3" s="408"/>
      <c r="V3" s="458" t="s">
        <v>815</v>
      </c>
      <c r="W3" s="459" t="s">
        <v>816</v>
      </c>
      <c r="X3" s="460" t="s">
        <v>817</v>
      </c>
      <c r="Y3" s="640" t="s">
        <v>818</v>
      </c>
      <c r="Z3" s="640"/>
      <c r="AA3" s="640" t="s">
        <v>819</v>
      </c>
      <c r="AB3" s="640"/>
      <c r="AC3" s="640" t="s">
        <v>820</v>
      </c>
      <c r="AD3" s="640"/>
      <c r="AE3" s="640" t="s">
        <v>760</v>
      </c>
      <c r="AF3" s="640"/>
      <c r="AG3" s="640" t="s">
        <v>821</v>
      </c>
      <c r="AH3" s="640"/>
      <c r="AI3" s="640" t="s">
        <v>822</v>
      </c>
      <c r="AJ3" s="640"/>
      <c r="AK3" s="640" t="s">
        <v>823</v>
      </c>
      <c r="AL3" s="641"/>
      <c r="AP3" s="458" t="s">
        <v>815</v>
      </c>
      <c r="AQ3" s="462" t="s">
        <v>816</v>
      </c>
      <c r="AR3" s="638" t="s">
        <v>935</v>
      </c>
      <c r="AS3" s="639"/>
      <c r="AT3" s="461" t="s">
        <v>936</v>
      </c>
      <c r="AU3" s="639" t="s">
        <v>820</v>
      </c>
      <c r="AV3" s="640"/>
      <c r="AW3" s="640" t="s">
        <v>821</v>
      </c>
      <c r="AX3" s="640"/>
      <c r="AY3" s="640" t="s">
        <v>822</v>
      </c>
      <c r="AZ3" s="640"/>
      <c r="BA3" s="640" t="s">
        <v>823</v>
      </c>
      <c r="BB3" s="641"/>
    </row>
    <row r="4" spans="1:54">
      <c r="A4" s="51"/>
      <c r="B4" s="52" t="s">
        <v>599</v>
      </c>
      <c r="C4" s="40"/>
      <c r="D4" s="53"/>
      <c r="E4" s="159" t="s">
        <v>600</v>
      </c>
      <c r="F4" s="193" t="s">
        <v>91</v>
      </c>
      <c r="G4" s="44">
        <f>22*2.5</f>
        <v>55</v>
      </c>
      <c r="H4" s="44">
        <v>6500</v>
      </c>
      <c r="I4" s="402">
        <f t="shared" ref="I4:I7" si="0">G4*H4</f>
        <v>357500</v>
      </c>
      <c r="V4" s="437" t="s">
        <v>824</v>
      </c>
      <c r="W4" s="441" t="s">
        <v>825</v>
      </c>
      <c r="X4" s="441" t="s">
        <v>826</v>
      </c>
      <c r="Y4" s="625" t="s">
        <v>827</v>
      </c>
      <c r="Z4" s="625"/>
      <c r="AA4" s="625" t="s">
        <v>828</v>
      </c>
      <c r="AB4" s="625"/>
      <c r="AC4" s="625">
        <v>0.1</v>
      </c>
      <c r="AD4" s="625"/>
      <c r="AE4" s="625">
        <v>22300</v>
      </c>
      <c r="AF4" s="625"/>
      <c r="AG4" s="625">
        <f>AC4*AE4</f>
        <v>2230</v>
      </c>
      <c r="AH4" s="625"/>
      <c r="AI4" s="625" t="s">
        <v>829</v>
      </c>
      <c r="AJ4" s="625"/>
      <c r="AK4" s="625" t="s">
        <v>830</v>
      </c>
      <c r="AL4" s="626"/>
      <c r="AP4" s="437" t="s">
        <v>937</v>
      </c>
      <c r="AQ4" s="441" t="s">
        <v>938</v>
      </c>
      <c r="AR4" s="635">
        <v>1</v>
      </c>
      <c r="AS4" s="636"/>
      <c r="AT4" s="432">
        <v>79.599999999999994</v>
      </c>
      <c r="AU4" s="625">
        <v>6.01</v>
      </c>
      <c r="AV4" s="625"/>
      <c r="AW4" s="637">
        <f>0.5*AT4*AU4</f>
        <v>239.19799999999998</v>
      </c>
      <c r="AX4" s="637"/>
      <c r="AY4" s="625" t="s">
        <v>829</v>
      </c>
      <c r="AZ4" s="625"/>
      <c r="BA4" s="625" t="s">
        <v>830</v>
      </c>
      <c r="BB4" s="626"/>
    </row>
    <row r="5" spans="1:54">
      <c r="A5" s="51"/>
      <c r="B5" s="52" t="s">
        <v>601</v>
      </c>
      <c r="C5" s="40"/>
      <c r="D5" s="53"/>
      <c r="E5" s="159" t="s">
        <v>602</v>
      </c>
      <c r="F5" s="193" t="s">
        <v>91</v>
      </c>
      <c r="G5" s="44">
        <f>AF64</f>
        <v>44.6</v>
      </c>
      <c r="H5" s="44">
        <v>6500</v>
      </c>
      <c r="I5" s="402">
        <f t="shared" si="0"/>
        <v>289900</v>
      </c>
      <c r="V5" s="437" t="s">
        <v>824</v>
      </c>
      <c r="W5" s="441" t="s">
        <v>825</v>
      </c>
      <c r="X5" s="432" t="s">
        <v>826</v>
      </c>
      <c r="Y5" s="616" t="s">
        <v>831</v>
      </c>
      <c r="Z5" s="616"/>
      <c r="AA5" s="625" t="s">
        <v>828</v>
      </c>
      <c r="AB5" s="625"/>
      <c r="AC5" s="616">
        <v>0.1</v>
      </c>
      <c r="AD5" s="616"/>
      <c r="AE5" s="625">
        <v>22300</v>
      </c>
      <c r="AF5" s="625"/>
      <c r="AG5" s="625">
        <f>AC5*AE5</f>
        <v>2230</v>
      </c>
      <c r="AH5" s="625"/>
      <c r="AI5" s="625" t="s">
        <v>829</v>
      </c>
      <c r="AJ5" s="625"/>
      <c r="AK5" s="625" t="s">
        <v>830</v>
      </c>
      <c r="AL5" s="626"/>
      <c r="AP5" s="437" t="s">
        <v>939</v>
      </c>
      <c r="AQ5" s="441" t="s">
        <v>940</v>
      </c>
      <c r="AR5" s="629">
        <v>2</v>
      </c>
      <c r="AS5" s="630"/>
      <c r="AT5" s="432">
        <v>192.03</v>
      </c>
      <c r="AU5" s="616">
        <v>3.35</v>
      </c>
      <c r="AV5" s="616"/>
      <c r="AW5" s="637">
        <f>0.5*AT5*AU5</f>
        <v>321.65025000000003</v>
      </c>
      <c r="AX5" s="637"/>
      <c r="AY5" s="625" t="s">
        <v>829</v>
      </c>
      <c r="AZ5" s="625"/>
      <c r="BA5" s="625" t="s">
        <v>830</v>
      </c>
      <c r="BB5" s="626"/>
    </row>
    <row r="6" spans="1:54">
      <c r="A6" s="51"/>
      <c r="B6" s="52" t="s">
        <v>603</v>
      </c>
      <c r="C6" s="40"/>
      <c r="D6" s="53"/>
      <c r="E6" s="159" t="s">
        <v>604</v>
      </c>
      <c r="F6" s="55" t="s">
        <v>126</v>
      </c>
      <c r="G6" s="44">
        <v>200</v>
      </c>
      <c r="H6" s="44">
        <v>80</v>
      </c>
      <c r="I6" s="402">
        <f t="shared" si="0"/>
        <v>16000</v>
      </c>
      <c r="V6" s="442" t="s">
        <v>824</v>
      </c>
      <c r="W6" s="432" t="s">
        <v>832</v>
      </c>
      <c r="X6" s="432" t="s">
        <v>833</v>
      </c>
      <c r="Y6" s="616" t="s">
        <v>831</v>
      </c>
      <c r="Z6" s="616"/>
      <c r="AA6" s="616" t="s">
        <v>834</v>
      </c>
      <c r="AB6" s="616"/>
      <c r="AC6" s="616">
        <v>0.1</v>
      </c>
      <c r="AD6" s="616"/>
      <c r="AE6" s="616">
        <v>22</v>
      </c>
      <c r="AF6" s="616"/>
      <c r="AG6" s="616">
        <f t="shared" ref="AG6:AG59" si="1">AC6*AE6</f>
        <v>2.2000000000000002</v>
      </c>
      <c r="AH6" s="616"/>
      <c r="AI6" s="625" t="s">
        <v>829</v>
      </c>
      <c r="AJ6" s="625"/>
      <c r="AK6" s="625" t="s">
        <v>830</v>
      </c>
      <c r="AL6" s="626"/>
      <c r="AP6" s="442" t="s">
        <v>941</v>
      </c>
      <c r="AQ6" s="432" t="s">
        <v>942</v>
      </c>
      <c r="AR6" s="629">
        <v>3</v>
      </c>
      <c r="AS6" s="630"/>
      <c r="AT6" s="432">
        <v>22.74</v>
      </c>
      <c r="AU6" s="616">
        <v>14.79</v>
      </c>
      <c r="AV6" s="616"/>
      <c r="AW6" s="631">
        <f t="shared" ref="AW6:AW9" si="2">0.5*AT6*AU6</f>
        <v>168.16229999999999</v>
      </c>
      <c r="AX6" s="631"/>
      <c r="AY6" s="625" t="s">
        <v>829</v>
      </c>
      <c r="AZ6" s="625"/>
      <c r="BA6" s="625" t="s">
        <v>830</v>
      </c>
      <c r="BB6" s="626"/>
    </row>
    <row r="7" spans="1:54" ht="22.8">
      <c r="A7" s="187"/>
      <c r="B7" s="126" t="s">
        <v>605</v>
      </c>
      <c r="C7" s="59"/>
      <c r="D7" s="60"/>
      <c r="E7" s="159" t="s">
        <v>606</v>
      </c>
      <c r="F7" s="55" t="s">
        <v>126</v>
      </c>
      <c r="G7" s="44">
        <f>AW10</f>
        <v>1632.7568000000001</v>
      </c>
      <c r="H7" s="44">
        <v>80</v>
      </c>
      <c r="I7" s="402">
        <f t="shared" si="0"/>
        <v>130620.54400000001</v>
      </c>
      <c r="V7" s="442" t="s">
        <v>824</v>
      </c>
      <c r="W7" s="432" t="s">
        <v>835</v>
      </c>
      <c r="X7" s="432" t="s">
        <v>826</v>
      </c>
      <c r="Y7" s="616" t="s">
        <v>827</v>
      </c>
      <c r="Z7" s="616"/>
      <c r="AA7" s="616" t="s">
        <v>834</v>
      </c>
      <c r="AB7" s="616"/>
      <c r="AC7" s="625">
        <v>0.1</v>
      </c>
      <c r="AD7" s="625"/>
      <c r="AE7" s="616">
        <v>75</v>
      </c>
      <c r="AF7" s="616"/>
      <c r="AG7" s="616">
        <f t="shared" si="1"/>
        <v>7.5</v>
      </c>
      <c r="AH7" s="616"/>
      <c r="AI7" s="625" t="s">
        <v>829</v>
      </c>
      <c r="AJ7" s="625"/>
      <c r="AK7" s="625" t="s">
        <v>830</v>
      </c>
      <c r="AL7" s="626"/>
      <c r="AP7" s="442" t="s">
        <v>943</v>
      </c>
      <c r="AQ7" s="432" t="s">
        <v>944</v>
      </c>
      <c r="AR7" s="635">
        <v>4</v>
      </c>
      <c r="AS7" s="636"/>
      <c r="AT7" s="432">
        <v>73.03</v>
      </c>
      <c r="AU7" s="616">
        <v>7.25</v>
      </c>
      <c r="AV7" s="616"/>
      <c r="AW7" s="631">
        <f t="shared" si="2"/>
        <v>264.73374999999999</v>
      </c>
      <c r="AX7" s="631"/>
      <c r="AY7" s="625" t="s">
        <v>829</v>
      </c>
      <c r="AZ7" s="625"/>
      <c r="BA7" s="625" t="s">
        <v>830</v>
      </c>
      <c r="BB7" s="626"/>
    </row>
    <row r="8" spans="1:54">
      <c r="A8" s="38" t="s">
        <v>607</v>
      </c>
      <c r="B8" s="40"/>
      <c r="C8" s="40"/>
      <c r="D8" s="53"/>
      <c r="E8" s="307" t="s">
        <v>608</v>
      </c>
      <c r="F8" s="55"/>
      <c r="G8" s="44"/>
      <c r="H8" s="44"/>
      <c r="I8" s="408"/>
      <c r="V8" s="442" t="s">
        <v>824</v>
      </c>
      <c r="W8" s="432" t="s">
        <v>836</v>
      </c>
      <c r="X8" s="432" t="s">
        <v>826</v>
      </c>
      <c r="Y8" s="616" t="s">
        <v>837</v>
      </c>
      <c r="Z8" s="616"/>
      <c r="AA8" s="616" t="s">
        <v>838</v>
      </c>
      <c r="AB8" s="616"/>
      <c r="AC8" s="616">
        <v>0.1</v>
      </c>
      <c r="AD8" s="616"/>
      <c r="AE8" s="616">
        <v>290</v>
      </c>
      <c r="AF8" s="616"/>
      <c r="AG8" s="616">
        <f t="shared" si="1"/>
        <v>29</v>
      </c>
      <c r="AH8" s="616"/>
      <c r="AI8" s="625" t="s">
        <v>829</v>
      </c>
      <c r="AJ8" s="625"/>
      <c r="AK8" s="625" t="s">
        <v>830</v>
      </c>
      <c r="AL8" s="626"/>
      <c r="AP8" s="442" t="s">
        <v>945</v>
      </c>
      <c r="AQ8" s="432" t="s">
        <v>946</v>
      </c>
      <c r="AR8" s="629">
        <v>5</v>
      </c>
      <c r="AS8" s="630"/>
      <c r="AT8" s="432">
        <v>73.03</v>
      </c>
      <c r="AU8" s="616">
        <v>8.25</v>
      </c>
      <c r="AV8" s="616"/>
      <c r="AW8" s="631">
        <f t="shared" si="2"/>
        <v>301.24875000000003</v>
      </c>
      <c r="AX8" s="631"/>
      <c r="AY8" s="625" t="s">
        <v>829</v>
      </c>
      <c r="AZ8" s="625"/>
      <c r="BA8" s="625" t="s">
        <v>830</v>
      </c>
      <c r="BB8" s="626"/>
    </row>
    <row r="9" spans="1:54" ht="14.4" thickBot="1">
      <c r="A9" s="187"/>
      <c r="B9" s="126" t="s">
        <v>609</v>
      </c>
      <c r="C9" s="40"/>
      <c r="D9" s="53"/>
      <c r="E9" s="159" t="s">
        <v>610</v>
      </c>
      <c r="F9" s="62"/>
      <c r="G9" s="63"/>
      <c r="H9" s="44"/>
      <c r="I9" s="402"/>
      <c r="V9" s="442" t="s">
        <v>839</v>
      </c>
      <c r="W9" s="432" t="s">
        <v>840</v>
      </c>
      <c r="X9" s="432" t="s">
        <v>826</v>
      </c>
      <c r="Y9" s="616" t="s">
        <v>837</v>
      </c>
      <c r="Z9" s="616"/>
      <c r="AA9" s="616" t="s">
        <v>841</v>
      </c>
      <c r="AB9" s="616"/>
      <c r="AC9" s="616">
        <v>0.1</v>
      </c>
      <c r="AD9" s="616"/>
      <c r="AE9" s="616">
        <v>1200</v>
      </c>
      <c r="AF9" s="616"/>
      <c r="AG9" s="616">
        <f t="shared" si="1"/>
        <v>120</v>
      </c>
      <c r="AH9" s="616"/>
      <c r="AI9" s="625" t="s">
        <v>829</v>
      </c>
      <c r="AJ9" s="625"/>
      <c r="AK9" s="625" t="s">
        <v>830</v>
      </c>
      <c r="AL9" s="626"/>
      <c r="AP9" s="445" t="s">
        <v>947</v>
      </c>
      <c r="AQ9" s="449" t="s">
        <v>948</v>
      </c>
      <c r="AR9" s="629">
        <v>6</v>
      </c>
      <c r="AS9" s="630"/>
      <c r="AT9" s="449">
        <v>73.03</v>
      </c>
      <c r="AU9" s="620">
        <v>9.25</v>
      </c>
      <c r="AV9" s="620"/>
      <c r="AW9" s="632">
        <f t="shared" si="2"/>
        <v>337.76375000000002</v>
      </c>
      <c r="AX9" s="632"/>
      <c r="AY9" s="633" t="s">
        <v>829</v>
      </c>
      <c r="AZ9" s="633"/>
      <c r="BA9" s="633" t="s">
        <v>830</v>
      </c>
      <c r="BB9" s="634"/>
    </row>
    <row r="10" spans="1:54" ht="14.4" thickBot="1">
      <c r="A10" s="51"/>
      <c r="B10" s="40"/>
      <c r="C10" s="52" t="s">
        <v>67</v>
      </c>
      <c r="D10" s="53"/>
      <c r="E10" s="159" t="s">
        <v>611</v>
      </c>
      <c r="F10" s="193" t="s">
        <v>91</v>
      </c>
      <c r="G10" s="308">
        <f>+G4</f>
        <v>55</v>
      </c>
      <c r="H10" s="44">
        <v>5500</v>
      </c>
      <c r="I10" s="402">
        <f t="shared" ref="I10:I16" si="3">G10*H10</f>
        <v>302500</v>
      </c>
      <c r="V10" s="442" t="s">
        <v>840</v>
      </c>
      <c r="W10" s="432" t="s">
        <v>842</v>
      </c>
      <c r="X10" s="432" t="s">
        <v>826</v>
      </c>
      <c r="Y10" s="616" t="s">
        <v>837</v>
      </c>
      <c r="Z10" s="616"/>
      <c r="AA10" s="616" t="s">
        <v>838</v>
      </c>
      <c r="AB10" s="616"/>
      <c r="AC10" s="625">
        <v>0.1</v>
      </c>
      <c r="AD10" s="625"/>
      <c r="AE10" s="616">
        <v>130</v>
      </c>
      <c r="AF10" s="616"/>
      <c r="AG10" s="616">
        <f t="shared" si="1"/>
        <v>13</v>
      </c>
      <c r="AH10" s="616"/>
      <c r="AI10" s="625" t="s">
        <v>829</v>
      </c>
      <c r="AJ10" s="625"/>
      <c r="AK10" s="625" t="s">
        <v>830</v>
      </c>
      <c r="AL10" s="626"/>
      <c r="AW10" s="627">
        <f>SUM(AW4:AX9)</f>
        <v>1632.7568000000001</v>
      </c>
      <c r="AX10" s="628"/>
    </row>
    <row r="11" spans="1:54" ht="14.4" thickTop="1">
      <c r="A11" s="51"/>
      <c r="B11" s="40"/>
      <c r="C11" s="52" t="s">
        <v>70</v>
      </c>
      <c r="D11" s="53"/>
      <c r="E11" s="159" t="s">
        <v>612</v>
      </c>
      <c r="F11" s="193" t="s">
        <v>91</v>
      </c>
      <c r="G11" s="308">
        <f>+G5</f>
        <v>44.6</v>
      </c>
      <c r="H11" s="44">
        <v>5500</v>
      </c>
      <c r="I11" s="402">
        <f t="shared" si="3"/>
        <v>245300</v>
      </c>
      <c r="V11" s="442" t="s">
        <v>843</v>
      </c>
      <c r="W11" s="432" t="s">
        <v>844</v>
      </c>
      <c r="X11" s="432" t="s">
        <v>826</v>
      </c>
      <c r="Y11" s="616" t="s">
        <v>831</v>
      </c>
      <c r="Z11" s="616"/>
      <c r="AA11" s="616" t="s">
        <v>841</v>
      </c>
      <c r="AB11" s="616"/>
      <c r="AC11" s="616">
        <v>0.1</v>
      </c>
      <c r="AD11" s="616"/>
      <c r="AE11" s="616">
        <v>140</v>
      </c>
      <c r="AF11" s="616"/>
      <c r="AG11" s="616">
        <f t="shared" si="1"/>
        <v>14</v>
      </c>
      <c r="AH11" s="616"/>
      <c r="AI11" s="625" t="s">
        <v>829</v>
      </c>
      <c r="AJ11" s="625"/>
      <c r="AK11" s="625" t="s">
        <v>830</v>
      </c>
      <c r="AL11" s="626"/>
    </row>
    <row r="12" spans="1:54">
      <c r="A12" s="38" t="s">
        <v>613</v>
      </c>
      <c r="B12" s="40"/>
      <c r="C12" s="40"/>
      <c r="D12" s="53"/>
      <c r="E12" s="307" t="s">
        <v>614</v>
      </c>
      <c r="F12" s="55"/>
      <c r="G12" s="55"/>
      <c r="H12" s="44"/>
      <c r="I12" s="402">
        <f t="shared" si="3"/>
        <v>0</v>
      </c>
      <c r="V12" s="442" t="s">
        <v>845</v>
      </c>
      <c r="W12" s="432" t="s">
        <v>846</v>
      </c>
      <c r="X12" s="432" t="s">
        <v>826</v>
      </c>
      <c r="Y12" s="616" t="s">
        <v>837</v>
      </c>
      <c r="Z12" s="616"/>
      <c r="AA12" s="616" t="s">
        <v>847</v>
      </c>
      <c r="AB12" s="616"/>
      <c r="AC12" s="616">
        <v>0.1</v>
      </c>
      <c r="AD12" s="616"/>
      <c r="AE12" s="616">
        <v>24</v>
      </c>
      <c r="AF12" s="616"/>
      <c r="AG12" s="616">
        <f t="shared" si="1"/>
        <v>2.4000000000000004</v>
      </c>
      <c r="AH12" s="616"/>
      <c r="AI12" s="625" t="s">
        <v>829</v>
      </c>
      <c r="AJ12" s="625"/>
      <c r="AK12" s="625" t="s">
        <v>830</v>
      </c>
      <c r="AL12" s="626"/>
    </row>
    <row r="13" spans="1:54">
      <c r="A13" s="51"/>
      <c r="B13" s="40" t="s">
        <v>615</v>
      </c>
      <c r="C13" s="40"/>
      <c r="D13" s="53"/>
      <c r="E13" s="159" t="s">
        <v>616</v>
      </c>
      <c r="F13" s="193" t="s">
        <v>436</v>
      </c>
      <c r="G13" s="308"/>
      <c r="H13" s="44">
        <v>21</v>
      </c>
      <c r="I13" s="402">
        <f t="shared" si="3"/>
        <v>0</v>
      </c>
      <c r="V13" s="442" t="s">
        <v>848</v>
      </c>
      <c r="W13" s="432" t="s">
        <v>849</v>
      </c>
      <c r="X13" s="432" t="s">
        <v>826</v>
      </c>
      <c r="Y13" s="616" t="s">
        <v>837</v>
      </c>
      <c r="Z13" s="616"/>
      <c r="AA13" s="616" t="s">
        <v>841</v>
      </c>
      <c r="AB13" s="616"/>
      <c r="AC13" s="625">
        <v>0.1</v>
      </c>
      <c r="AD13" s="625"/>
      <c r="AE13" s="616">
        <v>98</v>
      </c>
      <c r="AF13" s="616"/>
      <c r="AG13" s="616">
        <f>AC13*AE13</f>
        <v>9.8000000000000007</v>
      </c>
      <c r="AH13" s="616"/>
      <c r="AI13" s="625" t="s">
        <v>829</v>
      </c>
      <c r="AJ13" s="625"/>
      <c r="AK13" s="625" t="s">
        <v>830</v>
      </c>
      <c r="AL13" s="626"/>
    </row>
    <row r="14" spans="1:54">
      <c r="A14" s="51"/>
      <c r="B14" s="40" t="s">
        <v>618</v>
      </c>
      <c r="C14" s="40"/>
      <c r="D14" s="53"/>
      <c r="E14" s="159" t="s">
        <v>619</v>
      </c>
      <c r="F14" s="193" t="s">
        <v>439</v>
      </c>
      <c r="G14" s="308"/>
      <c r="H14" s="44">
        <v>21</v>
      </c>
      <c r="I14" s="402">
        <f t="shared" si="3"/>
        <v>0</v>
      </c>
      <c r="V14" s="442" t="s">
        <v>850</v>
      </c>
      <c r="W14" s="432" t="s">
        <v>851</v>
      </c>
      <c r="X14" s="432" t="s">
        <v>826</v>
      </c>
      <c r="Y14" s="616" t="s">
        <v>837</v>
      </c>
      <c r="Z14" s="616"/>
      <c r="AA14" s="616" t="s">
        <v>852</v>
      </c>
      <c r="AB14" s="616"/>
      <c r="AC14" s="616">
        <v>0.1</v>
      </c>
      <c r="AD14" s="616"/>
      <c r="AE14" s="642">
        <f>81*2</f>
        <v>162</v>
      </c>
      <c r="AF14" s="642"/>
      <c r="AG14" s="616">
        <f t="shared" si="1"/>
        <v>16.2</v>
      </c>
      <c r="AH14" s="616"/>
      <c r="AI14" s="625" t="s">
        <v>829</v>
      </c>
      <c r="AJ14" s="625"/>
      <c r="AK14" s="625" t="s">
        <v>830</v>
      </c>
      <c r="AL14" s="626"/>
    </row>
    <row r="15" spans="1:54">
      <c r="A15" s="51"/>
      <c r="B15" s="40" t="s">
        <v>620</v>
      </c>
      <c r="C15" s="40"/>
      <c r="D15" s="53"/>
      <c r="E15" s="159" t="s">
        <v>621</v>
      </c>
      <c r="F15" s="193" t="s">
        <v>418</v>
      </c>
      <c r="G15" s="308"/>
      <c r="H15" s="44">
        <v>21</v>
      </c>
      <c r="I15" s="402">
        <f t="shared" si="3"/>
        <v>0</v>
      </c>
      <c r="V15" s="442" t="s">
        <v>853</v>
      </c>
      <c r="W15" s="432" t="s">
        <v>854</v>
      </c>
      <c r="X15" s="432" t="s">
        <v>826</v>
      </c>
      <c r="Y15" s="616" t="s">
        <v>837</v>
      </c>
      <c r="Z15" s="616"/>
      <c r="AA15" s="616" t="s">
        <v>838</v>
      </c>
      <c r="AB15" s="616"/>
      <c r="AC15" s="616">
        <v>0.1</v>
      </c>
      <c r="AD15" s="616"/>
      <c r="AE15" s="616">
        <v>71</v>
      </c>
      <c r="AF15" s="616"/>
      <c r="AG15" s="616">
        <f t="shared" si="1"/>
        <v>7.1000000000000005</v>
      </c>
      <c r="AH15" s="616"/>
      <c r="AI15" s="625" t="s">
        <v>829</v>
      </c>
      <c r="AJ15" s="625"/>
      <c r="AK15" s="625" t="s">
        <v>830</v>
      </c>
      <c r="AL15" s="626"/>
    </row>
    <row r="16" spans="1:54">
      <c r="A16" s="51"/>
      <c r="B16" s="40" t="s">
        <v>622</v>
      </c>
      <c r="C16" s="40"/>
      <c r="D16" s="53"/>
      <c r="E16" s="159" t="s">
        <v>623</v>
      </c>
      <c r="F16" s="193" t="s">
        <v>418</v>
      </c>
      <c r="G16" s="308"/>
      <c r="H16" s="44">
        <v>21</v>
      </c>
      <c r="I16" s="402">
        <f t="shared" si="3"/>
        <v>0</v>
      </c>
      <c r="V16" s="442" t="s">
        <v>855</v>
      </c>
      <c r="W16" s="432" t="s">
        <v>856</v>
      </c>
      <c r="X16" s="432" t="s">
        <v>826</v>
      </c>
      <c r="Y16" s="616" t="s">
        <v>837</v>
      </c>
      <c r="Z16" s="616"/>
      <c r="AA16" s="616" t="s">
        <v>841</v>
      </c>
      <c r="AB16" s="616"/>
      <c r="AC16" s="625">
        <v>0.1</v>
      </c>
      <c r="AD16" s="625"/>
      <c r="AE16" s="616">
        <v>350</v>
      </c>
      <c r="AF16" s="616"/>
      <c r="AG16" s="616">
        <f t="shared" si="1"/>
        <v>35</v>
      </c>
      <c r="AH16" s="616"/>
      <c r="AI16" s="625" t="s">
        <v>829</v>
      </c>
      <c r="AJ16" s="625"/>
      <c r="AK16" s="625" t="s">
        <v>830</v>
      </c>
      <c r="AL16" s="626"/>
    </row>
    <row r="17" spans="1:38">
      <c r="A17" s="38" t="s">
        <v>624</v>
      </c>
      <c r="B17" s="40"/>
      <c r="C17" s="40"/>
      <c r="D17" s="53"/>
      <c r="E17" s="307" t="s">
        <v>625</v>
      </c>
      <c r="F17" s="55"/>
      <c r="G17" s="55"/>
      <c r="H17" s="44"/>
      <c r="I17" s="402"/>
      <c r="V17" s="442" t="s">
        <v>857</v>
      </c>
      <c r="W17" s="432" t="s">
        <v>858</v>
      </c>
      <c r="X17" s="432" t="s">
        <v>826</v>
      </c>
      <c r="Y17" s="616" t="s">
        <v>837</v>
      </c>
      <c r="Z17" s="616"/>
      <c r="AA17" s="616" t="s">
        <v>838</v>
      </c>
      <c r="AB17" s="616"/>
      <c r="AC17" s="616">
        <v>0.1</v>
      </c>
      <c r="AD17" s="616"/>
      <c r="AE17" s="616">
        <v>350</v>
      </c>
      <c r="AF17" s="616"/>
      <c r="AG17" s="616">
        <f t="shared" si="1"/>
        <v>35</v>
      </c>
      <c r="AH17" s="616"/>
      <c r="AI17" s="625" t="s">
        <v>829</v>
      </c>
      <c r="AJ17" s="625"/>
      <c r="AK17" s="625" t="s">
        <v>830</v>
      </c>
      <c r="AL17" s="626"/>
    </row>
    <row r="18" spans="1:38" ht="34.200000000000003">
      <c r="A18" s="187"/>
      <c r="B18" s="126" t="s">
        <v>626</v>
      </c>
      <c r="C18" s="40"/>
      <c r="D18" s="53"/>
      <c r="E18" s="159" t="s">
        <v>627</v>
      </c>
      <c r="F18" s="193" t="s">
        <v>143</v>
      </c>
      <c r="G18" s="74">
        <f>+G10/18*1000*3</f>
        <v>9166.6666666666661</v>
      </c>
      <c r="H18" s="44">
        <v>460</v>
      </c>
      <c r="I18" s="402">
        <f t="shared" ref="I18:I22" si="4">G18*H18</f>
        <v>4216666.666666666</v>
      </c>
      <c r="V18" s="442" t="s">
        <v>858</v>
      </c>
      <c r="W18" s="432" t="s">
        <v>859</v>
      </c>
      <c r="X18" s="432" t="s">
        <v>826</v>
      </c>
      <c r="Y18" s="616" t="s">
        <v>837</v>
      </c>
      <c r="Z18" s="616"/>
      <c r="AA18" s="616" t="s">
        <v>852</v>
      </c>
      <c r="AB18" s="616"/>
      <c r="AC18" s="616">
        <v>0.1</v>
      </c>
      <c r="AD18" s="616"/>
      <c r="AE18" s="642">
        <f>68*2</f>
        <v>136</v>
      </c>
      <c r="AF18" s="642"/>
      <c r="AG18" s="616">
        <f t="shared" si="1"/>
        <v>13.600000000000001</v>
      </c>
      <c r="AH18" s="616"/>
      <c r="AI18" s="625" t="s">
        <v>829</v>
      </c>
      <c r="AJ18" s="625"/>
      <c r="AK18" s="625" t="s">
        <v>830</v>
      </c>
      <c r="AL18" s="626"/>
    </row>
    <row r="19" spans="1:38" ht="34.200000000000003">
      <c r="A19" s="187"/>
      <c r="B19" s="126" t="s">
        <v>628</v>
      </c>
      <c r="C19" s="40"/>
      <c r="D19" s="53"/>
      <c r="E19" s="159" t="s">
        <v>629</v>
      </c>
      <c r="F19" s="193" t="s">
        <v>143</v>
      </c>
      <c r="G19" s="74">
        <f>+G18</f>
        <v>9166.6666666666661</v>
      </c>
      <c r="H19" s="44">
        <v>200</v>
      </c>
      <c r="I19" s="402">
        <f t="shared" si="4"/>
        <v>1833333.3333333333</v>
      </c>
      <c r="V19" s="442" t="s">
        <v>860</v>
      </c>
      <c r="W19" s="432" t="s">
        <v>861</v>
      </c>
      <c r="X19" s="432" t="s">
        <v>826</v>
      </c>
      <c r="Y19" s="616" t="s">
        <v>837</v>
      </c>
      <c r="Z19" s="616"/>
      <c r="AA19" s="616" t="s">
        <v>841</v>
      </c>
      <c r="AB19" s="616"/>
      <c r="AC19" s="625">
        <v>0.1</v>
      </c>
      <c r="AD19" s="625"/>
      <c r="AE19" s="616">
        <v>40</v>
      </c>
      <c r="AF19" s="616"/>
      <c r="AG19" s="616">
        <f t="shared" si="1"/>
        <v>4</v>
      </c>
      <c r="AH19" s="616"/>
      <c r="AI19" s="625" t="s">
        <v>829</v>
      </c>
      <c r="AJ19" s="625"/>
      <c r="AK19" s="625" t="s">
        <v>830</v>
      </c>
      <c r="AL19" s="626"/>
    </row>
    <row r="20" spans="1:38" ht="24">
      <c r="A20" s="309" t="s">
        <v>630</v>
      </c>
      <c r="B20" s="40"/>
      <c r="C20" s="40"/>
      <c r="D20" s="53"/>
      <c r="E20" s="307" t="s">
        <v>631</v>
      </c>
      <c r="F20" s="193" t="s">
        <v>91</v>
      </c>
      <c r="G20" s="308">
        <f>22*3*2</f>
        <v>132</v>
      </c>
      <c r="H20" s="44">
        <v>65</v>
      </c>
      <c r="I20" s="402">
        <f t="shared" si="4"/>
        <v>8580</v>
      </c>
      <c r="V20" s="442" t="s">
        <v>862</v>
      </c>
      <c r="W20" s="432" t="s">
        <v>863</v>
      </c>
      <c r="X20" s="432" t="s">
        <v>826</v>
      </c>
      <c r="Y20" s="616" t="s">
        <v>837</v>
      </c>
      <c r="Z20" s="616"/>
      <c r="AA20" s="616" t="s">
        <v>838</v>
      </c>
      <c r="AB20" s="616"/>
      <c r="AC20" s="616">
        <v>0.1</v>
      </c>
      <c r="AD20" s="616"/>
      <c r="AE20" s="616">
        <v>350</v>
      </c>
      <c r="AF20" s="616"/>
      <c r="AG20" s="616">
        <f t="shared" si="1"/>
        <v>35</v>
      </c>
      <c r="AH20" s="616"/>
      <c r="AI20" s="625" t="s">
        <v>829</v>
      </c>
      <c r="AJ20" s="625"/>
      <c r="AK20" s="625" t="s">
        <v>830</v>
      </c>
      <c r="AL20" s="626"/>
    </row>
    <row r="21" spans="1:38" ht="24">
      <c r="A21" s="27" t="s">
        <v>632</v>
      </c>
      <c r="B21" s="40"/>
      <c r="C21" s="40"/>
      <c r="D21" s="53"/>
      <c r="E21" s="307" t="s">
        <v>633</v>
      </c>
      <c r="F21" s="74" t="s">
        <v>143</v>
      </c>
      <c r="G21" s="74">
        <v>3</v>
      </c>
      <c r="H21" s="44">
        <v>18000</v>
      </c>
      <c r="I21" s="402">
        <f t="shared" si="4"/>
        <v>54000</v>
      </c>
      <c r="V21" s="442" t="s">
        <v>864</v>
      </c>
      <c r="W21" s="432" t="s">
        <v>865</v>
      </c>
      <c r="X21" s="432" t="s">
        <v>833</v>
      </c>
      <c r="Y21" s="616" t="s">
        <v>831</v>
      </c>
      <c r="Z21" s="616"/>
      <c r="AA21" s="616" t="s">
        <v>841</v>
      </c>
      <c r="AB21" s="616"/>
      <c r="AC21" s="616">
        <v>0.1</v>
      </c>
      <c r="AD21" s="616"/>
      <c r="AE21" s="616">
        <v>160</v>
      </c>
      <c r="AF21" s="616"/>
      <c r="AG21" s="616">
        <f t="shared" si="1"/>
        <v>16</v>
      </c>
      <c r="AH21" s="616"/>
      <c r="AI21" s="625" t="s">
        <v>829</v>
      </c>
      <c r="AJ21" s="625"/>
      <c r="AK21" s="625" t="s">
        <v>830</v>
      </c>
      <c r="AL21" s="626"/>
    </row>
    <row r="22" spans="1:38">
      <c r="A22" s="187" t="s">
        <v>635</v>
      </c>
      <c r="B22" s="40"/>
      <c r="C22" s="40"/>
      <c r="D22" s="53"/>
      <c r="E22" s="307" t="s">
        <v>636</v>
      </c>
      <c r="F22" s="193" t="s">
        <v>143</v>
      </c>
      <c r="G22" s="74">
        <v>9200</v>
      </c>
      <c r="H22" s="44">
        <v>30</v>
      </c>
      <c r="I22" s="402">
        <f t="shared" si="4"/>
        <v>276000</v>
      </c>
      <c r="V22" s="442" t="s">
        <v>866</v>
      </c>
      <c r="W22" s="432" t="s">
        <v>867</v>
      </c>
      <c r="X22" s="432" t="s">
        <v>826</v>
      </c>
      <c r="Y22" s="616" t="s">
        <v>837</v>
      </c>
      <c r="Z22" s="616"/>
      <c r="AA22" s="616" t="s">
        <v>852</v>
      </c>
      <c r="AB22" s="616"/>
      <c r="AC22" s="625">
        <v>0.1</v>
      </c>
      <c r="AD22" s="625"/>
      <c r="AE22" s="642">
        <f>220*2</f>
        <v>440</v>
      </c>
      <c r="AF22" s="642"/>
      <c r="AG22" s="616">
        <f t="shared" si="1"/>
        <v>44</v>
      </c>
      <c r="AH22" s="616"/>
      <c r="AI22" s="625" t="s">
        <v>829</v>
      </c>
      <c r="AJ22" s="625"/>
      <c r="AK22" s="625" t="s">
        <v>830</v>
      </c>
      <c r="AL22" s="626"/>
    </row>
    <row r="23" spans="1:38">
      <c r="A23" s="314"/>
      <c r="B23" s="98"/>
      <c r="C23" s="98"/>
      <c r="D23" s="99"/>
      <c r="E23" s="307"/>
      <c r="F23" s="193"/>
      <c r="G23" s="75"/>
      <c r="H23" s="44"/>
      <c r="I23" s="408"/>
      <c r="V23" s="442" t="s">
        <v>867</v>
      </c>
      <c r="W23" s="432" t="s">
        <v>868</v>
      </c>
      <c r="X23" s="432" t="s">
        <v>826</v>
      </c>
      <c r="Y23" s="616" t="s">
        <v>837</v>
      </c>
      <c r="Z23" s="616"/>
      <c r="AA23" s="616" t="s">
        <v>869</v>
      </c>
      <c r="AB23" s="616"/>
      <c r="AC23" s="616">
        <v>0.1</v>
      </c>
      <c r="AD23" s="616"/>
      <c r="AE23" s="616">
        <v>400</v>
      </c>
      <c r="AF23" s="616"/>
      <c r="AG23" s="616">
        <f t="shared" si="1"/>
        <v>40</v>
      </c>
      <c r="AH23" s="616"/>
      <c r="AI23" s="625" t="s">
        <v>829</v>
      </c>
      <c r="AJ23" s="625"/>
      <c r="AK23" s="625" t="s">
        <v>830</v>
      </c>
      <c r="AL23" s="626"/>
    </row>
    <row r="24" spans="1:38">
      <c r="H24" s="399" t="s">
        <v>768</v>
      </c>
      <c r="I24" s="420">
        <f>SUM(I2:I22)</f>
        <v>7730400.5439999988</v>
      </c>
      <c r="V24" s="442" t="s">
        <v>870</v>
      </c>
      <c r="W24" s="432" t="s">
        <v>871</v>
      </c>
      <c r="X24" s="432" t="s">
        <v>826</v>
      </c>
      <c r="Y24" s="616" t="s">
        <v>837</v>
      </c>
      <c r="Z24" s="616"/>
      <c r="AA24" s="616" t="s">
        <v>841</v>
      </c>
      <c r="AB24" s="616"/>
      <c r="AC24" s="616">
        <v>0.1</v>
      </c>
      <c r="AD24" s="616"/>
      <c r="AE24" s="616">
        <v>2700</v>
      </c>
      <c r="AF24" s="616"/>
      <c r="AG24" s="616">
        <f t="shared" si="1"/>
        <v>270</v>
      </c>
      <c r="AH24" s="616"/>
      <c r="AI24" s="625" t="s">
        <v>829</v>
      </c>
      <c r="AJ24" s="625"/>
      <c r="AK24" s="625" t="s">
        <v>830</v>
      </c>
      <c r="AL24" s="626"/>
    </row>
    <row r="25" spans="1:38">
      <c r="V25" s="442" t="s">
        <v>872</v>
      </c>
      <c r="W25" s="432" t="s">
        <v>873</v>
      </c>
      <c r="X25" s="432" t="s">
        <v>826</v>
      </c>
      <c r="Y25" s="616" t="s">
        <v>837</v>
      </c>
      <c r="Z25" s="616"/>
      <c r="AA25" s="616" t="s">
        <v>838</v>
      </c>
      <c r="AB25" s="616"/>
      <c r="AC25" s="625">
        <v>0.1</v>
      </c>
      <c r="AD25" s="625"/>
      <c r="AE25" s="616">
        <v>240</v>
      </c>
      <c r="AF25" s="616"/>
      <c r="AG25" s="616">
        <f t="shared" si="1"/>
        <v>24</v>
      </c>
      <c r="AH25" s="616"/>
      <c r="AI25" s="625" t="s">
        <v>829</v>
      </c>
      <c r="AJ25" s="625"/>
      <c r="AK25" s="625" t="s">
        <v>830</v>
      </c>
      <c r="AL25" s="626"/>
    </row>
    <row r="26" spans="1:38">
      <c r="V26" s="442" t="s">
        <v>874</v>
      </c>
      <c r="W26" s="432" t="s">
        <v>875</v>
      </c>
      <c r="X26" s="432" t="s">
        <v>826</v>
      </c>
      <c r="Y26" s="616" t="s">
        <v>837</v>
      </c>
      <c r="Z26" s="616"/>
      <c r="AA26" s="616" t="s">
        <v>841</v>
      </c>
      <c r="AB26" s="616"/>
      <c r="AC26" s="616">
        <v>0.1</v>
      </c>
      <c r="AD26" s="616"/>
      <c r="AE26" s="616">
        <v>52</v>
      </c>
      <c r="AF26" s="616"/>
      <c r="AG26" s="616">
        <f t="shared" si="1"/>
        <v>5.2</v>
      </c>
      <c r="AH26" s="616"/>
      <c r="AI26" s="625" t="s">
        <v>829</v>
      </c>
      <c r="AJ26" s="625"/>
      <c r="AK26" s="625" t="s">
        <v>830</v>
      </c>
      <c r="AL26" s="626"/>
    </row>
    <row r="27" spans="1:38">
      <c r="V27" s="442" t="s">
        <v>876</v>
      </c>
      <c r="W27" s="432" t="s">
        <v>877</v>
      </c>
      <c r="X27" s="432" t="s">
        <v>826</v>
      </c>
      <c r="Y27" s="616" t="s">
        <v>837</v>
      </c>
      <c r="Z27" s="616"/>
      <c r="AA27" s="616" t="s">
        <v>838</v>
      </c>
      <c r="AB27" s="616"/>
      <c r="AC27" s="616">
        <v>0.1</v>
      </c>
      <c r="AD27" s="616"/>
      <c r="AE27" s="616">
        <v>1100</v>
      </c>
      <c r="AF27" s="616"/>
      <c r="AG27" s="616">
        <f t="shared" si="1"/>
        <v>110</v>
      </c>
      <c r="AH27" s="616"/>
      <c r="AI27" s="625" t="s">
        <v>829</v>
      </c>
      <c r="AJ27" s="625"/>
      <c r="AK27" s="625" t="s">
        <v>830</v>
      </c>
      <c r="AL27" s="626"/>
    </row>
    <row r="28" spans="1:38">
      <c r="V28" s="442" t="s">
        <v>878</v>
      </c>
      <c r="W28" s="432" t="s">
        <v>879</v>
      </c>
      <c r="X28" s="432" t="s">
        <v>826</v>
      </c>
      <c r="Y28" s="616" t="s">
        <v>837</v>
      </c>
      <c r="Z28" s="616"/>
      <c r="AA28" s="616" t="s">
        <v>852</v>
      </c>
      <c r="AB28" s="616"/>
      <c r="AC28" s="625">
        <v>0.1</v>
      </c>
      <c r="AD28" s="625"/>
      <c r="AE28" s="642">
        <f>550*2</f>
        <v>1100</v>
      </c>
      <c r="AF28" s="642"/>
      <c r="AG28" s="616">
        <f t="shared" si="1"/>
        <v>110</v>
      </c>
      <c r="AH28" s="616"/>
      <c r="AI28" s="625" t="s">
        <v>829</v>
      </c>
      <c r="AJ28" s="625"/>
      <c r="AK28" s="625" t="s">
        <v>830</v>
      </c>
      <c r="AL28" s="626"/>
    </row>
    <row r="29" spans="1:38">
      <c r="V29" s="442" t="s">
        <v>880</v>
      </c>
      <c r="W29" s="432" t="s">
        <v>881</v>
      </c>
      <c r="X29" s="432" t="s">
        <v>826</v>
      </c>
      <c r="Y29" s="616" t="s">
        <v>837</v>
      </c>
      <c r="Z29" s="616"/>
      <c r="AA29" s="616" t="s">
        <v>841</v>
      </c>
      <c r="AB29" s="616"/>
      <c r="AC29" s="616">
        <v>0.1</v>
      </c>
      <c r="AD29" s="616"/>
      <c r="AE29" s="616">
        <v>1900</v>
      </c>
      <c r="AF29" s="616"/>
      <c r="AG29" s="616">
        <f t="shared" si="1"/>
        <v>190</v>
      </c>
      <c r="AH29" s="616"/>
      <c r="AI29" s="625" t="s">
        <v>829</v>
      </c>
      <c r="AJ29" s="625"/>
      <c r="AK29" s="625" t="s">
        <v>830</v>
      </c>
      <c r="AL29" s="626"/>
    </row>
    <row r="30" spans="1:38">
      <c r="V30" s="442" t="s">
        <v>882</v>
      </c>
      <c r="W30" s="432" t="s">
        <v>883</v>
      </c>
      <c r="X30" s="432" t="s">
        <v>826</v>
      </c>
      <c r="Y30" s="616" t="s">
        <v>837</v>
      </c>
      <c r="Z30" s="616"/>
      <c r="AA30" s="616" t="s">
        <v>838</v>
      </c>
      <c r="AB30" s="616"/>
      <c r="AC30" s="616">
        <v>0.1</v>
      </c>
      <c r="AD30" s="616"/>
      <c r="AE30" s="616">
        <v>650</v>
      </c>
      <c r="AF30" s="616"/>
      <c r="AG30" s="616">
        <f t="shared" si="1"/>
        <v>65</v>
      </c>
      <c r="AH30" s="616"/>
      <c r="AI30" s="625" t="s">
        <v>829</v>
      </c>
      <c r="AJ30" s="625"/>
      <c r="AK30" s="625" t="s">
        <v>830</v>
      </c>
      <c r="AL30" s="626"/>
    </row>
    <row r="31" spans="1:38">
      <c r="V31" s="442" t="s">
        <v>884</v>
      </c>
      <c r="W31" s="432" t="s">
        <v>885</v>
      </c>
      <c r="X31" s="432" t="s">
        <v>826</v>
      </c>
      <c r="Y31" s="616" t="s">
        <v>837</v>
      </c>
      <c r="Z31" s="616"/>
      <c r="AA31" s="616" t="s">
        <v>852</v>
      </c>
      <c r="AB31" s="616"/>
      <c r="AC31" s="625">
        <v>0.1</v>
      </c>
      <c r="AD31" s="625"/>
      <c r="AE31" s="642">
        <f>64*2</f>
        <v>128</v>
      </c>
      <c r="AF31" s="642"/>
      <c r="AG31" s="616">
        <f t="shared" si="1"/>
        <v>12.8</v>
      </c>
      <c r="AH31" s="616"/>
      <c r="AI31" s="625" t="s">
        <v>829</v>
      </c>
      <c r="AJ31" s="625"/>
      <c r="AK31" s="625" t="s">
        <v>830</v>
      </c>
      <c r="AL31" s="626"/>
    </row>
    <row r="32" spans="1:38">
      <c r="V32" s="442" t="s">
        <v>886</v>
      </c>
      <c r="W32" s="432" t="s">
        <v>887</v>
      </c>
      <c r="X32" s="432" t="s">
        <v>826</v>
      </c>
      <c r="Y32" s="616" t="s">
        <v>837</v>
      </c>
      <c r="Z32" s="616"/>
      <c r="AA32" s="616" t="s">
        <v>841</v>
      </c>
      <c r="AB32" s="616"/>
      <c r="AC32" s="616">
        <v>0.1</v>
      </c>
      <c r="AD32" s="616"/>
      <c r="AE32" s="616">
        <v>800</v>
      </c>
      <c r="AF32" s="616"/>
      <c r="AG32" s="616">
        <f t="shared" si="1"/>
        <v>80</v>
      </c>
      <c r="AH32" s="616"/>
      <c r="AI32" s="625" t="s">
        <v>829</v>
      </c>
      <c r="AJ32" s="625"/>
      <c r="AK32" s="625" t="s">
        <v>830</v>
      </c>
      <c r="AL32" s="626"/>
    </row>
    <row r="33" spans="22:38">
      <c r="V33" s="442" t="s">
        <v>888</v>
      </c>
      <c r="W33" s="432" t="s">
        <v>889</v>
      </c>
      <c r="X33" s="432" t="s">
        <v>826</v>
      </c>
      <c r="Y33" s="616" t="s">
        <v>837</v>
      </c>
      <c r="Z33" s="616"/>
      <c r="AA33" s="616" t="s">
        <v>838</v>
      </c>
      <c r="AB33" s="616"/>
      <c r="AC33" s="616">
        <v>0.1</v>
      </c>
      <c r="AD33" s="616"/>
      <c r="AE33" s="616">
        <v>850</v>
      </c>
      <c r="AF33" s="616"/>
      <c r="AG33" s="616">
        <f t="shared" si="1"/>
        <v>85</v>
      </c>
      <c r="AH33" s="616"/>
      <c r="AI33" s="625" t="s">
        <v>829</v>
      </c>
      <c r="AJ33" s="625"/>
      <c r="AK33" s="625" t="s">
        <v>830</v>
      </c>
      <c r="AL33" s="626"/>
    </row>
    <row r="34" spans="22:38">
      <c r="V34" s="442" t="s">
        <v>890</v>
      </c>
      <c r="W34" s="432" t="s">
        <v>891</v>
      </c>
      <c r="X34" s="432" t="s">
        <v>826</v>
      </c>
      <c r="Y34" s="616" t="s">
        <v>837</v>
      </c>
      <c r="Z34" s="616"/>
      <c r="AA34" s="616" t="s">
        <v>852</v>
      </c>
      <c r="AB34" s="616"/>
      <c r="AC34" s="625">
        <v>0.1</v>
      </c>
      <c r="AD34" s="625"/>
      <c r="AE34" s="642">
        <f>100*2</f>
        <v>200</v>
      </c>
      <c r="AF34" s="642"/>
      <c r="AG34" s="616">
        <f t="shared" si="1"/>
        <v>20</v>
      </c>
      <c r="AH34" s="616"/>
      <c r="AI34" s="625" t="s">
        <v>829</v>
      </c>
      <c r="AJ34" s="625"/>
      <c r="AK34" s="625" t="s">
        <v>830</v>
      </c>
      <c r="AL34" s="626"/>
    </row>
    <row r="35" spans="22:38">
      <c r="V35" s="442" t="s">
        <v>889</v>
      </c>
      <c r="W35" s="432" t="s">
        <v>892</v>
      </c>
      <c r="X35" s="432" t="s">
        <v>826</v>
      </c>
      <c r="Y35" s="616" t="s">
        <v>837</v>
      </c>
      <c r="Z35" s="616"/>
      <c r="AA35" s="616" t="s">
        <v>841</v>
      </c>
      <c r="AB35" s="616"/>
      <c r="AC35" s="616">
        <v>0.1</v>
      </c>
      <c r="AD35" s="616"/>
      <c r="AE35" s="616">
        <v>400</v>
      </c>
      <c r="AF35" s="616"/>
      <c r="AG35" s="616">
        <f t="shared" si="1"/>
        <v>40</v>
      </c>
      <c r="AH35" s="616"/>
      <c r="AI35" s="625" t="s">
        <v>829</v>
      </c>
      <c r="AJ35" s="625"/>
      <c r="AK35" s="625" t="s">
        <v>830</v>
      </c>
      <c r="AL35" s="626"/>
    </row>
    <row r="36" spans="22:38">
      <c r="V36" s="442" t="s">
        <v>893</v>
      </c>
      <c r="W36" s="432" t="s">
        <v>894</v>
      </c>
      <c r="X36" s="432" t="s">
        <v>826</v>
      </c>
      <c r="Y36" s="616" t="s">
        <v>837</v>
      </c>
      <c r="Z36" s="616"/>
      <c r="AA36" s="616" t="s">
        <v>838</v>
      </c>
      <c r="AB36" s="616"/>
      <c r="AC36" s="616">
        <v>0.1</v>
      </c>
      <c r="AD36" s="616"/>
      <c r="AE36" s="616">
        <v>1400</v>
      </c>
      <c r="AF36" s="616"/>
      <c r="AG36" s="616">
        <f t="shared" si="1"/>
        <v>140</v>
      </c>
      <c r="AH36" s="616"/>
      <c r="AI36" s="625" t="s">
        <v>829</v>
      </c>
      <c r="AJ36" s="625"/>
      <c r="AK36" s="625" t="s">
        <v>830</v>
      </c>
      <c r="AL36" s="626"/>
    </row>
    <row r="37" spans="22:38">
      <c r="V37" s="442" t="s">
        <v>895</v>
      </c>
      <c r="W37" s="432" t="s">
        <v>896</v>
      </c>
      <c r="X37" s="432" t="s">
        <v>897</v>
      </c>
      <c r="Y37" s="616" t="s">
        <v>827</v>
      </c>
      <c r="Z37" s="616"/>
      <c r="AA37" s="616" t="s">
        <v>841</v>
      </c>
      <c r="AB37" s="616"/>
      <c r="AC37" s="625">
        <v>0.1</v>
      </c>
      <c r="AD37" s="625"/>
      <c r="AE37" s="616">
        <v>190</v>
      </c>
      <c r="AF37" s="616"/>
      <c r="AG37" s="616">
        <f t="shared" si="1"/>
        <v>19</v>
      </c>
      <c r="AH37" s="616"/>
      <c r="AI37" s="625" t="s">
        <v>829</v>
      </c>
      <c r="AJ37" s="625"/>
      <c r="AK37" s="625" t="s">
        <v>830</v>
      </c>
      <c r="AL37" s="626"/>
    </row>
    <row r="38" spans="22:38">
      <c r="V38" s="442" t="s">
        <v>898</v>
      </c>
      <c r="W38" s="432" t="s">
        <v>899</v>
      </c>
      <c r="X38" s="432" t="s">
        <v>897</v>
      </c>
      <c r="Y38" s="616" t="s">
        <v>831</v>
      </c>
      <c r="Z38" s="616"/>
      <c r="AA38" s="616" t="s">
        <v>841</v>
      </c>
      <c r="AB38" s="616"/>
      <c r="AC38" s="616">
        <v>0.1</v>
      </c>
      <c r="AD38" s="616"/>
      <c r="AE38" s="616">
        <v>46</v>
      </c>
      <c r="AF38" s="616"/>
      <c r="AG38" s="616">
        <f t="shared" si="1"/>
        <v>4.6000000000000005</v>
      </c>
      <c r="AH38" s="616"/>
      <c r="AI38" s="625" t="s">
        <v>829</v>
      </c>
      <c r="AJ38" s="625"/>
      <c r="AK38" s="625" t="s">
        <v>830</v>
      </c>
      <c r="AL38" s="626"/>
    </row>
    <row r="39" spans="22:38">
      <c r="V39" s="442" t="s">
        <v>900</v>
      </c>
      <c r="W39" s="432" t="s">
        <v>901</v>
      </c>
      <c r="X39" s="432" t="s">
        <v>826</v>
      </c>
      <c r="Y39" s="616" t="s">
        <v>837</v>
      </c>
      <c r="Z39" s="616"/>
      <c r="AA39" s="616" t="s">
        <v>852</v>
      </c>
      <c r="AB39" s="616"/>
      <c r="AC39" s="616">
        <v>0.1</v>
      </c>
      <c r="AD39" s="616"/>
      <c r="AE39" s="642">
        <f>99*2</f>
        <v>198</v>
      </c>
      <c r="AF39" s="642"/>
      <c r="AG39" s="616">
        <f t="shared" si="1"/>
        <v>19.8</v>
      </c>
      <c r="AH39" s="616"/>
      <c r="AI39" s="625" t="s">
        <v>829</v>
      </c>
      <c r="AJ39" s="625"/>
      <c r="AK39" s="625" t="s">
        <v>830</v>
      </c>
      <c r="AL39" s="626"/>
    </row>
    <row r="40" spans="22:38">
      <c r="V40" s="442" t="s">
        <v>902</v>
      </c>
      <c r="W40" s="432" t="s">
        <v>903</v>
      </c>
      <c r="X40" s="432" t="s">
        <v>833</v>
      </c>
      <c r="Y40" s="616" t="s">
        <v>831</v>
      </c>
      <c r="Z40" s="616"/>
      <c r="AA40" s="616" t="s">
        <v>847</v>
      </c>
      <c r="AB40" s="616"/>
      <c r="AC40" s="625">
        <v>0.1</v>
      </c>
      <c r="AD40" s="625"/>
      <c r="AE40" s="616">
        <v>130</v>
      </c>
      <c r="AF40" s="616"/>
      <c r="AG40" s="616">
        <f t="shared" si="1"/>
        <v>13</v>
      </c>
      <c r="AH40" s="616"/>
      <c r="AI40" s="625" t="s">
        <v>829</v>
      </c>
      <c r="AJ40" s="625"/>
      <c r="AK40" s="625" t="s">
        <v>830</v>
      </c>
      <c r="AL40" s="626"/>
    </row>
    <row r="41" spans="22:38">
      <c r="V41" s="442" t="s">
        <v>904</v>
      </c>
      <c r="W41" s="432" t="s">
        <v>905</v>
      </c>
      <c r="X41" s="432" t="s">
        <v>897</v>
      </c>
      <c r="Y41" s="616" t="s">
        <v>831</v>
      </c>
      <c r="Z41" s="616"/>
      <c r="AA41" s="616" t="s">
        <v>841</v>
      </c>
      <c r="AB41" s="616"/>
      <c r="AC41" s="616">
        <v>0.1</v>
      </c>
      <c r="AD41" s="616"/>
      <c r="AE41" s="616">
        <v>150</v>
      </c>
      <c r="AF41" s="616"/>
      <c r="AG41" s="616">
        <f t="shared" si="1"/>
        <v>15</v>
      </c>
      <c r="AH41" s="616"/>
      <c r="AI41" s="625" t="s">
        <v>829</v>
      </c>
      <c r="AJ41" s="625"/>
      <c r="AK41" s="625" t="s">
        <v>830</v>
      </c>
      <c r="AL41" s="626"/>
    </row>
    <row r="42" spans="22:38">
      <c r="V42" s="442" t="s">
        <v>906</v>
      </c>
      <c r="W42" s="432" t="s">
        <v>907</v>
      </c>
      <c r="X42" s="432" t="s">
        <v>897</v>
      </c>
      <c r="Y42" s="616" t="s">
        <v>827</v>
      </c>
      <c r="Z42" s="616"/>
      <c r="AA42" s="616" t="s">
        <v>841</v>
      </c>
      <c r="AB42" s="616"/>
      <c r="AC42" s="616">
        <v>0.1</v>
      </c>
      <c r="AD42" s="616"/>
      <c r="AE42" s="616">
        <v>61</v>
      </c>
      <c r="AF42" s="616"/>
      <c r="AG42" s="616">
        <f t="shared" si="1"/>
        <v>6.1000000000000005</v>
      </c>
      <c r="AH42" s="616"/>
      <c r="AI42" s="625" t="s">
        <v>829</v>
      </c>
      <c r="AJ42" s="625"/>
      <c r="AK42" s="625" t="s">
        <v>830</v>
      </c>
      <c r="AL42" s="626"/>
    </row>
    <row r="43" spans="22:38">
      <c r="V43" s="442" t="s">
        <v>908</v>
      </c>
      <c r="W43" s="432" t="s">
        <v>909</v>
      </c>
      <c r="X43" s="432" t="s">
        <v>826</v>
      </c>
      <c r="Y43" s="616" t="s">
        <v>837</v>
      </c>
      <c r="Z43" s="616"/>
      <c r="AA43" s="616" t="s">
        <v>910</v>
      </c>
      <c r="AB43" s="616"/>
      <c r="AC43" s="625">
        <v>0.1</v>
      </c>
      <c r="AD43" s="625"/>
      <c r="AE43" s="616">
        <v>600</v>
      </c>
      <c r="AF43" s="616"/>
      <c r="AG43" s="616">
        <f t="shared" si="1"/>
        <v>60</v>
      </c>
      <c r="AH43" s="616"/>
      <c r="AI43" s="625" t="s">
        <v>829</v>
      </c>
      <c r="AJ43" s="625"/>
      <c r="AK43" s="625" t="s">
        <v>830</v>
      </c>
      <c r="AL43" s="626"/>
    </row>
    <row r="44" spans="22:38">
      <c r="V44" s="442" t="s">
        <v>911</v>
      </c>
      <c r="W44" s="432" t="s">
        <v>912</v>
      </c>
      <c r="X44" s="432" t="s">
        <v>826</v>
      </c>
      <c r="Y44" s="616" t="s">
        <v>837</v>
      </c>
      <c r="Z44" s="616"/>
      <c r="AA44" s="616" t="s">
        <v>838</v>
      </c>
      <c r="AB44" s="616"/>
      <c r="AC44" s="616">
        <v>0.1</v>
      </c>
      <c r="AD44" s="616"/>
      <c r="AE44" s="616">
        <v>300</v>
      </c>
      <c r="AF44" s="616"/>
      <c r="AG44" s="616">
        <f t="shared" si="1"/>
        <v>30</v>
      </c>
      <c r="AH44" s="616"/>
      <c r="AI44" s="625" t="s">
        <v>829</v>
      </c>
      <c r="AJ44" s="625"/>
      <c r="AK44" s="625" t="s">
        <v>830</v>
      </c>
      <c r="AL44" s="626"/>
    </row>
    <row r="45" spans="22:38">
      <c r="V45" s="442" t="s">
        <v>912</v>
      </c>
      <c r="W45" s="432" t="s">
        <v>913</v>
      </c>
      <c r="X45" s="432" t="s">
        <v>826</v>
      </c>
      <c r="Y45" s="616" t="s">
        <v>837</v>
      </c>
      <c r="Z45" s="616"/>
      <c r="AA45" s="616" t="s">
        <v>852</v>
      </c>
      <c r="AB45" s="616"/>
      <c r="AC45" s="616">
        <v>0.1</v>
      </c>
      <c r="AD45" s="616"/>
      <c r="AE45" s="642">
        <f>650*2</f>
        <v>1300</v>
      </c>
      <c r="AF45" s="642"/>
      <c r="AG45" s="616">
        <f t="shared" si="1"/>
        <v>130</v>
      </c>
      <c r="AH45" s="616"/>
      <c r="AI45" s="625" t="s">
        <v>829</v>
      </c>
      <c r="AJ45" s="625"/>
      <c r="AK45" s="625" t="s">
        <v>830</v>
      </c>
      <c r="AL45" s="626"/>
    </row>
    <row r="46" spans="22:38">
      <c r="V46" s="442" t="s">
        <v>913</v>
      </c>
      <c r="W46" s="432" t="s">
        <v>914</v>
      </c>
      <c r="X46" s="432" t="s">
        <v>826</v>
      </c>
      <c r="Y46" s="616" t="s">
        <v>837</v>
      </c>
      <c r="Z46" s="616"/>
      <c r="AA46" s="616" t="s">
        <v>838</v>
      </c>
      <c r="AB46" s="616"/>
      <c r="AC46" s="625">
        <v>0.1</v>
      </c>
      <c r="AD46" s="625"/>
      <c r="AE46" s="616">
        <v>190</v>
      </c>
      <c r="AF46" s="616"/>
      <c r="AG46" s="616">
        <f t="shared" si="1"/>
        <v>19</v>
      </c>
      <c r="AH46" s="616"/>
      <c r="AI46" s="625" t="s">
        <v>829</v>
      </c>
      <c r="AJ46" s="625"/>
      <c r="AK46" s="625" t="s">
        <v>830</v>
      </c>
      <c r="AL46" s="626"/>
    </row>
    <row r="47" spans="22:38">
      <c r="V47" s="442" t="s">
        <v>914</v>
      </c>
      <c r="W47" s="432" t="s">
        <v>915</v>
      </c>
      <c r="X47" s="432" t="s">
        <v>826</v>
      </c>
      <c r="Y47" s="616" t="s">
        <v>837</v>
      </c>
      <c r="Z47" s="616"/>
      <c r="AA47" s="616" t="s">
        <v>852</v>
      </c>
      <c r="AB47" s="616"/>
      <c r="AC47" s="616">
        <v>0.1</v>
      </c>
      <c r="AD47" s="616"/>
      <c r="AE47" s="642">
        <f>53*2</f>
        <v>106</v>
      </c>
      <c r="AF47" s="642"/>
      <c r="AG47" s="616">
        <f t="shared" si="1"/>
        <v>10.600000000000001</v>
      </c>
      <c r="AH47" s="616"/>
      <c r="AI47" s="625" t="s">
        <v>829</v>
      </c>
      <c r="AJ47" s="625"/>
      <c r="AK47" s="625" t="s">
        <v>830</v>
      </c>
      <c r="AL47" s="626"/>
    </row>
    <row r="48" spans="22:38">
      <c r="V48" s="442" t="s">
        <v>915</v>
      </c>
      <c r="W48" s="432" t="s">
        <v>916</v>
      </c>
      <c r="X48" s="432" t="s">
        <v>826</v>
      </c>
      <c r="Y48" s="616" t="s">
        <v>837</v>
      </c>
      <c r="Z48" s="616"/>
      <c r="AA48" s="616" t="s">
        <v>838</v>
      </c>
      <c r="AB48" s="616"/>
      <c r="AC48" s="616">
        <v>0.1</v>
      </c>
      <c r="AD48" s="616"/>
      <c r="AE48" s="616">
        <v>350</v>
      </c>
      <c r="AF48" s="616"/>
      <c r="AG48" s="616">
        <f t="shared" si="1"/>
        <v>35</v>
      </c>
      <c r="AH48" s="616"/>
      <c r="AI48" s="625" t="s">
        <v>829</v>
      </c>
      <c r="AJ48" s="625"/>
      <c r="AK48" s="625" t="s">
        <v>830</v>
      </c>
      <c r="AL48" s="626"/>
    </row>
    <row r="49" spans="22:38">
      <c r="V49" s="442" t="s">
        <v>917</v>
      </c>
      <c r="W49" s="432" t="s">
        <v>918</v>
      </c>
      <c r="X49" s="432" t="s">
        <v>826</v>
      </c>
      <c r="Y49" s="616" t="s">
        <v>837</v>
      </c>
      <c r="Z49" s="616"/>
      <c r="AA49" s="616" t="s">
        <v>841</v>
      </c>
      <c r="AB49" s="616"/>
      <c r="AC49" s="625">
        <v>0.1</v>
      </c>
      <c r="AD49" s="625"/>
      <c r="AE49" s="616">
        <v>1800</v>
      </c>
      <c r="AF49" s="616"/>
      <c r="AG49" s="616">
        <f t="shared" si="1"/>
        <v>180</v>
      </c>
      <c r="AH49" s="616"/>
      <c r="AI49" s="625" t="s">
        <v>829</v>
      </c>
      <c r="AJ49" s="625"/>
      <c r="AK49" s="625" t="s">
        <v>830</v>
      </c>
      <c r="AL49" s="626"/>
    </row>
    <row r="50" spans="22:38">
      <c r="V50" s="442" t="s">
        <v>919</v>
      </c>
      <c r="W50" s="432" t="s">
        <v>920</v>
      </c>
      <c r="X50" s="432" t="s">
        <v>826</v>
      </c>
      <c r="Y50" s="616" t="s">
        <v>837</v>
      </c>
      <c r="Z50" s="616"/>
      <c r="AA50" s="616" t="s">
        <v>838</v>
      </c>
      <c r="AB50" s="616"/>
      <c r="AC50" s="616">
        <v>0.1</v>
      </c>
      <c r="AD50" s="616"/>
      <c r="AE50" s="616">
        <v>88</v>
      </c>
      <c r="AF50" s="616"/>
      <c r="AG50" s="616">
        <f t="shared" si="1"/>
        <v>8.8000000000000007</v>
      </c>
      <c r="AH50" s="616"/>
      <c r="AI50" s="625" t="s">
        <v>829</v>
      </c>
      <c r="AJ50" s="625"/>
      <c r="AK50" s="625" t="s">
        <v>830</v>
      </c>
      <c r="AL50" s="626"/>
    </row>
    <row r="51" spans="22:38">
      <c r="V51" s="442" t="s">
        <v>921</v>
      </c>
      <c r="W51" s="432" t="s">
        <v>922</v>
      </c>
      <c r="X51" s="432" t="s">
        <v>826</v>
      </c>
      <c r="Y51" s="616" t="s">
        <v>837</v>
      </c>
      <c r="Z51" s="616"/>
      <c r="AA51" s="616" t="s">
        <v>841</v>
      </c>
      <c r="AB51" s="616"/>
      <c r="AC51" s="616">
        <v>0.1</v>
      </c>
      <c r="AD51" s="616"/>
      <c r="AE51" s="616">
        <v>18</v>
      </c>
      <c r="AF51" s="616"/>
      <c r="AG51" s="616">
        <f t="shared" si="1"/>
        <v>1.8</v>
      </c>
      <c r="AH51" s="616"/>
      <c r="AI51" s="625" t="s">
        <v>829</v>
      </c>
      <c r="AJ51" s="625"/>
      <c r="AK51" s="625" t="s">
        <v>830</v>
      </c>
      <c r="AL51" s="626"/>
    </row>
    <row r="52" spans="22:38">
      <c r="V52" s="442" t="s">
        <v>923</v>
      </c>
      <c r="W52" s="432" t="s">
        <v>924</v>
      </c>
      <c r="X52" s="432" t="s">
        <v>826</v>
      </c>
      <c r="Y52" s="616" t="s">
        <v>837</v>
      </c>
      <c r="Z52" s="616"/>
      <c r="AA52" s="616" t="s">
        <v>838</v>
      </c>
      <c r="AB52" s="616"/>
      <c r="AC52" s="616">
        <v>0.1</v>
      </c>
      <c r="AD52" s="616"/>
      <c r="AE52" s="616">
        <v>250</v>
      </c>
      <c r="AF52" s="616"/>
      <c r="AG52" s="616">
        <f t="shared" si="1"/>
        <v>25</v>
      </c>
      <c r="AH52" s="616"/>
      <c r="AI52" s="625" t="s">
        <v>829</v>
      </c>
      <c r="AJ52" s="625"/>
      <c r="AK52" s="625" t="s">
        <v>830</v>
      </c>
      <c r="AL52" s="626"/>
    </row>
    <row r="53" spans="22:38">
      <c r="V53" s="442" t="s">
        <v>924</v>
      </c>
      <c r="W53" s="432" t="s">
        <v>925</v>
      </c>
      <c r="X53" s="432" t="s">
        <v>826</v>
      </c>
      <c r="Y53" s="616" t="s">
        <v>837</v>
      </c>
      <c r="Z53" s="616"/>
      <c r="AA53" s="616" t="s">
        <v>852</v>
      </c>
      <c r="AB53" s="616"/>
      <c r="AC53" s="616">
        <v>0.1</v>
      </c>
      <c r="AD53" s="616"/>
      <c r="AE53" s="642">
        <f>210*2</f>
        <v>420</v>
      </c>
      <c r="AF53" s="642"/>
      <c r="AG53" s="616">
        <f t="shared" si="1"/>
        <v>42</v>
      </c>
      <c r="AH53" s="616"/>
      <c r="AI53" s="625" t="s">
        <v>829</v>
      </c>
      <c r="AJ53" s="625"/>
      <c r="AK53" s="625" t="s">
        <v>830</v>
      </c>
      <c r="AL53" s="626"/>
    </row>
    <row r="54" spans="22:38">
      <c r="V54" s="442" t="s">
        <v>925</v>
      </c>
      <c r="W54" s="432" t="s">
        <v>926</v>
      </c>
      <c r="X54" s="432" t="s">
        <v>826</v>
      </c>
      <c r="Y54" s="616" t="s">
        <v>837</v>
      </c>
      <c r="Z54" s="616"/>
      <c r="AA54" s="616" t="s">
        <v>841</v>
      </c>
      <c r="AB54" s="616"/>
      <c r="AC54" s="616">
        <v>0.1</v>
      </c>
      <c r="AD54" s="616"/>
      <c r="AE54" s="616">
        <v>300</v>
      </c>
      <c r="AF54" s="616"/>
      <c r="AG54" s="616">
        <f t="shared" si="1"/>
        <v>30</v>
      </c>
      <c r="AH54" s="616"/>
      <c r="AI54" s="625" t="s">
        <v>829</v>
      </c>
      <c r="AJ54" s="625"/>
      <c r="AK54" s="625" t="s">
        <v>830</v>
      </c>
      <c r="AL54" s="626"/>
    </row>
    <row r="55" spans="22:38">
      <c r="V55" s="442" t="s">
        <v>927</v>
      </c>
      <c r="W55" s="432" t="s">
        <v>928</v>
      </c>
      <c r="X55" s="432" t="s">
        <v>826</v>
      </c>
      <c r="Y55" s="616" t="s">
        <v>837</v>
      </c>
      <c r="Z55" s="616"/>
      <c r="AA55" s="616" t="s">
        <v>841</v>
      </c>
      <c r="AB55" s="616"/>
      <c r="AC55" s="616">
        <v>0.1</v>
      </c>
      <c r="AD55" s="616"/>
      <c r="AE55" s="616">
        <v>900</v>
      </c>
      <c r="AF55" s="616"/>
      <c r="AG55" s="616">
        <f t="shared" si="1"/>
        <v>90</v>
      </c>
      <c r="AH55" s="616"/>
      <c r="AI55" s="625" t="s">
        <v>829</v>
      </c>
      <c r="AJ55" s="625"/>
      <c r="AK55" s="625" t="s">
        <v>830</v>
      </c>
      <c r="AL55" s="626"/>
    </row>
    <row r="56" spans="22:38">
      <c r="V56" s="442" t="s">
        <v>929</v>
      </c>
      <c r="W56" s="432" t="s">
        <v>930</v>
      </c>
      <c r="X56" s="432" t="s">
        <v>826</v>
      </c>
      <c r="Y56" s="616" t="s">
        <v>837</v>
      </c>
      <c r="Z56" s="616"/>
      <c r="AA56" s="616" t="s">
        <v>838</v>
      </c>
      <c r="AB56" s="616"/>
      <c r="AC56" s="616">
        <v>0.1</v>
      </c>
      <c r="AD56" s="616"/>
      <c r="AE56" s="616">
        <v>400</v>
      </c>
      <c r="AF56" s="616"/>
      <c r="AG56" s="616">
        <f t="shared" si="1"/>
        <v>40</v>
      </c>
      <c r="AH56" s="616"/>
      <c r="AI56" s="625" t="s">
        <v>829</v>
      </c>
      <c r="AJ56" s="625"/>
      <c r="AK56" s="625" t="s">
        <v>830</v>
      </c>
      <c r="AL56" s="626"/>
    </row>
    <row r="57" spans="22:38">
      <c r="V57" s="442" t="s">
        <v>930</v>
      </c>
      <c r="W57" s="432" t="s">
        <v>931</v>
      </c>
      <c r="X57" s="432" t="s">
        <v>826</v>
      </c>
      <c r="Y57" s="616" t="s">
        <v>837</v>
      </c>
      <c r="Z57" s="616"/>
      <c r="AA57" s="616" t="s">
        <v>852</v>
      </c>
      <c r="AB57" s="616"/>
      <c r="AC57" s="616">
        <v>0.1</v>
      </c>
      <c r="AD57" s="616"/>
      <c r="AE57" s="642">
        <f>650*2</f>
        <v>1300</v>
      </c>
      <c r="AF57" s="642"/>
      <c r="AG57" s="616">
        <f t="shared" si="1"/>
        <v>130</v>
      </c>
      <c r="AH57" s="616"/>
      <c r="AI57" s="625" t="s">
        <v>829</v>
      </c>
      <c r="AJ57" s="625"/>
      <c r="AK57" s="625" t="s">
        <v>830</v>
      </c>
      <c r="AL57" s="626"/>
    </row>
    <row r="58" spans="22:38">
      <c r="V58" s="442" t="s">
        <v>931</v>
      </c>
      <c r="W58" s="432" t="s">
        <v>932</v>
      </c>
      <c r="X58" s="432" t="s">
        <v>826</v>
      </c>
      <c r="Y58" s="616" t="s">
        <v>837</v>
      </c>
      <c r="Z58" s="616"/>
      <c r="AA58" s="616" t="s">
        <v>838</v>
      </c>
      <c r="AB58" s="616"/>
      <c r="AC58" s="616">
        <v>0.1</v>
      </c>
      <c r="AD58" s="616"/>
      <c r="AE58" s="616">
        <v>400</v>
      </c>
      <c r="AF58" s="616"/>
      <c r="AG58" s="616">
        <f t="shared" si="1"/>
        <v>40</v>
      </c>
      <c r="AH58" s="616"/>
      <c r="AI58" s="625" t="s">
        <v>829</v>
      </c>
      <c r="AJ58" s="625"/>
      <c r="AK58" s="625" t="s">
        <v>830</v>
      </c>
      <c r="AL58" s="626"/>
    </row>
    <row r="59" spans="22:38" ht="14.4" thickBot="1">
      <c r="V59" s="445" t="s">
        <v>933</v>
      </c>
      <c r="W59" s="449" t="s">
        <v>934</v>
      </c>
      <c r="X59" s="449" t="s">
        <v>826</v>
      </c>
      <c r="Y59" s="620" t="s">
        <v>837</v>
      </c>
      <c r="Z59" s="620"/>
      <c r="AA59" s="620" t="s">
        <v>841</v>
      </c>
      <c r="AB59" s="620"/>
      <c r="AC59" s="620">
        <v>0.1</v>
      </c>
      <c r="AD59" s="620"/>
      <c r="AE59" s="620">
        <v>850</v>
      </c>
      <c r="AF59" s="620"/>
      <c r="AG59" s="620">
        <f t="shared" si="1"/>
        <v>85</v>
      </c>
      <c r="AH59" s="620"/>
      <c r="AI59" s="633" t="s">
        <v>829</v>
      </c>
      <c r="AJ59" s="633"/>
      <c r="AK59" s="633" t="s">
        <v>830</v>
      </c>
      <c r="AL59" s="634"/>
    </row>
    <row r="63" spans="22:38">
      <c r="AE63" t="s">
        <v>949</v>
      </c>
      <c r="AF63">
        <f>SUM(AE6:AF59)/1000</f>
        <v>26.305</v>
      </c>
    </row>
    <row r="64" spans="22:38">
      <c r="AE64" t="s">
        <v>950</v>
      </c>
      <c r="AF64">
        <f>(AE4+AE5)/1000</f>
        <v>44.6</v>
      </c>
    </row>
  </sheetData>
  <mergeCells count="437">
    <mergeCell ref="A1:D1"/>
    <mergeCell ref="Y11:Z11"/>
    <mergeCell ref="Y12:Z12"/>
    <mergeCell ref="Y13:Z13"/>
    <mergeCell ref="Y14:Z14"/>
    <mergeCell ref="Y7:Z7"/>
    <mergeCell ref="Y8:Z8"/>
    <mergeCell ref="Y9:Z9"/>
    <mergeCell ref="Y10:Z10"/>
    <mergeCell ref="A2:D2"/>
    <mergeCell ref="Y33:Z33"/>
    <mergeCell ref="Y34:Z34"/>
    <mergeCell ref="Y35:Z35"/>
    <mergeCell ref="Y36:Z36"/>
    <mergeCell ref="Y23:Z23"/>
    <mergeCell ref="Y24:Z24"/>
    <mergeCell ref="Y25:Z25"/>
    <mergeCell ref="Y26:Z26"/>
    <mergeCell ref="Y17:Z17"/>
    <mergeCell ref="Y18:Z18"/>
    <mergeCell ref="Y19:Z19"/>
    <mergeCell ref="Y20:Z20"/>
    <mergeCell ref="Y22:Z22"/>
    <mergeCell ref="Y28:Z28"/>
    <mergeCell ref="Y30:Z30"/>
    <mergeCell ref="Y32:Z32"/>
    <mergeCell ref="Y51:Z51"/>
    <mergeCell ref="Y52:Z52"/>
    <mergeCell ref="Y53:Z53"/>
    <mergeCell ref="Y54:Z54"/>
    <mergeCell ref="Y45:Z45"/>
    <mergeCell ref="Y46:Z46"/>
    <mergeCell ref="Y47:Z47"/>
    <mergeCell ref="Y48:Z48"/>
    <mergeCell ref="Y39:Z39"/>
    <mergeCell ref="Y40:Z40"/>
    <mergeCell ref="Y41:Z41"/>
    <mergeCell ref="Y42:Z42"/>
    <mergeCell ref="Y44:Z44"/>
    <mergeCell ref="Y50:Z50"/>
    <mergeCell ref="AG3:AH3"/>
    <mergeCell ref="AI3:AJ3"/>
    <mergeCell ref="AK3:AL3"/>
    <mergeCell ref="Y4:Z4"/>
    <mergeCell ref="AA4:AB4"/>
    <mergeCell ref="AC4:AD4"/>
    <mergeCell ref="AE4:AF4"/>
    <mergeCell ref="AG4:AH4"/>
    <mergeCell ref="AI4:AJ4"/>
    <mergeCell ref="AK4:AL4"/>
    <mergeCell ref="Y3:Z3"/>
    <mergeCell ref="AA3:AB3"/>
    <mergeCell ref="AC3:AD3"/>
    <mergeCell ref="AE3:AF3"/>
    <mergeCell ref="AG5:AH5"/>
    <mergeCell ref="AI5:AJ5"/>
    <mergeCell ref="AK5:AL5"/>
    <mergeCell ref="Y6:Z6"/>
    <mergeCell ref="AA6:AB6"/>
    <mergeCell ref="AC6:AD6"/>
    <mergeCell ref="AE6:AF6"/>
    <mergeCell ref="AG6:AH6"/>
    <mergeCell ref="AI6:AJ6"/>
    <mergeCell ref="AK6:AL6"/>
    <mergeCell ref="Y5:Z5"/>
    <mergeCell ref="AA5:AB5"/>
    <mergeCell ref="AC5:AD5"/>
    <mergeCell ref="AE5:AF5"/>
    <mergeCell ref="AA8:AB8"/>
    <mergeCell ref="AC8:AD8"/>
    <mergeCell ref="AE8:AF8"/>
    <mergeCell ref="AG8:AH8"/>
    <mergeCell ref="AI8:AJ8"/>
    <mergeCell ref="AK8:AL8"/>
    <mergeCell ref="AA7:AB7"/>
    <mergeCell ref="AC7:AD7"/>
    <mergeCell ref="AE7:AF7"/>
    <mergeCell ref="AG7:AH7"/>
    <mergeCell ref="AI7:AJ7"/>
    <mergeCell ref="AK7:AL7"/>
    <mergeCell ref="AA10:AB10"/>
    <mergeCell ref="AC10:AD10"/>
    <mergeCell ref="AE10:AF10"/>
    <mergeCell ref="AG10:AH10"/>
    <mergeCell ref="AI10:AJ10"/>
    <mergeCell ref="AK10:AL10"/>
    <mergeCell ref="AA9:AB9"/>
    <mergeCell ref="AC9:AD9"/>
    <mergeCell ref="AE9:AF9"/>
    <mergeCell ref="AG9:AH9"/>
    <mergeCell ref="AI9:AJ9"/>
    <mergeCell ref="AK9:AL9"/>
    <mergeCell ref="AA12:AB12"/>
    <mergeCell ref="AC12:AD12"/>
    <mergeCell ref="AE12:AF12"/>
    <mergeCell ref="AG12:AH12"/>
    <mergeCell ref="AI12:AJ12"/>
    <mergeCell ref="AK12:AL12"/>
    <mergeCell ref="AA11:AB11"/>
    <mergeCell ref="AC11:AD11"/>
    <mergeCell ref="AE11:AF11"/>
    <mergeCell ref="AG11:AH11"/>
    <mergeCell ref="AI11:AJ11"/>
    <mergeCell ref="AK11:AL11"/>
    <mergeCell ref="AA14:AB14"/>
    <mergeCell ref="AC14:AD14"/>
    <mergeCell ref="AE14:AF14"/>
    <mergeCell ref="AG14:AH14"/>
    <mergeCell ref="AI14:AJ14"/>
    <mergeCell ref="AK14:AL14"/>
    <mergeCell ref="AA13:AB13"/>
    <mergeCell ref="AC13:AD13"/>
    <mergeCell ref="AE13:AF13"/>
    <mergeCell ref="AG13:AH13"/>
    <mergeCell ref="AI13:AJ13"/>
    <mergeCell ref="AK13:AL13"/>
    <mergeCell ref="AK15:AL15"/>
    <mergeCell ref="Y16:Z16"/>
    <mergeCell ref="AA16:AB16"/>
    <mergeCell ref="AC16:AD16"/>
    <mergeCell ref="AE16:AF16"/>
    <mergeCell ref="AG16:AH16"/>
    <mergeCell ref="AI16:AJ16"/>
    <mergeCell ref="AK16:AL16"/>
    <mergeCell ref="Y15:Z15"/>
    <mergeCell ref="AA15:AB15"/>
    <mergeCell ref="AC15:AD15"/>
    <mergeCell ref="AE15:AF15"/>
    <mergeCell ref="AG15:AH15"/>
    <mergeCell ref="AI15:AJ15"/>
    <mergeCell ref="AA18:AB18"/>
    <mergeCell ref="AC18:AD18"/>
    <mergeCell ref="AE18:AF18"/>
    <mergeCell ref="AG18:AH18"/>
    <mergeCell ref="AI18:AJ18"/>
    <mergeCell ref="AK18:AL18"/>
    <mergeCell ref="AA17:AB17"/>
    <mergeCell ref="AC17:AD17"/>
    <mergeCell ref="AE17:AF17"/>
    <mergeCell ref="AG17:AH17"/>
    <mergeCell ref="AI17:AJ17"/>
    <mergeCell ref="AK17:AL17"/>
    <mergeCell ref="AA20:AB20"/>
    <mergeCell ref="AC20:AD20"/>
    <mergeCell ref="AE20:AF20"/>
    <mergeCell ref="AG20:AH20"/>
    <mergeCell ref="AI20:AJ20"/>
    <mergeCell ref="AK20:AL20"/>
    <mergeCell ref="AA19:AB19"/>
    <mergeCell ref="AC19:AD19"/>
    <mergeCell ref="AE19:AF19"/>
    <mergeCell ref="AG19:AH19"/>
    <mergeCell ref="AI19:AJ19"/>
    <mergeCell ref="AK19:AL19"/>
    <mergeCell ref="AA22:AB22"/>
    <mergeCell ref="AC22:AD22"/>
    <mergeCell ref="AE22:AF22"/>
    <mergeCell ref="AG22:AH22"/>
    <mergeCell ref="AI22:AJ22"/>
    <mergeCell ref="AK22:AL22"/>
    <mergeCell ref="Y21:Z21"/>
    <mergeCell ref="AA21:AB21"/>
    <mergeCell ref="AC21:AD21"/>
    <mergeCell ref="AE21:AF21"/>
    <mergeCell ref="AG21:AH21"/>
    <mergeCell ref="AI21:AJ21"/>
    <mergeCell ref="AA24:AB24"/>
    <mergeCell ref="AC24:AD24"/>
    <mergeCell ref="AE24:AF24"/>
    <mergeCell ref="AG24:AH24"/>
    <mergeCell ref="AI24:AJ24"/>
    <mergeCell ref="AK24:AL24"/>
    <mergeCell ref="AA23:AB23"/>
    <mergeCell ref="AC23:AD23"/>
    <mergeCell ref="AE23:AF23"/>
    <mergeCell ref="AG23:AH23"/>
    <mergeCell ref="AI23:AJ23"/>
    <mergeCell ref="AK23:AL23"/>
    <mergeCell ref="AA26:AB26"/>
    <mergeCell ref="AC26:AD26"/>
    <mergeCell ref="AE26:AF26"/>
    <mergeCell ref="AG26:AH26"/>
    <mergeCell ref="AI26:AJ26"/>
    <mergeCell ref="AK26:AL26"/>
    <mergeCell ref="AA25:AB25"/>
    <mergeCell ref="AC25:AD25"/>
    <mergeCell ref="AE25:AF25"/>
    <mergeCell ref="AG25:AH25"/>
    <mergeCell ref="AI25:AJ25"/>
    <mergeCell ref="AK25:AL25"/>
    <mergeCell ref="AA28:AB28"/>
    <mergeCell ref="AC28:AD28"/>
    <mergeCell ref="AE28:AF28"/>
    <mergeCell ref="AG28:AH28"/>
    <mergeCell ref="AI28:AJ28"/>
    <mergeCell ref="AK28:AL28"/>
    <mergeCell ref="Y27:Z27"/>
    <mergeCell ref="AA27:AB27"/>
    <mergeCell ref="AC27:AD27"/>
    <mergeCell ref="AE27:AF27"/>
    <mergeCell ref="AG27:AH27"/>
    <mergeCell ref="AI27:AJ27"/>
    <mergeCell ref="AA30:AB30"/>
    <mergeCell ref="AC30:AD30"/>
    <mergeCell ref="AE30:AF30"/>
    <mergeCell ref="AG30:AH30"/>
    <mergeCell ref="AI30:AJ30"/>
    <mergeCell ref="AK30:AL30"/>
    <mergeCell ref="Y29:Z29"/>
    <mergeCell ref="AA29:AB29"/>
    <mergeCell ref="AC29:AD29"/>
    <mergeCell ref="AE29:AF29"/>
    <mergeCell ref="AG29:AH29"/>
    <mergeCell ref="AI29:AJ29"/>
    <mergeCell ref="AA32:AB32"/>
    <mergeCell ref="AC32:AD32"/>
    <mergeCell ref="AE32:AF32"/>
    <mergeCell ref="AG32:AH32"/>
    <mergeCell ref="AI32:AJ32"/>
    <mergeCell ref="AK32:AL32"/>
    <mergeCell ref="Y31:Z31"/>
    <mergeCell ref="AA31:AB31"/>
    <mergeCell ref="AC31:AD31"/>
    <mergeCell ref="AE31:AF31"/>
    <mergeCell ref="AG31:AH31"/>
    <mergeCell ref="AI31:AJ31"/>
    <mergeCell ref="AA34:AB34"/>
    <mergeCell ref="AC34:AD34"/>
    <mergeCell ref="AE34:AF34"/>
    <mergeCell ref="AG34:AH34"/>
    <mergeCell ref="AI34:AJ34"/>
    <mergeCell ref="AK34:AL34"/>
    <mergeCell ref="AA33:AB33"/>
    <mergeCell ref="AC33:AD33"/>
    <mergeCell ref="AE33:AF33"/>
    <mergeCell ref="AG33:AH33"/>
    <mergeCell ref="AI33:AJ33"/>
    <mergeCell ref="AK33:AL33"/>
    <mergeCell ref="AA36:AB36"/>
    <mergeCell ref="AC36:AD36"/>
    <mergeCell ref="AE36:AF36"/>
    <mergeCell ref="AG36:AH36"/>
    <mergeCell ref="AI36:AJ36"/>
    <mergeCell ref="AK36:AL36"/>
    <mergeCell ref="AA35:AB35"/>
    <mergeCell ref="AC35:AD35"/>
    <mergeCell ref="AE35:AF35"/>
    <mergeCell ref="AG35:AH35"/>
    <mergeCell ref="AI35:AJ35"/>
    <mergeCell ref="AK35:AL35"/>
    <mergeCell ref="Y38:Z38"/>
    <mergeCell ref="AA38:AB38"/>
    <mergeCell ref="AC38:AD38"/>
    <mergeCell ref="AE38:AF38"/>
    <mergeCell ref="AG38:AH38"/>
    <mergeCell ref="AI38:AJ38"/>
    <mergeCell ref="AK38:AL38"/>
    <mergeCell ref="Y37:Z37"/>
    <mergeCell ref="AA37:AB37"/>
    <mergeCell ref="AC37:AD37"/>
    <mergeCell ref="AE37:AF37"/>
    <mergeCell ref="AG37:AH37"/>
    <mergeCell ref="AI37:AJ37"/>
    <mergeCell ref="AA40:AB40"/>
    <mergeCell ref="AC40:AD40"/>
    <mergeCell ref="AE40:AF40"/>
    <mergeCell ref="AG40:AH40"/>
    <mergeCell ref="AI40:AJ40"/>
    <mergeCell ref="AK40:AL40"/>
    <mergeCell ref="AA39:AB39"/>
    <mergeCell ref="AC39:AD39"/>
    <mergeCell ref="AE39:AF39"/>
    <mergeCell ref="AG39:AH39"/>
    <mergeCell ref="AI39:AJ39"/>
    <mergeCell ref="AK39:AL39"/>
    <mergeCell ref="AA42:AB42"/>
    <mergeCell ref="AC42:AD42"/>
    <mergeCell ref="AE42:AF42"/>
    <mergeCell ref="AG42:AH42"/>
    <mergeCell ref="AI42:AJ42"/>
    <mergeCell ref="AK42:AL42"/>
    <mergeCell ref="AA41:AB41"/>
    <mergeCell ref="AC41:AD41"/>
    <mergeCell ref="AE41:AF41"/>
    <mergeCell ref="AG41:AH41"/>
    <mergeCell ref="AI41:AJ41"/>
    <mergeCell ref="AK41:AL41"/>
    <mergeCell ref="AA44:AB44"/>
    <mergeCell ref="AC44:AD44"/>
    <mergeCell ref="AE44:AF44"/>
    <mergeCell ref="AG44:AH44"/>
    <mergeCell ref="AI44:AJ44"/>
    <mergeCell ref="AK44:AL44"/>
    <mergeCell ref="Y43:Z43"/>
    <mergeCell ref="AA43:AB43"/>
    <mergeCell ref="AC43:AD43"/>
    <mergeCell ref="AE43:AF43"/>
    <mergeCell ref="AG43:AH43"/>
    <mergeCell ref="AI43:AJ43"/>
    <mergeCell ref="AA46:AB46"/>
    <mergeCell ref="AC46:AD46"/>
    <mergeCell ref="AE46:AF46"/>
    <mergeCell ref="AG46:AH46"/>
    <mergeCell ref="AI46:AJ46"/>
    <mergeCell ref="AK46:AL46"/>
    <mergeCell ref="AA45:AB45"/>
    <mergeCell ref="AC45:AD45"/>
    <mergeCell ref="AE45:AF45"/>
    <mergeCell ref="AG45:AH45"/>
    <mergeCell ref="AI45:AJ45"/>
    <mergeCell ref="AK45:AL45"/>
    <mergeCell ref="AA48:AB48"/>
    <mergeCell ref="AC48:AD48"/>
    <mergeCell ref="AE48:AF48"/>
    <mergeCell ref="AG48:AH48"/>
    <mergeCell ref="AI48:AJ48"/>
    <mergeCell ref="AK48:AL48"/>
    <mergeCell ref="AA47:AB47"/>
    <mergeCell ref="AC47:AD47"/>
    <mergeCell ref="AE47:AF47"/>
    <mergeCell ref="AG47:AH47"/>
    <mergeCell ref="AI47:AJ47"/>
    <mergeCell ref="AK47:AL47"/>
    <mergeCell ref="AA50:AB50"/>
    <mergeCell ref="AC50:AD50"/>
    <mergeCell ref="AE50:AF50"/>
    <mergeCell ref="AG50:AH50"/>
    <mergeCell ref="AI50:AJ50"/>
    <mergeCell ref="AK50:AL50"/>
    <mergeCell ref="Y49:Z49"/>
    <mergeCell ref="AA49:AB49"/>
    <mergeCell ref="AC49:AD49"/>
    <mergeCell ref="AE49:AF49"/>
    <mergeCell ref="AG49:AH49"/>
    <mergeCell ref="AI49:AJ49"/>
    <mergeCell ref="AA52:AB52"/>
    <mergeCell ref="AC52:AD52"/>
    <mergeCell ref="AE52:AF52"/>
    <mergeCell ref="AG52:AH52"/>
    <mergeCell ref="AI52:AJ52"/>
    <mergeCell ref="AK52:AL52"/>
    <mergeCell ref="AA51:AB51"/>
    <mergeCell ref="AC51:AD51"/>
    <mergeCell ref="AE51:AF51"/>
    <mergeCell ref="AG51:AH51"/>
    <mergeCell ref="AI51:AJ51"/>
    <mergeCell ref="AK51:AL51"/>
    <mergeCell ref="AA54:AB54"/>
    <mergeCell ref="AC54:AD54"/>
    <mergeCell ref="AE54:AF54"/>
    <mergeCell ref="AG54:AH54"/>
    <mergeCell ref="AI54:AJ54"/>
    <mergeCell ref="AK54:AL54"/>
    <mergeCell ref="AA53:AB53"/>
    <mergeCell ref="AC53:AD53"/>
    <mergeCell ref="AE53:AF53"/>
    <mergeCell ref="AG53:AH53"/>
    <mergeCell ref="AI53:AJ53"/>
    <mergeCell ref="AK53:AL53"/>
    <mergeCell ref="Y56:Z56"/>
    <mergeCell ref="AA56:AB56"/>
    <mergeCell ref="AC56:AD56"/>
    <mergeCell ref="AE56:AF56"/>
    <mergeCell ref="AG56:AH56"/>
    <mergeCell ref="AI56:AJ56"/>
    <mergeCell ref="AK56:AL56"/>
    <mergeCell ref="Y55:Z55"/>
    <mergeCell ref="AA55:AB55"/>
    <mergeCell ref="AC55:AD55"/>
    <mergeCell ref="AE55:AF55"/>
    <mergeCell ref="AG55:AH55"/>
    <mergeCell ref="AI55:AJ55"/>
    <mergeCell ref="Y59:Z59"/>
    <mergeCell ref="AA59:AB59"/>
    <mergeCell ref="AC59:AD59"/>
    <mergeCell ref="AE59:AF59"/>
    <mergeCell ref="AG59:AH59"/>
    <mergeCell ref="AI59:AJ59"/>
    <mergeCell ref="AK57:AL57"/>
    <mergeCell ref="Y58:Z58"/>
    <mergeCell ref="AA58:AB58"/>
    <mergeCell ref="AC58:AD58"/>
    <mergeCell ref="AE58:AF58"/>
    <mergeCell ref="AG58:AH58"/>
    <mergeCell ref="AI58:AJ58"/>
    <mergeCell ref="AK58:AL58"/>
    <mergeCell ref="Y57:Z57"/>
    <mergeCell ref="AA57:AB57"/>
    <mergeCell ref="AC57:AD57"/>
    <mergeCell ref="AE57:AF57"/>
    <mergeCell ref="AG57:AH57"/>
    <mergeCell ref="AI57:AJ57"/>
    <mergeCell ref="BA4:BB4"/>
    <mergeCell ref="AR5:AS5"/>
    <mergeCell ref="AU5:AV5"/>
    <mergeCell ref="AW5:AX5"/>
    <mergeCell ref="AY5:AZ5"/>
    <mergeCell ref="BA5:BB5"/>
    <mergeCell ref="AK59:AL59"/>
    <mergeCell ref="AR3:AS3"/>
    <mergeCell ref="AU3:AV3"/>
    <mergeCell ref="AW3:AX3"/>
    <mergeCell ref="AY3:AZ3"/>
    <mergeCell ref="BA3:BB3"/>
    <mergeCell ref="AR4:AS4"/>
    <mergeCell ref="AU4:AV4"/>
    <mergeCell ref="AW4:AX4"/>
    <mergeCell ref="AY4:AZ4"/>
    <mergeCell ref="AK55:AL55"/>
    <mergeCell ref="AK49:AL49"/>
    <mergeCell ref="AK43:AL43"/>
    <mergeCell ref="AK37:AL37"/>
    <mergeCell ref="AK31:AL31"/>
    <mergeCell ref="AK29:AL29"/>
    <mergeCell ref="AK27:AL27"/>
    <mergeCell ref="AK21:AL21"/>
    <mergeCell ref="AR6:AS6"/>
    <mergeCell ref="AU6:AV6"/>
    <mergeCell ref="AW6:AX6"/>
    <mergeCell ref="AY6:AZ6"/>
    <mergeCell ref="BA6:BB6"/>
    <mergeCell ref="AR7:AS7"/>
    <mergeCell ref="AU7:AV7"/>
    <mergeCell ref="AW7:AX7"/>
    <mergeCell ref="AY7:AZ7"/>
    <mergeCell ref="BA7:BB7"/>
    <mergeCell ref="AW10:AX10"/>
    <mergeCell ref="AR8:AS8"/>
    <mergeCell ref="AU8:AV8"/>
    <mergeCell ref="AW8:AX8"/>
    <mergeCell ref="AY8:AZ8"/>
    <mergeCell ref="BA8:BB8"/>
    <mergeCell ref="AR9:AS9"/>
    <mergeCell ref="AU9:AV9"/>
    <mergeCell ref="AW9:AX9"/>
    <mergeCell ref="AY9:AZ9"/>
    <mergeCell ref="BA9:BB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FFDCF-7676-4A5B-9CF9-1DE266AE6F67}">
  <dimension ref="A1:M77"/>
  <sheetViews>
    <sheetView zoomScale="85" zoomScaleNormal="85" workbookViewId="0">
      <selection activeCell="K40" sqref="K40"/>
    </sheetView>
  </sheetViews>
  <sheetFormatPr defaultRowHeight="13.8"/>
  <cols>
    <col min="3" max="3" width="5.09765625" customWidth="1"/>
    <col min="4" max="4" width="4.296875" customWidth="1"/>
    <col min="5" max="5" width="48.796875" customWidth="1"/>
    <col min="6" max="6" width="14.8984375" customWidth="1"/>
    <col min="7" max="7" width="15.69921875" customWidth="1"/>
    <col min="8" max="8" width="15.8984375" customWidth="1"/>
    <col min="9" max="9" width="15.296875" customWidth="1"/>
    <col min="11" max="11" width="12.8984375" customWidth="1"/>
  </cols>
  <sheetData>
    <row r="1" spans="1:9">
      <c r="A1" s="596" t="s">
        <v>1</v>
      </c>
      <c r="B1" s="596"/>
      <c r="C1" s="596"/>
      <c r="D1" s="596"/>
      <c r="E1" s="20" t="s">
        <v>2</v>
      </c>
      <c r="F1" s="19" t="s">
        <v>3</v>
      </c>
      <c r="G1" s="19" t="s">
        <v>741</v>
      </c>
      <c r="H1" s="19" t="s">
        <v>740</v>
      </c>
      <c r="I1" s="19" t="s">
        <v>742</v>
      </c>
    </row>
    <row r="2" spans="1:9">
      <c r="A2" s="592" t="s">
        <v>249</v>
      </c>
      <c r="B2" s="593"/>
      <c r="C2" s="593"/>
      <c r="D2" s="594"/>
      <c r="E2" s="185" t="s">
        <v>250</v>
      </c>
      <c r="F2" s="162"/>
      <c r="G2" s="82"/>
      <c r="H2" s="407"/>
      <c r="I2" s="407"/>
    </row>
    <row r="3" spans="1:9">
      <c r="A3" s="27" t="s">
        <v>251</v>
      </c>
      <c r="B3" s="40"/>
      <c r="C3" s="40"/>
      <c r="D3" s="53"/>
      <c r="E3" s="27" t="s">
        <v>252</v>
      </c>
      <c r="F3" s="181"/>
      <c r="G3" s="181"/>
      <c r="H3" s="412"/>
      <c r="I3" s="408"/>
    </row>
    <row r="4" spans="1:9" ht="14.4" customHeight="1">
      <c r="A4" s="51"/>
      <c r="B4" s="126" t="s">
        <v>253</v>
      </c>
      <c r="C4" s="40"/>
      <c r="D4" s="53"/>
      <c r="E4" s="84" t="s">
        <v>254</v>
      </c>
      <c r="F4" s="158" t="s">
        <v>18</v>
      </c>
      <c r="G4" s="158"/>
      <c r="H4" s="412"/>
      <c r="I4" s="408"/>
    </row>
    <row r="5" spans="1:9">
      <c r="A5" s="27" t="s">
        <v>255</v>
      </c>
      <c r="B5" s="40"/>
      <c r="C5" s="40"/>
      <c r="D5" s="53"/>
      <c r="E5" s="95" t="s">
        <v>256</v>
      </c>
      <c r="F5" s="74" t="s">
        <v>18</v>
      </c>
      <c r="G5" s="158">
        <v>9</v>
      </c>
      <c r="H5" s="412">
        <v>25000</v>
      </c>
      <c r="I5" s="402">
        <f>G5*H5</f>
        <v>225000</v>
      </c>
    </row>
    <row r="6" spans="1:9">
      <c r="A6" s="27"/>
      <c r="B6" s="40"/>
      <c r="C6" s="40"/>
      <c r="D6" s="53"/>
      <c r="E6" s="95"/>
      <c r="F6" s="74"/>
      <c r="G6" s="158"/>
      <c r="H6" s="412"/>
      <c r="I6" s="408"/>
    </row>
    <row r="7" spans="1:9">
      <c r="A7" s="27" t="s">
        <v>257</v>
      </c>
      <c r="B7" s="40"/>
      <c r="C7" s="40"/>
      <c r="D7" s="53"/>
      <c r="E7" s="95" t="s">
        <v>258</v>
      </c>
      <c r="F7" s="74" t="s">
        <v>18</v>
      </c>
      <c r="G7" s="82">
        <v>9</v>
      </c>
      <c r="H7" s="412">
        <v>5500</v>
      </c>
      <c r="I7" s="402">
        <f>G7*H7</f>
        <v>49500</v>
      </c>
    </row>
    <row r="8" spans="1:9">
      <c r="A8" s="27"/>
      <c r="B8" s="40"/>
      <c r="C8" s="40"/>
      <c r="D8" s="53"/>
      <c r="E8" s="95"/>
      <c r="F8" s="74"/>
      <c r="G8" s="82"/>
      <c r="H8" s="412"/>
      <c r="I8" s="408"/>
    </row>
    <row r="9" spans="1:9">
      <c r="A9" s="27" t="s">
        <v>259</v>
      </c>
      <c r="B9" s="40"/>
      <c r="C9" s="40"/>
      <c r="D9" s="53"/>
      <c r="E9" s="95" t="s">
        <v>260</v>
      </c>
      <c r="F9" s="74"/>
      <c r="G9" s="82"/>
      <c r="H9" s="412"/>
      <c r="I9" s="408"/>
    </row>
    <row r="10" spans="1:9" ht="22.8" customHeight="1">
      <c r="A10" s="187"/>
      <c r="B10" s="126" t="s">
        <v>261</v>
      </c>
      <c r="C10" s="40"/>
      <c r="D10" s="53"/>
      <c r="E10" s="84" t="s">
        <v>262</v>
      </c>
      <c r="F10" s="181"/>
      <c r="G10" s="181"/>
      <c r="H10" s="412"/>
      <c r="I10" s="408"/>
    </row>
    <row r="11" spans="1:9" ht="21" customHeight="1">
      <c r="A11" s="51"/>
      <c r="B11" s="40"/>
      <c r="C11" s="188" t="s">
        <v>67</v>
      </c>
      <c r="D11" s="53"/>
      <c r="E11" s="84" t="s">
        <v>263</v>
      </c>
      <c r="F11" s="158"/>
      <c r="G11" s="158"/>
      <c r="H11" s="412"/>
      <c r="I11" s="408"/>
    </row>
    <row r="12" spans="1:9" ht="16.8" customHeight="1">
      <c r="A12" s="51"/>
      <c r="B12" s="40"/>
      <c r="C12" s="188"/>
      <c r="D12" s="189" t="s">
        <v>264</v>
      </c>
      <c r="E12" s="84" t="s">
        <v>265</v>
      </c>
      <c r="F12" s="158" t="s">
        <v>266</v>
      </c>
      <c r="G12" s="190">
        <v>0</v>
      </c>
      <c r="H12" s="412">
        <v>250</v>
      </c>
      <c r="I12" s="402">
        <f>G12*H12</f>
        <v>0</v>
      </c>
    </row>
    <row r="13" spans="1:9" ht="19.8" customHeight="1">
      <c r="A13" s="51"/>
      <c r="B13" s="40"/>
      <c r="C13" s="188" t="s">
        <v>70</v>
      </c>
      <c r="D13" s="53"/>
      <c r="E13" s="84" t="s">
        <v>267</v>
      </c>
      <c r="F13" s="158"/>
      <c r="G13" s="190"/>
      <c r="H13" s="412"/>
      <c r="I13" s="408"/>
    </row>
    <row r="14" spans="1:9" ht="10.8" customHeight="1">
      <c r="A14" s="51"/>
      <c r="B14" s="40"/>
      <c r="C14" s="188"/>
      <c r="D14" s="189" t="s">
        <v>264</v>
      </c>
      <c r="E14" s="84" t="s">
        <v>265</v>
      </c>
      <c r="F14" s="158" t="s">
        <v>266</v>
      </c>
      <c r="G14" s="75">
        <f>F77</f>
        <v>1000</v>
      </c>
      <c r="H14" s="412">
        <v>180</v>
      </c>
      <c r="I14" s="402">
        <f>G14*H14</f>
        <v>180000</v>
      </c>
    </row>
    <row r="15" spans="1:9">
      <c r="A15" s="51"/>
      <c r="B15" s="40"/>
      <c r="C15" s="188"/>
      <c r="D15" s="189"/>
      <c r="E15" s="84"/>
      <c r="F15" s="158"/>
      <c r="G15" s="75"/>
      <c r="H15" s="412"/>
      <c r="I15" s="408"/>
    </row>
    <row r="16" spans="1:9" ht="16.8" customHeight="1">
      <c r="A16" s="51"/>
      <c r="B16" s="28" t="s">
        <v>268</v>
      </c>
      <c r="C16" s="59"/>
      <c r="D16" s="60"/>
      <c r="E16" s="192" t="s">
        <v>269</v>
      </c>
      <c r="F16" s="193" t="s">
        <v>266</v>
      </c>
      <c r="G16" s="75">
        <v>100</v>
      </c>
      <c r="H16" s="412">
        <v>325</v>
      </c>
      <c r="I16" s="402">
        <f>G16*H16</f>
        <v>32500</v>
      </c>
    </row>
    <row r="17" spans="1:13">
      <c r="A17" s="51"/>
      <c r="B17" s="28"/>
      <c r="C17" s="59"/>
      <c r="D17" s="60"/>
      <c r="E17" s="192"/>
      <c r="F17" s="193"/>
      <c r="G17" s="75"/>
      <c r="H17" s="412"/>
      <c r="I17" s="408"/>
    </row>
    <row r="18" spans="1:13">
      <c r="A18" s="51"/>
      <c r="B18" s="28" t="s">
        <v>270</v>
      </c>
      <c r="C18" s="59"/>
      <c r="D18" s="60"/>
      <c r="E18" s="192" t="s">
        <v>271</v>
      </c>
      <c r="F18" s="194" t="s">
        <v>272</v>
      </c>
      <c r="G18" s="82">
        <f>I68</f>
        <v>6510</v>
      </c>
      <c r="H18" s="412">
        <v>540</v>
      </c>
      <c r="I18" s="402">
        <f>G18*H18</f>
        <v>3515400</v>
      </c>
    </row>
    <row r="19" spans="1:13">
      <c r="A19" s="51"/>
      <c r="B19" s="28"/>
      <c r="C19" s="59"/>
      <c r="D19" s="60"/>
      <c r="E19" s="192"/>
      <c r="F19" s="194"/>
      <c r="G19" s="82"/>
      <c r="H19" s="412"/>
      <c r="I19" s="408"/>
    </row>
    <row r="20" spans="1:13" ht="22.2" customHeight="1">
      <c r="A20" s="51"/>
      <c r="B20" s="28" t="s">
        <v>273</v>
      </c>
      <c r="C20" s="59"/>
      <c r="D20" s="60"/>
      <c r="E20" s="192" t="s">
        <v>274</v>
      </c>
      <c r="F20" s="194" t="s">
        <v>272</v>
      </c>
      <c r="G20" s="82">
        <v>0</v>
      </c>
      <c r="H20" s="412">
        <v>350</v>
      </c>
      <c r="I20" s="402">
        <f>G20*H20</f>
        <v>0</v>
      </c>
    </row>
    <row r="21" spans="1:13">
      <c r="A21" s="51"/>
      <c r="B21" s="28" t="s">
        <v>275</v>
      </c>
      <c r="C21" s="59"/>
      <c r="D21" s="60"/>
      <c r="E21" s="196" t="s">
        <v>276</v>
      </c>
      <c r="F21" s="194"/>
      <c r="G21" s="78"/>
      <c r="H21" s="408"/>
      <c r="I21" s="408"/>
    </row>
    <row r="22" spans="1:13" ht="22.8">
      <c r="A22" s="51"/>
      <c r="B22" s="40"/>
      <c r="C22" s="126" t="s">
        <v>67</v>
      </c>
      <c r="D22" s="53"/>
      <c r="E22" s="197" t="s">
        <v>277</v>
      </c>
      <c r="F22" s="194"/>
      <c r="G22" s="78"/>
      <c r="H22" s="408"/>
      <c r="I22" s="402"/>
    </row>
    <row r="23" spans="1:13">
      <c r="A23" s="51"/>
      <c r="B23" s="40"/>
      <c r="C23" s="40"/>
      <c r="D23" s="189" t="s">
        <v>278</v>
      </c>
      <c r="E23" s="197" t="s">
        <v>279</v>
      </c>
      <c r="F23" s="198" t="s">
        <v>280</v>
      </c>
      <c r="G23" s="78">
        <v>6</v>
      </c>
      <c r="H23" s="412">
        <v>6500</v>
      </c>
      <c r="I23" s="402">
        <f t="shared" ref="I23:I53" si="0">G23*H23</f>
        <v>39000</v>
      </c>
    </row>
    <row r="24" spans="1:13">
      <c r="A24" s="51"/>
      <c r="B24" s="40"/>
      <c r="C24" s="126" t="s">
        <v>70</v>
      </c>
      <c r="D24" s="53"/>
      <c r="E24" s="197" t="s">
        <v>281</v>
      </c>
      <c r="F24" s="198" t="s">
        <v>280</v>
      </c>
      <c r="G24" s="78">
        <v>6</v>
      </c>
      <c r="H24" s="412">
        <v>4500</v>
      </c>
      <c r="I24" s="402">
        <f t="shared" si="0"/>
        <v>27000</v>
      </c>
    </row>
    <row r="25" spans="1:13">
      <c r="A25" s="187"/>
      <c r="B25" s="59"/>
      <c r="C25" s="126" t="s">
        <v>72</v>
      </c>
      <c r="D25" s="53"/>
      <c r="E25" s="77" t="s">
        <v>282</v>
      </c>
      <c r="F25" s="198" t="s">
        <v>280</v>
      </c>
      <c r="G25" s="78">
        <f>M28+M31+M33</f>
        <v>102</v>
      </c>
      <c r="H25" s="412">
        <v>1634</v>
      </c>
      <c r="I25" s="402">
        <f t="shared" si="0"/>
        <v>166668</v>
      </c>
    </row>
    <row r="26" spans="1:13">
      <c r="A26" s="51"/>
      <c r="B26" s="40"/>
      <c r="C26" s="126" t="s">
        <v>74</v>
      </c>
      <c r="D26" s="53"/>
      <c r="E26" s="197" t="s">
        <v>283</v>
      </c>
      <c r="F26" s="194" t="s">
        <v>280</v>
      </c>
      <c r="G26" s="78">
        <v>0</v>
      </c>
      <c r="H26" s="412">
        <v>1765.2</v>
      </c>
      <c r="I26" s="402">
        <f t="shared" si="0"/>
        <v>0</v>
      </c>
      <c r="K26" s="643" t="s">
        <v>776</v>
      </c>
      <c r="L26" s="643"/>
      <c r="M26" s="643"/>
    </row>
    <row r="27" spans="1:13">
      <c r="A27" s="51"/>
      <c r="B27" s="40"/>
      <c r="C27" s="126" t="s">
        <v>86</v>
      </c>
      <c r="D27" s="53"/>
      <c r="E27" s="199" t="s">
        <v>284</v>
      </c>
      <c r="F27" s="194" t="s">
        <v>280</v>
      </c>
      <c r="G27" s="78">
        <v>0</v>
      </c>
      <c r="H27" s="412">
        <v>580</v>
      </c>
      <c r="I27" s="402">
        <f t="shared" si="0"/>
        <v>0</v>
      </c>
      <c r="K27" t="s">
        <v>777</v>
      </c>
      <c r="L27" t="s">
        <v>317</v>
      </c>
      <c r="M27" t="s">
        <v>786</v>
      </c>
    </row>
    <row r="28" spans="1:13">
      <c r="A28" s="51"/>
      <c r="B28" s="126" t="s">
        <v>285</v>
      </c>
      <c r="C28" s="40"/>
      <c r="D28" s="53"/>
      <c r="E28" s="77" t="s">
        <v>286</v>
      </c>
      <c r="F28" s="74"/>
      <c r="G28" s="82"/>
      <c r="H28" s="412"/>
      <c r="I28" s="402">
        <f t="shared" si="0"/>
        <v>0</v>
      </c>
      <c r="K28" s="422" t="s">
        <v>778</v>
      </c>
      <c r="L28" s="422">
        <v>12</v>
      </c>
      <c r="M28" s="422">
        <f>L28*3</f>
        <v>36</v>
      </c>
    </row>
    <row r="29" spans="1:13" ht="22.8">
      <c r="A29" s="51"/>
      <c r="B29" s="40"/>
      <c r="C29" s="126" t="s">
        <v>287</v>
      </c>
      <c r="D29" s="53"/>
      <c r="E29" s="200" t="s">
        <v>288</v>
      </c>
      <c r="F29" s="194" t="s">
        <v>18</v>
      </c>
      <c r="G29" s="78">
        <v>9</v>
      </c>
      <c r="H29" s="412">
        <v>500</v>
      </c>
      <c r="I29" s="402">
        <f t="shared" si="0"/>
        <v>4500</v>
      </c>
      <c r="K29" t="s">
        <v>779</v>
      </c>
      <c r="L29">
        <v>10</v>
      </c>
      <c r="M29">
        <f t="shared" ref="M29:M34" si="1">L29*3</f>
        <v>30</v>
      </c>
    </row>
    <row r="30" spans="1:13">
      <c r="A30" s="51"/>
      <c r="B30" s="40"/>
      <c r="C30" s="126" t="s">
        <v>70</v>
      </c>
      <c r="D30" s="53"/>
      <c r="E30" s="197" t="s">
        <v>289</v>
      </c>
      <c r="F30" s="194" t="s">
        <v>18</v>
      </c>
      <c r="G30" s="78">
        <v>9</v>
      </c>
      <c r="H30" s="412">
        <v>500</v>
      </c>
      <c r="I30" s="402">
        <f t="shared" si="0"/>
        <v>4500</v>
      </c>
      <c r="K30" t="s">
        <v>780</v>
      </c>
      <c r="L30">
        <v>18</v>
      </c>
      <c r="M30">
        <f t="shared" si="1"/>
        <v>54</v>
      </c>
    </row>
    <row r="31" spans="1:13">
      <c r="A31" s="51"/>
      <c r="B31" s="40"/>
      <c r="C31" s="201" t="s">
        <v>72</v>
      </c>
      <c r="D31" s="53"/>
      <c r="E31" s="197" t="s">
        <v>282</v>
      </c>
      <c r="F31" s="194" t="s">
        <v>18</v>
      </c>
      <c r="G31" s="78">
        <v>9</v>
      </c>
      <c r="H31" s="412">
        <v>500</v>
      </c>
      <c r="I31" s="402">
        <f t="shared" si="0"/>
        <v>4500</v>
      </c>
      <c r="K31" s="422" t="s">
        <v>781</v>
      </c>
      <c r="L31" s="422">
        <v>16</v>
      </c>
      <c r="M31" s="422">
        <f t="shared" si="1"/>
        <v>48</v>
      </c>
    </row>
    <row r="32" spans="1:13">
      <c r="A32" s="51"/>
      <c r="B32" s="40"/>
      <c r="C32" s="126" t="s">
        <v>74</v>
      </c>
      <c r="D32" s="53"/>
      <c r="E32" s="197" t="s">
        <v>290</v>
      </c>
      <c r="F32" s="194" t="s">
        <v>18</v>
      </c>
      <c r="G32" s="78">
        <v>9</v>
      </c>
      <c r="H32" s="412">
        <v>500</v>
      </c>
      <c r="I32" s="402">
        <f t="shared" si="0"/>
        <v>4500</v>
      </c>
      <c r="K32" s="422" t="s">
        <v>782</v>
      </c>
      <c r="L32" s="422">
        <v>8</v>
      </c>
      <c r="M32" s="422">
        <f t="shared" si="1"/>
        <v>24</v>
      </c>
    </row>
    <row r="33" spans="1:13">
      <c r="A33" s="51"/>
      <c r="B33" s="40"/>
      <c r="C33" s="201" t="s">
        <v>86</v>
      </c>
      <c r="D33" s="53"/>
      <c r="E33" s="197" t="s">
        <v>291</v>
      </c>
      <c r="F33" s="194" t="s">
        <v>18</v>
      </c>
      <c r="G33" s="78">
        <v>9</v>
      </c>
      <c r="H33" s="412">
        <v>500</v>
      </c>
      <c r="I33" s="402">
        <f t="shared" si="0"/>
        <v>4500</v>
      </c>
      <c r="K33" s="422" t="s">
        <v>783</v>
      </c>
      <c r="L33" s="422">
        <v>6</v>
      </c>
      <c r="M33" s="422">
        <f t="shared" si="1"/>
        <v>18</v>
      </c>
    </row>
    <row r="34" spans="1:13">
      <c r="A34" s="51"/>
      <c r="B34" s="126" t="s">
        <v>292</v>
      </c>
      <c r="C34" s="40"/>
      <c r="D34" s="53"/>
      <c r="E34" s="87" t="s">
        <v>293</v>
      </c>
      <c r="F34" s="78"/>
      <c r="G34" s="78"/>
      <c r="H34" s="412"/>
      <c r="I34" s="402">
        <f t="shared" si="0"/>
        <v>0</v>
      </c>
      <c r="K34" s="422" t="s">
        <v>784</v>
      </c>
      <c r="L34" s="422">
        <v>3</v>
      </c>
      <c r="M34" s="422">
        <f t="shared" si="1"/>
        <v>9</v>
      </c>
    </row>
    <row r="35" spans="1:13">
      <c r="A35" s="51"/>
      <c r="B35" s="126"/>
      <c r="C35" s="40" t="s">
        <v>67</v>
      </c>
      <c r="D35" s="53"/>
      <c r="E35" s="87" t="s">
        <v>294</v>
      </c>
      <c r="F35" s="78"/>
      <c r="G35" s="78"/>
      <c r="H35" s="412"/>
      <c r="I35" s="402">
        <f t="shared" si="0"/>
        <v>0</v>
      </c>
    </row>
    <row r="36" spans="1:13">
      <c r="A36" s="51"/>
      <c r="B36" s="126"/>
      <c r="C36" s="40"/>
      <c r="D36" s="40" t="s">
        <v>264</v>
      </c>
      <c r="E36" s="87" t="s">
        <v>295</v>
      </c>
      <c r="F36" s="78" t="s">
        <v>120</v>
      </c>
      <c r="G36" s="78">
        <f>M28+M31+M33</f>
        <v>102</v>
      </c>
      <c r="H36" s="412">
        <v>150</v>
      </c>
      <c r="I36" s="402">
        <f t="shared" si="0"/>
        <v>15300</v>
      </c>
      <c r="K36" t="s">
        <v>785</v>
      </c>
      <c r="L36">
        <v>10</v>
      </c>
    </row>
    <row r="37" spans="1:13">
      <c r="A37" s="51"/>
      <c r="B37" s="126"/>
      <c r="C37" s="40" t="s">
        <v>70</v>
      </c>
      <c r="D37" s="53"/>
      <c r="E37" s="87" t="s">
        <v>296</v>
      </c>
      <c r="F37" s="78"/>
      <c r="G37" s="78"/>
      <c r="H37" s="412"/>
      <c r="I37" s="402">
        <f t="shared" si="0"/>
        <v>0</v>
      </c>
    </row>
    <row r="38" spans="1:13">
      <c r="A38" s="51"/>
      <c r="B38" s="126"/>
      <c r="C38" s="40"/>
      <c r="D38" s="40" t="s">
        <v>278</v>
      </c>
      <c r="E38" s="87" t="s">
        <v>297</v>
      </c>
      <c r="F38" s="78" t="s">
        <v>120</v>
      </c>
      <c r="G38" s="78">
        <f>M32+M34</f>
        <v>33</v>
      </c>
      <c r="H38" s="412">
        <v>150</v>
      </c>
      <c r="I38" s="402">
        <f t="shared" si="0"/>
        <v>4950</v>
      </c>
    </row>
    <row r="39" spans="1:13">
      <c r="A39" s="51"/>
      <c r="B39" s="126"/>
      <c r="C39" s="40" t="s">
        <v>72</v>
      </c>
      <c r="D39" s="53"/>
      <c r="E39" s="87" t="s">
        <v>298</v>
      </c>
      <c r="F39" s="78" t="s">
        <v>120</v>
      </c>
      <c r="G39" s="78">
        <v>0</v>
      </c>
      <c r="H39" s="412">
        <v>150</v>
      </c>
      <c r="I39" s="402">
        <f t="shared" si="0"/>
        <v>0</v>
      </c>
    </row>
    <row r="40" spans="1:13" ht="22.8">
      <c r="A40" s="51"/>
      <c r="B40" s="126"/>
      <c r="C40" s="40" t="s">
        <v>74</v>
      </c>
      <c r="D40" s="53"/>
      <c r="E40" s="77" t="s">
        <v>299</v>
      </c>
      <c r="F40" s="78" t="s">
        <v>120</v>
      </c>
      <c r="G40" s="78">
        <f>M29</f>
        <v>30</v>
      </c>
      <c r="H40" s="412">
        <v>150</v>
      </c>
      <c r="I40" s="402">
        <f t="shared" si="0"/>
        <v>4500</v>
      </c>
    </row>
    <row r="41" spans="1:13" ht="22.8">
      <c r="A41" s="51"/>
      <c r="B41" s="126"/>
      <c r="C41" s="40" t="s">
        <v>76</v>
      </c>
      <c r="D41" s="53"/>
      <c r="E41" s="77" t="s">
        <v>300</v>
      </c>
      <c r="F41" s="78" t="s">
        <v>120</v>
      </c>
      <c r="G41" s="78">
        <v>0</v>
      </c>
      <c r="H41" s="412">
        <v>150</v>
      </c>
      <c r="I41" s="402">
        <f t="shared" si="0"/>
        <v>0</v>
      </c>
    </row>
    <row r="42" spans="1:13">
      <c r="A42" s="51"/>
      <c r="B42" s="126"/>
      <c r="C42" s="40" t="s">
        <v>78</v>
      </c>
      <c r="D42" s="53"/>
      <c r="E42" s="77" t="s">
        <v>301</v>
      </c>
      <c r="F42" s="78" t="s">
        <v>120</v>
      </c>
      <c r="G42" s="78">
        <v>0</v>
      </c>
      <c r="H42" s="412">
        <v>150</v>
      </c>
      <c r="I42" s="402">
        <f t="shared" si="0"/>
        <v>0</v>
      </c>
    </row>
    <row r="43" spans="1:13">
      <c r="A43" s="51"/>
      <c r="B43" s="126"/>
      <c r="C43" s="40" t="s">
        <v>86</v>
      </c>
      <c r="D43" s="53"/>
      <c r="E43" s="77" t="s">
        <v>302</v>
      </c>
      <c r="F43" s="78" t="s">
        <v>120</v>
      </c>
      <c r="G43" s="78">
        <f>M30</f>
        <v>54</v>
      </c>
      <c r="H43" s="412">
        <v>150</v>
      </c>
      <c r="I43" s="402">
        <f t="shared" si="0"/>
        <v>8100</v>
      </c>
    </row>
    <row r="44" spans="1:13">
      <c r="A44" s="51"/>
      <c r="B44" s="126"/>
      <c r="C44" s="40" t="s">
        <v>303</v>
      </c>
      <c r="D44" s="53"/>
      <c r="E44" s="77" t="s">
        <v>304</v>
      </c>
      <c r="F44" s="78" t="s">
        <v>120</v>
      </c>
      <c r="G44" s="78">
        <v>0</v>
      </c>
      <c r="H44" s="412">
        <v>150</v>
      </c>
      <c r="I44" s="402">
        <f t="shared" si="0"/>
        <v>0</v>
      </c>
    </row>
    <row r="45" spans="1:13">
      <c r="A45" s="51"/>
      <c r="B45" s="126"/>
      <c r="C45" s="40" t="s">
        <v>264</v>
      </c>
      <c r="D45" s="53"/>
      <c r="E45" s="77" t="s">
        <v>305</v>
      </c>
      <c r="F45" s="78" t="s">
        <v>120</v>
      </c>
      <c r="G45" s="78">
        <v>0</v>
      </c>
      <c r="H45" s="412">
        <v>150</v>
      </c>
      <c r="I45" s="402">
        <f t="shared" si="0"/>
        <v>0</v>
      </c>
    </row>
    <row r="46" spans="1:13">
      <c r="A46" s="27" t="s">
        <v>306</v>
      </c>
      <c r="B46" s="40"/>
      <c r="C46" s="40"/>
      <c r="D46" s="53"/>
      <c r="E46" s="95" t="s">
        <v>307</v>
      </c>
      <c r="F46" s="78" t="s">
        <v>308</v>
      </c>
      <c r="G46" s="78">
        <f>9+6</f>
        <v>15</v>
      </c>
      <c r="H46" s="412">
        <v>90000</v>
      </c>
      <c r="I46" s="402">
        <f t="shared" si="0"/>
        <v>1350000</v>
      </c>
    </row>
    <row r="47" spans="1:13">
      <c r="A47" s="27" t="s">
        <v>309</v>
      </c>
      <c r="B47" s="40"/>
      <c r="C47" s="40"/>
      <c r="D47" s="53"/>
      <c r="E47" s="95" t="s">
        <v>310</v>
      </c>
      <c r="F47" s="78" t="s">
        <v>18</v>
      </c>
      <c r="G47" s="78">
        <f>9+6</f>
        <v>15</v>
      </c>
      <c r="H47" s="412">
        <v>120000</v>
      </c>
      <c r="I47" s="402">
        <f t="shared" si="0"/>
        <v>1800000</v>
      </c>
    </row>
    <row r="48" spans="1:13">
      <c r="A48" s="27" t="s">
        <v>311</v>
      </c>
      <c r="B48" s="40"/>
      <c r="C48" s="40"/>
      <c r="D48" s="53"/>
      <c r="E48" s="92" t="s">
        <v>312</v>
      </c>
      <c r="F48" s="74"/>
      <c r="G48" s="82"/>
      <c r="H48" s="412"/>
      <c r="I48" s="402">
        <f t="shared" si="0"/>
        <v>0</v>
      </c>
    </row>
    <row r="49" spans="1:9">
      <c r="A49" s="51"/>
      <c r="B49" s="40"/>
      <c r="C49" s="189" t="s">
        <v>313</v>
      </c>
      <c r="D49" s="40"/>
      <c r="E49" s="197" t="s">
        <v>314</v>
      </c>
      <c r="F49" s="194" t="s">
        <v>266</v>
      </c>
      <c r="G49" s="78">
        <v>10</v>
      </c>
      <c r="H49" s="412">
        <v>50</v>
      </c>
      <c r="I49" s="402">
        <f t="shared" si="0"/>
        <v>500</v>
      </c>
    </row>
    <row r="50" spans="1:9">
      <c r="A50" s="51"/>
      <c r="B50" s="40"/>
      <c r="C50" s="189" t="s">
        <v>315</v>
      </c>
      <c r="D50" s="40"/>
      <c r="E50" s="202" t="s">
        <v>316</v>
      </c>
      <c r="F50" s="78" t="s">
        <v>317</v>
      </c>
      <c r="G50" s="78">
        <v>0</v>
      </c>
      <c r="H50" s="412">
        <v>100000</v>
      </c>
      <c r="I50" s="402">
        <f t="shared" si="0"/>
        <v>0</v>
      </c>
    </row>
    <row r="51" spans="1:9" ht="24">
      <c r="A51" s="27" t="s">
        <v>318</v>
      </c>
      <c r="B51" s="40"/>
      <c r="C51" s="40"/>
      <c r="D51" s="53"/>
      <c r="E51" s="203" t="s">
        <v>319</v>
      </c>
      <c r="F51" s="74"/>
      <c r="G51" s="82"/>
      <c r="H51" s="412"/>
      <c r="I51" s="402">
        <f t="shared" si="0"/>
        <v>0</v>
      </c>
    </row>
    <row r="52" spans="1:9">
      <c r="A52" s="51"/>
      <c r="B52" s="126" t="s">
        <v>320</v>
      </c>
      <c r="C52" s="40"/>
      <c r="D52" s="53"/>
      <c r="E52" s="197" t="s">
        <v>321</v>
      </c>
      <c r="F52" s="194" t="s">
        <v>55</v>
      </c>
      <c r="G52" s="78">
        <v>0</v>
      </c>
      <c r="H52" s="412">
        <v>100000</v>
      </c>
      <c r="I52" s="402">
        <f t="shared" si="0"/>
        <v>0</v>
      </c>
    </row>
    <row r="53" spans="1:9">
      <c r="A53" s="96"/>
      <c r="B53" s="204" t="s">
        <v>322</v>
      </c>
      <c r="C53" s="98"/>
      <c r="D53" s="99"/>
      <c r="E53" s="197" t="s">
        <v>323</v>
      </c>
      <c r="F53" s="194" t="s">
        <v>58</v>
      </c>
      <c r="G53" s="205">
        <v>0</v>
      </c>
      <c r="H53" s="412">
        <v>0.1</v>
      </c>
      <c r="I53" s="402">
        <f t="shared" si="0"/>
        <v>0</v>
      </c>
    </row>
    <row r="55" spans="1:9">
      <c r="H55" s="399" t="s">
        <v>768</v>
      </c>
      <c r="I55" s="420">
        <f>SUM(I4:I53)</f>
        <v>7440918</v>
      </c>
    </row>
    <row r="62" spans="1:9">
      <c r="E62" s="406" t="s">
        <v>758</v>
      </c>
      <c r="F62" s="399"/>
      <c r="G62" s="399"/>
      <c r="H62" s="399" t="s">
        <v>271</v>
      </c>
    </row>
    <row r="63" spans="1:9">
      <c r="E63" s="405" t="s">
        <v>759</v>
      </c>
      <c r="F63">
        <v>3</v>
      </c>
      <c r="H63" t="s">
        <v>759</v>
      </c>
      <c r="I63">
        <v>3</v>
      </c>
    </row>
    <row r="64" spans="1:9">
      <c r="E64" s="405" t="s">
        <v>760</v>
      </c>
      <c r="F64">
        <v>4000</v>
      </c>
      <c r="H64" t="s">
        <v>771</v>
      </c>
      <c r="I64" s="490">
        <v>7</v>
      </c>
    </row>
    <row r="65" spans="5:9">
      <c r="E65" s="405" t="s">
        <v>762</v>
      </c>
      <c r="F65">
        <v>50</v>
      </c>
      <c r="H65" t="s">
        <v>772</v>
      </c>
      <c r="I65">
        <v>2</v>
      </c>
    </row>
    <row r="66" spans="5:9">
      <c r="E66" s="405" t="s">
        <v>761</v>
      </c>
      <c r="F66">
        <f>F64/F65</f>
        <v>80</v>
      </c>
      <c r="H66" t="s">
        <v>773</v>
      </c>
      <c r="I66">
        <v>31</v>
      </c>
    </row>
    <row r="67" spans="5:9">
      <c r="E67" s="405" t="s">
        <v>763</v>
      </c>
      <c r="F67">
        <v>2</v>
      </c>
      <c r="H67" t="s">
        <v>774</v>
      </c>
      <c r="I67" s="490">
        <v>5</v>
      </c>
    </row>
    <row r="68" spans="5:9">
      <c r="E68" s="405"/>
      <c r="F68">
        <f>F66*F67</f>
        <v>160</v>
      </c>
      <c r="I68">
        <f>I63*I64*I65*I66*I67</f>
        <v>6510</v>
      </c>
    </row>
    <row r="69" spans="5:9">
      <c r="E69" s="405" t="s">
        <v>764</v>
      </c>
      <c r="F69">
        <v>40</v>
      </c>
    </row>
    <row r="71" spans="5:9">
      <c r="E71" s="405" t="s">
        <v>765</v>
      </c>
      <c r="F71">
        <f>F68+F69</f>
        <v>200</v>
      </c>
    </row>
    <row r="73" spans="5:9">
      <c r="E73" s="405" t="s">
        <v>766</v>
      </c>
      <c r="F73">
        <f>F71*F63</f>
        <v>600</v>
      </c>
    </row>
    <row r="74" spans="5:9">
      <c r="E74" s="405" t="s">
        <v>767</v>
      </c>
      <c r="F74">
        <f>F73*20%</f>
        <v>120</v>
      </c>
    </row>
    <row r="75" spans="5:9">
      <c r="E75" s="406" t="s">
        <v>768</v>
      </c>
      <c r="F75" s="399">
        <f>SUM(F73:F74)</f>
        <v>720</v>
      </c>
    </row>
    <row r="76" spans="5:9">
      <c r="E76" s="405"/>
    </row>
    <row r="77" spans="5:9">
      <c r="E77" s="409" t="s">
        <v>769</v>
      </c>
      <c r="F77">
        <v>1000</v>
      </c>
    </row>
  </sheetData>
  <mergeCells count="3">
    <mergeCell ref="A2:D2"/>
    <mergeCell ref="A1:D1"/>
    <mergeCell ref="K26:M26"/>
  </mergeCells>
  <phoneticPr fontId="3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667A6-3233-406E-BF32-3E3714A338BA}">
  <dimension ref="A1:I31"/>
  <sheetViews>
    <sheetView zoomScale="85" zoomScaleNormal="85" workbookViewId="0">
      <selection activeCell="G8" sqref="G8"/>
    </sheetView>
  </sheetViews>
  <sheetFormatPr defaultRowHeight="13.8"/>
  <cols>
    <col min="3" max="3" width="4.09765625" customWidth="1"/>
    <col min="4" max="4" width="2.19921875" customWidth="1"/>
    <col min="5" max="5" width="56.09765625" customWidth="1"/>
    <col min="6" max="6" width="14.09765625" bestFit="1" customWidth="1"/>
    <col min="9" max="9" width="11.3984375" customWidth="1"/>
  </cols>
  <sheetData>
    <row r="1" spans="1:9">
      <c r="A1" s="596" t="s">
        <v>1</v>
      </c>
      <c r="B1" s="596"/>
      <c r="C1" s="596"/>
      <c r="D1" s="596"/>
      <c r="E1" s="20" t="s">
        <v>2</v>
      </c>
      <c r="F1" s="19" t="s">
        <v>3</v>
      </c>
      <c r="G1" s="19" t="s">
        <v>741</v>
      </c>
      <c r="H1" s="19" t="s">
        <v>740</v>
      </c>
      <c r="I1" s="19" t="s">
        <v>742</v>
      </c>
    </row>
    <row r="2" spans="1:9">
      <c r="A2" s="601" t="s">
        <v>550</v>
      </c>
      <c r="B2" s="602"/>
      <c r="C2" s="602"/>
      <c r="D2" s="603"/>
      <c r="E2" s="265" t="s">
        <v>551</v>
      </c>
      <c r="F2" s="162"/>
      <c r="G2" s="44"/>
    </row>
    <row r="3" spans="1:9" ht="36">
      <c r="A3" s="38" t="s">
        <v>552</v>
      </c>
      <c r="B3" s="40"/>
      <c r="C3" s="40"/>
      <c r="D3" s="303"/>
      <c r="E3" s="196" t="s">
        <v>553</v>
      </c>
      <c r="F3" s="55"/>
      <c r="G3" s="44"/>
      <c r="H3" s="75"/>
    </row>
    <row r="4" spans="1:9">
      <c r="A4" s="38"/>
      <c r="B4" s="40" t="s">
        <v>554</v>
      </c>
      <c r="C4" s="40"/>
      <c r="D4" s="303"/>
      <c r="E4" s="197" t="s">
        <v>555</v>
      </c>
      <c r="F4" s="55">
        <f>0.2*0.2</f>
        <v>4.0000000000000008E-2</v>
      </c>
      <c r="G4" s="44"/>
      <c r="H4" s="75"/>
    </row>
    <row r="5" spans="1:9">
      <c r="A5" s="38"/>
      <c r="B5" s="40"/>
      <c r="C5" s="52" t="s">
        <v>67</v>
      </c>
      <c r="D5" s="303"/>
      <c r="E5" s="197" t="s">
        <v>556</v>
      </c>
      <c r="F5" s="55" t="s">
        <v>126</v>
      </c>
      <c r="G5" s="75">
        <v>1.26</v>
      </c>
      <c r="H5" s="75">
        <v>650</v>
      </c>
      <c r="I5" s="402">
        <f>G5*H5</f>
        <v>819</v>
      </c>
    </row>
    <row r="6" spans="1:9">
      <c r="A6" s="38"/>
      <c r="B6" s="40"/>
      <c r="C6" s="52" t="s">
        <v>70</v>
      </c>
      <c r="D6" s="303"/>
      <c r="E6" s="197" t="s">
        <v>557</v>
      </c>
      <c r="F6" s="55" t="s">
        <v>126</v>
      </c>
      <c r="G6" s="75">
        <v>46.24</v>
      </c>
      <c r="H6" s="75">
        <v>680</v>
      </c>
      <c r="I6" s="402">
        <f t="shared" ref="I6:I29" si="0">G6*H6</f>
        <v>31443.200000000001</v>
      </c>
    </row>
    <row r="7" spans="1:9">
      <c r="A7" s="38"/>
      <c r="B7" s="40"/>
      <c r="C7" s="52" t="s">
        <v>72</v>
      </c>
      <c r="D7" s="303"/>
      <c r="E7" s="197" t="s">
        <v>558</v>
      </c>
      <c r="F7" s="55" t="s">
        <v>126</v>
      </c>
      <c r="G7" s="75">
        <v>31.87</v>
      </c>
      <c r="H7" s="75">
        <v>700</v>
      </c>
      <c r="I7" s="402">
        <f t="shared" si="0"/>
        <v>22309</v>
      </c>
    </row>
    <row r="8" spans="1:9">
      <c r="A8" s="38"/>
      <c r="B8" s="40"/>
      <c r="C8" s="52" t="s">
        <v>74</v>
      </c>
      <c r="D8" s="303"/>
      <c r="E8" s="197" t="s">
        <v>559</v>
      </c>
      <c r="F8" s="55" t="s">
        <v>126</v>
      </c>
      <c r="G8" s="75">
        <v>10.16</v>
      </c>
      <c r="H8" s="75">
        <v>715</v>
      </c>
      <c r="I8" s="402">
        <f t="shared" si="0"/>
        <v>7264.4000000000005</v>
      </c>
    </row>
    <row r="9" spans="1:9">
      <c r="A9" s="187"/>
      <c r="B9" s="52" t="s">
        <v>560</v>
      </c>
      <c r="C9" s="59"/>
      <c r="D9" s="60"/>
      <c r="E9" s="197" t="s">
        <v>561</v>
      </c>
      <c r="F9" s="290"/>
      <c r="G9" s="291"/>
      <c r="H9" s="75"/>
      <c r="I9" s="402">
        <f t="shared" si="0"/>
        <v>0</v>
      </c>
    </row>
    <row r="10" spans="1:9" ht="22.8">
      <c r="A10" s="187"/>
      <c r="B10" s="59"/>
      <c r="C10" s="52" t="s">
        <v>70</v>
      </c>
      <c r="D10" s="60"/>
      <c r="E10" s="197" t="s">
        <v>562</v>
      </c>
      <c r="F10" s="74" t="s">
        <v>143</v>
      </c>
      <c r="G10" s="75"/>
      <c r="H10" s="75">
        <v>650</v>
      </c>
      <c r="I10" s="402">
        <f t="shared" si="0"/>
        <v>0</v>
      </c>
    </row>
    <row r="11" spans="1:9">
      <c r="A11" s="187"/>
      <c r="B11" s="52" t="s">
        <v>563</v>
      </c>
      <c r="C11" s="59"/>
      <c r="D11" s="60"/>
      <c r="E11" s="197" t="s">
        <v>564</v>
      </c>
      <c r="F11" s="290"/>
      <c r="G11" s="75"/>
      <c r="H11" s="75"/>
      <c r="I11" s="402">
        <f t="shared" si="0"/>
        <v>0</v>
      </c>
    </row>
    <row r="12" spans="1:9" ht="22.8">
      <c r="A12" s="187"/>
      <c r="B12" s="59"/>
      <c r="C12" s="52" t="s">
        <v>72</v>
      </c>
      <c r="D12" s="60"/>
      <c r="E12" s="197" t="s">
        <v>565</v>
      </c>
      <c r="F12" s="74" t="s">
        <v>143</v>
      </c>
      <c r="G12" s="75">
        <v>24</v>
      </c>
      <c r="H12" s="75">
        <v>1200</v>
      </c>
      <c r="I12" s="402">
        <f t="shared" si="0"/>
        <v>28800</v>
      </c>
    </row>
    <row r="13" spans="1:9" ht="34.200000000000003">
      <c r="A13" s="51"/>
      <c r="B13" s="40" t="s">
        <v>566</v>
      </c>
      <c r="C13" s="40"/>
      <c r="D13" s="189"/>
      <c r="E13" s="197" t="s">
        <v>567</v>
      </c>
      <c r="F13" s="55" t="s">
        <v>126</v>
      </c>
      <c r="G13" s="75">
        <v>5.61</v>
      </c>
      <c r="H13" s="75">
        <v>1200</v>
      </c>
      <c r="I13" s="402">
        <f t="shared" si="0"/>
        <v>6732</v>
      </c>
    </row>
    <row r="14" spans="1:9">
      <c r="A14" s="38" t="s">
        <v>568</v>
      </c>
      <c r="B14" s="40"/>
      <c r="C14" s="40"/>
      <c r="D14" s="53"/>
      <c r="E14" s="196" t="s">
        <v>569</v>
      </c>
      <c r="F14" s="55"/>
      <c r="G14" s="44"/>
      <c r="H14" s="75"/>
      <c r="I14" s="402">
        <f t="shared" si="0"/>
        <v>0</v>
      </c>
    </row>
    <row r="15" spans="1:9">
      <c r="A15" s="51"/>
      <c r="B15" s="52" t="s">
        <v>570</v>
      </c>
      <c r="C15" s="40"/>
      <c r="D15" s="53"/>
      <c r="E15" s="197" t="s">
        <v>571</v>
      </c>
      <c r="F15" s="55"/>
      <c r="G15" s="44"/>
      <c r="H15" s="75"/>
      <c r="I15" s="402">
        <f t="shared" si="0"/>
        <v>0</v>
      </c>
    </row>
    <row r="16" spans="1:9">
      <c r="A16" s="51"/>
      <c r="B16" s="40"/>
      <c r="C16" s="126" t="s">
        <v>67</v>
      </c>
      <c r="D16" s="53"/>
      <c r="E16" s="197" t="s">
        <v>572</v>
      </c>
      <c r="F16" s="74" t="s">
        <v>126</v>
      </c>
      <c r="G16" s="274"/>
      <c r="H16" s="75">
        <v>650</v>
      </c>
      <c r="I16" s="402">
        <f t="shared" si="0"/>
        <v>0</v>
      </c>
    </row>
    <row r="17" spans="1:9">
      <c r="A17" s="51"/>
      <c r="B17" s="40" t="s">
        <v>573</v>
      </c>
      <c r="C17" s="40"/>
      <c r="D17" s="189"/>
      <c r="E17" s="197" t="s">
        <v>574</v>
      </c>
      <c r="F17" s="74"/>
      <c r="G17" s="82"/>
      <c r="H17" s="75"/>
      <c r="I17" s="402">
        <f t="shared" si="0"/>
        <v>0</v>
      </c>
    </row>
    <row r="18" spans="1:9">
      <c r="A18" s="51"/>
      <c r="B18" s="40"/>
      <c r="C18" s="126" t="s">
        <v>70</v>
      </c>
      <c r="D18" s="53"/>
      <c r="E18" s="197" t="s">
        <v>575</v>
      </c>
      <c r="F18" s="74" t="s">
        <v>126</v>
      </c>
      <c r="G18" s="274"/>
      <c r="H18" s="75">
        <v>650</v>
      </c>
      <c r="I18" s="402">
        <f t="shared" si="0"/>
        <v>0</v>
      </c>
    </row>
    <row r="19" spans="1:9">
      <c r="A19" s="38" t="s">
        <v>576</v>
      </c>
      <c r="B19" s="40"/>
      <c r="C19" s="40"/>
      <c r="D19" s="53"/>
      <c r="E19" s="196" t="s">
        <v>577</v>
      </c>
      <c r="F19" s="55"/>
      <c r="G19" s="44"/>
      <c r="H19" s="75"/>
      <c r="I19" s="402">
        <f t="shared" si="0"/>
        <v>0</v>
      </c>
    </row>
    <row r="20" spans="1:9">
      <c r="A20" s="51"/>
      <c r="B20" s="52" t="s">
        <v>578</v>
      </c>
      <c r="C20" s="40"/>
      <c r="D20" s="53"/>
      <c r="E20" s="197" t="s">
        <v>579</v>
      </c>
      <c r="F20" s="55" t="s">
        <v>37</v>
      </c>
      <c r="G20" s="44"/>
      <c r="H20" s="75">
        <v>3500</v>
      </c>
      <c r="I20" s="402">
        <f t="shared" si="0"/>
        <v>0</v>
      </c>
    </row>
    <row r="21" spans="1:9">
      <c r="A21" s="187"/>
      <c r="B21" s="52" t="s">
        <v>580</v>
      </c>
      <c r="C21" s="40"/>
      <c r="D21" s="53"/>
      <c r="E21" s="197" t="s">
        <v>581</v>
      </c>
      <c r="F21" s="55" t="s">
        <v>40</v>
      </c>
      <c r="G21" s="44">
        <v>236</v>
      </c>
      <c r="H21" s="75">
        <v>150</v>
      </c>
      <c r="I21" s="402">
        <f>G21*H21</f>
        <v>35400</v>
      </c>
    </row>
    <row r="22" spans="1:9" ht="24">
      <c r="A22" s="38" t="s">
        <v>582</v>
      </c>
      <c r="B22" s="40"/>
      <c r="C22" s="40"/>
      <c r="D22" s="53"/>
      <c r="E22" s="196" t="s">
        <v>583</v>
      </c>
      <c r="F22" s="55"/>
      <c r="G22" s="44"/>
      <c r="H22" s="75"/>
      <c r="I22" s="402">
        <f t="shared" si="0"/>
        <v>0</v>
      </c>
    </row>
    <row r="23" spans="1:9">
      <c r="A23" s="51"/>
      <c r="B23" s="52" t="s">
        <v>584</v>
      </c>
      <c r="C23" s="40"/>
      <c r="D23" s="53"/>
      <c r="E23" s="197" t="s">
        <v>585</v>
      </c>
      <c r="F23" s="194" t="s">
        <v>351</v>
      </c>
      <c r="G23" s="44">
        <v>40</v>
      </c>
      <c r="H23" s="75">
        <v>125</v>
      </c>
      <c r="I23" s="402">
        <f t="shared" si="0"/>
        <v>5000</v>
      </c>
    </row>
    <row r="24" spans="1:9">
      <c r="A24" s="187"/>
      <c r="B24" s="52" t="s">
        <v>586</v>
      </c>
      <c r="C24" s="40"/>
      <c r="D24" s="53"/>
      <c r="E24" s="197" t="s">
        <v>587</v>
      </c>
      <c r="F24" s="194" t="s">
        <v>351</v>
      </c>
      <c r="G24" s="44">
        <v>4</v>
      </c>
      <c r="H24" s="75">
        <v>900</v>
      </c>
      <c r="I24" s="402">
        <f t="shared" si="0"/>
        <v>3600</v>
      </c>
    </row>
    <row r="25" spans="1:9">
      <c r="A25" s="38" t="s">
        <v>588</v>
      </c>
      <c r="B25" s="40"/>
      <c r="C25" s="40"/>
      <c r="D25" s="53"/>
      <c r="E25" s="196" t="s">
        <v>589</v>
      </c>
      <c r="F25" s="55"/>
      <c r="G25" s="44"/>
      <c r="H25" s="75"/>
      <c r="I25" s="402">
        <f t="shared" si="0"/>
        <v>0</v>
      </c>
    </row>
    <row r="26" spans="1:9">
      <c r="A26" s="51"/>
      <c r="B26" s="52" t="s">
        <v>590</v>
      </c>
      <c r="C26" s="40"/>
      <c r="D26" s="53"/>
      <c r="E26" s="197" t="s">
        <v>556</v>
      </c>
      <c r="F26" s="194" t="s">
        <v>126</v>
      </c>
      <c r="G26" s="44">
        <v>1.26</v>
      </c>
      <c r="H26" s="75">
        <v>60</v>
      </c>
      <c r="I26" s="402">
        <f t="shared" si="0"/>
        <v>75.599999999999994</v>
      </c>
    </row>
    <row r="27" spans="1:9">
      <c r="A27" s="187"/>
      <c r="B27" s="52" t="s">
        <v>591</v>
      </c>
      <c r="C27" s="40"/>
      <c r="D27" s="53"/>
      <c r="E27" s="197" t="s">
        <v>557</v>
      </c>
      <c r="F27" s="194" t="s">
        <v>126</v>
      </c>
      <c r="G27" s="44">
        <v>70.240000000000009</v>
      </c>
      <c r="H27" s="75">
        <v>60</v>
      </c>
      <c r="I27" s="402">
        <f t="shared" si="0"/>
        <v>4214.4000000000005</v>
      </c>
    </row>
    <row r="28" spans="1:9">
      <c r="A28" s="51"/>
      <c r="B28" s="52" t="s">
        <v>592</v>
      </c>
      <c r="C28" s="40"/>
      <c r="D28" s="53"/>
      <c r="E28" s="197" t="s">
        <v>593</v>
      </c>
      <c r="F28" s="194" t="s">
        <v>126</v>
      </c>
      <c r="G28" s="44">
        <v>31.87</v>
      </c>
      <c r="H28" s="75">
        <v>60</v>
      </c>
      <c r="I28" s="402">
        <f t="shared" si="0"/>
        <v>1912.2</v>
      </c>
    </row>
    <row r="29" spans="1:9">
      <c r="A29" s="38"/>
      <c r="B29" s="40" t="s">
        <v>594</v>
      </c>
      <c r="C29" s="40"/>
      <c r="D29" s="53"/>
      <c r="E29" s="197" t="s">
        <v>559</v>
      </c>
      <c r="F29" s="55" t="s">
        <v>126</v>
      </c>
      <c r="G29" s="44">
        <v>10.16</v>
      </c>
      <c r="H29" s="75">
        <v>60</v>
      </c>
      <c r="I29" s="402">
        <f t="shared" si="0"/>
        <v>609.6</v>
      </c>
    </row>
    <row r="30" spans="1:9">
      <c r="H30" s="75"/>
      <c r="I30" s="402"/>
    </row>
    <row r="31" spans="1:9">
      <c r="H31" s="399" t="s">
        <v>768</v>
      </c>
      <c r="I31" s="420">
        <f>SUM(I4:I30)</f>
        <v>148179.40000000002</v>
      </c>
    </row>
  </sheetData>
  <mergeCells count="2">
    <mergeCell ref="A2:D2"/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05457-8F3D-42ED-8BC2-3EA80AD3E149}">
  <dimension ref="A1:U47"/>
  <sheetViews>
    <sheetView topLeftCell="A27" zoomScale="85" zoomScaleNormal="85" workbookViewId="0">
      <selection activeCell="L50" sqref="L50"/>
    </sheetView>
  </sheetViews>
  <sheetFormatPr defaultRowHeight="13.8"/>
  <cols>
    <col min="3" max="3" width="3.59765625" customWidth="1"/>
    <col min="4" max="4" width="2.8984375" customWidth="1"/>
    <col min="5" max="5" width="47.19921875" customWidth="1"/>
    <col min="6" max="6" width="14.69921875" bestFit="1" customWidth="1"/>
    <col min="7" max="7" width="9.8984375" customWidth="1"/>
    <col min="9" max="9" width="16.09765625" customWidth="1"/>
    <col min="10" max="10" width="10.296875" customWidth="1"/>
    <col min="11" max="11" width="14.19921875" bestFit="1" customWidth="1"/>
    <col min="12" max="12" width="11.5" bestFit="1" customWidth="1"/>
  </cols>
  <sheetData>
    <row r="1" spans="1:9">
      <c r="A1" s="596" t="s">
        <v>1</v>
      </c>
      <c r="B1" s="596"/>
      <c r="C1" s="596"/>
      <c r="D1" s="596"/>
      <c r="E1" s="20" t="s">
        <v>2</v>
      </c>
      <c r="F1" s="19" t="s">
        <v>3</v>
      </c>
      <c r="G1" s="19" t="s">
        <v>741</v>
      </c>
      <c r="H1" s="19" t="s">
        <v>740</v>
      </c>
      <c r="I1" s="19" t="s">
        <v>742</v>
      </c>
    </row>
    <row r="2" spans="1:9">
      <c r="A2" s="592" t="s">
        <v>478</v>
      </c>
      <c r="B2" s="593"/>
      <c r="C2" s="593"/>
      <c r="D2" s="594"/>
      <c r="E2" s="265" t="s">
        <v>479</v>
      </c>
      <c r="F2" s="266"/>
      <c r="G2" s="289"/>
      <c r="H2" s="408"/>
      <c r="I2" s="408"/>
    </row>
    <row r="3" spans="1:9">
      <c r="A3" s="38" t="s">
        <v>480</v>
      </c>
      <c r="B3" s="59"/>
      <c r="C3" s="59"/>
      <c r="D3" s="60"/>
      <c r="E3" s="196" t="s">
        <v>481</v>
      </c>
      <c r="F3" s="290"/>
      <c r="G3" s="291"/>
      <c r="H3" s="408"/>
      <c r="I3" s="408"/>
    </row>
    <row r="4" spans="1:9">
      <c r="A4" s="187"/>
      <c r="B4" s="52" t="s">
        <v>482</v>
      </c>
      <c r="C4" s="40"/>
      <c r="D4" s="53"/>
      <c r="E4" s="293" t="s">
        <v>483</v>
      </c>
      <c r="F4" s="82"/>
      <c r="G4" s="82"/>
      <c r="H4" s="408"/>
      <c r="I4" s="408"/>
    </row>
    <row r="5" spans="1:9">
      <c r="A5" s="187"/>
      <c r="B5" s="40"/>
      <c r="C5" s="126" t="s">
        <v>67</v>
      </c>
      <c r="D5" s="60"/>
      <c r="E5" s="197" t="s">
        <v>484</v>
      </c>
      <c r="F5" s="78" t="s">
        <v>26</v>
      </c>
      <c r="G5" s="222">
        <v>1</v>
      </c>
      <c r="H5" s="222">
        <v>150000</v>
      </c>
      <c r="I5" s="402">
        <f t="shared" ref="I5:I24" si="0">G5*H5</f>
        <v>150000</v>
      </c>
    </row>
    <row r="6" spans="1:9">
      <c r="A6" s="38" t="s">
        <v>485</v>
      </c>
      <c r="B6" s="59"/>
      <c r="C6" s="59"/>
      <c r="D6" s="60"/>
      <c r="E6" s="196" t="s">
        <v>486</v>
      </c>
      <c r="F6" s="55"/>
      <c r="G6" s="428"/>
      <c r="H6" s="222"/>
      <c r="I6" s="402"/>
    </row>
    <row r="7" spans="1:9" ht="34.200000000000003">
      <c r="A7" s="187"/>
      <c r="B7" s="52" t="s">
        <v>487</v>
      </c>
      <c r="C7" s="59"/>
      <c r="D7" s="60"/>
      <c r="E7" s="197" t="s">
        <v>488</v>
      </c>
      <c r="F7" s="74" t="s">
        <v>126</v>
      </c>
      <c r="G7" s="429">
        <f>(240/0.05)/2.5</f>
        <v>1920</v>
      </c>
      <c r="H7" s="222">
        <v>212</v>
      </c>
      <c r="I7" s="402">
        <f t="shared" si="0"/>
        <v>407040</v>
      </c>
    </row>
    <row r="8" spans="1:9">
      <c r="A8" s="38" t="s">
        <v>489</v>
      </c>
      <c r="B8" s="40"/>
      <c r="C8" s="40"/>
      <c r="D8" s="53"/>
      <c r="E8" s="196" t="s">
        <v>490</v>
      </c>
      <c r="F8" s="55"/>
      <c r="G8" s="428"/>
      <c r="H8" s="222"/>
      <c r="I8" s="402"/>
    </row>
    <row r="9" spans="1:9" ht="22.8">
      <c r="A9" s="51"/>
      <c r="B9" s="126" t="s">
        <v>491</v>
      </c>
      <c r="C9" s="40"/>
      <c r="D9" s="53"/>
      <c r="E9" s="197" t="s">
        <v>492</v>
      </c>
      <c r="F9" s="194" t="s">
        <v>493</v>
      </c>
      <c r="G9" s="404">
        <f>G40</f>
        <v>155765.5</v>
      </c>
      <c r="H9" s="222">
        <v>13</v>
      </c>
      <c r="I9" s="402">
        <f t="shared" si="0"/>
        <v>2024951.5</v>
      </c>
    </row>
    <row r="10" spans="1:9" ht="22.8">
      <c r="A10" s="51"/>
      <c r="B10" s="126" t="s">
        <v>494</v>
      </c>
      <c r="C10" s="40"/>
      <c r="D10" s="53"/>
      <c r="E10" s="197" t="s">
        <v>495</v>
      </c>
      <c r="F10" s="194" t="s">
        <v>439</v>
      </c>
      <c r="G10" s="404">
        <v>200</v>
      </c>
      <c r="H10" s="222">
        <v>21</v>
      </c>
      <c r="I10" s="402">
        <f t="shared" si="0"/>
        <v>4200</v>
      </c>
    </row>
    <row r="11" spans="1:9">
      <c r="A11" s="38" t="s">
        <v>496</v>
      </c>
      <c r="B11" s="59"/>
      <c r="C11" s="59"/>
      <c r="D11" s="60"/>
      <c r="E11" s="196" t="s">
        <v>497</v>
      </c>
      <c r="F11" s="290"/>
      <c r="G11" s="430"/>
      <c r="H11" s="222"/>
      <c r="I11" s="402"/>
    </row>
    <row r="12" spans="1:9">
      <c r="A12" s="187"/>
      <c r="B12" s="52" t="s">
        <v>498</v>
      </c>
      <c r="C12" s="59"/>
      <c r="D12" s="60"/>
      <c r="E12" s="197" t="s">
        <v>499</v>
      </c>
      <c r="F12" s="290"/>
      <c r="G12" s="291"/>
      <c r="H12" s="222"/>
      <c r="I12" s="402"/>
    </row>
    <row r="13" spans="1:9" ht="34.200000000000003">
      <c r="A13" s="187"/>
      <c r="B13" s="59"/>
      <c r="C13" s="126" t="s">
        <v>500</v>
      </c>
      <c r="D13" s="60"/>
      <c r="E13" s="197" t="s">
        <v>501</v>
      </c>
      <c r="F13" s="74" t="s">
        <v>37</v>
      </c>
      <c r="G13" s="404">
        <f>J44</f>
        <v>41441.375</v>
      </c>
      <c r="H13" s="222">
        <v>1380</v>
      </c>
      <c r="I13" s="402">
        <f t="shared" si="0"/>
        <v>57189097.5</v>
      </c>
    </row>
    <row r="14" spans="1:9">
      <c r="A14" s="38" t="s">
        <v>502</v>
      </c>
      <c r="B14" s="59"/>
      <c r="C14" s="59"/>
      <c r="D14" s="60"/>
      <c r="E14" s="196" t="s">
        <v>503</v>
      </c>
      <c r="F14" s="290"/>
      <c r="G14" s="291"/>
      <c r="H14" s="222"/>
      <c r="I14" s="402"/>
    </row>
    <row r="15" spans="1:9">
      <c r="A15" s="187"/>
      <c r="B15" s="52" t="s">
        <v>504</v>
      </c>
      <c r="C15" s="59"/>
      <c r="D15" s="60"/>
      <c r="E15" s="197" t="s">
        <v>505</v>
      </c>
      <c r="F15" s="74" t="s">
        <v>126</v>
      </c>
      <c r="G15" s="44">
        <v>0</v>
      </c>
      <c r="H15" s="222">
        <v>15</v>
      </c>
      <c r="I15" s="402">
        <f t="shared" si="0"/>
        <v>0</v>
      </c>
    </row>
    <row r="16" spans="1:9">
      <c r="A16" s="38" t="s">
        <v>506</v>
      </c>
      <c r="B16" s="59"/>
      <c r="C16" s="59"/>
      <c r="D16" s="60"/>
      <c r="E16" s="196" t="s">
        <v>507</v>
      </c>
      <c r="F16" s="290"/>
      <c r="G16" s="291"/>
      <c r="H16" s="222"/>
      <c r="I16" s="402"/>
    </row>
    <row r="17" spans="1:9">
      <c r="A17" s="187"/>
      <c r="B17" s="52" t="s">
        <v>508</v>
      </c>
      <c r="C17" s="59"/>
      <c r="D17" s="60"/>
      <c r="E17" s="197" t="s">
        <v>509</v>
      </c>
      <c r="F17" s="55" t="s">
        <v>37</v>
      </c>
      <c r="G17" s="291"/>
      <c r="H17" s="222">
        <v>3000</v>
      </c>
      <c r="I17" s="402">
        <f t="shared" si="0"/>
        <v>0</v>
      </c>
    </row>
    <row r="18" spans="1:9">
      <c r="A18" s="51"/>
      <c r="B18" s="126" t="s">
        <v>511</v>
      </c>
      <c r="C18" s="40"/>
      <c r="D18" s="53"/>
      <c r="E18" s="197" t="s">
        <v>512</v>
      </c>
      <c r="F18" s="74" t="s">
        <v>37</v>
      </c>
      <c r="G18" s="274"/>
      <c r="H18" s="222">
        <v>3000</v>
      </c>
      <c r="I18" s="402">
        <f t="shared" si="0"/>
        <v>0</v>
      </c>
    </row>
    <row r="19" spans="1:9">
      <c r="A19" s="51"/>
      <c r="B19" s="126" t="s">
        <v>513</v>
      </c>
      <c r="C19" s="40"/>
      <c r="D19" s="53"/>
      <c r="E19" s="197" t="s">
        <v>514</v>
      </c>
      <c r="F19" s="74" t="s">
        <v>37</v>
      </c>
      <c r="G19" s="274"/>
      <c r="H19" s="222">
        <v>3500</v>
      </c>
      <c r="I19" s="402">
        <f t="shared" si="0"/>
        <v>0</v>
      </c>
    </row>
    <row r="20" spans="1:9">
      <c r="A20" s="38" t="s">
        <v>515</v>
      </c>
      <c r="B20" s="59"/>
      <c r="C20" s="59"/>
      <c r="D20" s="60"/>
      <c r="E20" s="196" t="s">
        <v>516</v>
      </c>
      <c r="F20" s="290"/>
      <c r="G20" s="291"/>
      <c r="H20" s="222"/>
      <c r="I20" s="402"/>
    </row>
    <row r="21" spans="1:9">
      <c r="A21" s="51"/>
      <c r="B21" s="52" t="s">
        <v>517</v>
      </c>
      <c r="C21" s="40"/>
      <c r="D21" s="53"/>
      <c r="E21" s="197" t="s">
        <v>518</v>
      </c>
      <c r="F21" s="74" t="s">
        <v>143</v>
      </c>
      <c r="G21" s="295">
        <v>0</v>
      </c>
      <c r="H21" s="222">
        <v>300</v>
      </c>
      <c r="I21" s="402">
        <f t="shared" si="0"/>
        <v>0</v>
      </c>
    </row>
    <row r="22" spans="1:9">
      <c r="A22" s="38" t="s">
        <v>519</v>
      </c>
      <c r="B22" s="59"/>
      <c r="C22" s="59"/>
      <c r="D22" s="60"/>
      <c r="E22" s="196" t="s">
        <v>520</v>
      </c>
      <c r="F22" s="62"/>
      <c r="G22" s="296"/>
      <c r="H22" s="222"/>
      <c r="I22" s="402"/>
    </row>
    <row r="23" spans="1:9" ht="22.8">
      <c r="A23" s="51"/>
      <c r="B23" s="52" t="s">
        <v>521</v>
      </c>
      <c r="C23" s="40"/>
      <c r="D23" s="53"/>
      <c r="E23" s="197" t="s">
        <v>522</v>
      </c>
      <c r="F23" s="55" t="s">
        <v>143</v>
      </c>
      <c r="G23" s="56">
        <v>1</v>
      </c>
      <c r="H23" s="222">
        <v>35000</v>
      </c>
      <c r="I23" s="402">
        <f t="shared" si="0"/>
        <v>35000</v>
      </c>
    </row>
    <row r="24" spans="1:9" ht="22.8">
      <c r="A24" s="51"/>
      <c r="B24" s="52" t="s">
        <v>523</v>
      </c>
      <c r="C24" s="40"/>
      <c r="D24" s="53"/>
      <c r="E24" s="197" t="s">
        <v>524</v>
      </c>
      <c r="F24" s="55" t="s">
        <v>525</v>
      </c>
      <c r="G24" s="44">
        <f>22.3*2</f>
        <v>44.6</v>
      </c>
      <c r="H24" s="222">
        <v>3500</v>
      </c>
      <c r="I24" s="402">
        <f t="shared" si="0"/>
        <v>156100</v>
      </c>
    </row>
    <row r="25" spans="1:9">
      <c r="A25" s="51"/>
      <c r="B25" s="52"/>
      <c r="C25" s="40"/>
      <c r="D25" s="53"/>
      <c r="E25" s="197"/>
      <c r="F25" s="55"/>
      <c r="G25" s="56"/>
      <c r="H25" s="408"/>
      <c r="I25" s="408"/>
    </row>
    <row r="26" spans="1:9">
      <c r="A26" s="51"/>
      <c r="B26" s="52"/>
      <c r="C26" s="40"/>
      <c r="D26" s="53"/>
      <c r="E26" s="197"/>
      <c r="F26" s="55"/>
      <c r="G26" s="44"/>
      <c r="H26" s="408"/>
      <c r="I26" s="408"/>
    </row>
    <row r="27" spans="1:9">
      <c r="H27" s="399" t="s">
        <v>768</v>
      </c>
      <c r="I27" s="420">
        <f>SUM(I2:I25)</f>
        <v>59966389</v>
      </c>
    </row>
    <row r="35" spans="6:21" ht="14.4">
      <c r="F35" s="399" t="s">
        <v>794</v>
      </c>
      <c r="G35" s="399"/>
      <c r="H35" s="399"/>
      <c r="I35" s="399" t="s">
        <v>497</v>
      </c>
      <c r="L35" s="399" t="s">
        <v>978</v>
      </c>
    </row>
    <row r="36" spans="6:21">
      <c r="F36" t="s">
        <v>751</v>
      </c>
      <c r="G36" s="295">
        <v>22300</v>
      </c>
      <c r="I36" t="s">
        <v>751</v>
      </c>
      <c r="J36" s="423">
        <v>22300</v>
      </c>
      <c r="L36" s="423">
        <v>22300</v>
      </c>
      <c r="N36">
        <v>50</v>
      </c>
      <c r="O36" t="s">
        <v>977</v>
      </c>
    </row>
    <row r="37" spans="6:21">
      <c r="F37" t="s">
        <v>750</v>
      </c>
      <c r="G37" s="423">
        <v>12.7</v>
      </c>
      <c r="I37" t="s">
        <v>750</v>
      </c>
      <c r="J37" s="423">
        <v>12.7</v>
      </c>
      <c r="L37" s="423">
        <v>12.7</v>
      </c>
      <c r="N37">
        <v>45</v>
      </c>
      <c r="O37" t="s">
        <v>977</v>
      </c>
    </row>
    <row r="38" spans="6:21">
      <c r="F38" t="s">
        <v>749</v>
      </c>
      <c r="G38" s="295">
        <f>G36*G37</f>
        <v>283210</v>
      </c>
      <c r="I38" t="s">
        <v>749</v>
      </c>
      <c r="J38" s="423">
        <f>J36*J37</f>
        <v>283210</v>
      </c>
      <c r="L38" s="423">
        <f>L36*L37</f>
        <v>283210</v>
      </c>
      <c r="N38" s="559">
        <f>(N36-N37)/N36</f>
        <v>0.1</v>
      </c>
    </row>
    <row r="39" spans="6:21">
      <c r="F39" t="s">
        <v>793</v>
      </c>
      <c r="G39" s="274">
        <v>0.55000000000000004</v>
      </c>
      <c r="I39" t="s">
        <v>748</v>
      </c>
      <c r="J39" s="497">
        <v>0.05</v>
      </c>
      <c r="L39" s="497"/>
    </row>
    <row r="40" spans="6:21">
      <c r="F40" t="s">
        <v>439</v>
      </c>
      <c r="G40" s="295">
        <f>G38*G39</f>
        <v>155765.5</v>
      </c>
      <c r="I40" t="s">
        <v>796</v>
      </c>
      <c r="J40" s="498">
        <v>2.5</v>
      </c>
      <c r="L40" s="498"/>
    </row>
    <row r="41" spans="6:21" ht="14.4">
      <c r="G41" s="295"/>
      <c r="J41" s="423">
        <f>J38*J39*J40</f>
        <v>35401.25</v>
      </c>
      <c r="L41" s="423"/>
      <c r="Q41">
        <f>J38*J39</f>
        <v>14160.5</v>
      </c>
      <c r="R41" t="s">
        <v>981</v>
      </c>
      <c r="S41">
        <f>Q41/J39</f>
        <v>283210</v>
      </c>
      <c r="T41" t="s">
        <v>982</v>
      </c>
      <c r="U41" t="s">
        <v>979</v>
      </c>
    </row>
    <row r="42" spans="6:21" ht="41.4">
      <c r="G42" s="295"/>
      <c r="I42" s="425" t="s">
        <v>798</v>
      </c>
      <c r="J42" s="423">
        <f>J41*10%</f>
        <v>3540.125</v>
      </c>
      <c r="K42" s="508"/>
      <c r="L42" s="423"/>
    </row>
    <row r="43" spans="6:21" ht="28.2">
      <c r="G43" s="427"/>
      <c r="I43" s="425" t="s">
        <v>799</v>
      </c>
      <c r="J43" s="423">
        <v>2500</v>
      </c>
      <c r="L43" s="423">
        <v>16790</v>
      </c>
      <c r="N43" s="424"/>
      <c r="Q43">
        <f>J43/J40</f>
        <v>1000</v>
      </c>
      <c r="R43" t="s">
        <v>981</v>
      </c>
      <c r="S43">
        <f>839.5/J39</f>
        <v>16790</v>
      </c>
      <c r="T43" t="s">
        <v>982</v>
      </c>
      <c r="U43" t="s">
        <v>980</v>
      </c>
    </row>
    <row r="44" spans="6:21">
      <c r="I44" t="s">
        <v>797</v>
      </c>
      <c r="J44" s="426">
        <f>J41+J42+J43</f>
        <v>41441.375</v>
      </c>
      <c r="L44" s="426">
        <f>L43+L42+L38</f>
        <v>300000</v>
      </c>
    </row>
    <row r="45" spans="6:21">
      <c r="J45" s="423"/>
      <c r="N45" s="424"/>
    </row>
    <row r="46" spans="6:21" ht="14.4">
      <c r="J46" s="423">
        <f>J44*2466</f>
        <v>102194430.75</v>
      </c>
      <c r="Q46">
        <f>Q43+Q42+Q41</f>
        <v>15160.5</v>
      </c>
      <c r="R46" t="s">
        <v>981</v>
      </c>
      <c r="S46">
        <f>S41+S43</f>
        <v>300000</v>
      </c>
      <c r="T46" t="s">
        <v>982</v>
      </c>
    </row>
    <row r="47" spans="6:21">
      <c r="Q47">
        <f>Q46/J39</f>
        <v>303210</v>
      </c>
      <c r="R47" t="s">
        <v>982</v>
      </c>
    </row>
  </sheetData>
  <mergeCells count="2">
    <mergeCell ref="A2:D2"/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019AF-D014-4C09-B323-3C8C2C58A4F7}">
  <dimension ref="A1:I16"/>
  <sheetViews>
    <sheetView workbookViewId="0">
      <selection activeCell="I15" sqref="I15"/>
    </sheetView>
  </sheetViews>
  <sheetFormatPr defaultRowHeight="13.8"/>
  <cols>
    <col min="3" max="3" width="4.19921875" customWidth="1"/>
    <col min="4" max="4" width="4" customWidth="1"/>
    <col min="5" max="5" width="26.796875" bestFit="1" customWidth="1"/>
    <col min="6" max="6" width="14.09765625" bestFit="1" customWidth="1"/>
    <col min="7" max="7" width="8.296875" customWidth="1"/>
    <col min="8" max="8" width="9.8984375" customWidth="1"/>
    <col min="9" max="9" width="12.3984375" bestFit="1" customWidth="1"/>
  </cols>
  <sheetData>
    <row r="1" spans="1:9">
      <c r="A1" s="596" t="s">
        <v>1</v>
      </c>
      <c r="B1" s="596"/>
      <c r="C1" s="596"/>
      <c r="D1" s="596"/>
      <c r="E1" s="20" t="s">
        <v>2</v>
      </c>
      <c r="F1" s="19" t="s">
        <v>3</v>
      </c>
      <c r="G1" s="19" t="s">
        <v>741</v>
      </c>
      <c r="H1" s="19" t="s">
        <v>740</v>
      </c>
      <c r="I1" s="19" t="s">
        <v>742</v>
      </c>
    </row>
    <row r="2" spans="1:9">
      <c r="A2" s="592" t="s">
        <v>469</v>
      </c>
      <c r="B2" s="593"/>
      <c r="C2" s="593"/>
      <c r="D2" s="594"/>
      <c r="E2" s="92" t="s">
        <v>470</v>
      </c>
      <c r="F2" s="2"/>
      <c r="G2" s="272"/>
      <c r="H2" s="407"/>
      <c r="I2" s="407"/>
    </row>
    <row r="3" spans="1:9">
      <c r="A3" s="27"/>
      <c r="B3" s="28"/>
      <c r="C3" s="28"/>
      <c r="D3" s="29"/>
      <c r="E3" s="92"/>
      <c r="F3" s="162"/>
      <c r="G3" s="273"/>
      <c r="H3" s="408"/>
      <c r="I3" s="408"/>
    </row>
    <row r="4" spans="1:9">
      <c r="A4" s="27" t="s">
        <v>471</v>
      </c>
      <c r="B4" s="40"/>
      <c r="C4" s="40"/>
      <c r="D4" s="53"/>
      <c r="E4" s="203" t="s">
        <v>472</v>
      </c>
      <c r="F4" s="273"/>
      <c r="G4" s="273"/>
      <c r="H4" s="408"/>
      <c r="I4" s="408"/>
    </row>
    <row r="5" spans="1:9" ht="22.8">
      <c r="A5" s="187"/>
      <c r="B5" s="126" t="s">
        <v>473</v>
      </c>
      <c r="C5" s="59"/>
      <c r="D5" s="60"/>
      <c r="E5" s="197" t="s">
        <v>474</v>
      </c>
      <c r="F5" s="74" t="s">
        <v>26</v>
      </c>
      <c r="G5" s="274">
        <v>1</v>
      </c>
      <c r="H5" s="274">
        <v>100000</v>
      </c>
      <c r="I5" s="402">
        <f t="shared" ref="I5:I7" si="0">G5*H5</f>
        <v>100000</v>
      </c>
    </row>
    <row r="6" spans="1:9">
      <c r="A6" s="51"/>
      <c r="B6" s="126" t="s">
        <v>475</v>
      </c>
      <c r="C6" s="40"/>
      <c r="D6" s="53"/>
      <c r="E6" s="197" t="s">
        <v>435</v>
      </c>
      <c r="F6" s="74" t="s">
        <v>126</v>
      </c>
      <c r="G6" s="274">
        <f>G16</f>
        <v>34950</v>
      </c>
      <c r="H6" s="274">
        <v>38</v>
      </c>
      <c r="I6" s="402">
        <f t="shared" si="0"/>
        <v>1328100</v>
      </c>
    </row>
    <row r="7" spans="1:9">
      <c r="A7" s="27" t="s">
        <v>476</v>
      </c>
      <c r="B7" s="40"/>
      <c r="C7" s="40"/>
      <c r="D7" s="53"/>
      <c r="E7" s="203" t="s">
        <v>477</v>
      </c>
      <c r="F7" s="74" t="s">
        <v>126</v>
      </c>
      <c r="G7" s="82">
        <v>150</v>
      </c>
      <c r="H7" s="274">
        <v>350</v>
      </c>
      <c r="I7" s="402">
        <f t="shared" si="0"/>
        <v>52500</v>
      </c>
    </row>
    <row r="8" spans="1:9">
      <c r="H8" s="399" t="s">
        <v>768</v>
      </c>
      <c r="I8" s="420">
        <f>SUM(I2:I7)</f>
        <v>1480600</v>
      </c>
    </row>
    <row r="12" spans="1:9">
      <c r="F12" t="s">
        <v>751</v>
      </c>
      <c r="G12">
        <v>23300</v>
      </c>
    </row>
    <row r="13" spans="1:9">
      <c r="F13" t="s">
        <v>750</v>
      </c>
      <c r="G13">
        <v>1</v>
      </c>
    </row>
    <row r="14" spans="1:9">
      <c r="F14" t="s">
        <v>792</v>
      </c>
      <c r="G14">
        <v>1.5</v>
      </c>
    </row>
    <row r="16" spans="1:9">
      <c r="G16">
        <f>G12*G13*G14</f>
        <v>34950</v>
      </c>
    </row>
  </sheetData>
  <mergeCells count="2">
    <mergeCell ref="A2:D2"/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F84C0-C231-41A6-B123-40E035173125}">
  <dimension ref="A1:S37"/>
  <sheetViews>
    <sheetView topLeftCell="A6" zoomScale="70" zoomScaleNormal="70" workbookViewId="0">
      <selection activeCell="A29" sqref="A29:XFD29"/>
    </sheetView>
  </sheetViews>
  <sheetFormatPr defaultRowHeight="13.8"/>
  <cols>
    <col min="2" max="2" width="7.09765625" customWidth="1"/>
    <col min="3" max="3" width="4.796875" customWidth="1"/>
    <col min="4" max="4" width="3.296875" customWidth="1"/>
    <col min="5" max="5" width="42.3984375" customWidth="1"/>
    <col min="6" max="6" width="13.59765625" style="358" customWidth="1"/>
    <col min="7" max="7" width="9" bestFit="1" customWidth="1"/>
    <col min="9" max="9" width="14.19921875" bestFit="1" customWidth="1"/>
    <col min="11" max="11" width="9.8984375" bestFit="1" customWidth="1"/>
    <col min="13" max="13" width="14.19921875" bestFit="1" customWidth="1"/>
  </cols>
  <sheetData>
    <row r="1" spans="1:17">
      <c r="A1" s="596" t="s">
        <v>1</v>
      </c>
      <c r="B1" s="596"/>
      <c r="C1" s="596"/>
      <c r="D1" s="596"/>
      <c r="E1" s="20" t="s">
        <v>2</v>
      </c>
      <c r="F1" s="20" t="s">
        <v>3</v>
      </c>
      <c r="G1" s="19" t="s">
        <v>741</v>
      </c>
      <c r="H1" s="19" t="s">
        <v>740</v>
      </c>
      <c r="I1" s="19" t="s">
        <v>742</v>
      </c>
      <c r="K1" s="19" t="s">
        <v>741</v>
      </c>
      <c r="L1" s="19" t="s">
        <v>740</v>
      </c>
      <c r="M1" s="19" t="s">
        <v>742</v>
      </c>
    </row>
    <row r="2" spans="1:17">
      <c r="A2" s="592" t="s">
        <v>342</v>
      </c>
      <c r="B2" s="593"/>
      <c r="C2" s="593"/>
      <c r="D2" s="594"/>
      <c r="E2" s="219" t="s">
        <v>343</v>
      </c>
      <c r="F2" s="413"/>
      <c r="G2" s="416"/>
      <c r="H2" s="407"/>
      <c r="I2" s="407"/>
      <c r="K2" s="416"/>
      <c r="L2" s="407"/>
      <c r="M2" s="407"/>
    </row>
    <row r="3" spans="1:17" ht="15" customHeight="1">
      <c r="A3" s="27" t="s">
        <v>344</v>
      </c>
      <c r="B3" s="59"/>
      <c r="C3" s="59"/>
      <c r="D3" s="60"/>
      <c r="E3" s="203" t="s">
        <v>345</v>
      </c>
      <c r="F3" s="414"/>
      <c r="G3" s="417"/>
      <c r="H3" s="408"/>
      <c r="I3" s="408"/>
      <c r="K3" s="417"/>
      <c r="L3" s="408"/>
      <c r="M3" s="408"/>
    </row>
    <row r="4" spans="1:17" ht="16.8" customHeight="1">
      <c r="A4" s="51"/>
      <c r="B4" s="40"/>
      <c r="C4" s="126" t="s">
        <v>67</v>
      </c>
      <c r="D4" s="53"/>
      <c r="E4" s="197" t="s">
        <v>346</v>
      </c>
      <c r="F4" s="414" t="s">
        <v>347</v>
      </c>
      <c r="G4" s="417">
        <v>990</v>
      </c>
      <c r="H4" s="408">
        <v>105</v>
      </c>
      <c r="I4" s="402">
        <f>G4*H4</f>
        <v>103950</v>
      </c>
      <c r="K4" s="467">
        <v>0</v>
      </c>
      <c r="L4" s="408">
        <v>105</v>
      </c>
      <c r="M4" s="402">
        <f>K4*L4</f>
        <v>0</v>
      </c>
      <c r="N4" s="468" t="s">
        <v>959</v>
      </c>
      <c r="O4" s="468"/>
      <c r="P4" s="468"/>
    </row>
    <row r="5" spans="1:17">
      <c r="A5" s="51"/>
      <c r="B5" s="40"/>
      <c r="C5" s="126"/>
      <c r="D5" s="53"/>
      <c r="E5" s="197"/>
      <c r="F5" s="414"/>
      <c r="G5" s="417"/>
      <c r="H5" s="408"/>
      <c r="I5" s="402">
        <f t="shared" ref="I5:I35" si="0">G5*H5</f>
        <v>0</v>
      </c>
      <c r="K5" s="417"/>
      <c r="L5" s="408"/>
      <c r="M5" s="402">
        <f t="shared" ref="M5:M19" si="1">K5*L5</f>
        <v>0</v>
      </c>
    </row>
    <row r="6" spans="1:17" ht="24">
      <c r="A6" s="51"/>
      <c r="B6" s="28" t="s">
        <v>348</v>
      </c>
      <c r="C6" s="59"/>
      <c r="D6" s="60"/>
      <c r="E6" s="196" t="s">
        <v>349</v>
      </c>
      <c r="F6" s="194"/>
      <c r="G6" s="91"/>
      <c r="H6" s="408"/>
      <c r="I6" s="402">
        <f t="shared" si="0"/>
        <v>0</v>
      </c>
      <c r="K6" s="91"/>
      <c r="L6" s="408"/>
      <c r="M6" s="402">
        <f t="shared" si="1"/>
        <v>0</v>
      </c>
    </row>
    <row r="7" spans="1:17">
      <c r="A7" s="51"/>
      <c r="B7" s="126" t="s">
        <v>348</v>
      </c>
      <c r="C7" s="40"/>
      <c r="D7" s="53"/>
      <c r="E7" s="197" t="s">
        <v>350</v>
      </c>
      <c r="F7" s="414" t="s">
        <v>351</v>
      </c>
      <c r="G7" s="418">
        <v>1930</v>
      </c>
      <c r="H7" s="408">
        <v>105</v>
      </c>
      <c r="I7" s="402">
        <f t="shared" si="0"/>
        <v>202650</v>
      </c>
      <c r="K7" s="469">
        <v>0</v>
      </c>
      <c r="L7" s="408">
        <v>105</v>
      </c>
      <c r="M7" s="402">
        <f>K7*L7</f>
        <v>0</v>
      </c>
      <c r="N7" s="468" t="s">
        <v>960</v>
      </c>
      <c r="O7" s="468"/>
      <c r="P7" s="468"/>
      <c r="Q7" s="468"/>
    </row>
    <row r="8" spans="1:17">
      <c r="A8" s="51"/>
      <c r="B8" s="126"/>
      <c r="C8" s="40"/>
      <c r="D8" s="53"/>
      <c r="E8" s="197"/>
      <c r="F8" s="414"/>
      <c r="G8" s="417"/>
      <c r="H8" s="408"/>
      <c r="I8" s="402">
        <f t="shared" si="0"/>
        <v>0</v>
      </c>
      <c r="K8" s="417"/>
      <c r="L8" s="408"/>
      <c r="M8" s="402">
        <f t="shared" si="1"/>
        <v>0</v>
      </c>
    </row>
    <row r="9" spans="1:17" ht="24">
      <c r="A9" s="27" t="s">
        <v>352</v>
      </c>
      <c r="B9" s="59"/>
      <c r="C9" s="59"/>
      <c r="D9" s="60"/>
      <c r="E9" s="203" t="s">
        <v>353</v>
      </c>
      <c r="F9" s="415"/>
      <c r="G9" s="417"/>
      <c r="H9" s="408"/>
      <c r="I9" s="402">
        <f t="shared" si="0"/>
        <v>0</v>
      </c>
      <c r="K9" s="417"/>
      <c r="L9" s="408"/>
      <c r="M9" s="402">
        <f t="shared" si="1"/>
        <v>0</v>
      </c>
    </row>
    <row r="10" spans="1:17" ht="14.4" customHeight="1">
      <c r="A10" s="51"/>
      <c r="B10" s="28" t="s">
        <v>354</v>
      </c>
      <c r="C10" s="59"/>
      <c r="D10" s="60"/>
      <c r="E10" s="196" t="s">
        <v>355</v>
      </c>
      <c r="F10" s="194"/>
      <c r="G10" s="91"/>
      <c r="H10" s="408"/>
      <c r="I10" s="402">
        <f t="shared" si="0"/>
        <v>0</v>
      </c>
      <c r="K10" s="91"/>
      <c r="L10" s="408"/>
      <c r="M10" s="402">
        <f t="shared" si="1"/>
        <v>0</v>
      </c>
    </row>
    <row r="11" spans="1:17" ht="14.4" customHeight="1">
      <c r="A11" s="51"/>
      <c r="B11" s="40"/>
      <c r="C11" s="126" t="s">
        <v>67</v>
      </c>
      <c r="D11" s="53"/>
      <c r="E11" s="197" t="s">
        <v>356</v>
      </c>
      <c r="F11" s="414" t="s">
        <v>351</v>
      </c>
      <c r="G11" s="417">
        <v>200</v>
      </c>
      <c r="H11" s="408">
        <v>190</v>
      </c>
      <c r="I11" s="402">
        <f t="shared" si="0"/>
        <v>38000</v>
      </c>
      <c r="K11" s="468">
        <f>1.2*1.2*1*30</f>
        <v>43.199999999999996</v>
      </c>
      <c r="L11" s="408">
        <v>190</v>
      </c>
      <c r="M11" s="470">
        <f t="shared" si="1"/>
        <v>8208</v>
      </c>
      <c r="N11" t="s">
        <v>961</v>
      </c>
    </row>
    <row r="12" spans="1:17">
      <c r="A12" s="51"/>
      <c r="B12" s="40"/>
      <c r="C12" s="126" t="s">
        <v>70</v>
      </c>
      <c r="D12" s="53"/>
      <c r="E12" s="197" t="s">
        <v>357</v>
      </c>
      <c r="F12" s="414" t="s">
        <v>351</v>
      </c>
      <c r="G12" s="418">
        <v>540</v>
      </c>
      <c r="H12" s="408">
        <v>190</v>
      </c>
      <c r="I12" s="402">
        <f t="shared" si="0"/>
        <v>102600</v>
      </c>
      <c r="K12" s="469">
        <v>540</v>
      </c>
      <c r="L12" s="408">
        <v>190</v>
      </c>
      <c r="M12" s="402">
        <f t="shared" si="1"/>
        <v>102600</v>
      </c>
      <c r="N12" s="468" t="s">
        <v>962</v>
      </c>
    </row>
    <row r="13" spans="1:17">
      <c r="A13" s="51"/>
      <c r="B13" s="40"/>
      <c r="C13" s="126" t="s">
        <v>72</v>
      </c>
      <c r="D13" s="53"/>
      <c r="E13" s="197" t="s">
        <v>358</v>
      </c>
      <c r="F13" s="414" t="s">
        <v>351</v>
      </c>
      <c r="G13" s="417">
        <v>1930</v>
      </c>
      <c r="H13" s="408">
        <v>190</v>
      </c>
      <c r="I13" s="402">
        <f t="shared" si="0"/>
        <v>366700</v>
      </c>
      <c r="K13" s="469">
        <f>22300*2*1*0.075*0.5</f>
        <v>1672.5</v>
      </c>
      <c r="L13" s="408">
        <v>190</v>
      </c>
      <c r="M13" s="402">
        <f t="shared" si="1"/>
        <v>317775</v>
      </c>
      <c r="N13" s="468" t="s">
        <v>963</v>
      </c>
    </row>
    <row r="14" spans="1:17" ht="11.4" customHeight="1">
      <c r="A14" s="51"/>
      <c r="B14" s="40"/>
      <c r="C14" s="126"/>
      <c r="D14" s="53"/>
      <c r="E14" s="197"/>
      <c r="F14" s="414"/>
      <c r="G14" s="417"/>
      <c r="H14" s="408"/>
      <c r="I14" s="402">
        <f t="shared" si="0"/>
        <v>0</v>
      </c>
      <c r="K14" s="417"/>
      <c r="L14" s="408"/>
      <c r="M14" s="402">
        <f t="shared" si="1"/>
        <v>0</v>
      </c>
    </row>
    <row r="15" spans="1:17" ht="23.4" customHeight="1">
      <c r="A15" s="27" t="s">
        <v>359</v>
      </c>
      <c r="B15" s="40"/>
      <c r="C15" s="126"/>
      <c r="D15" s="53"/>
      <c r="E15" s="224" t="s">
        <v>360</v>
      </c>
      <c r="F15" s="414"/>
      <c r="G15" s="417"/>
      <c r="H15" s="408"/>
      <c r="I15" s="402">
        <f t="shared" si="0"/>
        <v>0</v>
      </c>
      <c r="K15" s="417"/>
      <c r="L15" s="408"/>
      <c r="M15" s="402">
        <f t="shared" si="1"/>
        <v>0</v>
      </c>
    </row>
    <row r="16" spans="1:17" ht="30" customHeight="1">
      <c r="A16" s="51"/>
      <c r="B16" s="126" t="s">
        <v>361</v>
      </c>
      <c r="C16" s="40"/>
      <c r="D16" s="60"/>
      <c r="E16" s="225" t="s">
        <v>362</v>
      </c>
      <c r="F16" s="414"/>
      <c r="G16" s="91"/>
      <c r="H16" s="408"/>
      <c r="I16" s="402">
        <f t="shared" si="0"/>
        <v>0</v>
      </c>
      <c r="K16" s="91"/>
      <c r="L16" s="408"/>
      <c r="M16" s="402">
        <f t="shared" si="1"/>
        <v>0</v>
      </c>
    </row>
    <row r="17" spans="1:19">
      <c r="A17" s="51"/>
      <c r="B17" s="40"/>
      <c r="C17" s="126" t="s">
        <v>67</v>
      </c>
      <c r="D17" s="53"/>
      <c r="E17" s="225" t="s">
        <v>363</v>
      </c>
      <c r="F17" s="414" t="s">
        <v>351</v>
      </c>
      <c r="G17" s="417">
        <v>2460</v>
      </c>
      <c r="H17" s="408">
        <v>190</v>
      </c>
      <c r="I17" s="402">
        <f t="shared" si="0"/>
        <v>467400</v>
      </c>
      <c r="K17" s="417">
        <f>+K25*0.42</f>
        <v>911.4</v>
      </c>
      <c r="L17" s="408">
        <v>190</v>
      </c>
      <c r="M17" s="402">
        <f t="shared" si="1"/>
        <v>173166</v>
      </c>
      <c r="N17" s="468" t="s">
        <v>964</v>
      </c>
    </row>
    <row r="18" spans="1:19">
      <c r="A18" s="27" t="s">
        <v>364</v>
      </c>
      <c r="B18" s="40"/>
      <c r="C18" s="126"/>
      <c r="D18" s="53"/>
      <c r="E18" s="224" t="s">
        <v>365</v>
      </c>
      <c r="F18" s="414"/>
      <c r="G18" s="417"/>
      <c r="H18" s="408"/>
      <c r="I18" s="402">
        <f t="shared" si="0"/>
        <v>0</v>
      </c>
      <c r="K18" s="417"/>
      <c r="L18" s="408"/>
      <c r="M18" s="402">
        <f t="shared" si="1"/>
        <v>0</v>
      </c>
    </row>
    <row r="19" spans="1:19" ht="22.8">
      <c r="A19" s="51"/>
      <c r="B19" s="126" t="s">
        <v>366</v>
      </c>
      <c r="C19" s="126"/>
      <c r="D19" s="53"/>
      <c r="E19" s="225" t="s">
        <v>367</v>
      </c>
      <c r="F19" s="414" t="s">
        <v>351</v>
      </c>
      <c r="G19" s="417">
        <v>1720</v>
      </c>
      <c r="H19" s="408">
        <v>75</v>
      </c>
      <c r="I19" s="402">
        <f t="shared" si="0"/>
        <v>129000</v>
      </c>
      <c r="K19" s="417">
        <v>0</v>
      </c>
      <c r="L19" s="408">
        <v>75</v>
      </c>
      <c r="M19" s="402">
        <f t="shared" si="1"/>
        <v>0</v>
      </c>
    </row>
    <row r="20" spans="1:19">
      <c r="A20" s="27" t="s">
        <v>368</v>
      </c>
      <c r="B20" s="40"/>
      <c r="C20" s="126"/>
      <c r="D20" s="53"/>
      <c r="E20" s="224" t="s">
        <v>369</v>
      </c>
      <c r="F20" s="414"/>
      <c r="G20" s="417"/>
      <c r="H20" s="408"/>
      <c r="I20" s="402">
        <f>G20*H20</f>
        <v>0</v>
      </c>
      <c r="K20" s="417"/>
      <c r="L20" s="408"/>
      <c r="M20" s="402">
        <f>K20*L20</f>
        <v>0</v>
      </c>
    </row>
    <row r="21" spans="1:19">
      <c r="A21" s="51"/>
      <c r="B21" s="126" t="s">
        <v>370</v>
      </c>
      <c r="C21" s="126"/>
      <c r="D21" s="53"/>
      <c r="E21" s="225" t="s">
        <v>371</v>
      </c>
      <c r="F21" s="414" t="s">
        <v>351</v>
      </c>
      <c r="G21" s="417">
        <v>500</v>
      </c>
      <c r="H21" s="408">
        <v>650</v>
      </c>
      <c r="I21" s="402">
        <f t="shared" si="0"/>
        <v>325000</v>
      </c>
      <c r="K21" s="417">
        <f>+K25*0.12</f>
        <v>260.39999999999998</v>
      </c>
      <c r="L21" s="408">
        <v>650</v>
      </c>
      <c r="M21" s="402">
        <f t="shared" ref="M21:M35" si="2">K21*L21</f>
        <v>169259.99999999997</v>
      </c>
      <c r="N21" s="468" t="s">
        <v>964</v>
      </c>
    </row>
    <row r="22" spans="1:19" ht="24">
      <c r="A22" s="27" t="s">
        <v>372</v>
      </c>
      <c r="B22" s="40"/>
      <c r="C22" s="126"/>
      <c r="D22" s="53"/>
      <c r="E22" s="224" t="s">
        <v>373</v>
      </c>
      <c r="F22" s="414"/>
      <c r="G22" s="417"/>
      <c r="H22" s="408"/>
      <c r="I22" s="402">
        <f t="shared" si="0"/>
        <v>0</v>
      </c>
      <c r="K22" s="417"/>
      <c r="L22" s="408"/>
      <c r="M22" s="402">
        <f t="shared" si="2"/>
        <v>0</v>
      </c>
    </row>
    <row r="23" spans="1:19">
      <c r="A23" s="51"/>
      <c r="B23" s="126" t="s">
        <v>374</v>
      </c>
      <c r="C23" s="126"/>
      <c r="D23" s="53"/>
      <c r="E23" s="225" t="s">
        <v>375</v>
      </c>
      <c r="F23" s="414" t="s">
        <v>351</v>
      </c>
      <c r="G23" s="417">
        <v>250</v>
      </c>
      <c r="H23" s="408">
        <v>650</v>
      </c>
      <c r="I23" s="402">
        <f t="shared" si="0"/>
        <v>162500</v>
      </c>
      <c r="K23" s="417">
        <f>+K25*0.3</f>
        <v>651</v>
      </c>
      <c r="L23" s="408">
        <v>650</v>
      </c>
      <c r="M23" s="402">
        <f t="shared" si="2"/>
        <v>423150</v>
      </c>
      <c r="N23" s="468" t="s">
        <v>964</v>
      </c>
    </row>
    <row r="24" spans="1:19">
      <c r="A24" s="27" t="s">
        <v>376</v>
      </c>
      <c r="B24" s="40"/>
      <c r="C24" s="126"/>
      <c r="D24" s="53"/>
      <c r="E24" s="224" t="s">
        <v>377</v>
      </c>
      <c r="F24" s="414"/>
      <c r="G24" s="417"/>
      <c r="H24" s="408"/>
      <c r="I24" s="402">
        <f t="shared" si="0"/>
        <v>0</v>
      </c>
      <c r="K24" s="417"/>
      <c r="L24" s="408"/>
      <c r="M24" s="402">
        <f t="shared" si="2"/>
        <v>0</v>
      </c>
    </row>
    <row r="25" spans="1:19" ht="22.8">
      <c r="A25" s="51"/>
      <c r="B25" s="126" t="s">
        <v>378</v>
      </c>
      <c r="C25" s="126"/>
      <c r="D25" s="53"/>
      <c r="E25" s="225" t="s">
        <v>379</v>
      </c>
      <c r="F25" s="414" t="s">
        <v>380</v>
      </c>
      <c r="G25" s="417">
        <v>6132.5000000000009</v>
      </c>
      <c r="H25" s="408">
        <v>65</v>
      </c>
      <c r="I25" s="402">
        <f t="shared" si="0"/>
        <v>398612.50000000006</v>
      </c>
      <c r="K25" s="467">
        <v>2170</v>
      </c>
      <c r="L25" s="408">
        <v>65</v>
      </c>
      <c r="M25" s="402">
        <f t="shared" si="2"/>
        <v>141050</v>
      </c>
      <c r="N25" s="468" t="s">
        <v>964</v>
      </c>
      <c r="O25" s="468"/>
      <c r="P25" s="468"/>
      <c r="Q25" s="468"/>
      <c r="R25" s="468"/>
      <c r="S25" s="468"/>
    </row>
    <row r="26" spans="1:19">
      <c r="A26" s="27" t="s">
        <v>381</v>
      </c>
      <c r="B26" s="40"/>
      <c r="C26" s="126"/>
      <c r="D26" s="53"/>
      <c r="E26" s="224" t="s">
        <v>382</v>
      </c>
      <c r="F26" s="414"/>
      <c r="G26" s="417"/>
      <c r="H26" s="408"/>
      <c r="I26" s="402">
        <f t="shared" si="0"/>
        <v>0</v>
      </c>
      <c r="K26" s="417"/>
      <c r="L26" s="408"/>
      <c r="M26" s="402">
        <f t="shared" si="2"/>
        <v>0</v>
      </c>
    </row>
    <row r="27" spans="1:19">
      <c r="A27" s="51"/>
      <c r="B27" s="126" t="s">
        <v>383</v>
      </c>
      <c r="C27" s="126"/>
      <c r="D27" s="53"/>
      <c r="E27" s="225" t="s">
        <v>384</v>
      </c>
      <c r="F27" s="414" t="s">
        <v>126</v>
      </c>
      <c r="G27" s="417">
        <v>8590</v>
      </c>
      <c r="H27" s="408">
        <v>35</v>
      </c>
      <c r="I27" s="402">
        <f t="shared" si="0"/>
        <v>300650</v>
      </c>
      <c r="K27" s="468">
        <f>+K25*1.87</f>
        <v>4057.9</v>
      </c>
      <c r="L27" s="408">
        <v>35</v>
      </c>
      <c r="M27" s="402">
        <f t="shared" si="2"/>
        <v>142026.5</v>
      </c>
      <c r="N27" s="468" t="s">
        <v>964</v>
      </c>
    </row>
    <row r="28" spans="1:19" ht="24">
      <c r="A28" s="27" t="s">
        <v>385</v>
      </c>
      <c r="B28" s="40"/>
      <c r="C28" s="126"/>
      <c r="D28" s="53"/>
      <c r="E28" s="224" t="s">
        <v>386</v>
      </c>
      <c r="F28" s="414"/>
      <c r="G28" s="417"/>
      <c r="H28" s="408"/>
      <c r="I28" s="402">
        <f t="shared" si="0"/>
        <v>0</v>
      </c>
      <c r="K28" s="417"/>
      <c r="L28" s="408"/>
      <c r="M28" s="402">
        <f t="shared" si="2"/>
        <v>0</v>
      </c>
    </row>
    <row r="29" spans="1:19">
      <c r="A29" s="51"/>
      <c r="B29" s="126" t="s">
        <v>387</v>
      </c>
      <c r="C29" s="59"/>
      <c r="D29" s="60"/>
      <c r="E29" s="225" t="s">
        <v>388</v>
      </c>
      <c r="F29" s="194" t="s">
        <v>143</v>
      </c>
      <c r="G29" s="418">
        <v>60</v>
      </c>
      <c r="H29" s="408">
        <v>1450</v>
      </c>
      <c r="I29" s="402">
        <f t="shared" si="0"/>
        <v>87000</v>
      </c>
      <c r="K29" s="469">
        <v>4</v>
      </c>
      <c r="L29" s="408">
        <v>1450</v>
      </c>
      <c r="M29" s="402">
        <f t="shared" si="2"/>
        <v>5800</v>
      </c>
      <c r="N29" s="468" t="s">
        <v>965</v>
      </c>
    </row>
    <row r="30" spans="1:19">
      <c r="A30" s="27" t="s">
        <v>389</v>
      </c>
      <c r="B30" s="28"/>
      <c r="C30" s="59"/>
      <c r="D30" s="60"/>
      <c r="E30" s="224" t="s">
        <v>390</v>
      </c>
      <c r="F30" s="194"/>
      <c r="G30" s="418"/>
      <c r="H30" s="408"/>
      <c r="I30" s="402">
        <f t="shared" si="0"/>
        <v>0</v>
      </c>
      <c r="K30" s="418"/>
      <c r="L30" s="408"/>
      <c r="M30" s="402">
        <f t="shared" si="2"/>
        <v>0</v>
      </c>
    </row>
    <row r="31" spans="1:19">
      <c r="A31" s="51"/>
      <c r="B31" s="126" t="s">
        <v>391</v>
      </c>
      <c r="C31" s="59"/>
      <c r="D31" s="60"/>
      <c r="E31" s="225" t="s">
        <v>392</v>
      </c>
      <c r="F31" s="194" t="s">
        <v>143</v>
      </c>
      <c r="G31" s="418">
        <v>60</v>
      </c>
      <c r="H31" s="408">
        <v>185</v>
      </c>
      <c r="I31" s="402">
        <f t="shared" si="0"/>
        <v>11100</v>
      </c>
      <c r="K31" s="469">
        <v>8</v>
      </c>
      <c r="L31" s="408">
        <v>185</v>
      </c>
      <c r="M31" s="402">
        <f t="shared" si="2"/>
        <v>1480</v>
      </c>
      <c r="N31" s="468" t="s">
        <v>966</v>
      </c>
    </row>
    <row r="32" spans="1:19">
      <c r="A32" s="27" t="s">
        <v>393</v>
      </c>
      <c r="B32" s="28"/>
      <c r="C32" s="59"/>
      <c r="D32" s="60"/>
      <c r="E32" s="224" t="s">
        <v>394</v>
      </c>
      <c r="F32" s="194" t="s">
        <v>55</v>
      </c>
      <c r="G32" s="418">
        <v>1</v>
      </c>
      <c r="H32" s="408">
        <v>100000</v>
      </c>
      <c r="I32" s="402">
        <f t="shared" si="0"/>
        <v>100000</v>
      </c>
      <c r="K32" s="469">
        <v>1</v>
      </c>
      <c r="L32" s="408">
        <v>100000</v>
      </c>
      <c r="M32" s="402">
        <f t="shared" si="2"/>
        <v>100000</v>
      </c>
    </row>
    <row r="33" spans="1:14">
      <c r="A33" s="27" t="s">
        <v>395</v>
      </c>
      <c r="B33" s="126"/>
      <c r="C33" s="59"/>
      <c r="D33" s="60"/>
      <c r="E33" s="226" t="s">
        <v>396</v>
      </c>
      <c r="F33" s="194" t="s">
        <v>143</v>
      </c>
      <c r="G33" s="418">
        <v>60</v>
      </c>
      <c r="H33" s="408">
        <v>350</v>
      </c>
      <c r="I33" s="402">
        <f t="shared" si="0"/>
        <v>21000</v>
      </c>
      <c r="K33" s="469">
        <v>4</v>
      </c>
      <c r="L33" s="408">
        <v>350</v>
      </c>
      <c r="M33" s="402">
        <f t="shared" si="2"/>
        <v>1400</v>
      </c>
      <c r="N33" s="468" t="s">
        <v>966</v>
      </c>
    </row>
    <row r="34" spans="1:14" ht="22.8">
      <c r="A34" s="51" t="s">
        <v>397</v>
      </c>
      <c r="B34" s="28"/>
      <c r="C34" s="59"/>
      <c r="D34" s="60"/>
      <c r="E34" s="227" t="s">
        <v>339</v>
      </c>
      <c r="F34" s="194"/>
      <c r="G34" s="418"/>
      <c r="H34" s="408"/>
      <c r="I34" s="402">
        <f t="shared" si="0"/>
        <v>0</v>
      </c>
      <c r="K34" s="418"/>
      <c r="L34" s="408"/>
      <c r="M34" s="402">
        <f t="shared" si="2"/>
        <v>0</v>
      </c>
    </row>
    <row r="35" spans="1:14" ht="22.8">
      <c r="A35" s="51"/>
      <c r="B35" s="28"/>
      <c r="C35" s="40" t="s">
        <v>67</v>
      </c>
      <c r="D35" s="60"/>
      <c r="E35" s="228" t="s">
        <v>340</v>
      </c>
      <c r="F35" s="193" t="s">
        <v>341</v>
      </c>
      <c r="G35" s="471">
        <v>92000</v>
      </c>
      <c r="H35" s="408">
        <v>7</v>
      </c>
      <c r="I35" s="402">
        <f t="shared" si="0"/>
        <v>644000</v>
      </c>
      <c r="K35" s="472">
        <f>(+K7+K11+K12+K13)*25</f>
        <v>56392.499999999993</v>
      </c>
      <c r="L35" s="408">
        <v>7</v>
      </c>
      <c r="M35" s="402">
        <f t="shared" si="2"/>
        <v>394747.49999999994</v>
      </c>
      <c r="N35" s="468" t="s">
        <v>967</v>
      </c>
    </row>
    <row r="37" spans="1:14">
      <c r="H37" s="399" t="s">
        <v>752</v>
      </c>
      <c r="I37" s="403">
        <f>SUM(I3:I35)</f>
        <v>3460162.5</v>
      </c>
      <c r="L37" s="399" t="s">
        <v>752</v>
      </c>
      <c r="M37" s="403">
        <f>SUM(M3:M35)</f>
        <v>1980663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2186-9647-4C60-BC74-FA4FD9A75E06}">
  <dimension ref="A1:N20"/>
  <sheetViews>
    <sheetView topLeftCell="C1" workbookViewId="0">
      <selection activeCell="J10" sqref="J10"/>
    </sheetView>
  </sheetViews>
  <sheetFormatPr defaultRowHeight="13.8"/>
  <cols>
    <col min="3" max="3" width="7.796875" bestFit="1" customWidth="1"/>
    <col min="6" max="6" width="26.8984375" customWidth="1"/>
    <col min="7" max="7" width="14" customWidth="1"/>
    <col min="8" max="8" width="12.69921875" customWidth="1"/>
    <col min="10" max="10" width="16.09765625" customWidth="1"/>
  </cols>
  <sheetData>
    <row r="1" spans="2:14" s="2" customFormat="1" ht="22.8">
      <c r="B1" s="596" t="s">
        <v>1</v>
      </c>
      <c r="C1" s="596"/>
      <c r="D1" s="596"/>
      <c r="E1" s="596"/>
      <c r="F1" s="20" t="s">
        <v>2</v>
      </c>
      <c r="G1" s="19" t="s">
        <v>3</v>
      </c>
      <c r="H1" s="20" t="s">
        <v>4</v>
      </c>
      <c r="I1" s="22" t="s">
        <v>9</v>
      </c>
      <c r="J1" s="23" t="s">
        <v>10</v>
      </c>
      <c r="K1" s="25"/>
      <c r="L1" s="26"/>
      <c r="M1" s="597"/>
      <c r="N1" s="597"/>
    </row>
    <row r="2" spans="2:14" s="231" customFormat="1" ht="13.2">
      <c r="B2" s="592" t="s">
        <v>398</v>
      </c>
      <c r="C2" s="593"/>
      <c r="D2" s="593"/>
      <c r="E2" s="594"/>
      <c r="F2" s="644" t="s">
        <v>399</v>
      </c>
      <c r="G2" s="645"/>
      <c r="H2" s="645"/>
      <c r="I2" s="645"/>
      <c r="J2" s="646"/>
      <c r="K2" s="229"/>
      <c r="L2" s="109"/>
      <c r="M2" s="230"/>
    </row>
    <row r="3" spans="2:14" s="231" customFormat="1" ht="13.2">
      <c r="B3" s="27"/>
      <c r="C3" s="28"/>
      <c r="D3" s="28"/>
      <c r="E3" s="29"/>
      <c r="F3" s="245"/>
      <c r="G3" s="1"/>
      <c r="H3" s="246"/>
      <c r="I3" s="34"/>
      <c r="J3" s="34"/>
      <c r="K3" s="229"/>
      <c r="L3" s="109"/>
      <c r="M3" s="230"/>
    </row>
    <row r="4" spans="2:14" s="231" customFormat="1" ht="13.2">
      <c r="B4" s="27" t="s">
        <v>400</v>
      </c>
      <c r="C4" s="40"/>
      <c r="D4" s="40"/>
      <c r="E4" s="53"/>
      <c r="F4" s="203" t="s">
        <v>401</v>
      </c>
      <c r="G4" s="74"/>
      <c r="H4" s="82"/>
      <c r="I4" s="46"/>
      <c r="J4" s="47"/>
      <c r="K4" s="229"/>
      <c r="L4" s="109"/>
      <c r="M4" s="230"/>
    </row>
    <row r="5" spans="2:14" s="231" customFormat="1" ht="34.200000000000003">
      <c r="B5" s="51"/>
      <c r="C5" s="126" t="s">
        <v>402</v>
      </c>
      <c r="D5" s="40"/>
      <c r="E5" s="53"/>
      <c r="F5" s="197" t="s">
        <v>403</v>
      </c>
      <c r="G5" s="74" t="s">
        <v>126</v>
      </c>
      <c r="H5" s="78">
        <f>+G20*0.129</f>
        <v>279.93</v>
      </c>
      <c r="I5" s="247">
        <v>2100</v>
      </c>
      <c r="J5" s="247">
        <f>IFERROR(IF(AND($G5&lt;&gt;"",$H5&lt;&gt;""),$H5*$I5,""),0)</f>
        <v>587853</v>
      </c>
      <c r="K5" s="229"/>
      <c r="L5" s="109"/>
      <c r="M5" s="230"/>
    </row>
    <row r="6" spans="2:14" s="231" customFormat="1" ht="22.8">
      <c r="B6" s="51"/>
      <c r="C6" s="126" t="s">
        <v>404</v>
      </c>
      <c r="D6" s="40"/>
      <c r="E6" s="53"/>
      <c r="F6" s="197" t="s">
        <v>405</v>
      </c>
      <c r="G6" s="74" t="s">
        <v>126</v>
      </c>
      <c r="H6" s="78">
        <f>+G20*1.03</f>
        <v>2235.1</v>
      </c>
      <c r="I6" s="247">
        <v>140</v>
      </c>
      <c r="J6" s="247">
        <f>IFERROR(IF(AND($G6&lt;&gt;"",$H6&lt;&gt;""),$H6*$I6,""),0)</f>
        <v>312914</v>
      </c>
      <c r="K6" s="229"/>
      <c r="L6" s="109"/>
      <c r="M6" s="230"/>
    </row>
    <row r="7" spans="2:14" s="231" customFormat="1" ht="36">
      <c r="B7" s="27" t="s">
        <v>406</v>
      </c>
      <c r="C7" s="59"/>
      <c r="D7" s="59"/>
      <c r="E7" s="60"/>
      <c r="F7" s="42" t="s">
        <v>407</v>
      </c>
      <c r="G7" s="62"/>
      <c r="H7" s="63"/>
      <c r="I7" s="250"/>
      <c r="J7" s="250"/>
      <c r="K7" s="229"/>
      <c r="L7" s="109"/>
      <c r="M7" s="230"/>
    </row>
    <row r="8" spans="2:14" s="231" customFormat="1" ht="22.8">
      <c r="B8" s="51"/>
      <c r="C8" s="126" t="s">
        <v>408</v>
      </c>
      <c r="D8" s="40"/>
      <c r="E8" s="53"/>
      <c r="F8" s="197" t="s">
        <v>409</v>
      </c>
      <c r="G8" s="74" t="s">
        <v>126</v>
      </c>
      <c r="H8" s="82">
        <f>+G20*2*0.125</f>
        <v>542.5</v>
      </c>
      <c r="I8" s="248">
        <v>430</v>
      </c>
      <c r="J8" s="247">
        <f>IFERROR(IF(AND($G8&lt;&gt;"",$H8&lt;&gt;""),$H8*$I8,""),0)</f>
        <v>233275</v>
      </c>
      <c r="K8" s="229"/>
      <c r="L8" s="109"/>
      <c r="M8" s="230"/>
    </row>
    <row r="9" spans="2:14" s="231" customFormat="1" ht="13.2">
      <c r="B9" s="51"/>
      <c r="C9" s="126" t="s">
        <v>410</v>
      </c>
      <c r="D9" s="40"/>
      <c r="E9" s="53"/>
      <c r="F9" s="197" t="s">
        <v>411</v>
      </c>
      <c r="G9" s="74" t="s">
        <v>126</v>
      </c>
      <c r="H9" s="82">
        <f>(+G20/3*1.03*0.125)</f>
        <v>93.129166666666677</v>
      </c>
      <c r="I9" s="248">
        <v>430</v>
      </c>
      <c r="J9" s="247">
        <f>IFERROR(IF(AND($G9&lt;&gt;"",$H9&lt;&gt;""),$H9*$I9,""),0)</f>
        <v>40045.541666666672</v>
      </c>
      <c r="K9" s="229"/>
      <c r="L9" s="109"/>
      <c r="M9" s="230"/>
    </row>
    <row r="10" spans="2:14" s="231" customFormat="1" ht="48">
      <c r="B10" s="27" t="s">
        <v>412</v>
      </c>
      <c r="C10" s="59"/>
      <c r="D10" s="59"/>
      <c r="E10" s="60"/>
      <c r="F10" s="196" t="s">
        <v>413</v>
      </c>
      <c r="G10" s="74" t="s">
        <v>40</v>
      </c>
      <c r="H10" s="82">
        <f>((+G20/12)+1)*1.03</f>
        <v>187.28833333333336</v>
      </c>
      <c r="I10" s="247">
        <v>65</v>
      </c>
      <c r="J10" s="247">
        <f>IFERROR(IF(AND($G10&lt;&gt;"",$H10&lt;&gt;""),$H10*$I10,""),0)</f>
        <v>12173.741666666669</v>
      </c>
      <c r="K10" s="229"/>
      <c r="L10" s="109"/>
      <c r="M10" s="230"/>
    </row>
    <row r="11" spans="2:14" s="2" customFormat="1" ht="13.2">
      <c r="B11" s="27" t="s">
        <v>414</v>
      </c>
      <c r="C11" s="59"/>
      <c r="D11" s="59"/>
      <c r="E11" s="60"/>
      <c r="F11" s="196" t="s">
        <v>415</v>
      </c>
      <c r="G11" s="62"/>
      <c r="H11" s="82"/>
      <c r="I11" s="250"/>
      <c r="J11" s="247"/>
      <c r="K11" s="229"/>
      <c r="L11" s="109"/>
      <c r="M11" s="230"/>
    </row>
    <row r="12" spans="2:14" s="2" customFormat="1" ht="13.2">
      <c r="B12" s="27"/>
      <c r="C12" s="126" t="s">
        <v>416</v>
      </c>
      <c r="D12" s="59"/>
      <c r="E12" s="60"/>
      <c r="F12" s="196" t="s">
        <v>417</v>
      </c>
      <c r="G12" s="74" t="s">
        <v>418</v>
      </c>
      <c r="H12" s="82">
        <f>+G20*1.03*1.93</f>
        <v>4313.7429999999995</v>
      </c>
      <c r="I12" s="247">
        <v>75</v>
      </c>
      <c r="J12" s="247">
        <f>IFERROR(IF(AND($G12&lt;&gt;"",$H12&lt;&gt;""),$H12*$I12,""),0)</f>
        <v>323530.72499999998</v>
      </c>
      <c r="K12" s="229"/>
      <c r="L12" s="109"/>
      <c r="M12" s="230"/>
    </row>
    <row r="13" spans="2:14" s="2" customFormat="1" ht="13.2">
      <c r="B13" s="27"/>
      <c r="C13" s="59"/>
      <c r="D13" s="59"/>
      <c r="E13" s="60"/>
      <c r="F13" s="196"/>
      <c r="G13" s="62"/>
      <c r="H13" s="63"/>
      <c r="I13" s="250"/>
      <c r="J13" s="247"/>
      <c r="K13" s="229"/>
      <c r="L13" s="109"/>
      <c r="M13" s="230"/>
    </row>
    <row r="14" spans="2:14" s="2" customFormat="1" ht="13.2">
      <c r="B14" s="27"/>
      <c r="C14" s="59"/>
      <c r="D14" s="59"/>
      <c r="E14" s="60"/>
      <c r="F14" s="196"/>
      <c r="G14" s="62"/>
      <c r="H14" s="63"/>
      <c r="I14" s="34"/>
      <c r="J14" s="47"/>
      <c r="K14" s="229"/>
      <c r="L14" s="109"/>
      <c r="M14" s="230"/>
    </row>
    <row r="15" spans="2:14" s="2" customFormat="1" ht="13.2">
      <c r="B15" s="96"/>
      <c r="C15" s="204"/>
      <c r="D15" s="98"/>
      <c r="E15" s="99"/>
      <c r="F15" s="252"/>
      <c r="G15" s="74"/>
      <c r="H15" s="253"/>
      <c r="I15" s="46"/>
      <c r="J15" s="47" t="str">
        <f>IFERROR(IF(AND($G15&lt;&gt;"",$H15&lt;&gt;""),$H15*$I15,""),0)</f>
        <v/>
      </c>
      <c r="K15" s="229"/>
      <c r="L15" s="109"/>
      <c r="M15" s="230"/>
    </row>
    <row r="16" spans="2:14" s="2" customFormat="1" ht="13.2">
      <c r="B16" s="100" t="s">
        <v>103</v>
      </c>
      <c r="C16" s="101"/>
      <c r="D16" s="101"/>
      <c r="E16" s="102"/>
      <c r="F16" s="207"/>
      <c r="G16" s="208"/>
      <c r="H16" s="209"/>
      <c r="I16" s="107"/>
      <c r="J16" s="107">
        <f>SUM(J5:J15)</f>
        <v>1509792.0083333333</v>
      </c>
      <c r="K16" s="229"/>
      <c r="L16" s="109"/>
      <c r="M16" s="230"/>
    </row>
    <row r="17" spans="1:10">
      <c r="I17" t="s">
        <v>968</v>
      </c>
      <c r="J17" s="473">
        <v>3657850</v>
      </c>
    </row>
    <row r="18" spans="1:10">
      <c r="J18" s="400">
        <f>+J16-J17</f>
        <v>-2148057.9916666667</v>
      </c>
    </row>
    <row r="20" spans="1:10">
      <c r="A20">
        <v>0</v>
      </c>
      <c r="F20" t="s">
        <v>969</v>
      </c>
      <c r="G20">
        <v>2170</v>
      </c>
      <c r="H20" t="s">
        <v>970</v>
      </c>
    </row>
  </sheetData>
  <mergeCells count="4">
    <mergeCell ref="B1:E1"/>
    <mergeCell ref="M1:N1"/>
    <mergeCell ref="B2:E2"/>
    <mergeCell ref="F2:J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62BB8-CED0-4E10-81D2-35B81131F8B5}">
  <dimension ref="A1:I24"/>
  <sheetViews>
    <sheetView workbookViewId="0">
      <selection activeCell="L20" sqref="L20"/>
    </sheetView>
  </sheetViews>
  <sheetFormatPr defaultRowHeight="13.8"/>
  <cols>
    <col min="1" max="1" width="6.69921875" customWidth="1"/>
    <col min="2" max="2" width="6.8984375" customWidth="1"/>
    <col min="3" max="3" width="2.796875" customWidth="1"/>
    <col min="4" max="4" width="1.69921875" customWidth="1"/>
    <col min="5" max="5" width="40.59765625" customWidth="1"/>
    <col min="7" max="7" width="10.69921875" customWidth="1"/>
    <col min="9" max="9" width="14.3984375" customWidth="1"/>
  </cols>
  <sheetData>
    <row r="1" spans="1:9">
      <c r="A1" s="596" t="s">
        <v>1</v>
      </c>
      <c r="B1" s="596"/>
      <c r="C1" s="596"/>
      <c r="D1" s="596"/>
      <c r="E1" s="20" t="s">
        <v>2</v>
      </c>
      <c r="F1" s="19" t="s">
        <v>3</v>
      </c>
      <c r="G1" s="19" t="s">
        <v>741</v>
      </c>
      <c r="H1" s="19" t="s">
        <v>740</v>
      </c>
      <c r="I1" s="19" t="s">
        <v>742</v>
      </c>
    </row>
    <row r="2" spans="1:9">
      <c r="A2" s="592" t="s">
        <v>443</v>
      </c>
      <c r="B2" s="593"/>
      <c r="C2" s="593"/>
      <c r="D2" s="594"/>
      <c r="E2" s="92" t="s">
        <v>444</v>
      </c>
      <c r="F2" s="2"/>
      <c r="G2" s="272"/>
      <c r="H2" s="407"/>
      <c r="I2" s="407"/>
    </row>
    <row r="3" spans="1:9">
      <c r="A3" s="27" t="s">
        <v>445</v>
      </c>
      <c r="B3" s="59"/>
      <c r="C3" s="59"/>
      <c r="D3" s="60"/>
      <c r="E3" s="265" t="s">
        <v>446</v>
      </c>
      <c r="F3" s="62"/>
      <c r="G3" s="63"/>
      <c r="H3" s="408"/>
      <c r="I3" s="408"/>
    </row>
    <row r="4" spans="1:9">
      <c r="A4" s="187"/>
      <c r="B4" s="126" t="s">
        <v>447</v>
      </c>
      <c r="C4" s="59"/>
      <c r="D4" s="60"/>
      <c r="E4" s="197" t="s">
        <v>448</v>
      </c>
      <c r="F4" s="62"/>
      <c r="G4" s="63"/>
      <c r="H4" s="408"/>
      <c r="I4" s="408"/>
    </row>
    <row r="5" spans="1:9">
      <c r="A5" s="51"/>
      <c r="B5" s="40"/>
      <c r="C5" s="126" t="s">
        <v>67</v>
      </c>
      <c r="D5" s="53"/>
      <c r="E5" s="197" t="s">
        <v>449</v>
      </c>
      <c r="F5" s="74" t="s">
        <v>40</v>
      </c>
      <c r="G5" s="474">
        <v>7000</v>
      </c>
      <c r="H5" s="82">
        <v>56</v>
      </c>
      <c r="I5" s="402">
        <f>G5*H5</f>
        <v>392000</v>
      </c>
    </row>
    <row r="6" spans="1:9">
      <c r="A6" s="51"/>
      <c r="B6" s="126" t="s">
        <v>450</v>
      </c>
      <c r="C6" s="126"/>
      <c r="D6" s="53"/>
      <c r="E6" s="197" t="s">
        <v>451</v>
      </c>
      <c r="F6" s="74"/>
      <c r="G6" s="474"/>
      <c r="H6" s="82"/>
      <c r="I6" s="402"/>
    </row>
    <row r="7" spans="1:9">
      <c r="A7" s="51"/>
      <c r="B7" s="40"/>
      <c r="C7" s="126" t="s">
        <v>70</v>
      </c>
      <c r="D7" s="53"/>
      <c r="E7" s="197" t="s">
        <v>452</v>
      </c>
      <c r="F7" s="74" t="s">
        <v>40</v>
      </c>
      <c r="G7" s="474">
        <v>7000</v>
      </c>
      <c r="H7" s="82">
        <v>56</v>
      </c>
      <c r="I7" s="402">
        <f>G7*H7</f>
        <v>392000</v>
      </c>
    </row>
    <row r="8" spans="1:9" ht="24">
      <c r="A8" s="27" t="s">
        <v>453</v>
      </c>
      <c r="B8" s="59"/>
      <c r="C8" s="59"/>
      <c r="D8" s="60"/>
      <c r="E8" s="196" t="s">
        <v>454</v>
      </c>
      <c r="F8" s="62"/>
      <c r="G8" s="475"/>
      <c r="H8" s="82"/>
      <c r="I8" s="402"/>
    </row>
    <row r="9" spans="1:9">
      <c r="A9" s="27"/>
      <c r="B9" s="126" t="s">
        <v>455</v>
      </c>
      <c r="C9" s="59"/>
      <c r="D9" s="60"/>
      <c r="E9" s="197" t="s">
        <v>456</v>
      </c>
      <c r="F9" s="62"/>
      <c r="G9" s="475"/>
      <c r="H9" s="82"/>
      <c r="I9" s="402"/>
    </row>
    <row r="10" spans="1:9" ht="22.8">
      <c r="A10" s="27"/>
      <c r="B10" s="40"/>
      <c r="C10" s="126" t="s">
        <v>70</v>
      </c>
      <c r="D10" s="53"/>
      <c r="E10" s="197" t="s">
        <v>457</v>
      </c>
      <c r="F10" s="194" t="s">
        <v>351</v>
      </c>
      <c r="G10" s="476">
        <v>1090</v>
      </c>
      <c r="H10" s="82">
        <v>340</v>
      </c>
      <c r="I10" s="402">
        <f>G10*H10</f>
        <v>370600</v>
      </c>
    </row>
    <row r="11" spans="1:9" ht="22.8">
      <c r="A11" s="27"/>
      <c r="B11" s="40"/>
      <c r="C11" s="126" t="s">
        <v>72</v>
      </c>
      <c r="D11" s="53"/>
      <c r="E11" s="197" t="s">
        <v>458</v>
      </c>
      <c r="F11" s="194" t="s">
        <v>351</v>
      </c>
      <c r="G11" s="476">
        <v>90</v>
      </c>
      <c r="H11" s="82">
        <v>340</v>
      </c>
      <c r="I11" s="402">
        <f>G11*H11</f>
        <v>30600</v>
      </c>
    </row>
    <row r="12" spans="1:9" ht="22.8">
      <c r="A12" s="27"/>
      <c r="B12" s="40"/>
      <c r="C12" s="126" t="s">
        <v>74</v>
      </c>
      <c r="D12" s="53"/>
      <c r="E12" s="197" t="s">
        <v>459</v>
      </c>
      <c r="F12" s="194" t="s">
        <v>351</v>
      </c>
      <c r="G12" s="476">
        <v>1090</v>
      </c>
      <c r="H12" s="82">
        <v>340</v>
      </c>
      <c r="I12" s="402">
        <f>G12*H12</f>
        <v>370600</v>
      </c>
    </row>
    <row r="13" spans="1:9">
      <c r="A13" s="187"/>
      <c r="B13" s="126" t="s">
        <v>460</v>
      </c>
      <c r="C13" s="59"/>
      <c r="D13" s="60"/>
      <c r="E13" s="197" t="s">
        <v>461</v>
      </c>
      <c r="F13" s="62"/>
      <c r="G13" s="475"/>
      <c r="H13" s="82"/>
      <c r="I13" s="402"/>
    </row>
    <row r="14" spans="1:9" ht="22.8">
      <c r="A14" s="187"/>
      <c r="B14" s="126"/>
      <c r="C14" s="126" t="s">
        <v>70</v>
      </c>
      <c r="D14" s="53"/>
      <c r="E14" s="197" t="s">
        <v>457</v>
      </c>
      <c r="F14" s="194" t="s">
        <v>351</v>
      </c>
      <c r="G14" s="464">
        <v>200</v>
      </c>
      <c r="H14" s="82">
        <v>340</v>
      </c>
      <c r="I14" s="402">
        <f>G14*H14</f>
        <v>68000</v>
      </c>
    </row>
    <row r="15" spans="1:9" ht="22.8">
      <c r="A15" s="187"/>
      <c r="B15" s="126"/>
      <c r="C15" s="126" t="s">
        <v>72</v>
      </c>
      <c r="D15" s="53"/>
      <c r="E15" s="197" t="s">
        <v>458</v>
      </c>
      <c r="F15" s="194" t="s">
        <v>351</v>
      </c>
      <c r="G15" s="464">
        <v>20</v>
      </c>
      <c r="H15" s="82">
        <v>340</v>
      </c>
      <c r="I15" s="402">
        <f>G15*H15</f>
        <v>6800</v>
      </c>
    </row>
    <row r="16" spans="1:9" ht="22.8">
      <c r="A16" s="51"/>
      <c r="B16" s="40"/>
      <c r="C16" s="126" t="s">
        <v>74</v>
      </c>
      <c r="D16" s="53"/>
      <c r="E16" s="197" t="s">
        <v>459</v>
      </c>
      <c r="F16" s="194" t="s">
        <v>351</v>
      </c>
      <c r="G16" s="477">
        <v>200</v>
      </c>
      <c r="H16" s="82">
        <v>340</v>
      </c>
      <c r="I16" s="402">
        <f>G16*H16</f>
        <v>68000</v>
      </c>
    </row>
    <row r="17" spans="1:9" ht="24.6">
      <c r="A17" s="27" t="s">
        <v>462</v>
      </c>
      <c r="B17" s="59"/>
      <c r="C17" s="59"/>
      <c r="D17" s="60"/>
      <c r="E17" s="196" t="s">
        <v>463</v>
      </c>
      <c r="F17" s="194" t="s">
        <v>464</v>
      </c>
      <c r="G17" s="464">
        <v>12000</v>
      </c>
      <c r="H17" s="82">
        <v>45</v>
      </c>
      <c r="I17" s="402">
        <f>G17*H17</f>
        <v>540000</v>
      </c>
    </row>
    <row r="18" spans="1:9">
      <c r="A18" s="27" t="s">
        <v>465</v>
      </c>
      <c r="B18" s="59"/>
      <c r="C18" s="59"/>
      <c r="D18" s="60"/>
      <c r="E18" s="196" t="s">
        <v>466</v>
      </c>
      <c r="F18" s="62"/>
      <c r="G18" s="475"/>
      <c r="H18" s="82"/>
      <c r="I18" s="402"/>
    </row>
    <row r="19" spans="1:9" ht="45.6">
      <c r="A19" s="51"/>
      <c r="B19" s="126" t="s">
        <v>467</v>
      </c>
      <c r="C19" s="40"/>
      <c r="D19" s="53"/>
      <c r="E19" s="197" t="s">
        <v>468</v>
      </c>
      <c r="F19" s="74"/>
      <c r="G19" s="474"/>
      <c r="H19" s="82"/>
      <c r="I19" s="402"/>
    </row>
    <row r="20" spans="1:9" ht="22.8">
      <c r="A20" s="51"/>
      <c r="B20" s="40"/>
      <c r="C20" s="126" t="s">
        <v>70</v>
      </c>
      <c r="D20" s="53"/>
      <c r="E20" s="197" t="s">
        <v>457</v>
      </c>
      <c r="F20" s="74" t="s">
        <v>37</v>
      </c>
      <c r="G20" s="477">
        <v>2900</v>
      </c>
      <c r="H20" s="82">
        <v>1000</v>
      </c>
      <c r="I20" s="402">
        <f>G20*H20</f>
        <v>2900000</v>
      </c>
    </row>
    <row r="21" spans="1:9" ht="22.8">
      <c r="A21" s="51"/>
      <c r="B21" s="40"/>
      <c r="C21" s="126" t="s">
        <v>72</v>
      </c>
      <c r="D21" s="53"/>
      <c r="E21" s="197" t="s">
        <v>458</v>
      </c>
      <c r="F21" s="74" t="s">
        <v>37</v>
      </c>
      <c r="G21" s="477">
        <v>230</v>
      </c>
      <c r="H21" s="82">
        <v>1000</v>
      </c>
      <c r="I21" s="402">
        <f>G21*H21</f>
        <v>230000</v>
      </c>
    </row>
    <row r="22" spans="1:9">
      <c r="A22" s="51"/>
      <c r="B22" s="40"/>
      <c r="C22" s="126" t="s">
        <v>74</v>
      </c>
      <c r="D22" s="53"/>
      <c r="E22" s="197" t="s">
        <v>459</v>
      </c>
      <c r="F22" s="74" t="s">
        <v>37</v>
      </c>
      <c r="G22" s="477">
        <v>2900</v>
      </c>
      <c r="H22" s="82">
        <v>1000</v>
      </c>
      <c r="I22" s="402">
        <f>G22*H22</f>
        <v>2900000</v>
      </c>
    </row>
    <row r="23" spans="1:9">
      <c r="A23" s="96"/>
      <c r="B23" s="98"/>
      <c r="C23" s="98"/>
      <c r="D23" s="275"/>
      <c r="E23" s="197"/>
      <c r="F23" s="74"/>
      <c r="G23" s="474"/>
      <c r="H23" s="82"/>
      <c r="I23" s="402"/>
    </row>
    <row r="24" spans="1:9">
      <c r="H24" s="399" t="s">
        <v>752</v>
      </c>
      <c r="I24" s="403">
        <f>SUM(I4:I22)</f>
        <v>8268600</v>
      </c>
    </row>
  </sheetData>
  <mergeCells count="2">
    <mergeCell ref="A2:D2"/>
    <mergeCell ref="A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02379-6D34-4FD0-83A5-188D0D15D2D9}">
  <dimension ref="A2:I24"/>
  <sheetViews>
    <sheetView zoomScale="85" zoomScaleNormal="85" workbookViewId="0">
      <selection activeCell="N12" sqref="N12"/>
    </sheetView>
  </sheetViews>
  <sheetFormatPr defaultRowHeight="13.8"/>
  <cols>
    <col min="2" max="2" width="6.796875" customWidth="1"/>
    <col min="3" max="3" width="2.69921875" customWidth="1"/>
    <col min="4" max="4" width="2.296875" customWidth="1"/>
    <col min="5" max="5" width="40.796875" customWidth="1"/>
    <col min="6" max="6" width="12.3984375" customWidth="1"/>
    <col min="7" max="7" width="13.19921875" customWidth="1"/>
    <col min="9" max="9" width="15.09765625" customWidth="1"/>
  </cols>
  <sheetData>
    <row r="2" spans="1:9">
      <c r="A2" s="596" t="s">
        <v>1</v>
      </c>
      <c r="B2" s="596"/>
      <c r="C2" s="596"/>
      <c r="D2" s="596"/>
      <c r="E2" s="20" t="s">
        <v>2</v>
      </c>
      <c r="F2" s="19" t="s">
        <v>3</v>
      </c>
      <c r="G2" s="19" t="s">
        <v>741</v>
      </c>
      <c r="H2" s="19" t="s">
        <v>740</v>
      </c>
      <c r="I2" s="19" t="s">
        <v>742</v>
      </c>
    </row>
    <row r="3" spans="1:9">
      <c r="A3" s="592" t="s">
        <v>325</v>
      </c>
      <c r="B3" s="593"/>
      <c r="C3" s="593"/>
      <c r="D3" s="594"/>
      <c r="E3" s="92" t="s">
        <v>326</v>
      </c>
      <c r="F3" s="1"/>
      <c r="G3" s="211"/>
      <c r="H3" s="211"/>
      <c r="I3" s="211"/>
    </row>
    <row r="4" spans="1:9">
      <c r="A4" s="27" t="s">
        <v>327</v>
      </c>
      <c r="B4" s="40"/>
      <c r="C4" s="40"/>
      <c r="D4" s="53"/>
      <c r="E4" s="92" t="s">
        <v>328</v>
      </c>
      <c r="F4" s="74"/>
      <c r="G4" s="82"/>
      <c r="H4" s="211"/>
      <c r="I4" s="211"/>
    </row>
    <row r="5" spans="1:9" ht="30" customHeight="1">
      <c r="A5" s="51"/>
      <c r="B5" s="126" t="s">
        <v>329</v>
      </c>
      <c r="C5" s="40"/>
      <c r="D5" s="53"/>
      <c r="E5" s="197" t="s">
        <v>330</v>
      </c>
      <c r="F5" s="78" t="s">
        <v>331</v>
      </c>
      <c r="G5" s="82">
        <f>G24</f>
        <v>4.46</v>
      </c>
      <c r="H5" s="82">
        <v>16500</v>
      </c>
      <c r="I5" s="402">
        <f>G5*H5</f>
        <v>73590</v>
      </c>
    </row>
    <row r="6" spans="1:9">
      <c r="A6" s="27" t="s">
        <v>332</v>
      </c>
      <c r="B6" s="40"/>
      <c r="C6" s="40"/>
      <c r="D6" s="53"/>
      <c r="E6" s="92" t="s">
        <v>333</v>
      </c>
      <c r="F6" s="74"/>
      <c r="G6" s="82"/>
      <c r="H6" s="82"/>
      <c r="I6" s="82"/>
    </row>
    <row r="7" spans="1:9" ht="37.200000000000003" customHeight="1">
      <c r="A7" s="51"/>
      <c r="B7" s="126" t="s">
        <v>334</v>
      </c>
      <c r="C7" s="40"/>
      <c r="D7" s="53"/>
      <c r="E7" s="197" t="s">
        <v>335</v>
      </c>
      <c r="F7" s="78" t="s">
        <v>331</v>
      </c>
      <c r="G7" s="82">
        <f>G24</f>
        <v>4.46</v>
      </c>
      <c r="H7" s="82">
        <v>18000</v>
      </c>
      <c r="I7" s="402">
        <f>G7*H7</f>
        <v>80280</v>
      </c>
    </row>
    <row r="8" spans="1:9">
      <c r="A8" s="27" t="s">
        <v>336</v>
      </c>
      <c r="B8" s="40"/>
      <c r="C8" s="40"/>
      <c r="D8" s="53"/>
      <c r="E8" s="92" t="s">
        <v>337</v>
      </c>
      <c r="F8" s="74"/>
      <c r="G8" s="82"/>
      <c r="H8" s="82"/>
      <c r="I8" s="82"/>
    </row>
    <row r="9" spans="1:9" ht="34.799999999999997" customHeight="1">
      <c r="A9" s="213" t="s">
        <v>338</v>
      </c>
      <c r="B9" s="126"/>
      <c r="C9" s="126"/>
      <c r="D9" s="53"/>
      <c r="E9" s="54" t="s">
        <v>339</v>
      </c>
      <c r="F9" s="78"/>
      <c r="G9" s="82"/>
      <c r="H9" s="82"/>
      <c r="I9" s="82"/>
    </row>
    <row r="10" spans="1:9" ht="48" customHeight="1">
      <c r="A10" s="187"/>
      <c r="B10" s="59"/>
      <c r="C10" s="126" t="s">
        <v>67</v>
      </c>
      <c r="D10" s="53"/>
      <c r="E10" s="54" t="s">
        <v>340</v>
      </c>
      <c r="F10" s="193" t="s">
        <v>341</v>
      </c>
      <c r="G10" s="82">
        <f>G22</f>
        <v>111500</v>
      </c>
      <c r="H10" s="82">
        <v>7</v>
      </c>
      <c r="I10" s="402">
        <f>G10*H10</f>
        <v>780500</v>
      </c>
    </row>
    <row r="12" spans="1:9">
      <c r="H12" s="399" t="s">
        <v>752</v>
      </c>
      <c r="I12" s="403">
        <f>SUM(I5:I10)</f>
        <v>934370</v>
      </c>
    </row>
    <row r="14" spans="1:9">
      <c r="G14" t="s">
        <v>743</v>
      </c>
      <c r="H14">
        <v>6</v>
      </c>
      <c r="I14" s="356">
        <f>I12/H14</f>
        <v>155728.33333333334</v>
      </c>
    </row>
    <row r="16" spans="1:9">
      <c r="F16" t="s">
        <v>751</v>
      </c>
      <c r="G16">
        <f>22300*2</f>
        <v>44600</v>
      </c>
    </row>
    <row r="17" spans="6:8">
      <c r="F17" t="s">
        <v>750</v>
      </c>
      <c r="G17">
        <v>1</v>
      </c>
    </row>
    <row r="18" spans="6:8">
      <c r="F18" t="s">
        <v>749</v>
      </c>
      <c r="G18">
        <f>G16*G17</f>
        <v>44600</v>
      </c>
    </row>
    <row r="19" spans="6:8">
      <c r="F19" t="s">
        <v>748</v>
      </c>
      <c r="G19">
        <f>0.1</f>
        <v>0.1</v>
      </c>
    </row>
    <row r="20" spans="6:8">
      <c r="F20" t="s">
        <v>747</v>
      </c>
      <c r="G20">
        <f>G18*G19</f>
        <v>4460</v>
      </c>
    </row>
    <row r="21" spans="6:8">
      <c r="F21" t="s">
        <v>746</v>
      </c>
      <c r="G21">
        <v>25</v>
      </c>
      <c r="H21" t="s">
        <v>744</v>
      </c>
    </row>
    <row r="22" spans="6:8">
      <c r="F22" t="s">
        <v>745</v>
      </c>
      <c r="G22">
        <f>G20*G21</f>
        <v>111500</v>
      </c>
    </row>
    <row r="24" spans="6:8">
      <c r="F24" t="s">
        <v>971</v>
      </c>
      <c r="G24">
        <f>G18/10000</f>
        <v>4.46</v>
      </c>
    </row>
  </sheetData>
  <mergeCells count="2">
    <mergeCell ref="A3:D3"/>
    <mergeCell ref="A2:D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b1ca8c2-5108-4522-8f27-e3bbe94947c5" xsi:nil="true"/>
    <lcf76f155ced4ddcb4097134ff3c332f xmlns="ff32ebdd-f6d1-4534-bb8a-0574f4b81dd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C28C447002014AB306557545F58614" ma:contentTypeVersion="12" ma:contentTypeDescription="Create a new document." ma:contentTypeScope="" ma:versionID="c9eff8fb686e7d2daade1dc894b6dae7">
  <xsd:schema xmlns:xsd="http://www.w3.org/2001/XMLSchema" xmlns:xs="http://www.w3.org/2001/XMLSchema" xmlns:p="http://schemas.microsoft.com/office/2006/metadata/properties" xmlns:ns2="ff32ebdd-f6d1-4534-bb8a-0574f4b81ddc" xmlns:ns3="6b1ca8c2-5108-4522-8f27-e3bbe94947c5" targetNamespace="http://schemas.microsoft.com/office/2006/metadata/properties" ma:root="true" ma:fieldsID="355ee95a6e6b355762ebf0f7a2d6abcc" ns2:_="" ns3:_="">
    <xsd:import namespace="ff32ebdd-f6d1-4534-bb8a-0574f4b81ddc"/>
    <xsd:import namespace="6b1ca8c2-5108-4522-8f27-e3bbe94947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32ebdd-f6d1-4534-bb8a-0574f4b81d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ec3b936-f38a-487d-a677-d910410edc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ca8c2-5108-4522-8f27-e3bbe94947c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27dc362-5b27-4fef-a76c-ccd413a333bb}" ma:internalName="TaxCatchAll" ma:showField="CatchAllData" ma:web="6b1ca8c2-5108-4522-8f27-e3bbe94947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2E923B-4C05-437F-8F68-F25BE15CFB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4DBA3FF-A46D-468C-8593-BA3DDE691C64}">
  <ds:schemaRefs>
    <ds:schemaRef ds:uri="http://schemas.microsoft.com/office/2006/metadata/properties"/>
    <ds:schemaRef ds:uri="http://schemas.microsoft.com/office/infopath/2007/PartnerControls"/>
    <ds:schemaRef ds:uri="6b1ca8c2-5108-4522-8f27-e3bbe94947c5"/>
    <ds:schemaRef ds:uri="ff32ebdd-f6d1-4534-bb8a-0574f4b81ddc"/>
  </ds:schemaRefs>
</ds:datastoreItem>
</file>

<file path=customXml/itemProps3.xml><?xml version="1.0" encoding="utf-8"?>
<ds:datastoreItem xmlns:ds="http://schemas.openxmlformats.org/officeDocument/2006/customXml" ds:itemID="{A8ED031C-B2AC-4FAD-B92A-EF837AC320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32ebdd-f6d1-4534-bb8a-0574f4b81ddc"/>
    <ds:schemaRef ds:uri="6b1ca8c2-5108-4522-8f27-e3bbe94947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BOQ</vt:lpstr>
      <vt:lpstr>BoQ Summary</vt:lpstr>
      <vt:lpstr>Guardrails</vt:lpstr>
      <vt:lpstr>Road Marking</vt:lpstr>
      <vt:lpstr>Acc Traffic</vt:lpstr>
      <vt:lpstr>Road signs</vt:lpstr>
      <vt:lpstr>Overlay</vt:lpstr>
      <vt:lpstr>Water-cutting</vt:lpstr>
      <vt:lpstr>Drains</vt:lpstr>
      <vt:lpstr>Kerbs_conc drains</vt:lpstr>
      <vt:lpstr>Patching</vt:lpstr>
      <vt:lpstr>Clear and Grub</vt:lpstr>
      <vt:lpstr>BOQ!Print_Area</vt:lpstr>
      <vt:lpstr>'BoQ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Clyde Valayatham</dc:creator>
  <cp:lastModifiedBy>Linda Ngcobo</cp:lastModifiedBy>
  <cp:lastPrinted>2025-08-05T16:07:34Z</cp:lastPrinted>
  <dcterms:created xsi:type="dcterms:W3CDTF">2025-03-16T11:31:48Z</dcterms:created>
  <dcterms:modified xsi:type="dcterms:W3CDTF">2025-08-05T16:08:40Z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0x0101006BC28C447002014AB306557545F58614</vt:lpwstr>
  </property>
  <property fmtid="{D5CDD505-2E9C-101B-9397-08002B2CF9AE}" pid="3" name="MediaServiceImageTags">
    <vt:lpwstr/>
  </property>
</Properties>
</file>
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DEVAS STRATEGIC CONSULTING\"/>
    </mc:Choice>
  </mc:AlternateContent>
  <xr:revisionPtr revIDLastSave="0" documentId="13_ncr:1_{EEE3ED95-D978-415E-816F-DF731BA1B4FA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6" i="1"/>
  <c r="H2" i="1"/>
  <c r="I2" i="1" s="1"/>
</calcChain>
</file>

<file path=xl/sharedStrings.xml><?xml version="1.0" encoding="utf-8"?>
<sst xmlns="http://schemas.openxmlformats.org/spreadsheetml/2006/main" count="11" uniqueCount="11">
  <si>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</si>
  <si>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</si>
  <si>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</si>
  <si>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</si>
  <si>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</si>
  <si>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</si>
  <si>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</si>
  <si>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Approved Capital Injection</t>
  </si>
  <si>
    <t>Project Management Fees</t>
  </si>
  <si>
    <t>Admin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</si>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</sst>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4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D1" workbookViewId="0">
      <selection activeCell="F10" sqref="F10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15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500000</v>
      </c>
      <c r="F2" s="7">
        <v>52552500</v>
      </c>
      <c r="H2">
        <f>IF(AND(ISNUMBER(E2),ISNUMBER(F2),F2&lt;&gt;0),(E2/F2)*100,"")</f>
        <v>0.95142952285809435</v>
      </c>
      <c r="I2" s="2">
        <f>IF(ISNUMBER(H2),LOOKUP(H2,A2:A11,B2:B11),"")</f>
        <v>0.99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  <c r="E6" t="s">
        <v>7</v>
      </c>
      <c r="F6" s="7">
        <f>E2</f>
        <v>500000</v>
      </c>
    </row>
    <row r="7" spans="1:9" x14ac:dyDescent="0.25">
      <c r="A7" s="2">
        <v>0.6</v>
      </c>
      <c r="B7" s="2">
        <v>0.69</v>
      </c>
      <c r="C7" s="2">
        <v>0.23499999999999999</v>
      </c>
      <c r="E7" t="s">
        <v>8</v>
      </c>
      <c r="F7" s="7">
        <f>F6*C10</f>
        <v>142500</v>
      </c>
    </row>
    <row r="8" spans="1:9" x14ac:dyDescent="0.25">
      <c r="A8" s="2">
        <v>0.7</v>
      </c>
      <c r="B8" s="2">
        <v>0.79</v>
      </c>
      <c r="C8" s="2">
        <v>0.245</v>
      </c>
      <c r="E8" t="s">
        <v>9</v>
      </c>
      <c r="F8" s="8">
        <v>2750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10</v>
      </c>
      <c r="F9" s="9">
        <f>SUM(F6:F8)</f>
        <v>645250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2025-10-28T11:52:28Z</dcterms:modified>
</cp:coreProperties>
</file>
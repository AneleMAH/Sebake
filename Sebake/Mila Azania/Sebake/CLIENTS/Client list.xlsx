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"/>
    </mc:Choice>
  </mc:AlternateContent>
  <xr:revisionPtr revIDLastSave="0" documentId="13_ncr:1_{A652A9DB-A2F5-4C48-8AD9-8C89066CE3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8" i="1"/>
  <c r="F8" i="1"/>
  <c r="G5" i="1"/>
  <c r="F5" i="1"/>
  <c r="G3" i="1"/>
  <c r="G2" i="1"/>
  <c r="E2" i="1"/>
</calcChain>
</file>

<file path=xl/sharedStrings.xml><?xml version="1.0" encoding="utf-8"?>
<sst xmlns="http://schemas.openxmlformats.org/spreadsheetml/2006/main" count="43" uniqueCount="37">
  <si>
    <t>Client Name</t>
  </si>
  <si>
    <t>Deal Name</t>
  </si>
  <si>
    <t>PO/Invoice Value</t>
  </si>
  <si>
    <t>Capital Injection</t>
  </si>
  <si>
    <t>Fee Percentage</t>
  </si>
  <si>
    <t xml:space="preserve">Fee </t>
  </si>
  <si>
    <t>DUE to MAH</t>
  </si>
  <si>
    <t>Stage</t>
  </si>
  <si>
    <t>Phone number</t>
  </si>
  <si>
    <t>Email</t>
  </si>
  <si>
    <t>comments</t>
  </si>
  <si>
    <t>Baloyi Labs</t>
  </si>
  <si>
    <t>MS BUTHO</t>
  </si>
  <si>
    <t>Pace Online</t>
  </si>
  <si>
    <t>Royal Schools</t>
  </si>
  <si>
    <t>Tshedinolo Investments</t>
  </si>
  <si>
    <t>Public Works(Hospital deal)</t>
  </si>
  <si>
    <t>Application fee</t>
  </si>
  <si>
    <t>Contract signing</t>
  </si>
  <si>
    <t>salesbaloyilabs@gmail.com</t>
  </si>
  <si>
    <t>Need to redraft contract with new changes</t>
  </si>
  <si>
    <t>Upington International Airport</t>
  </si>
  <si>
    <t>50% of profits</t>
  </si>
  <si>
    <t>Bank Mandate</t>
  </si>
  <si>
    <t>msbutho.co@gmail.com</t>
  </si>
  <si>
    <t>Bank mandate</t>
  </si>
  <si>
    <t>Zeekim</t>
  </si>
  <si>
    <t>SEDFA</t>
  </si>
  <si>
    <t>pending investor docs</t>
  </si>
  <si>
    <t>keketsomodupe@gmail.com</t>
  </si>
  <si>
    <t>Waiting remaining investor docs</t>
  </si>
  <si>
    <t>Vessel</t>
  </si>
  <si>
    <t>50/50</t>
  </si>
  <si>
    <t>Term sheet</t>
  </si>
  <si>
    <t>Not enough information</t>
  </si>
  <si>
    <t>Invoice discounting</t>
  </si>
  <si>
    <t>Lesole Ditumoluena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</si>
</sst>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&quot;* #,##0.00_-;\-&quot;R&quot;* #,##0.00_-;_-&quot;R&quot;* &quot;-&quot;??_-;_-@_-"/>
    <numFmt numFmtId="164" formatCode="&quot;R&quot;#,##0.00"/>
    <numFmt numFmtId="165" formatCode="[&lt;=9999999]###\-####;\(000\)\ 000\-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164" fontId="0" fillId="0" borderId="0" xfId="0" applyNumberFormat="1"/>
    <xf numFmtId="44" fontId="0" fillId="0" borderId="0" xfId="0" applyNumberFormat="1"/>
    <xf numFmtId="10" fontId="0" fillId="0" borderId="0" xfId="0" applyNumberFormat="1"/>
    <xf numFmtId="0" fontId="2" fillId="0" borderId="0" xfId="1"/>
    <xf numFmtId="165" fontId="0" fillId="0" borderId="0" xfId="0" applyNumberFormat="1"/>
    <xf numFmtId="165" fontId="0" fillId="3" borderId="0" xfId="0" applyNumberFormat="1" applyFill="1"/>
    <xf numFmtId="0" fontId="0" fillId="3" borderId="0" xfId="0" applyFill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eketsomodupe@gmail.com" TargetMode="External"/><Relationship Id="rId2" Type="http://schemas.openxmlformats.org/officeDocument/2006/relationships/hyperlink" Target="mailto:msbutho.co@gmail.com" TargetMode="External"/><Relationship Id="rId1" Type="http://schemas.openxmlformats.org/officeDocument/2006/relationships/hyperlink" Target="mailto:salesbaloyilab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showGridLines="0" tabSelected="1" workbookViewId="0">
      <selection activeCell="E16" sqref="E16"/>
    </sheetView>
  </sheetViews>
  <sheetFormatPr defaultRowHeight="15" x14ac:dyDescent="0.25"/>
  <cols>
    <col min="1" max="1" width="22.7109375" bestFit="1" customWidth="1"/>
    <col min="2" max="2" width="28.42578125" bestFit="1" customWidth="1"/>
    <col min="3" max="3" width="20" bestFit="1" customWidth="1"/>
    <col min="4" max="4" width="19" bestFit="1" customWidth="1"/>
    <col min="5" max="5" width="18.5703125" bestFit="1" customWidth="1"/>
    <col min="6" max="6" width="14.140625" bestFit="1" customWidth="1"/>
    <col min="7" max="7" width="14.85546875" bestFit="1" customWidth="1"/>
    <col min="8" max="8" width="20.7109375" bestFit="1" customWidth="1"/>
    <col min="9" max="9" width="13.7109375" bestFit="1" customWidth="1"/>
    <col min="10" max="10" width="26" bestFit="1" customWidth="1"/>
    <col min="11" max="11" width="39.5703125" bestFit="1" customWidth="1"/>
    <col min="13" max="13" width="16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1" t="s">
        <v>17</v>
      </c>
    </row>
    <row r="2" spans="1:13" x14ac:dyDescent="0.25">
      <c r="A2" t="s">
        <v>11</v>
      </c>
      <c r="B2" t="s">
        <v>16</v>
      </c>
      <c r="C2" s="2">
        <v>3645405.7</v>
      </c>
      <c r="D2" s="2">
        <v>853997.9</v>
      </c>
      <c r="E2" s="4">
        <f>F2/D2</f>
        <v>0.3</v>
      </c>
      <c r="F2" s="3">
        <v>256199.37</v>
      </c>
      <c r="G2" s="2">
        <f>D2+F2+M2</f>
        <v>1112947.27</v>
      </c>
      <c r="H2" t="s">
        <v>18</v>
      </c>
      <c r="I2" s="6">
        <v>836028232</v>
      </c>
      <c r="J2" s="5" t="s">
        <v>19</v>
      </c>
      <c r="K2" t="s">
        <v>20</v>
      </c>
      <c r="M2">
        <v>2750</v>
      </c>
    </row>
    <row r="3" spans="1:13" x14ac:dyDescent="0.25">
      <c r="A3" t="s">
        <v>12</v>
      </c>
      <c r="B3" t="s">
        <v>21</v>
      </c>
      <c r="C3" s="2">
        <v>2104016.9</v>
      </c>
      <c r="D3" s="2">
        <v>1400000</v>
      </c>
      <c r="E3" s="4" t="s">
        <v>22</v>
      </c>
      <c r="F3" s="2">
        <f>((C3-D3)*50%)+M2</f>
        <v>354758.44999999995</v>
      </c>
      <c r="G3" s="2">
        <f>F3+D3</f>
        <v>1754758.45</v>
      </c>
      <c r="H3" t="s">
        <v>23</v>
      </c>
      <c r="I3" s="6">
        <v>735476646</v>
      </c>
      <c r="J3" s="5" t="s">
        <v>24</v>
      </c>
      <c r="K3" t="s">
        <v>25</v>
      </c>
    </row>
    <row r="4" spans="1:13" x14ac:dyDescent="0.25">
      <c r="A4" t="s">
        <v>13</v>
      </c>
      <c r="B4" t="s">
        <v>35</v>
      </c>
      <c r="C4" s="2">
        <v>200000</v>
      </c>
      <c r="D4" s="2">
        <v>200000</v>
      </c>
      <c r="F4" s="3"/>
      <c r="H4" t="s">
        <v>33</v>
      </c>
      <c r="I4" s="7"/>
      <c r="J4" s="8"/>
      <c r="K4" t="s">
        <v>34</v>
      </c>
    </row>
    <row r="5" spans="1:13" x14ac:dyDescent="0.25">
      <c r="A5" t="s">
        <v>14</v>
      </c>
      <c r="B5" s="7"/>
      <c r="C5" s="7"/>
      <c r="D5" s="2">
        <v>2500000</v>
      </c>
      <c r="E5" s="7"/>
      <c r="F5" s="3">
        <f>(250000*18)-D5</f>
        <v>2000000</v>
      </c>
      <c r="G5" s="2">
        <f>D5+F5</f>
        <v>4500000</v>
      </c>
      <c r="H5" t="s">
        <v>33</v>
      </c>
      <c r="I5" s="7"/>
      <c r="J5" s="8"/>
      <c r="K5" t="s">
        <v>34</v>
      </c>
    </row>
    <row r="6" spans="1:13" x14ac:dyDescent="0.25">
      <c r="A6" t="s">
        <v>15</v>
      </c>
      <c r="B6" t="s">
        <v>31</v>
      </c>
      <c r="C6" s="7"/>
      <c r="D6" s="2">
        <v>510133850</v>
      </c>
      <c r="E6" t="s">
        <v>32</v>
      </c>
      <c r="F6" s="7"/>
      <c r="G6" s="7"/>
      <c r="H6" t="s">
        <v>33</v>
      </c>
      <c r="I6" s="7"/>
      <c r="J6" s="8"/>
      <c r="K6" t="s">
        <v>34</v>
      </c>
    </row>
    <row r="7" spans="1:13" x14ac:dyDescent="0.25">
      <c r="A7" t="s">
        <v>26</v>
      </c>
      <c r="B7" t="s">
        <v>27</v>
      </c>
      <c r="C7" s="2">
        <v>211998</v>
      </c>
      <c r="D7" s="2">
        <v>160000</v>
      </c>
      <c r="E7" s="7"/>
      <c r="F7" s="7"/>
      <c r="G7" s="7"/>
      <c r="H7" t="s">
        <v>28</v>
      </c>
      <c r="I7" s="6">
        <v>817333998</v>
      </c>
      <c r="J7" s="5" t="s">
        <v>29</v>
      </c>
      <c r="K7" t="s">
        <v>30</v>
      </c>
    </row>
    <row r="8" spans="1:13" x14ac:dyDescent="0.25">
      <c r="A8" t="s">
        <v>36</v>
      </c>
      <c r="B8" s="7"/>
      <c r="C8" s="2">
        <v>125000</v>
      </c>
      <c r="D8" s="2">
        <v>125000</v>
      </c>
      <c r="E8" s="4">
        <v>0.3</v>
      </c>
      <c r="F8" s="2">
        <f>D8*E8</f>
        <v>37500</v>
      </c>
      <c r="G8" s="2">
        <f>D8+F8</f>
        <v>162500</v>
      </c>
      <c r="H8" t="s">
        <v>33</v>
      </c>
      <c r="I8" s="6">
        <v>793963720</v>
      </c>
      <c r="K8" t="s">
        <v>33</v>
      </c>
    </row>
    <row r="10" spans="1:13" x14ac:dyDescent="0.25">
      <c r="F10" s="9">
        <v>354758.45</v>
      </c>
    </row>
  </sheetData>
  <hyperlinks>
    <hyperlink ref="J2" r:id="rId1" xr:uid="{D4A5F3C7-DE51-4B64-9063-8CE6586CA417}"/>
    <hyperlink ref="J3" r:id="rId2" xr:uid="{37575816-2B18-4A73-AFC0-5A59AD791CF0}"/>
    <hyperlink ref="J7" r:id="rId3" xr:uid="{431003DA-E159-46E0-8B73-7D236B54A4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2025-10-10T06:30:01Z</dcterms:modified>
</cp:coreProperties>
</file>